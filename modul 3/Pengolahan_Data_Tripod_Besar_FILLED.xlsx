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drawings/drawing6.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8.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9.xml" ContentType="application/vnd.openxmlformats-officedocument.drawing+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drawings/drawing11.xml" ContentType="application/vnd.openxmlformats-officedocument.drawing+xml"/>
  <Override PartName="/xl/charts/chart20.xml" ContentType="application/vnd.openxmlformats-officedocument.drawingml.chart+xml"/>
  <Override PartName="/xl/drawings/drawing12.xml" ContentType="application/vnd.openxmlformats-officedocument.drawing+xml"/>
  <Override PartName="/xl/charts/chart21.xml" ContentType="application/vnd.openxmlformats-officedocument.drawingml.chart+xml"/>
  <Override PartName="/xl/drawings/drawing13.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4.xml" ContentType="application/vnd.openxmlformats-officedocument.drawing+xml"/>
  <Override PartName="/xl/charts/chart2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ynf3\Downloads\Portofolio\PPST 3\modul 3\"/>
    </mc:Choice>
  </mc:AlternateContent>
  <xr:revisionPtr revIDLastSave="0" documentId="11_4A1C6AEC74C043752FD07E6EBB7A7E7F0693F8F1" xr6:coauthVersionLast="47" xr6:coauthVersionMax="47" xr10:uidLastSave="{00000000-0000-0000-0000-000000000000}"/>
  <bookViews>
    <workbookView xWindow="-110" yWindow="-110" windowWidth="29020" windowHeight="15700" tabRatio="500" firstSheet="14" activeTab="18" xr2:uid="{00000000-000D-0000-FFFF-FFFF00000000}"/>
  </bookViews>
  <sheets>
    <sheet name="Modul 1" sheetId="1" r:id="rId1"/>
    <sheet name="Skenario" sheetId="2" r:id="rId2"/>
    <sheet name="Data Awal" sheetId="3" r:id="rId3"/>
    <sheet name="Tabel Faktor" sheetId="4" r:id="rId4"/>
    <sheet name="Instruksi" sheetId="5" r:id="rId5"/>
    <sheet name="Pemilihan Peta Kendali" sheetId="6" r:id="rId6"/>
    <sheet name="Peta Kendali xbar-R" sheetId="7" r:id="rId7"/>
    <sheet name="Peta Kendali xbar-s" sheetId="8" r:id="rId8"/>
    <sheet name="OC Curve ARL xbar-R" sheetId="9" r:id="rId9"/>
    <sheet name="Kapabilitas Proses xbar-R" sheetId="10" r:id="rId10"/>
    <sheet name="Implementasi xbar-R" sheetId="11" r:id="rId11"/>
    <sheet name="Peta Kendali MR" sheetId="12" r:id="rId12"/>
    <sheet name="Peta Kendali p dan np" sheetId="13" r:id="rId13"/>
    <sheet name="Peta Kendali c" sheetId="14" r:id="rId14"/>
    <sheet name="Peta Kendali u" sheetId="15" r:id="rId15"/>
    <sheet name="Peta Kendali cusum" sheetId="16" r:id="rId16"/>
    <sheet name="Peta Kendali EWMA" sheetId="17" r:id="rId17"/>
    <sheet name="Peta Kendali xbar-R SPR" sheetId="18" r:id="rId18"/>
    <sheet name="Peta Kendali T^2"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56" i="19" l="1"/>
  <c r="Q56" i="19"/>
  <c r="S55" i="19"/>
  <c r="Q55" i="19"/>
  <c r="S54" i="19"/>
  <c r="Q54" i="19"/>
  <c r="S53" i="19"/>
  <c r="Q53" i="19"/>
  <c r="S52" i="19"/>
  <c r="Q52" i="19"/>
  <c r="S51" i="19"/>
  <c r="Q51" i="19"/>
  <c r="S50" i="19"/>
  <c r="Q50" i="19"/>
  <c r="S49" i="19"/>
  <c r="Q49" i="19"/>
  <c r="S48" i="19"/>
  <c r="Q48" i="19"/>
  <c r="S47" i="19"/>
  <c r="Q47" i="19"/>
  <c r="S46" i="19"/>
  <c r="Q46" i="19"/>
  <c r="S45" i="19"/>
  <c r="Q45" i="19"/>
  <c r="S44" i="19"/>
  <c r="Q44" i="19"/>
  <c r="S43" i="19"/>
  <c r="Q43" i="19"/>
  <c r="S42" i="19"/>
  <c r="Q42" i="19"/>
  <c r="S41" i="19"/>
  <c r="Q41" i="19"/>
  <c r="S40" i="19"/>
  <c r="Q40" i="19"/>
  <c r="S39" i="19"/>
  <c r="Q39" i="19"/>
  <c r="S38" i="19"/>
  <c r="Q38" i="19"/>
  <c r="S37" i="19"/>
  <c r="Q37" i="19"/>
  <c r="M31" i="19"/>
  <c r="M33" i="19" s="1"/>
  <c r="R62" i="18"/>
  <c r="Q62" i="18"/>
  <c r="P62" i="18"/>
  <c r="O62" i="18"/>
  <c r="N62" i="18"/>
  <c r="M62" i="18"/>
  <c r="R61" i="18"/>
  <c r="Q61" i="18"/>
  <c r="P61" i="18"/>
  <c r="O61" i="18"/>
  <c r="N61" i="18"/>
  <c r="M61" i="18"/>
  <c r="R60" i="18"/>
  <c r="Q60" i="18"/>
  <c r="P60" i="18"/>
  <c r="O60" i="18"/>
  <c r="N60" i="18"/>
  <c r="M60" i="18"/>
  <c r="R59" i="18"/>
  <c r="Q59" i="18"/>
  <c r="P59" i="18"/>
  <c r="O59" i="18"/>
  <c r="N59" i="18"/>
  <c r="M59" i="18"/>
  <c r="R58" i="18"/>
  <c r="Q58" i="18"/>
  <c r="P58" i="18"/>
  <c r="O58" i="18"/>
  <c r="N58" i="18"/>
  <c r="M58" i="18"/>
  <c r="R57" i="18"/>
  <c r="Q57" i="18"/>
  <c r="P57" i="18"/>
  <c r="O57" i="18"/>
  <c r="N57" i="18"/>
  <c r="M57" i="18"/>
  <c r="R56" i="18"/>
  <c r="Q56" i="18"/>
  <c r="P56" i="18"/>
  <c r="O56" i="18"/>
  <c r="N56" i="18"/>
  <c r="M56" i="18"/>
  <c r="R55" i="18"/>
  <c r="Q55" i="18"/>
  <c r="P55" i="18"/>
  <c r="O55" i="18"/>
  <c r="N55" i="18"/>
  <c r="M55" i="18"/>
  <c r="R54" i="18"/>
  <c r="Q54" i="18"/>
  <c r="P54" i="18"/>
  <c r="O54" i="18"/>
  <c r="N54" i="18"/>
  <c r="M54" i="18"/>
  <c r="R53" i="18"/>
  <c r="Q53" i="18"/>
  <c r="P53" i="18"/>
  <c r="O53" i="18"/>
  <c r="N53" i="18"/>
  <c r="M53" i="18"/>
  <c r="R52" i="18"/>
  <c r="Q52" i="18"/>
  <c r="P52" i="18"/>
  <c r="O52" i="18"/>
  <c r="N52" i="18"/>
  <c r="M52" i="18"/>
  <c r="R51" i="18"/>
  <c r="Q51" i="18"/>
  <c r="P51" i="18"/>
  <c r="O51" i="18"/>
  <c r="N51" i="18"/>
  <c r="M51" i="18"/>
  <c r="R50" i="18"/>
  <c r="Q50" i="18"/>
  <c r="P50" i="18"/>
  <c r="O50" i="18"/>
  <c r="N50" i="18"/>
  <c r="M50" i="18"/>
  <c r="R49" i="18"/>
  <c r="Q49" i="18"/>
  <c r="P49" i="18"/>
  <c r="O49" i="18"/>
  <c r="N49" i="18"/>
  <c r="M49" i="18"/>
  <c r="R48" i="18"/>
  <c r="Q48" i="18"/>
  <c r="P48" i="18"/>
  <c r="O48" i="18"/>
  <c r="N48" i="18"/>
  <c r="M48" i="18"/>
  <c r="R47" i="18"/>
  <c r="Q47" i="18"/>
  <c r="P47" i="18"/>
  <c r="O47" i="18"/>
  <c r="N47" i="18"/>
  <c r="M47" i="18"/>
  <c r="R46" i="18"/>
  <c r="Q46" i="18"/>
  <c r="P46" i="18"/>
  <c r="O46" i="18"/>
  <c r="N46" i="18"/>
  <c r="M46" i="18"/>
  <c r="R45" i="18"/>
  <c r="Q45" i="18"/>
  <c r="P45" i="18"/>
  <c r="O45" i="18"/>
  <c r="N45" i="18"/>
  <c r="M45" i="18"/>
  <c r="R44" i="18"/>
  <c r="Q44" i="18"/>
  <c r="P44" i="18"/>
  <c r="O44" i="18"/>
  <c r="N44" i="18"/>
  <c r="M44" i="18"/>
  <c r="R43" i="18"/>
  <c r="Q43" i="18"/>
  <c r="P43" i="18"/>
  <c r="O43" i="18"/>
  <c r="N43" i="18"/>
  <c r="M43" i="18"/>
  <c r="D40" i="18" a="1"/>
  <c r="D40" i="18" s="1"/>
  <c r="D39" i="18" a="1"/>
  <c r="D39" i="18" s="1"/>
  <c r="D38" i="18" a="1"/>
  <c r="D38" i="18" s="1"/>
  <c r="D27" i="18"/>
  <c r="D26" i="18"/>
  <c r="D25" i="18"/>
  <c r="D24" i="18"/>
  <c r="F59" i="17"/>
  <c r="G59" i="17" s="1"/>
  <c r="E59" i="17"/>
  <c r="F58" i="17"/>
  <c r="G58" i="17" s="1"/>
  <c r="E58" i="17"/>
  <c r="G57" i="17"/>
  <c r="F57" i="17"/>
  <c r="E57" i="17"/>
  <c r="F56" i="17"/>
  <c r="G56" i="17" s="1"/>
  <c r="E56" i="17"/>
  <c r="F55" i="17"/>
  <c r="G55" i="17" s="1"/>
  <c r="E55" i="17"/>
  <c r="F54" i="17"/>
  <c r="G54" i="17" s="1"/>
  <c r="E54" i="17"/>
  <c r="G53" i="17"/>
  <c r="F53" i="17"/>
  <c r="E53" i="17"/>
  <c r="F52" i="17"/>
  <c r="G52" i="17" s="1"/>
  <c r="E52" i="17"/>
  <c r="F51" i="17"/>
  <c r="E51" i="17"/>
  <c r="F50" i="17"/>
  <c r="G50" i="17" s="1"/>
  <c r="E50" i="17"/>
  <c r="G49" i="17"/>
  <c r="F49" i="17"/>
  <c r="E49" i="17"/>
  <c r="F48" i="17"/>
  <c r="G48" i="17" s="1"/>
  <c r="E48" i="17"/>
  <c r="F47" i="17"/>
  <c r="E47" i="17"/>
  <c r="F46" i="17"/>
  <c r="G46" i="17" s="1"/>
  <c r="E46" i="17"/>
  <c r="G45" i="17"/>
  <c r="F45" i="17"/>
  <c r="E45" i="17"/>
  <c r="F44" i="17"/>
  <c r="G44" i="17" s="1"/>
  <c r="E44" i="17"/>
  <c r="F43" i="17"/>
  <c r="E43" i="17"/>
  <c r="F42" i="17"/>
  <c r="G42" i="17" s="1"/>
  <c r="E42" i="17"/>
  <c r="G41" i="17"/>
  <c r="F41" i="17"/>
  <c r="E41" i="17"/>
  <c r="F40" i="17"/>
  <c r="G40" i="17" s="1"/>
  <c r="E40" i="17"/>
  <c r="F39" i="17"/>
  <c r="G39" i="17" s="1"/>
  <c r="E39" i="17"/>
  <c r="F38" i="17"/>
  <c r="G38" i="17" s="1"/>
  <c r="E38" i="17"/>
  <c r="G37" i="17"/>
  <c r="F37" i="17"/>
  <c r="E37" i="17"/>
  <c r="F36" i="17"/>
  <c r="G36" i="17" s="1"/>
  <c r="E36" i="17"/>
  <c r="F35" i="17"/>
  <c r="E35" i="17"/>
  <c r="F34" i="17"/>
  <c r="G34" i="17" s="1"/>
  <c r="E34" i="17"/>
  <c r="G33" i="17"/>
  <c r="F33" i="17"/>
  <c r="E33" i="17"/>
  <c r="F32" i="17"/>
  <c r="G32" i="17" s="1"/>
  <c r="E32" i="17"/>
  <c r="F31" i="17"/>
  <c r="E31" i="17"/>
  <c r="F30" i="17"/>
  <c r="G30" i="17" s="1"/>
  <c r="E30" i="17"/>
  <c r="D27" i="17"/>
  <c r="D26" i="17"/>
  <c r="J57" i="16"/>
  <c r="J56" i="16"/>
  <c r="L55" i="16"/>
  <c r="J55" i="16"/>
  <c r="J54" i="16"/>
  <c r="J53" i="16"/>
  <c r="J52" i="16"/>
  <c r="J51" i="16"/>
  <c r="K50" i="16"/>
  <c r="J50" i="16"/>
  <c r="J49" i="16"/>
  <c r="J48" i="16"/>
  <c r="L47" i="16"/>
  <c r="J47" i="16"/>
  <c r="J46" i="16"/>
  <c r="J45" i="16"/>
  <c r="J44" i="16"/>
  <c r="J43" i="16"/>
  <c r="K42" i="16"/>
  <c r="J42" i="16"/>
  <c r="J41" i="16"/>
  <c r="J40" i="16"/>
  <c r="L39" i="16"/>
  <c r="J39" i="16"/>
  <c r="J38" i="16"/>
  <c r="J37" i="16"/>
  <c r="J36" i="16"/>
  <c r="J35" i="16"/>
  <c r="K34" i="16"/>
  <c r="J34" i="16"/>
  <c r="J33" i="16"/>
  <c r="J32" i="16"/>
  <c r="L31" i="16"/>
  <c r="J31" i="16"/>
  <c r="J30" i="16"/>
  <c r="J29" i="16"/>
  <c r="J28" i="16"/>
  <c r="D23" i="16"/>
  <c r="D22" i="16"/>
  <c r="G60" i="15"/>
  <c r="F60" i="15"/>
  <c r="E60" i="15"/>
  <c r="G59" i="15"/>
  <c r="F59" i="15"/>
  <c r="E59" i="15"/>
  <c r="G58" i="15"/>
  <c r="F58" i="15"/>
  <c r="E58" i="15"/>
  <c r="G57" i="15"/>
  <c r="F57" i="15"/>
  <c r="E57" i="15"/>
  <c r="G56" i="15"/>
  <c r="F56" i="15"/>
  <c r="E56" i="15"/>
  <c r="G55" i="15"/>
  <c r="F55" i="15"/>
  <c r="E55" i="15"/>
  <c r="G54" i="15"/>
  <c r="F54" i="15"/>
  <c r="E54" i="15"/>
  <c r="G53" i="15"/>
  <c r="F53" i="15"/>
  <c r="E53" i="15"/>
  <c r="G52" i="15"/>
  <c r="F52" i="15"/>
  <c r="E52" i="15"/>
  <c r="G51" i="15"/>
  <c r="F51" i="15"/>
  <c r="E51" i="15"/>
  <c r="G50" i="15"/>
  <c r="F50" i="15"/>
  <c r="E50" i="15"/>
  <c r="G49" i="15"/>
  <c r="F49" i="15"/>
  <c r="E49" i="15"/>
  <c r="G48" i="15"/>
  <c r="F48" i="15"/>
  <c r="E48" i="15"/>
  <c r="G47" i="15"/>
  <c r="F47" i="15"/>
  <c r="E47" i="15"/>
  <c r="G46" i="15"/>
  <c r="F46" i="15"/>
  <c r="E46" i="15"/>
  <c r="G45" i="15"/>
  <c r="F45" i="15"/>
  <c r="E45" i="15"/>
  <c r="G44" i="15"/>
  <c r="F44" i="15"/>
  <c r="E44" i="15"/>
  <c r="G43" i="15"/>
  <c r="F43" i="15"/>
  <c r="E43" i="15"/>
  <c r="G42" i="15"/>
  <c r="F42" i="15"/>
  <c r="E42" i="15"/>
  <c r="G41" i="15"/>
  <c r="F41" i="15"/>
  <c r="E41" i="15"/>
  <c r="G40" i="15"/>
  <c r="F40" i="15"/>
  <c r="E40" i="15"/>
  <c r="G39" i="15"/>
  <c r="F39" i="15"/>
  <c r="E39" i="15"/>
  <c r="G38" i="15"/>
  <c r="F38" i="15"/>
  <c r="E38" i="15"/>
  <c r="G37" i="15"/>
  <c r="F37" i="15"/>
  <c r="E37" i="15"/>
  <c r="G36" i="15"/>
  <c r="F36" i="15"/>
  <c r="E36" i="15"/>
  <c r="F60" i="14"/>
  <c r="E60" i="14"/>
  <c r="D60" i="14"/>
  <c r="F59" i="14"/>
  <c r="E59" i="14"/>
  <c r="D59" i="14"/>
  <c r="F58" i="14"/>
  <c r="E58" i="14"/>
  <c r="D58" i="14"/>
  <c r="F57" i="14"/>
  <c r="E57" i="14"/>
  <c r="D57" i="14"/>
  <c r="F56" i="14"/>
  <c r="E56" i="14"/>
  <c r="D56" i="14"/>
  <c r="F55" i="14"/>
  <c r="E55" i="14"/>
  <c r="D55" i="14"/>
  <c r="F54" i="14"/>
  <c r="E54" i="14"/>
  <c r="D54" i="14"/>
  <c r="F53" i="14"/>
  <c r="E53" i="14"/>
  <c r="D53" i="14"/>
  <c r="F52" i="14"/>
  <c r="E52" i="14"/>
  <c r="D52" i="14"/>
  <c r="F51" i="14"/>
  <c r="E51" i="14"/>
  <c r="D51" i="14"/>
  <c r="F50" i="14"/>
  <c r="E50" i="14"/>
  <c r="D50" i="14"/>
  <c r="F49" i="14"/>
  <c r="E49" i="14"/>
  <c r="D49" i="14"/>
  <c r="F48" i="14"/>
  <c r="E48" i="14"/>
  <c r="D48" i="14"/>
  <c r="F47" i="14"/>
  <c r="E47" i="14"/>
  <c r="D47" i="14"/>
  <c r="F46" i="14"/>
  <c r="E46" i="14"/>
  <c r="D46" i="14"/>
  <c r="F45" i="14"/>
  <c r="E45" i="14"/>
  <c r="D45" i="14"/>
  <c r="F44" i="14"/>
  <c r="E44" i="14"/>
  <c r="D44" i="14"/>
  <c r="F43" i="14"/>
  <c r="E43" i="14"/>
  <c r="D43" i="14"/>
  <c r="F42" i="14"/>
  <c r="E42" i="14"/>
  <c r="D42" i="14"/>
  <c r="F41" i="14"/>
  <c r="E41" i="14"/>
  <c r="D41" i="14"/>
  <c r="F40" i="14"/>
  <c r="E40" i="14"/>
  <c r="D40" i="14"/>
  <c r="F39" i="14"/>
  <c r="E39" i="14"/>
  <c r="D39" i="14"/>
  <c r="F38" i="14"/>
  <c r="E38" i="14"/>
  <c r="D38" i="14"/>
  <c r="F37" i="14"/>
  <c r="E37" i="14"/>
  <c r="D37" i="14"/>
  <c r="F36" i="14"/>
  <c r="E36" i="14"/>
  <c r="D36" i="14"/>
  <c r="D66" i="12"/>
  <c r="F65" i="12"/>
  <c r="D65" i="12"/>
  <c r="D64" i="12"/>
  <c r="D63" i="12"/>
  <c r="I62" i="12"/>
  <c r="D62" i="12"/>
  <c r="F61" i="12"/>
  <c r="D61" i="12"/>
  <c r="D60" i="12"/>
  <c r="D59" i="12"/>
  <c r="I58" i="12"/>
  <c r="G58" i="12"/>
  <c r="D58" i="12"/>
  <c r="G57" i="12"/>
  <c r="F57" i="12"/>
  <c r="D57" i="12"/>
  <c r="D56" i="12"/>
  <c r="D55" i="12"/>
  <c r="I54" i="12"/>
  <c r="D54" i="12"/>
  <c r="F53" i="12"/>
  <c r="D53" i="12"/>
  <c r="D52" i="12"/>
  <c r="D51" i="12"/>
  <c r="D50" i="12"/>
  <c r="F49" i="12"/>
  <c r="D49" i="12"/>
  <c r="D48" i="12"/>
  <c r="D47" i="12"/>
  <c r="I46" i="12"/>
  <c r="D46" i="12"/>
  <c r="F45" i="12"/>
  <c r="D45" i="12"/>
  <c r="D44" i="12"/>
  <c r="D43" i="12"/>
  <c r="I42" i="12"/>
  <c r="G42" i="12"/>
  <c r="D42" i="12"/>
  <c r="D39" i="12" a="1"/>
  <c r="D39" i="12" s="1"/>
  <c r="D34" i="12" s="1"/>
  <c r="D38" i="12" a="1"/>
  <c r="D38" i="12" s="1"/>
  <c r="D37" i="12" a="1"/>
  <c r="D37" i="12" s="1"/>
  <c r="D33" i="12"/>
  <c r="G65" i="12" s="1"/>
  <c r="D32" i="12"/>
  <c r="F64" i="12" s="1"/>
  <c r="D31" i="12"/>
  <c r="O57" i="11"/>
  <c r="N57" i="11"/>
  <c r="M57" i="11"/>
  <c r="L57" i="11"/>
  <c r="K57" i="11"/>
  <c r="J57" i="11"/>
  <c r="I57" i="11"/>
  <c r="H57" i="11"/>
  <c r="O56" i="11"/>
  <c r="N56" i="11"/>
  <c r="M56" i="11"/>
  <c r="L56" i="11"/>
  <c r="K56" i="11"/>
  <c r="J56" i="11"/>
  <c r="I56" i="11"/>
  <c r="H56" i="11"/>
  <c r="O55" i="11"/>
  <c r="N55" i="11"/>
  <c r="M55" i="11"/>
  <c r="L55" i="11"/>
  <c r="K55" i="11"/>
  <c r="J55" i="11"/>
  <c r="I55" i="11"/>
  <c r="H55" i="11"/>
  <c r="O54" i="11"/>
  <c r="N54" i="11"/>
  <c r="M54" i="11"/>
  <c r="L54" i="11"/>
  <c r="K54" i="11"/>
  <c r="J54" i="11"/>
  <c r="I54" i="11"/>
  <c r="H54" i="11"/>
  <c r="O53" i="11"/>
  <c r="N53" i="11"/>
  <c r="M53" i="11"/>
  <c r="L53" i="11"/>
  <c r="K53" i="11"/>
  <c r="J53" i="11"/>
  <c r="I53" i="11"/>
  <c r="H53" i="11"/>
  <c r="O52" i="11"/>
  <c r="N52" i="11"/>
  <c r="M52" i="11"/>
  <c r="L52" i="11"/>
  <c r="K52" i="11"/>
  <c r="J52" i="11"/>
  <c r="I52" i="11"/>
  <c r="H52" i="11"/>
  <c r="O51" i="11"/>
  <c r="N51" i="11"/>
  <c r="M51" i="11"/>
  <c r="L51" i="11"/>
  <c r="K51" i="11"/>
  <c r="J51" i="11"/>
  <c r="I51" i="11"/>
  <c r="H51" i="11"/>
  <c r="O50" i="11"/>
  <c r="N50" i="11"/>
  <c r="M50" i="11"/>
  <c r="L50" i="11"/>
  <c r="K50" i="11"/>
  <c r="J50" i="11"/>
  <c r="I50" i="11"/>
  <c r="H50" i="11"/>
  <c r="O49" i="11"/>
  <c r="N49" i="11"/>
  <c r="M49" i="11"/>
  <c r="L49" i="11"/>
  <c r="K49" i="11"/>
  <c r="J49" i="11"/>
  <c r="I49" i="11"/>
  <c r="H49" i="11"/>
  <c r="O48" i="11"/>
  <c r="N48" i="11"/>
  <c r="M48" i="11"/>
  <c r="L48" i="11"/>
  <c r="K48" i="11"/>
  <c r="J48" i="11"/>
  <c r="I48" i="11"/>
  <c r="H48" i="11"/>
  <c r="O47" i="11"/>
  <c r="N47" i="11"/>
  <c r="M47" i="11"/>
  <c r="L47" i="11"/>
  <c r="K47" i="11"/>
  <c r="J47" i="11"/>
  <c r="I47" i="11"/>
  <c r="H47" i="11"/>
  <c r="O46" i="11"/>
  <c r="N46" i="11"/>
  <c r="M46" i="11"/>
  <c r="L46" i="11"/>
  <c r="K46" i="11"/>
  <c r="J46" i="11"/>
  <c r="I46" i="11"/>
  <c r="H46" i="11"/>
  <c r="O45" i="11"/>
  <c r="N45" i="11"/>
  <c r="M45" i="11"/>
  <c r="L45" i="11"/>
  <c r="K45" i="11"/>
  <c r="J45" i="11"/>
  <c r="I45" i="11"/>
  <c r="H45" i="11"/>
  <c r="O44" i="11"/>
  <c r="N44" i="11"/>
  <c r="M44" i="11"/>
  <c r="L44" i="11"/>
  <c r="K44" i="11"/>
  <c r="J44" i="11"/>
  <c r="I44" i="11"/>
  <c r="H44" i="11"/>
  <c r="O43" i="11"/>
  <c r="N43" i="11"/>
  <c r="M43" i="11"/>
  <c r="L43" i="11"/>
  <c r="K43" i="11"/>
  <c r="J43" i="11"/>
  <c r="I43" i="11"/>
  <c r="H43" i="11"/>
  <c r="O42" i="11"/>
  <c r="N42" i="11"/>
  <c r="M42" i="11"/>
  <c r="L42" i="11"/>
  <c r="K42" i="11"/>
  <c r="J42" i="11"/>
  <c r="I42" i="11"/>
  <c r="H42" i="11"/>
  <c r="O41" i="11"/>
  <c r="N41" i="11"/>
  <c r="M41" i="11"/>
  <c r="L41" i="11"/>
  <c r="K41" i="11"/>
  <c r="J41" i="11"/>
  <c r="I41" i="11"/>
  <c r="H41" i="11"/>
  <c r="O40" i="11"/>
  <c r="N40" i="11"/>
  <c r="M40" i="11"/>
  <c r="L40" i="11"/>
  <c r="K40" i="11"/>
  <c r="J40" i="11"/>
  <c r="I40" i="11"/>
  <c r="H40" i="11"/>
  <c r="O39" i="11"/>
  <c r="N39" i="11"/>
  <c r="M39" i="11"/>
  <c r="L39" i="11"/>
  <c r="K39" i="11"/>
  <c r="J39" i="11"/>
  <c r="I39" i="11"/>
  <c r="H39" i="11"/>
  <c r="O38" i="11"/>
  <c r="N38" i="11"/>
  <c r="M38" i="11"/>
  <c r="L38" i="11"/>
  <c r="O37" i="11"/>
  <c r="N37" i="11"/>
  <c r="M37" i="11"/>
  <c r="L37" i="11"/>
  <c r="O36" i="11"/>
  <c r="N36" i="11"/>
  <c r="M36" i="11"/>
  <c r="L36" i="11"/>
  <c r="O35" i="11"/>
  <c r="N35" i="11"/>
  <c r="M35" i="11"/>
  <c r="L35" i="11"/>
  <c r="O34" i="11"/>
  <c r="N34" i="11"/>
  <c r="M34" i="11"/>
  <c r="L34" i="11"/>
  <c r="O33" i="11"/>
  <c r="N33" i="11"/>
  <c r="M33" i="11"/>
  <c r="L33" i="11"/>
  <c r="H236" i="10"/>
  <c r="G236" i="10"/>
  <c r="H235" i="10"/>
  <c r="G235" i="10"/>
  <c r="H234" i="10"/>
  <c r="G234" i="10"/>
  <c r="H233" i="10"/>
  <c r="G233" i="10"/>
  <c r="H232" i="10"/>
  <c r="G232" i="10"/>
  <c r="H231" i="10"/>
  <c r="G231" i="10"/>
  <c r="H230" i="10"/>
  <c r="G230" i="10"/>
  <c r="H229" i="10"/>
  <c r="G229" i="10"/>
  <c r="H228" i="10"/>
  <c r="G228" i="10"/>
  <c r="H227" i="10"/>
  <c r="G227" i="10"/>
  <c r="H226" i="10"/>
  <c r="G226" i="10"/>
  <c r="H225" i="10"/>
  <c r="G225" i="10"/>
  <c r="H224" i="10"/>
  <c r="G224" i="10"/>
  <c r="H223" i="10"/>
  <c r="G223" i="10"/>
  <c r="H222" i="10"/>
  <c r="G222" i="10"/>
  <c r="H221" i="10"/>
  <c r="G221" i="10"/>
  <c r="H220" i="10"/>
  <c r="G220" i="10"/>
  <c r="H219" i="10"/>
  <c r="G219" i="10"/>
  <c r="H218" i="10"/>
  <c r="G218" i="10"/>
  <c r="H217" i="10"/>
  <c r="G217" i="10"/>
  <c r="H216" i="10"/>
  <c r="G216" i="10"/>
  <c r="H215" i="10"/>
  <c r="G215" i="10"/>
  <c r="H214" i="10"/>
  <c r="G214" i="10"/>
  <c r="H213" i="10"/>
  <c r="G213" i="10"/>
  <c r="H212" i="10"/>
  <c r="G212" i="10"/>
  <c r="H211" i="10"/>
  <c r="G211" i="10"/>
  <c r="H210" i="10"/>
  <c r="G210" i="10"/>
  <c r="H209" i="10"/>
  <c r="G209" i="10"/>
  <c r="H208" i="10"/>
  <c r="G208" i="10"/>
  <c r="H207" i="10"/>
  <c r="G207" i="10"/>
  <c r="H206" i="10"/>
  <c r="G206" i="10"/>
  <c r="H205" i="10"/>
  <c r="G205" i="10"/>
  <c r="H204" i="10"/>
  <c r="G204" i="10"/>
  <c r="H203" i="10"/>
  <c r="G203" i="10"/>
  <c r="H202" i="10"/>
  <c r="G202" i="10"/>
  <c r="H201" i="10"/>
  <c r="G201" i="10"/>
  <c r="H200" i="10"/>
  <c r="G200" i="10"/>
  <c r="H199" i="10"/>
  <c r="G199" i="10"/>
  <c r="H198" i="10"/>
  <c r="G198" i="10"/>
  <c r="H197" i="10"/>
  <c r="G197" i="10"/>
  <c r="H196" i="10"/>
  <c r="G196" i="10"/>
  <c r="H195" i="10"/>
  <c r="G195" i="10"/>
  <c r="H194" i="10"/>
  <c r="G194" i="10"/>
  <c r="H193" i="10"/>
  <c r="G193" i="10"/>
  <c r="H192" i="10"/>
  <c r="G192" i="10"/>
  <c r="H191" i="10"/>
  <c r="G191" i="10"/>
  <c r="H190" i="10"/>
  <c r="G190" i="10"/>
  <c r="H189" i="10"/>
  <c r="G189" i="10"/>
  <c r="H188" i="10"/>
  <c r="G188" i="10"/>
  <c r="H187" i="10"/>
  <c r="G187" i="10"/>
  <c r="H186" i="10"/>
  <c r="G186" i="10"/>
  <c r="H185" i="10"/>
  <c r="G185" i="10"/>
  <c r="H184" i="10"/>
  <c r="G184" i="10"/>
  <c r="H183" i="10"/>
  <c r="G183" i="10"/>
  <c r="H182" i="10"/>
  <c r="G182" i="10"/>
  <c r="H181" i="10"/>
  <c r="G181" i="10"/>
  <c r="H180" i="10"/>
  <c r="G180" i="10"/>
  <c r="H179" i="10"/>
  <c r="G179" i="10"/>
  <c r="H178" i="10"/>
  <c r="G178" i="10"/>
  <c r="H177" i="10"/>
  <c r="G177" i="10"/>
  <c r="H176" i="10"/>
  <c r="G176" i="10"/>
  <c r="H175" i="10"/>
  <c r="G175" i="10"/>
  <c r="H174" i="10"/>
  <c r="G174" i="10"/>
  <c r="H173" i="10"/>
  <c r="G173" i="10"/>
  <c r="H172" i="10"/>
  <c r="G172" i="10"/>
  <c r="H171" i="10"/>
  <c r="G171" i="10"/>
  <c r="H170" i="10"/>
  <c r="G170" i="10"/>
  <c r="H169" i="10"/>
  <c r="G169" i="10"/>
  <c r="H168" i="10"/>
  <c r="G168" i="10"/>
  <c r="H167" i="10"/>
  <c r="G167" i="10"/>
  <c r="H166" i="10"/>
  <c r="G166" i="10"/>
  <c r="H165" i="10"/>
  <c r="G165" i="10"/>
  <c r="H164" i="10"/>
  <c r="G164" i="10"/>
  <c r="H163" i="10"/>
  <c r="G163" i="10"/>
  <c r="H162" i="10"/>
  <c r="G162" i="10"/>
  <c r="H161" i="10"/>
  <c r="G161" i="10"/>
  <c r="H160" i="10"/>
  <c r="G160" i="10"/>
  <c r="H159" i="10"/>
  <c r="G159" i="10"/>
  <c r="H158" i="10"/>
  <c r="G158" i="10"/>
  <c r="H157" i="10"/>
  <c r="G157" i="10"/>
  <c r="H156" i="10"/>
  <c r="G156" i="10"/>
  <c r="H155" i="10"/>
  <c r="G155" i="10"/>
  <c r="H154" i="10"/>
  <c r="G154" i="10"/>
  <c r="H153" i="10"/>
  <c r="G153" i="10"/>
  <c r="H152" i="10"/>
  <c r="G152" i="10"/>
  <c r="H151" i="10"/>
  <c r="G151" i="10"/>
  <c r="H150" i="10"/>
  <c r="G150" i="10"/>
  <c r="H149" i="10"/>
  <c r="G149" i="10"/>
  <c r="H148" i="10"/>
  <c r="G148" i="10"/>
  <c r="H147" i="10"/>
  <c r="G147" i="10"/>
  <c r="H146" i="10"/>
  <c r="G146" i="10"/>
  <c r="H145" i="10"/>
  <c r="G145" i="10"/>
  <c r="H144" i="10"/>
  <c r="G144" i="10"/>
  <c r="H143" i="10"/>
  <c r="G143" i="10"/>
  <c r="H142" i="10"/>
  <c r="G142" i="10"/>
  <c r="H141" i="10"/>
  <c r="G141" i="10"/>
  <c r="H140" i="10"/>
  <c r="G140" i="10"/>
  <c r="H139" i="10"/>
  <c r="G139" i="10"/>
  <c r="H138" i="10"/>
  <c r="G138" i="10"/>
  <c r="H137" i="10"/>
  <c r="G137" i="10"/>
  <c r="H136" i="10"/>
  <c r="G136" i="10"/>
  <c r="H135" i="10"/>
  <c r="G135" i="10"/>
  <c r="H134" i="10"/>
  <c r="G134" i="10"/>
  <c r="H133" i="10"/>
  <c r="G133" i="10"/>
  <c r="H132" i="10"/>
  <c r="G132" i="10"/>
  <c r="H131" i="10"/>
  <c r="G131" i="10"/>
  <c r="H130" i="10"/>
  <c r="G130" i="10"/>
  <c r="H129" i="10"/>
  <c r="G129" i="10"/>
  <c r="H128" i="10"/>
  <c r="G128" i="10"/>
  <c r="H127" i="10"/>
  <c r="G127" i="10"/>
  <c r="H126" i="10"/>
  <c r="G126" i="10"/>
  <c r="H125" i="10"/>
  <c r="G125" i="10"/>
  <c r="H124" i="10"/>
  <c r="G124" i="10"/>
  <c r="H123" i="10"/>
  <c r="G123" i="10"/>
  <c r="H122" i="10"/>
  <c r="G122" i="10"/>
  <c r="H121" i="10"/>
  <c r="G121" i="10"/>
  <c r="H120" i="10"/>
  <c r="G120" i="10"/>
  <c r="H119" i="10"/>
  <c r="G119" i="10"/>
  <c r="H118" i="10"/>
  <c r="G118" i="10"/>
  <c r="H117" i="10"/>
  <c r="G117" i="10"/>
  <c r="H116" i="10"/>
  <c r="G116" i="10"/>
  <c r="H115" i="10"/>
  <c r="G115" i="10"/>
  <c r="H114" i="10"/>
  <c r="G114" i="10"/>
  <c r="H113" i="10"/>
  <c r="G113" i="10"/>
  <c r="H112" i="10"/>
  <c r="G112" i="10"/>
  <c r="H111" i="10"/>
  <c r="G111" i="10"/>
  <c r="H110" i="10"/>
  <c r="G110" i="10"/>
  <c r="H109" i="10"/>
  <c r="G109" i="10"/>
  <c r="H108" i="10"/>
  <c r="G108" i="10"/>
  <c r="H107" i="10"/>
  <c r="G107" i="10"/>
  <c r="H106" i="10"/>
  <c r="G106" i="10"/>
  <c r="H105" i="10"/>
  <c r="G105" i="10"/>
  <c r="H104" i="10"/>
  <c r="G104" i="10"/>
  <c r="H103" i="10"/>
  <c r="G103" i="10"/>
  <c r="H102" i="10"/>
  <c r="G102" i="10"/>
  <c r="H101" i="10"/>
  <c r="G101" i="10"/>
  <c r="H100" i="10"/>
  <c r="G100" i="10"/>
  <c r="H99" i="10"/>
  <c r="G99" i="10"/>
  <c r="H98" i="10"/>
  <c r="G98" i="10"/>
  <c r="H97" i="10"/>
  <c r="G97" i="10"/>
  <c r="H96" i="10"/>
  <c r="G96" i="10"/>
  <c r="H95" i="10"/>
  <c r="G95" i="10"/>
  <c r="H94" i="10"/>
  <c r="G94" i="10"/>
  <c r="H93" i="10"/>
  <c r="G93" i="10"/>
  <c r="H92" i="10"/>
  <c r="G92" i="10"/>
  <c r="H91" i="10"/>
  <c r="G91" i="10"/>
  <c r="H90" i="10"/>
  <c r="G90" i="10"/>
  <c r="H89" i="10"/>
  <c r="G89" i="10"/>
  <c r="H88" i="10"/>
  <c r="G88" i="10"/>
  <c r="H87" i="10"/>
  <c r="G87" i="10"/>
  <c r="H86" i="10"/>
  <c r="G86" i="10"/>
  <c r="H85" i="10"/>
  <c r="G85" i="10"/>
  <c r="H84" i="10"/>
  <c r="G84" i="10"/>
  <c r="H83" i="10"/>
  <c r="G83"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B38" i="10"/>
  <c r="B39" i="10" s="1"/>
  <c r="H37" i="10"/>
  <c r="G37" i="10"/>
  <c r="B37" i="10"/>
  <c r="H36" i="10"/>
  <c r="G36" i="10"/>
  <c r="D29" i="10"/>
  <c r="D28" i="10"/>
  <c r="E36" i="10" s="1"/>
  <c r="F36" i="10" s="1"/>
  <c r="D24" i="10" a="1"/>
  <c r="D24" i="10" s="1"/>
  <c r="D25" i="10" s="1"/>
  <c r="C56" i="9"/>
  <c r="D56" i="9" s="1"/>
  <c r="E56" i="9" s="1"/>
  <c r="C43" i="9"/>
  <c r="D43" i="9" s="1"/>
  <c r="E43" i="9" s="1"/>
  <c r="D8" i="9"/>
  <c r="C47" i="9" s="1"/>
  <c r="D47" i="9" s="1"/>
  <c r="E47" i="9" s="1"/>
  <c r="D7" i="9"/>
  <c r="AE65" i="8"/>
  <c r="AE64" i="8"/>
  <c r="AE63" i="8"/>
  <c r="AE62" i="8"/>
  <c r="AE61" i="8"/>
  <c r="AE60" i="8"/>
  <c r="AE59" i="8"/>
  <c r="AE58" i="8"/>
  <c r="AE57" i="8"/>
  <c r="AE56" i="8"/>
  <c r="AE55" i="8"/>
  <c r="AE54" i="8"/>
  <c r="AE53" i="8"/>
  <c r="AE52" i="8"/>
  <c r="AE51" i="8"/>
  <c r="AE50" i="8"/>
  <c r="AE49" i="8"/>
  <c r="AE48" i="8"/>
  <c r="AE47" i="8"/>
  <c r="AE46" i="8"/>
  <c r="AE45" i="8"/>
  <c r="AE44" i="8"/>
  <c r="AE43" i="8"/>
  <c r="AE42" i="8"/>
  <c r="D39" i="8" a="1"/>
  <c r="D39" i="8"/>
  <c r="D38" i="8" a="1"/>
  <c r="D38" i="8" s="1"/>
  <c r="D37" i="8"/>
  <c r="D39" i="7" a="1"/>
  <c r="D39" i="7" s="1"/>
  <c r="D38" i="7" a="1"/>
  <c r="D38" i="7"/>
  <c r="S37" i="7" s="1" a="1"/>
  <c r="D37" i="7"/>
  <c r="AF9" i="3"/>
  <c r="AD9" i="3"/>
  <c r="D32" i="10" l="1"/>
  <c r="D31" i="10"/>
  <c r="D33" i="10" s="1"/>
  <c r="D30" i="10"/>
  <c r="C36" i="10"/>
  <c r="D36" i="10"/>
  <c r="D34" i="10"/>
  <c r="D37" i="10"/>
  <c r="S37" i="7"/>
  <c r="S38" i="7"/>
  <c r="S39" i="7"/>
  <c r="C39" i="10"/>
  <c r="D39" i="10"/>
  <c r="B40" i="10"/>
  <c r="C13" i="9"/>
  <c r="D13" i="9" s="1"/>
  <c r="E13" i="9" s="1"/>
  <c r="C26" i="9"/>
  <c r="D26" i="9" s="1"/>
  <c r="E26" i="9" s="1"/>
  <c r="C39" i="9"/>
  <c r="D39" i="9" s="1"/>
  <c r="E39" i="9" s="1"/>
  <c r="C52" i="9"/>
  <c r="D52" i="9" s="1"/>
  <c r="E52" i="9" s="1"/>
  <c r="C57" i="9"/>
  <c r="D57" i="9" s="1"/>
  <c r="E57" i="9" s="1"/>
  <c r="C48" i="9"/>
  <c r="D48" i="9" s="1"/>
  <c r="E48" i="9" s="1"/>
  <c r="C18" i="9"/>
  <c r="D18" i="9" s="1"/>
  <c r="E18" i="9" s="1"/>
  <c r="C31" i="9"/>
  <c r="D31" i="9" s="1"/>
  <c r="E31" i="9" s="1"/>
  <c r="C44" i="9"/>
  <c r="D44" i="9" s="1"/>
  <c r="E44" i="9" s="1"/>
  <c r="C53" i="9"/>
  <c r="D53" i="9" s="1"/>
  <c r="E53" i="9" s="1"/>
  <c r="C38" i="10"/>
  <c r="C14" i="9"/>
  <c r="D14" i="9" s="1"/>
  <c r="E14" i="9" s="1"/>
  <c r="C27" i="9"/>
  <c r="D27" i="9" s="1"/>
  <c r="E27" i="9" s="1"/>
  <c r="C40" i="9"/>
  <c r="D40" i="9" s="1"/>
  <c r="E40" i="9" s="1"/>
  <c r="C49" i="9"/>
  <c r="D49" i="9" s="1"/>
  <c r="E49" i="9" s="1"/>
  <c r="D38" i="10"/>
  <c r="H65" i="12"/>
  <c r="H61" i="12"/>
  <c r="H57" i="12"/>
  <c r="H53" i="12"/>
  <c r="H49" i="12"/>
  <c r="H45" i="12"/>
  <c r="H66" i="12"/>
  <c r="H62" i="12"/>
  <c r="H58" i="12"/>
  <c r="H54" i="12"/>
  <c r="H50" i="12"/>
  <c r="H46" i="12"/>
  <c r="H42" i="12"/>
  <c r="H64" i="12"/>
  <c r="H60" i="12"/>
  <c r="H56" i="12"/>
  <c r="H52" i="12"/>
  <c r="H48" i="12"/>
  <c r="H44" i="12"/>
  <c r="H63" i="12"/>
  <c r="H47" i="12"/>
  <c r="H59" i="12"/>
  <c r="H43" i="12"/>
  <c r="H55" i="12"/>
  <c r="C23" i="9"/>
  <c r="D23" i="9" s="1"/>
  <c r="E23" i="9" s="1"/>
  <c r="C36" i="9"/>
  <c r="D36" i="9" s="1"/>
  <c r="E36" i="9" s="1"/>
  <c r="C45" i="9"/>
  <c r="D45" i="9" s="1"/>
  <c r="E45" i="9" s="1"/>
  <c r="E38" i="10"/>
  <c r="F38" i="10" s="1"/>
  <c r="C22" i="9"/>
  <c r="D22" i="9" s="1"/>
  <c r="E22" i="9" s="1"/>
  <c r="C19" i="9"/>
  <c r="D19" i="9" s="1"/>
  <c r="E19" i="9" s="1"/>
  <c r="C32" i="9"/>
  <c r="D32" i="9" s="1"/>
  <c r="E32" i="9" s="1"/>
  <c r="C41" i="9"/>
  <c r="D41" i="9" s="1"/>
  <c r="E41" i="9" s="1"/>
  <c r="C54" i="9"/>
  <c r="D54" i="9" s="1"/>
  <c r="E54" i="9" s="1"/>
  <c r="C15" i="9"/>
  <c r="D15" i="9" s="1"/>
  <c r="E15" i="9" s="1"/>
  <c r="C28" i="9"/>
  <c r="D28" i="9" s="1"/>
  <c r="E28" i="9" s="1"/>
  <c r="C37" i="9"/>
  <c r="D37" i="9" s="1"/>
  <c r="E37" i="9" s="1"/>
  <c r="C50" i="9"/>
  <c r="D50" i="9" s="1"/>
  <c r="E50" i="9" s="1"/>
  <c r="C33" i="9"/>
  <c r="D33" i="9" s="1"/>
  <c r="E33" i="9" s="1"/>
  <c r="C30" i="9"/>
  <c r="D30" i="9" s="1"/>
  <c r="E30" i="9" s="1"/>
  <c r="C35" i="9"/>
  <c r="D35" i="9" s="1"/>
  <c r="E35" i="9" s="1"/>
  <c r="C20" i="9"/>
  <c r="D20" i="9" s="1"/>
  <c r="E20" i="9" s="1"/>
  <c r="C29" i="9"/>
  <c r="D29" i="9" s="1"/>
  <c r="E29" i="9" s="1"/>
  <c r="C42" i="9"/>
  <c r="D42" i="9" s="1"/>
  <c r="E42" i="9" s="1"/>
  <c r="C55" i="9"/>
  <c r="D55" i="9" s="1"/>
  <c r="E55" i="9" s="1"/>
  <c r="E37" i="10"/>
  <c r="F37" i="10" s="1"/>
  <c r="C37" i="10"/>
  <c r="C24" i="9"/>
  <c r="D24" i="9" s="1"/>
  <c r="E24" i="9" s="1"/>
  <c r="C46" i="9"/>
  <c r="D46" i="9" s="1"/>
  <c r="E46" i="9" s="1"/>
  <c r="C16" i="9"/>
  <c r="D16" i="9" s="1"/>
  <c r="E16" i="9" s="1"/>
  <c r="C25" i="9"/>
  <c r="D25" i="9" s="1"/>
  <c r="E25" i="9" s="1"/>
  <c r="C38" i="9"/>
  <c r="D38" i="9" s="1"/>
  <c r="E38" i="9" s="1"/>
  <c r="C51" i="9"/>
  <c r="D51" i="9" s="1"/>
  <c r="E51" i="9" s="1"/>
  <c r="C17" i="9"/>
  <c r="D17" i="9" s="1"/>
  <c r="E17" i="9" s="1"/>
  <c r="C21" i="9"/>
  <c r="D21" i="9" s="1"/>
  <c r="E21" i="9" s="1"/>
  <c r="C34" i="9"/>
  <c r="D34" i="9" s="1"/>
  <c r="E34" i="9" s="1"/>
  <c r="E39" i="10"/>
  <c r="F39" i="10" s="1"/>
  <c r="H51" i="12"/>
  <c r="G45" i="12"/>
  <c r="G61" i="12"/>
  <c r="I65" i="12"/>
  <c r="I61" i="12"/>
  <c r="I57" i="12"/>
  <c r="I53" i="12"/>
  <c r="I49" i="12"/>
  <c r="I45" i="12"/>
  <c r="I63" i="12"/>
  <c r="I59" i="12"/>
  <c r="I55" i="12"/>
  <c r="I51" i="12"/>
  <c r="I47" i="12"/>
  <c r="I43" i="12"/>
  <c r="I64" i="12"/>
  <c r="I60" i="12"/>
  <c r="I56" i="12"/>
  <c r="I52" i="12"/>
  <c r="I48" i="12"/>
  <c r="I44" i="12"/>
  <c r="G46" i="12"/>
  <c r="G62" i="12"/>
  <c r="G35" i="17"/>
  <c r="G51" i="17"/>
  <c r="G49" i="12"/>
  <c r="L56" i="16"/>
  <c r="L52" i="16"/>
  <c r="L48" i="16"/>
  <c r="L44" i="16"/>
  <c r="L40" i="16"/>
  <c r="L36" i="16"/>
  <c r="L32" i="16"/>
  <c r="L28" i="16"/>
  <c r="K56" i="16"/>
  <c r="K52" i="16"/>
  <c r="K48" i="16"/>
  <c r="K44" i="16"/>
  <c r="K40" i="16"/>
  <c r="K36" i="16"/>
  <c r="K32" i="16"/>
  <c r="K28" i="16"/>
  <c r="K55" i="16"/>
  <c r="K51" i="16"/>
  <c r="K47" i="16"/>
  <c r="K43" i="16"/>
  <c r="K39" i="16"/>
  <c r="K35" i="16"/>
  <c r="K31" i="16"/>
  <c r="L54" i="16"/>
  <c r="L50" i="16"/>
  <c r="L46" i="16"/>
  <c r="L42" i="16"/>
  <c r="L38" i="16"/>
  <c r="L34" i="16"/>
  <c r="L30" i="16"/>
  <c r="L57" i="16"/>
  <c r="L53" i="16"/>
  <c r="L49" i="16"/>
  <c r="L45" i="16"/>
  <c r="L41" i="16"/>
  <c r="L37" i="16"/>
  <c r="L33" i="16"/>
  <c r="L29" i="16"/>
  <c r="K57" i="16"/>
  <c r="K53" i="16"/>
  <c r="K49" i="16"/>
  <c r="K45" i="16"/>
  <c r="K41" i="16"/>
  <c r="K37" i="16"/>
  <c r="K33" i="16"/>
  <c r="K29" i="16"/>
  <c r="L35" i="16"/>
  <c r="L43" i="16"/>
  <c r="L51" i="16"/>
  <c r="G63" i="12"/>
  <c r="G59" i="12"/>
  <c r="G55" i="12"/>
  <c r="G51" i="12"/>
  <c r="G47" i="12"/>
  <c r="G43" i="12"/>
  <c r="G64" i="12"/>
  <c r="G60" i="12"/>
  <c r="G56" i="12"/>
  <c r="G52" i="12"/>
  <c r="G48" i="12"/>
  <c r="G44" i="12"/>
  <c r="D35" i="12"/>
  <c r="G50" i="12"/>
  <c r="G66" i="12"/>
  <c r="G31" i="17"/>
  <c r="G47" i="17"/>
  <c r="D36" i="12"/>
  <c r="I50" i="12"/>
  <c r="G53" i="12"/>
  <c r="I66" i="12"/>
  <c r="K30" i="16"/>
  <c r="K38" i="16"/>
  <c r="K46" i="16"/>
  <c r="K54" i="16"/>
  <c r="G54" i="12"/>
  <c r="G43" i="17"/>
  <c r="F43" i="12"/>
  <c r="F47" i="12"/>
  <c r="F51" i="12"/>
  <c r="F55" i="12"/>
  <c r="F59" i="12"/>
  <c r="F63" i="12"/>
  <c r="F42" i="12"/>
  <c r="F46" i="12"/>
  <c r="F50" i="12"/>
  <c r="F54" i="12"/>
  <c r="F58" i="12"/>
  <c r="F62" i="12"/>
  <c r="F66" i="12"/>
  <c r="M32" i="19"/>
  <c r="F44" i="12"/>
  <c r="F48" i="12"/>
  <c r="F52" i="12"/>
  <c r="F56" i="12"/>
  <c r="F60" i="12"/>
  <c r="K66" i="12" l="1"/>
  <c r="K62" i="12"/>
  <c r="K58" i="12"/>
  <c r="K54" i="12"/>
  <c r="K50" i="12"/>
  <c r="K46" i="12"/>
  <c r="K42" i="12"/>
  <c r="M42" i="12" s="1"/>
  <c r="M43" i="12" s="1"/>
  <c r="M44" i="12" s="1"/>
  <c r="M45" i="12" s="1"/>
  <c r="M46" i="12" s="1"/>
  <c r="M47" i="12" s="1"/>
  <c r="M48" i="12" s="1"/>
  <c r="M49" i="12" s="1"/>
  <c r="M50" i="12" s="1"/>
  <c r="M51" i="12" s="1"/>
  <c r="M52" i="12" s="1"/>
  <c r="M53" i="12" s="1"/>
  <c r="M54" i="12" s="1"/>
  <c r="M55" i="12" s="1"/>
  <c r="M56" i="12" s="1"/>
  <c r="M57" i="12" s="1"/>
  <c r="M58" i="12" s="1"/>
  <c r="M59" i="12" s="1"/>
  <c r="M60" i="12" s="1"/>
  <c r="M61" i="12" s="1"/>
  <c r="M62" i="12" s="1"/>
  <c r="M63" i="12" s="1"/>
  <c r="M64" i="12" s="1"/>
  <c r="M65" i="12" s="1"/>
  <c r="M66" i="12" s="1"/>
  <c r="K63" i="12"/>
  <c r="K59" i="12"/>
  <c r="K55" i="12"/>
  <c r="K51" i="12"/>
  <c r="K47" i="12"/>
  <c r="K43" i="12"/>
  <c r="K65" i="12"/>
  <c r="K61" i="12"/>
  <c r="K57" i="12"/>
  <c r="K53" i="12"/>
  <c r="K49" i="12"/>
  <c r="K45" i="12"/>
  <c r="K60" i="12"/>
  <c r="K44" i="12"/>
  <c r="K56" i="12"/>
  <c r="K52" i="12"/>
  <c r="K48" i="12"/>
  <c r="K64" i="12"/>
  <c r="R56" i="19"/>
  <c r="R52" i="19"/>
  <c r="R48" i="19"/>
  <c r="R44" i="19"/>
  <c r="R40" i="19"/>
  <c r="R55" i="19"/>
  <c r="R51" i="19"/>
  <c r="R47" i="19"/>
  <c r="R43" i="19"/>
  <c r="R39" i="19"/>
  <c r="R54" i="19"/>
  <c r="R50" i="19"/>
  <c r="R46" i="19"/>
  <c r="R42" i="19"/>
  <c r="R38" i="19"/>
  <c r="R53" i="19"/>
  <c r="R49" i="19"/>
  <c r="R45" i="19"/>
  <c r="R41" i="19"/>
  <c r="R37" i="19"/>
  <c r="J64" i="12"/>
  <c r="J60" i="12"/>
  <c r="J56" i="12"/>
  <c r="J52" i="12"/>
  <c r="J48" i="12"/>
  <c r="J44" i="12"/>
  <c r="J65" i="12"/>
  <c r="J61" i="12"/>
  <c r="J57" i="12"/>
  <c r="J53" i="12"/>
  <c r="J49" i="12"/>
  <c r="J45" i="12"/>
  <c r="J66" i="12"/>
  <c r="J63" i="12"/>
  <c r="J50" i="12"/>
  <c r="J47" i="12"/>
  <c r="J62" i="12"/>
  <c r="J59" i="12"/>
  <c r="J46" i="12"/>
  <c r="J43" i="12"/>
  <c r="J58" i="12"/>
  <c r="J55" i="12"/>
  <c r="J42" i="12"/>
  <c r="L42" i="12" s="1"/>
  <c r="L43" i="12" s="1"/>
  <c r="L44" i="12" s="1"/>
  <c r="L45" i="12" s="1"/>
  <c r="L46" i="12" s="1"/>
  <c r="L47" i="12" s="1"/>
  <c r="L48" i="12" s="1"/>
  <c r="L49" i="12" s="1"/>
  <c r="L50" i="12" s="1"/>
  <c r="L51" i="12" s="1"/>
  <c r="L52" i="12" s="1"/>
  <c r="L53" i="12" s="1"/>
  <c r="L54" i="12" s="1"/>
  <c r="L55" i="12" s="1"/>
  <c r="L56" i="12" s="1"/>
  <c r="L57" i="12" s="1"/>
  <c r="L58" i="12" s="1"/>
  <c r="L59" i="12" s="1"/>
  <c r="L60" i="12" s="1"/>
  <c r="L61" i="12" s="1"/>
  <c r="L62" i="12" s="1"/>
  <c r="L63" i="12" s="1"/>
  <c r="L64" i="12" s="1"/>
  <c r="L65" i="12" s="1"/>
  <c r="L66" i="12" s="1"/>
  <c r="J54" i="12"/>
  <c r="J51" i="12"/>
  <c r="B41" i="10"/>
  <c r="E40" i="10"/>
  <c r="F40" i="10" s="1"/>
  <c r="D40" i="10"/>
  <c r="C40" i="10"/>
  <c r="C41" i="10" l="1"/>
  <c r="B42" i="10"/>
  <c r="E41" i="10"/>
  <c r="F41" i="10" s="1"/>
  <c r="D41" i="10"/>
  <c r="B43" i="10" l="1"/>
  <c r="E42" i="10"/>
  <c r="F42" i="10" s="1"/>
  <c r="D42" i="10"/>
  <c r="C42" i="10"/>
  <c r="B44" i="10" l="1"/>
  <c r="E43" i="10"/>
  <c r="F43" i="10" s="1"/>
  <c r="D43" i="10"/>
  <c r="C43" i="10"/>
  <c r="D44" i="10" l="1"/>
  <c r="E44" i="10"/>
  <c r="F44" i="10" s="1"/>
  <c r="C44" i="10"/>
  <c r="B45" i="10"/>
  <c r="B46" i="10" l="1"/>
  <c r="E45" i="10"/>
  <c r="F45" i="10" s="1"/>
  <c r="D45" i="10"/>
  <c r="C45" i="10"/>
  <c r="D46" i="10" l="1"/>
  <c r="C46" i="10"/>
  <c r="B47" i="10"/>
  <c r="E46" i="10"/>
  <c r="F46" i="10" s="1"/>
  <c r="B48" i="10" l="1"/>
  <c r="E47" i="10"/>
  <c r="F47" i="10" s="1"/>
  <c r="D47" i="10"/>
  <c r="C47" i="10"/>
  <c r="D48" i="10" l="1"/>
  <c r="C48" i="10"/>
  <c r="B49" i="10"/>
  <c r="E48" i="10"/>
  <c r="F48" i="10" s="1"/>
  <c r="B50" i="10" l="1"/>
  <c r="D49" i="10"/>
  <c r="C49" i="10"/>
  <c r="E49" i="10"/>
  <c r="F49" i="10" s="1"/>
  <c r="D50" i="10" l="1"/>
  <c r="C50" i="10"/>
  <c r="B51" i="10"/>
  <c r="E50" i="10"/>
  <c r="F50" i="10" s="1"/>
  <c r="C51" i="10" l="1"/>
  <c r="B52" i="10"/>
  <c r="E51" i="10"/>
  <c r="F51" i="10" s="1"/>
  <c r="D51" i="10"/>
  <c r="C52" i="10" l="1"/>
  <c r="B53" i="10"/>
  <c r="E52" i="10"/>
  <c r="F52" i="10" s="1"/>
  <c r="D52" i="10"/>
  <c r="E53" i="10" l="1"/>
  <c r="F53" i="10" s="1"/>
  <c r="D53" i="10"/>
  <c r="C53" i="10"/>
  <c r="B54" i="10"/>
  <c r="B55" i="10" l="1"/>
  <c r="E54" i="10"/>
  <c r="F54" i="10" s="1"/>
  <c r="D54" i="10"/>
  <c r="C54" i="10"/>
  <c r="D55" i="10" l="1"/>
  <c r="C55" i="10"/>
  <c r="B56" i="10"/>
  <c r="E55" i="10"/>
  <c r="F55" i="10" s="1"/>
  <c r="D56" i="10" l="1"/>
  <c r="B57" i="10"/>
  <c r="E56" i="10"/>
  <c r="F56" i="10" s="1"/>
  <c r="C56" i="10"/>
  <c r="B58" i="10" l="1"/>
  <c r="C57" i="10"/>
  <c r="D57" i="10"/>
  <c r="E57" i="10"/>
  <c r="F57" i="10" s="1"/>
  <c r="B59" i="10" l="1"/>
  <c r="E58" i="10"/>
  <c r="F58" i="10" s="1"/>
  <c r="D58" i="10"/>
  <c r="C58" i="10"/>
  <c r="D59" i="10" l="1"/>
  <c r="C59" i="10"/>
  <c r="B60" i="10"/>
  <c r="E59" i="10"/>
  <c r="F59" i="10" s="1"/>
  <c r="B61" i="10" l="1"/>
  <c r="E60" i="10"/>
  <c r="F60" i="10" s="1"/>
  <c r="D60" i="10"/>
  <c r="C60" i="10"/>
  <c r="C61" i="10" l="1"/>
  <c r="B62" i="10"/>
  <c r="D61" i="10"/>
  <c r="E61" i="10"/>
  <c r="F61" i="10" s="1"/>
  <c r="B63" i="10" l="1"/>
  <c r="D62" i="10"/>
  <c r="C62" i="10"/>
  <c r="E62" i="10"/>
  <c r="F62" i="10" s="1"/>
  <c r="C63" i="10" l="1"/>
  <c r="B64" i="10"/>
  <c r="E63" i="10"/>
  <c r="F63" i="10" s="1"/>
  <c r="D63" i="10"/>
  <c r="B65" i="10" l="1"/>
  <c r="D64" i="10"/>
  <c r="C64" i="10"/>
  <c r="E64" i="10"/>
  <c r="F64" i="10" s="1"/>
  <c r="D65" i="10" l="1"/>
  <c r="B66" i="10"/>
  <c r="E65" i="10"/>
  <c r="F65" i="10" s="1"/>
  <c r="C65" i="10"/>
  <c r="B67" i="10" l="1"/>
  <c r="E66" i="10"/>
  <c r="F66" i="10" s="1"/>
  <c r="D66" i="10"/>
  <c r="C66" i="10"/>
  <c r="C67" i="10" l="1"/>
  <c r="B68" i="10"/>
  <c r="E67" i="10"/>
  <c r="F67" i="10" s="1"/>
  <c r="D67" i="10"/>
  <c r="D68" i="10" l="1"/>
  <c r="B69" i="10"/>
  <c r="C68" i="10"/>
  <c r="E68" i="10"/>
  <c r="F68" i="10" s="1"/>
  <c r="B70" i="10" l="1"/>
  <c r="E69" i="10"/>
  <c r="F69" i="10" s="1"/>
  <c r="D69" i="10"/>
  <c r="C69" i="10"/>
  <c r="B71" i="10" l="1"/>
  <c r="D70" i="10"/>
  <c r="C70" i="10"/>
  <c r="E70" i="10"/>
  <c r="F70" i="10" s="1"/>
  <c r="B72" i="10" l="1"/>
  <c r="E71" i="10"/>
  <c r="F71" i="10" s="1"/>
  <c r="D71" i="10"/>
  <c r="C71" i="10"/>
  <c r="C72" i="10" l="1"/>
  <c r="E72" i="10"/>
  <c r="F72" i="10" s="1"/>
  <c r="D72" i="10"/>
  <c r="B73" i="10"/>
  <c r="B74" i="10" l="1"/>
  <c r="D73" i="10"/>
  <c r="C73" i="10"/>
  <c r="E73" i="10"/>
  <c r="F73" i="10" s="1"/>
  <c r="D74" i="10" l="1"/>
  <c r="C74" i="10"/>
  <c r="B75" i="10"/>
  <c r="E74" i="10"/>
  <c r="F74" i="10" s="1"/>
  <c r="C75" i="10" l="1"/>
  <c r="B76" i="10"/>
  <c r="E75" i="10"/>
  <c r="F75" i="10" s="1"/>
  <c r="D75" i="10"/>
  <c r="D76" i="10" l="1"/>
  <c r="C76" i="10"/>
  <c r="B77" i="10"/>
  <c r="E76" i="10"/>
  <c r="F76" i="10" s="1"/>
  <c r="D77" i="10" l="1"/>
  <c r="B78" i="10"/>
  <c r="E77" i="10"/>
  <c r="F77" i="10" s="1"/>
  <c r="C77" i="10"/>
  <c r="B79" i="10" l="1"/>
  <c r="C78" i="10"/>
  <c r="D78" i="10"/>
  <c r="E78" i="10"/>
  <c r="F78" i="10" s="1"/>
  <c r="B80" i="10" l="1"/>
  <c r="E79" i="10"/>
  <c r="F79" i="10" s="1"/>
  <c r="D79" i="10"/>
  <c r="C79" i="10"/>
  <c r="D80" i="10" l="1"/>
  <c r="C80" i="10"/>
  <c r="B81" i="10"/>
  <c r="E80" i="10"/>
  <c r="F80" i="10" s="1"/>
  <c r="B82" i="10" l="1"/>
  <c r="E81" i="10"/>
  <c r="F81" i="10" s="1"/>
  <c r="D81" i="10"/>
  <c r="C81" i="10"/>
  <c r="D82" i="10" l="1"/>
  <c r="C82" i="10"/>
  <c r="B83" i="10"/>
  <c r="E82" i="10"/>
  <c r="F82" i="10" s="1"/>
  <c r="B84" i="10" l="1"/>
  <c r="E83" i="10"/>
  <c r="F83" i="10" s="1"/>
  <c r="D83" i="10"/>
  <c r="C83" i="10"/>
  <c r="C84" i="10" l="1"/>
  <c r="D84" i="10"/>
  <c r="B85" i="10"/>
  <c r="E84" i="10"/>
  <c r="F84" i="10" s="1"/>
  <c r="B86" i="10" l="1"/>
  <c r="D85" i="10"/>
  <c r="C85" i="10"/>
  <c r="E85" i="10"/>
  <c r="F85" i="10" s="1"/>
  <c r="D86" i="10" l="1"/>
  <c r="C86" i="10"/>
  <c r="B87" i="10"/>
  <c r="E86" i="10"/>
  <c r="F86" i="10" s="1"/>
  <c r="C87" i="10" l="1"/>
  <c r="B88" i="10"/>
  <c r="D87" i="10"/>
  <c r="E87" i="10"/>
  <c r="F87" i="10" s="1"/>
  <c r="D88" i="10" l="1"/>
  <c r="C88" i="10"/>
  <c r="B89" i="10"/>
  <c r="E88" i="10"/>
  <c r="F88" i="10" s="1"/>
  <c r="D89" i="10" l="1"/>
  <c r="B90" i="10"/>
  <c r="C89" i="10"/>
  <c r="E89" i="10"/>
  <c r="F89" i="10" s="1"/>
  <c r="B91" i="10" l="1"/>
  <c r="D90" i="10"/>
  <c r="C90" i="10"/>
  <c r="E90" i="10"/>
  <c r="F90" i="10" s="1"/>
  <c r="B92" i="10" l="1"/>
  <c r="D91" i="10"/>
  <c r="C91" i="10"/>
  <c r="E91" i="10"/>
  <c r="F91" i="10" s="1"/>
  <c r="D92" i="10" l="1"/>
  <c r="C92" i="10"/>
  <c r="B93" i="10"/>
  <c r="E92" i="10"/>
  <c r="F92" i="10" s="1"/>
  <c r="B94" i="10" l="1"/>
  <c r="D93" i="10"/>
  <c r="C93" i="10"/>
  <c r="E93" i="10"/>
  <c r="F93" i="10" s="1"/>
  <c r="D94" i="10" l="1"/>
  <c r="C94" i="10"/>
  <c r="B95" i="10"/>
  <c r="E94" i="10"/>
  <c r="F94" i="10" s="1"/>
  <c r="B96" i="10" l="1"/>
  <c r="D95" i="10"/>
  <c r="C95" i="10"/>
  <c r="E95" i="10"/>
  <c r="F95" i="10" s="1"/>
  <c r="C96" i="10" l="1"/>
  <c r="D96" i="10"/>
  <c r="B97" i="10"/>
  <c r="E96" i="10"/>
  <c r="F96" i="10" s="1"/>
  <c r="B98" i="10" l="1"/>
  <c r="D97" i="10"/>
  <c r="C97" i="10"/>
  <c r="E97" i="10"/>
  <c r="F97" i="10" s="1"/>
  <c r="C98" i="10" l="1"/>
  <c r="B99" i="10"/>
  <c r="E98" i="10"/>
  <c r="F98" i="10" s="1"/>
  <c r="D98" i="10"/>
  <c r="C99" i="10" l="1"/>
  <c r="B100" i="10"/>
  <c r="D99" i="10"/>
  <c r="E99" i="10"/>
  <c r="F99" i="10" s="1"/>
  <c r="C100" i="10" l="1"/>
  <c r="B101" i="10"/>
  <c r="E100" i="10"/>
  <c r="F100" i="10" s="1"/>
  <c r="D100" i="10"/>
  <c r="D101" i="10" l="1"/>
  <c r="B102" i="10"/>
  <c r="C101" i="10"/>
  <c r="E101" i="10"/>
  <c r="F101" i="10" s="1"/>
  <c r="B103" i="10" l="1"/>
  <c r="E102" i="10"/>
  <c r="F102" i="10" s="1"/>
  <c r="D102" i="10"/>
  <c r="C102" i="10"/>
  <c r="B104" i="10" l="1"/>
  <c r="D103" i="10"/>
  <c r="C103" i="10"/>
  <c r="E103" i="10"/>
  <c r="F103" i="10" s="1"/>
  <c r="D104" i="10" l="1"/>
  <c r="B105" i="10"/>
  <c r="E104" i="10"/>
  <c r="F104" i="10" s="1"/>
  <c r="C104" i="10"/>
  <c r="B106" i="10" l="1"/>
  <c r="E105" i="10"/>
  <c r="F105" i="10" s="1"/>
  <c r="D105" i="10"/>
  <c r="C105" i="10"/>
  <c r="B107" i="10" l="1"/>
  <c r="D106" i="10"/>
  <c r="C106" i="10"/>
  <c r="E106" i="10"/>
  <c r="F106" i="10" s="1"/>
  <c r="E107" i="10" l="1"/>
  <c r="F107" i="10" s="1"/>
  <c r="D107" i="10"/>
  <c r="C107" i="10"/>
  <c r="B108" i="10"/>
  <c r="C108" i="10" l="1"/>
  <c r="B109" i="10"/>
  <c r="E108" i="10"/>
  <c r="F108" i="10" s="1"/>
  <c r="D108" i="10"/>
  <c r="D109" i="10" l="1"/>
  <c r="C109" i="10"/>
  <c r="B110" i="10"/>
  <c r="E109" i="10"/>
  <c r="F109" i="10" s="1"/>
  <c r="B111" i="10" l="1"/>
  <c r="D110" i="10"/>
  <c r="C110" i="10"/>
  <c r="E110" i="10"/>
  <c r="F110" i="10" s="1"/>
  <c r="C111" i="10" l="1"/>
  <c r="D111" i="10"/>
  <c r="B112" i="10"/>
  <c r="E111" i="10"/>
  <c r="F111" i="10" s="1"/>
  <c r="B113" i="10" l="1"/>
  <c r="D112" i="10"/>
  <c r="C112" i="10"/>
  <c r="E112" i="10"/>
  <c r="F112" i="10" s="1"/>
  <c r="D113" i="10" l="1"/>
  <c r="C113" i="10"/>
  <c r="B114" i="10"/>
  <c r="E113" i="10"/>
  <c r="F113" i="10" s="1"/>
  <c r="B115" i="10" l="1"/>
  <c r="E114" i="10"/>
  <c r="F114" i="10" s="1"/>
  <c r="D114" i="10"/>
  <c r="C114" i="10"/>
  <c r="D115" i="10" l="1"/>
  <c r="C115" i="10"/>
  <c r="B116" i="10"/>
  <c r="E115" i="10"/>
  <c r="F115" i="10" s="1"/>
  <c r="D116" i="10" l="1"/>
  <c r="B117" i="10"/>
  <c r="C116" i="10"/>
  <c r="E116" i="10"/>
  <c r="F116" i="10" s="1"/>
  <c r="B118" i="10" l="1"/>
  <c r="D117" i="10"/>
  <c r="C117" i="10"/>
  <c r="E117" i="10"/>
  <c r="F117" i="10" s="1"/>
  <c r="B119" i="10" l="1"/>
  <c r="D118" i="10"/>
  <c r="C118" i="10"/>
  <c r="E118" i="10"/>
  <c r="F118" i="10" s="1"/>
  <c r="D119" i="10" l="1"/>
  <c r="C119" i="10"/>
  <c r="B120" i="10"/>
  <c r="E119" i="10"/>
  <c r="F119" i="10" s="1"/>
  <c r="B121" i="10" l="1"/>
  <c r="D120" i="10"/>
  <c r="C120" i="10"/>
  <c r="E120" i="10"/>
  <c r="F120" i="10" s="1"/>
  <c r="D121" i="10" l="1"/>
  <c r="C121" i="10"/>
  <c r="B122" i="10"/>
  <c r="E121" i="10"/>
  <c r="F121" i="10" s="1"/>
  <c r="B123" i="10" l="1"/>
  <c r="C122" i="10"/>
  <c r="D122" i="10"/>
  <c r="E122" i="10"/>
  <c r="F122" i="10" s="1"/>
  <c r="E123" i="10" l="1"/>
  <c r="F123" i="10" s="1"/>
  <c r="D123" i="10"/>
  <c r="C123" i="10"/>
  <c r="B124" i="10"/>
  <c r="C124" i="10" l="1"/>
  <c r="D124" i="10"/>
  <c r="B125" i="10"/>
  <c r="E124" i="10"/>
  <c r="F124" i="10" s="1"/>
  <c r="B126" i="10" l="1"/>
  <c r="D125" i="10"/>
  <c r="C125" i="10"/>
  <c r="E125" i="10"/>
  <c r="F125" i="10" s="1"/>
  <c r="C126" i="10" l="1"/>
  <c r="D126" i="10"/>
  <c r="B127" i="10"/>
  <c r="E126" i="10"/>
  <c r="F126" i="10" s="1"/>
  <c r="B128" i="10" l="1"/>
  <c r="D127" i="10"/>
  <c r="C127" i="10"/>
  <c r="E127" i="10"/>
  <c r="F127" i="10" s="1"/>
  <c r="C128" i="10" l="1"/>
  <c r="D128" i="10"/>
  <c r="B129" i="10"/>
  <c r="E128" i="10"/>
  <c r="F128" i="10" s="1"/>
  <c r="D129" i="10" l="1"/>
  <c r="B130" i="10"/>
  <c r="C129" i="10"/>
  <c r="E129" i="10"/>
  <c r="F129" i="10" s="1"/>
  <c r="B131" i="10" l="1"/>
  <c r="C130" i="10"/>
  <c r="D130" i="10"/>
  <c r="E130" i="10"/>
  <c r="F130" i="10" s="1"/>
  <c r="D131" i="10" l="1"/>
  <c r="C131" i="10"/>
  <c r="B132" i="10"/>
  <c r="E131" i="10"/>
  <c r="F131" i="10" s="1"/>
  <c r="B133" i="10" l="1"/>
  <c r="D132" i="10"/>
  <c r="C132" i="10"/>
  <c r="E132" i="10"/>
  <c r="F132" i="10" s="1"/>
  <c r="D133" i="10" l="1"/>
  <c r="B134" i="10"/>
  <c r="C133" i="10"/>
  <c r="E133" i="10"/>
  <c r="F133" i="10" s="1"/>
  <c r="B135" i="10" l="1"/>
  <c r="D134" i="10"/>
  <c r="C134" i="10"/>
  <c r="E134" i="10"/>
  <c r="F134" i="10" s="1"/>
  <c r="B136" i="10" l="1"/>
  <c r="D135" i="10"/>
  <c r="C135" i="10"/>
  <c r="E135" i="10"/>
  <c r="F135" i="10" s="1"/>
  <c r="C136" i="10" l="1"/>
  <c r="D136" i="10"/>
  <c r="B137" i="10"/>
  <c r="E136" i="10"/>
  <c r="F136" i="10" s="1"/>
  <c r="C137" i="10" l="1"/>
  <c r="B138" i="10"/>
  <c r="D137" i="10"/>
  <c r="E137" i="10"/>
  <c r="F137" i="10" s="1"/>
  <c r="C138" i="10" l="1"/>
  <c r="D138" i="10"/>
  <c r="B139" i="10"/>
  <c r="E138" i="10"/>
  <c r="F138" i="10" s="1"/>
  <c r="D139" i="10" l="1"/>
  <c r="C139" i="10"/>
  <c r="B140" i="10"/>
  <c r="E139" i="10"/>
  <c r="F139" i="10" s="1"/>
  <c r="C140" i="10" l="1"/>
  <c r="B141" i="10"/>
  <c r="D140" i="10"/>
  <c r="E140" i="10"/>
  <c r="F140" i="10" s="1"/>
  <c r="D141" i="10" l="1"/>
  <c r="B142" i="10"/>
  <c r="C141" i="10"/>
  <c r="E141" i="10"/>
  <c r="F141" i="10" s="1"/>
  <c r="B143" i="10" l="1"/>
  <c r="D142" i="10"/>
  <c r="C142" i="10"/>
  <c r="E142" i="10"/>
  <c r="F142" i="10" s="1"/>
  <c r="D143" i="10" l="1"/>
  <c r="B144" i="10"/>
  <c r="C143" i="10"/>
  <c r="E143" i="10"/>
  <c r="F143" i="10" s="1"/>
  <c r="B145" i="10" l="1"/>
  <c r="D144" i="10"/>
  <c r="C144" i="10"/>
  <c r="E144" i="10"/>
  <c r="F144" i="10" s="1"/>
  <c r="D145" i="10" l="1"/>
  <c r="C145" i="10"/>
  <c r="B146" i="10"/>
  <c r="E145" i="10"/>
  <c r="F145" i="10" s="1"/>
  <c r="B147" i="10" l="1"/>
  <c r="D146" i="10"/>
  <c r="C146" i="10"/>
  <c r="E146" i="10"/>
  <c r="F146" i="10" s="1"/>
  <c r="D147" i="10" l="1"/>
  <c r="C147" i="10"/>
  <c r="B148" i="10"/>
  <c r="E147" i="10"/>
  <c r="F147" i="10" s="1"/>
  <c r="C148" i="10" l="1"/>
  <c r="B149" i="10"/>
  <c r="D148" i="10"/>
  <c r="E148" i="10"/>
  <c r="F148" i="10" s="1"/>
  <c r="C149" i="10" l="1"/>
  <c r="D149" i="10"/>
  <c r="B150" i="10"/>
  <c r="E149" i="10"/>
  <c r="F149" i="10" s="1"/>
  <c r="C150" i="10" l="1"/>
  <c r="B151" i="10"/>
  <c r="D150" i="10"/>
  <c r="E150" i="10"/>
  <c r="F150" i="10" s="1"/>
  <c r="C151" i="10" l="1"/>
  <c r="B152" i="10"/>
  <c r="D151" i="10"/>
  <c r="E151" i="10"/>
  <c r="F151" i="10" s="1"/>
  <c r="C152" i="10" l="1"/>
  <c r="B153" i="10"/>
  <c r="D152" i="10"/>
  <c r="E152" i="10"/>
  <c r="F152" i="10" s="1"/>
  <c r="D153" i="10" l="1"/>
  <c r="B154" i="10"/>
  <c r="C153" i="10"/>
  <c r="E153" i="10"/>
  <c r="F153" i="10" s="1"/>
  <c r="B155" i="10" l="1"/>
  <c r="D154" i="10"/>
  <c r="C154" i="10"/>
  <c r="E154" i="10"/>
  <c r="F154" i="10" s="1"/>
  <c r="B156" i="10" l="1"/>
  <c r="D155" i="10"/>
  <c r="C155" i="10"/>
  <c r="E155" i="10"/>
  <c r="F155" i="10" s="1"/>
  <c r="D156" i="10" l="1"/>
  <c r="B157" i="10"/>
  <c r="C156" i="10"/>
  <c r="E156" i="10"/>
  <c r="F156" i="10" s="1"/>
  <c r="B158" i="10" l="1"/>
  <c r="D157" i="10"/>
  <c r="C157" i="10"/>
  <c r="E157" i="10"/>
  <c r="F157" i="10" s="1"/>
  <c r="B159" i="10" l="1"/>
  <c r="D158" i="10"/>
  <c r="C158" i="10"/>
  <c r="E158" i="10"/>
  <c r="F158" i="10" s="1"/>
  <c r="D159" i="10" l="1"/>
  <c r="C159" i="10"/>
  <c r="B160" i="10"/>
  <c r="E159" i="10"/>
  <c r="F159" i="10" s="1"/>
  <c r="C160" i="10" l="1"/>
  <c r="D160" i="10"/>
  <c r="B161" i="10"/>
  <c r="E160" i="10"/>
  <c r="F160" i="10" s="1"/>
  <c r="C161" i="10" l="1"/>
  <c r="D161" i="10"/>
  <c r="B162" i="10"/>
  <c r="E161" i="10"/>
  <c r="F161" i="10" s="1"/>
  <c r="C162" i="10" l="1"/>
  <c r="B163" i="10"/>
  <c r="D162" i="10"/>
  <c r="E162" i="10"/>
  <c r="F162" i="10" s="1"/>
  <c r="C163" i="10" l="1"/>
  <c r="B164" i="10"/>
  <c r="D163" i="10"/>
  <c r="E163" i="10"/>
  <c r="F163" i="10" s="1"/>
  <c r="C164" i="10" l="1"/>
  <c r="D164" i="10"/>
  <c r="B165" i="10"/>
  <c r="E164" i="10"/>
  <c r="F164" i="10" s="1"/>
  <c r="D165" i="10" l="1"/>
  <c r="B166" i="10"/>
  <c r="C165" i="10"/>
  <c r="E165" i="10"/>
  <c r="F165" i="10" s="1"/>
  <c r="B167" i="10" l="1"/>
  <c r="D166" i="10"/>
  <c r="C166" i="10"/>
  <c r="E166" i="10"/>
  <c r="F166" i="10" s="1"/>
  <c r="B168" i="10" l="1"/>
  <c r="D167" i="10"/>
  <c r="C167" i="10"/>
  <c r="E167" i="10"/>
  <c r="F167" i="10" s="1"/>
  <c r="D168" i="10" l="1"/>
  <c r="B169" i="10"/>
  <c r="C168" i="10"/>
  <c r="E168" i="10"/>
  <c r="F168" i="10" s="1"/>
  <c r="B170" i="10" l="1"/>
  <c r="D169" i="10"/>
  <c r="C169" i="10"/>
  <c r="E169" i="10"/>
  <c r="F169" i="10" s="1"/>
  <c r="B171" i="10" l="1"/>
  <c r="C170" i="10"/>
  <c r="D170" i="10"/>
  <c r="E170" i="10"/>
  <c r="F170" i="10" s="1"/>
  <c r="D171" i="10" l="1"/>
  <c r="C171" i="10"/>
  <c r="B172" i="10"/>
  <c r="E171" i="10"/>
  <c r="F171" i="10" s="1"/>
  <c r="C172" i="10" l="1"/>
  <c r="B173" i="10"/>
  <c r="D172" i="10"/>
  <c r="E172" i="10"/>
  <c r="F172" i="10" s="1"/>
  <c r="C173" i="10" l="1"/>
  <c r="B174" i="10"/>
  <c r="D173" i="10"/>
  <c r="E173" i="10"/>
  <c r="F173" i="10" s="1"/>
  <c r="C174" i="10" l="1"/>
  <c r="D174" i="10"/>
  <c r="B175" i="10"/>
  <c r="E174" i="10"/>
  <c r="F174" i="10" s="1"/>
  <c r="C175" i="10" l="1"/>
  <c r="B176" i="10"/>
  <c r="D175" i="10"/>
  <c r="E175" i="10"/>
  <c r="F175" i="10" s="1"/>
  <c r="C176" i="10" l="1"/>
  <c r="D176" i="10"/>
  <c r="B177" i="10"/>
  <c r="E176" i="10"/>
  <c r="F176" i="10" s="1"/>
  <c r="D177" i="10" l="1"/>
  <c r="C177" i="10"/>
  <c r="B178" i="10"/>
  <c r="E177" i="10"/>
  <c r="F177" i="10" s="1"/>
  <c r="B179" i="10" l="1"/>
  <c r="D178" i="10"/>
  <c r="C178" i="10"/>
  <c r="E178" i="10"/>
  <c r="F178" i="10" s="1"/>
  <c r="B180" i="10" l="1"/>
  <c r="D179" i="10"/>
  <c r="E179" i="10"/>
  <c r="F179" i="10" s="1"/>
  <c r="C179" i="10"/>
  <c r="D180" i="10" l="1"/>
  <c r="B181" i="10"/>
  <c r="C180" i="10"/>
  <c r="E180" i="10"/>
  <c r="F180" i="10" s="1"/>
  <c r="B182" i="10" l="1"/>
  <c r="D181" i="10"/>
  <c r="C181" i="10"/>
  <c r="E181" i="10"/>
  <c r="F181" i="10" s="1"/>
  <c r="B183" i="10" l="1"/>
  <c r="D182" i="10"/>
  <c r="C182" i="10"/>
  <c r="E182" i="10"/>
  <c r="F182" i="10" s="1"/>
  <c r="D183" i="10" l="1"/>
  <c r="B184" i="10"/>
  <c r="C183" i="10"/>
  <c r="E183" i="10"/>
  <c r="F183" i="10" s="1"/>
  <c r="C184" i="10" l="1"/>
  <c r="B185" i="10"/>
  <c r="D184" i="10"/>
  <c r="E184" i="10"/>
  <c r="F184" i="10" s="1"/>
  <c r="C185" i="10" l="1"/>
  <c r="B186" i="10"/>
  <c r="D185" i="10"/>
  <c r="E185" i="10"/>
  <c r="F185" i="10" s="1"/>
  <c r="C186" i="10" l="1"/>
  <c r="D186" i="10"/>
  <c r="B187" i="10"/>
  <c r="E186" i="10"/>
  <c r="F186" i="10" s="1"/>
  <c r="C187" i="10" l="1"/>
  <c r="B188" i="10"/>
  <c r="D187" i="10"/>
  <c r="E187" i="10"/>
  <c r="F187" i="10" s="1"/>
  <c r="C188" i="10" l="1"/>
  <c r="D188" i="10"/>
  <c r="B189" i="10"/>
  <c r="E188" i="10"/>
  <c r="F188" i="10" s="1"/>
  <c r="D189" i="10" l="1"/>
  <c r="B190" i="10"/>
  <c r="C189" i="10"/>
  <c r="E189" i="10"/>
  <c r="F189" i="10" s="1"/>
  <c r="B191" i="10" l="1"/>
  <c r="D190" i="10"/>
  <c r="C190" i="10"/>
  <c r="E190" i="10"/>
  <c r="F190" i="10" s="1"/>
  <c r="B192" i="10" l="1"/>
  <c r="D191" i="10"/>
  <c r="C191" i="10"/>
  <c r="E191" i="10"/>
  <c r="F191" i="10" s="1"/>
  <c r="D192" i="10" l="1"/>
  <c r="B193" i="10"/>
  <c r="C192" i="10"/>
  <c r="E192" i="10"/>
  <c r="F192" i="10" s="1"/>
  <c r="B194" i="10" l="1"/>
  <c r="D193" i="10"/>
  <c r="C193" i="10"/>
  <c r="E193" i="10"/>
  <c r="F193" i="10" s="1"/>
  <c r="B195" i="10" l="1"/>
  <c r="D194" i="10"/>
  <c r="C194" i="10"/>
  <c r="E194" i="10"/>
  <c r="F194" i="10" s="1"/>
  <c r="B196" i="10" l="1"/>
  <c r="D195" i="10"/>
  <c r="C195" i="10"/>
  <c r="E195" i="10"/>
  <c r="F195" i="10" s="1"/>
  <c r="C196" i="10" l="1"/>
  <c r="B197" i="10"/>
  <c r="D196" i="10"/>
  <c r="E196" i="10"/>
  <c r="F196" i="10" s="1"/>
  <c r="C197" i="10" l="1"/>
  <c r="B198" i="10"/>
  <c r="D197" i="10"/>
  <c r="E197" i="10"/>
  <c r="F197" i="10" s="1"/>
  <c r="C198" i="10" l="1"/>
  <c r="D198" i="10"/>
  <c r="B199" i="10"/>
  <c r="E198" i="10"/>
  <c r="F198" i="10" s="1"/>
  <c r="C199" i="10" l="1"/>
  <c r="B200" i="10"/>
  <c r="D199" i="10"/>
  <c r="E199" i="10"/>
  <c r="F199" i="10" s="1"/>
  <c r="C200" i="10" l="1"/>
  <c r="D200" i="10"/>
  <c r="B201" i="10"/>
  <c r="E200" i="10"/>
  <c r="F200" i="10" s="1"/>
  <c r="D201" i="10" l="1"/>
  <c r="B202" i="10"/>
  <c r="C201" i="10"/>
  <c r="E201" i="10"/>
  <c r="F201" i="10" s="1"/>
  <c r="B203" i="10" l="1"/>
  <c r="D202" i="10"/>
  <c r="C202" i="10"/>
  <c r="E202" i="10"/>
  <c r="F202" i="10" s="1"/>
  <c r="B204" i="10" l="1"/>
  <c r="D203" i="10"/>
  <c r="C203" i="10"/>
  <c r="E203" i="10"/>
  <c r="F203" i="10" s="1"/>
  <c r="D204" i="10" l="1"/>
  <c r="B205" i="10"/>
  <c r="C204" i="10"/>
  <c r="E204" i="10"/>
  <c r="F204" i="10" s="1"/>
  <c r="B206" i="10" l="1"/>
  <c r="D205" i="10"/>
  <c r="C205" i="10"/>
  <c r="E205" i="10"/>
  <c r="F205" i="10" s="1"/>
  <c r="B207" i="10" l="1"/>
  <c r="D206" i="10"/>
  <c r="C206" i="10"/>
  <c r="E206" i="10"/>
  <c r="F206" i="10" s="1"/>
  <c r="B208" i="10" l="1"/>
  <c r="D207" i="10"/>
  <c r="C207" i="10"/>
  <c r="E207" i="10"/>
  <c r="F207" i="10" s="1"/>
  <c r="C208" i="10" l="1"/>
  <c r="D208" i="10"/>
  <c r="B209" i="10"/>
  <c r="E208" i="10"/>
  <c r="F208" i="10" s="1"/>
  <c r="C209" i="10" l="1"/>
  <c r="B210" i="10"/>
  <c r="D209" i="10"/>
  <c r="E209" i="10"/>
  <c r="F209" i="10" s="1"/>
  <c r="C210" i="10" l="1"/>
  <c r="D210" i="10"/>
  <c r="B211" i="10"/>
  <c r="E210" i="10"/>
  <c r="F210" i="10" s="1"/>
  <c r="C211" i="10" l="1"/>
  <c r="B212" i="10"/>
  <c r="D211" i="10"/>
  <c r="E211" i="10"/>
  <c r="F211" i="10" s="1"/>
  <c r="C212" i="10" l="1"/>
  <c r="B213" i="10"/>
  <c r="D212" i="10"/>
  <c r="E212" i="10"/>
  <c r="F212" i="10" s="1"/>
  <c r="D213" i="10" l="1"/>
  <c r="B214" i="10"/>
  <c r="C213" i="10"/>
  <c r="E213" i="10"/>
  <c r="F213" i="10" s="1"/>
  <c r="B215" i="10" l="1"/>
  <c r="D214" i="10"/>
  <c r="C214" i="10"/>
  <c r="E214" i="10"/>
  <c r="F214" i="10" s="1"/>
  <c r="B216" i="10" l="1"/>
  <c r="D215" i="10"/>
  <c r="C215" i="10"/>
  <c r="E215" i="10"/>
  <c r="F215" i="10" s="1"/>
  <c r="D216" i="10" l="1"/>
  <c r="B217" i="10"/>
  <c r="C216" i="10"/>
  <c r="E216" i="10"/>
  <c r="F216" i="10" s="1"/>
  <c r="B218" i="10" l="1"/>
  <c r="D217" i="10"/>
  <c r="C217" i="10"/>
  <c r="E217" i="10"/>
  <c r="F217" i="10" s="1"/>
  <c r="B219" i="10" l="1"/>
  <c r="C218" i="10"/>
  <c r="D218" i="10"/>
  <c r="E218" i="10"/>
  <c r="F218" i="10" s="1"/>
  <c r="B220" i="10" l="1"/>
  <c r="D219" i="10"/>
  <c r="C219" i="10"/>
  <c r="E219" i="10"/>
  <c r="F219" i="10" s="1"/>
  <c r="C220" i="10" l="1"/>
  <c r="D220" i="10"/>
  <c r="B221" i="10"/>
  <c r="E220" i="10"/>
  <c r="F220" i="10" s="1"/>
  <c r="C221" i="10" l="1"/>
  <c r="B222" i="10"/>
  <c r="D221" i="10"/>
  <c r="E221" i="10"/>
  <c r="F221" i="10" s="1"/>
  <c r="C222" i="10" l="1"/>
  <c r="D222" i="10"/>
  <c r="B223" i="10"/>
  <c r="E222" i="10"/>
  <c r="F222" i="10" s="1"/>
  <c r="C223" i="10" l="1"/>
  <c r="B224" i="10"/>
  <c r="E223" i="10"/>
  <c r="F223" i="10" s="1"/>
  <c r="D223" i="10"/>
  <c r="C224" i="10" l="1"/>
  <c r="B225" i="10"/>
  <c r="D224" i="10"/>
  <c r="E224" i="10"/>
  <c r="F224" i="10" s="1"/>
  <c r="D225" i="10" l="1"/>
  <c r="C225" i="10"/>
  <c r="B226" i="10"/>
  <c r="E225" i="10"/>
  <c r="F225" i="10" s="1"/>
  <c r="B227" i="10" l="1"/>
  <c r="D226" i="10"/>
  <c r="C226" i="10"/>
  <c r="E226" i="10"/>
  <c r="F226" i="10" s="1"/>
  <c r="B228" i="10" l="1"/>
  <c r="D227" i="10"/>
  <c r="C227" i="10"/>
  <c r="E227" i="10"/>
  <c r="F227" i="10" s="1"/>
  <c r="D228" i="10" l="1"/>
  <c r="B229" i="10"/>
  <c r="E228" i="10"/>
  <c r="F228" i="10" s="1"/>
  <c r="C228" i="10"/>
  <c r="B230" i="10" l="1"/>
  <c r="D229" i="10"/>
  <c r="C229" i="10"/>
  <c r="E229" i="10"/>
  <c r="F229" i="10" s="1"/>
  <c r="B231" i="10" l="1"/>
  <c r="D230" i="10"/>
  <c r="C230" i="10"/>
  <c r="E230" i="10"/>
  <c r="F230" i="10" s="1"/>
  <c r="B232" i="10" l="1"/>
  <c r="D231" i="10"/>
  <c r="C231" i="10"/>
  <c r="E231" i="10"/>
  <c r="F231" i="10" s="1"/>
  <c r="C232" i="10" l="1"/>
  <c r="D232" i="10"/>
  <c r="B233" i="10"/>
  <c r="E232" i="10"/>
  <c r="F232" i="10" s="1"/>
  <c r="C233" i="10" l="1"/>
  <c r="B234" i="10"/>
  <c r="D233" i="10"/>
  <c r="E233" i="10"/>
  <c r="F233" i="10" s="1"/>
  <c r="C234" i="10" l="1"/>
  <c r="B235" i="10"/>
  <c r="D234" i="10"/>
  <c r="E234" i="10"/>
  <c r="F234" i="10" s="1"/>
  <c r="C235" i="10" l="1"/>
  <c r="B236" i="10"/>
  <c r="D235" i="10"/>
  <c r="E235" i="10"/>
  <c r="F235" i="10" s="1"/>
  <c r="C236" i="10" l="1"/>
  <c r="D236" i="10"/>
  <c r="E236" i="10"/>
  <c r="F236" i="10" s="1"/>
</calcChain>
</file>

<file path=xl/sharedStrings.xml><?xml version="1.0" encoding="utf-8"?>
<sst xmlns="http://schemas.openxmlformats.org/spreadsheetml/2006/main" count="631" uniqueCount="274">
  <si>
    <t>PRAKTIKUM PERANCANGAN SISTEM TERINTEGRASI III</t>
  </si>
  <si>
    <t>MODUL 3 - Pengendalian Kualitas Secara Statistika</t>
  </si>
  <si>
    <t>PJ Modul</t>
  </si>
  <si>
    <t>13422005 Naufal Vitoperisa Oktora
13422068 Daniel Febrian Parhusip
13422126 Nadya Farah Iresqa</t>
  </si>
  <si>
    <t>Laboratorium Perencanaan dan Optimasi Sistem Industri</t>
  </si>
  <si>
    <t>Program Studi Teknik Industri</t>
  </si>
  <si>
    <t>Fakultas Teknologi Industri</t>
  </si>
  <si>
    <t>No</t>
  </si>
  <si>
    <t>Informasi</t>
  </si>
  <si>
    <t xml:space="preserve">PT PPST Manufacturing memproduksi 4 jenis tripod dengan dua ukuran (tripod kecil dan besar), yaitu Tripod A, B, C, dan D. Dari berbagai macam part yang dibutuhkan untuk membuat tripod, terdapat 3 part yang dibuat sendiri dari bahan baku mentah, yaitu bottom base 2,  leg, dan  pivot. Untuk part pivot, akan dilakukan pengendalian kualitas pada diameter lubang horizontal. Sampel diambil dengan ukuran banyak. PT PPST Manufacturing ingin melihat kurva OC, ARL, dan kapabilitas dari proses tersebut. PT PPST Manufacturing juga ingin melihat implementasi dari penggunaan peta kendali ini. </t>
  </si>
  <si>
    <t>Pivot (diameter lubang horizontal)</t>
  </si>
  <si>
    <t>Untuk part bottom base 2, akan dilakukan pengendalian kualitas pada diameter half cylinder dari bottom base 2. Sampel diambil dengan ukuran 1 karena waktu proses yang relatif lebih lama.</t>
  </si>
  <si>
    <t xml:space="preserve">Pada tahap perakitan S3A1, perakitan yang menggabungkan S4A1 (assembly bottom base 1 dengan leg dan bottom base 2) dengan S5A2 (assembly guide male dan guide female), akan dihitung jumlah cacat berupa bercak atau goresan yang muncul  pada tiap unit S3A1 ketika perakitan berlangsung. Pengendalian kualitas dilakukan per satu unit inspeksi.   </t>
  </si>
  <si>
    <t>Pada tahap akhir perakitan akan dilakukan inspeksi secara menyeluruh untuk mengecek apakah ada tripod yang rusak (nonconforming).</t>
  </si>
  <si>
    <t>Perbedaan dari keempat jenis tripod adalah pada tinggi dari tripod itu sendiri. Oleh karena itu, akan ada perbedaan dimensi panjang pada part Leg di setiap jenis tripod. Pengendalian kualitas secara statistika menggunakan peta kendali diinginkan yang bisa mengakomodasi seluruh jenis tripod.</t>
  </si>
  <si>
    <t>Bottom base 2 (diameter half cylinder)</t>
  </si>
  <si>
    <t xml:space="preserve">Setelah barang selesai dirakit, akan dilakukan proses pengiriman barang kepada konsumen. Selanjutnya, PT X akan memberikan invoice dan dokumen lain kepada konsumen. Disebabkan oleh penyatuan lini produksi beberapa tripod karena kesamaan alur produksi, beberapa pekerja masih belum terbiasa dengan pembuatan dokumen hasil produksi yang baru sehingga dapat terjadi kesalahan dalam pembuatan dokumen, seperti pencatatan jenis tripod yang salah, invoice yang salah penempatan, dan sebagainya. Oleh karena itu, akan dilakukan pengendalian kualitas untuk dokumen yang akan diberikan kepada konsumen dengan ketentuan unit inspeksi lebih dari satu.  </t>
  </si>
  <si>
    <t xml:space="preserve">Disebabkan oleh efisiensi yang berhasil dilakukan pada lini produksi tripod dan tingginya permintaan yang masuk, PT X menerima pesanan pembuatan part XYZ 1 dan XYZ 2.  
a. Part XYZ 1 adalah part yang perlu diinspeksi dengan teknologi tinggi sehingga ukuran sampel untuk inspeksi hanya satu (pengukuran individual). Dimensi yang diukur adalah panjang. Agar tidak mengecewakan konsumen, peta kendali harus mampu mendeteksi pergeseran kecil. </t>
  </si>
  <si>
    <t>b. Dimensi yang ingin dikendalikan kualitasnya untuk part XYZ 2 adalah diameter dalam dan diameter luar secara bersamaan.</t>
  </si>
  <si>
    <t>Leg (panjang)</t>
  </si>
  <si>
    <t>Data Awal</t>
  </si>
  <si>
    <t>Data untuk Implementasi</t>
  </si>
  <si>
    <t>Diameter Lubang Horizontal part pivot (mm)</t>
  </si>
  <si>
    <t>Diameter Half cylinder bottom base 2 (mm)</t>
  </si>
  <si>
    <t>Jumlah nonconformity assembly S3A1</t>
  </si>
  <si>
    <t>Jumlah nonconforming (cacat) Tripod</t>
  </si>
  <si>
    <t>Panjang Leg Tripod (mm)</t>
  </si>
  <si>
    <t>Jumlah saltik (typo) pada dokumen (1 inspeksi unit = 1 dokumen)</t>
  </si>
  <si>
    <t>Panjang Part XYZ 1</t>
  </si>
  <si>
    <t>Diameter dalam dan luar Part XYZ 2</t>
  </si>
  <si>
    <t>Sample Number (i)</t>
  </si>
  <si>
    <t>Observasi</t>
  </si>
  <si>
    <t>Spesifikasi Diameter Lubang Horizontal Tripod</t>
  </si>
  <si>
    <t>Observasi per 1 unit inspeksi</t>
  </si>
  <si>
    <t>Observasi per 50 unit Tripod</t>
  </si>
  <si>
    <t>Jenis Tripod</t>
  </si>
  <si>
    <t>Spesifikasi Target Panjang Leg Tripod (mm)</t>
  </si>
  <si>
    <t>Observasi per 100 dokumen</t>
  </si>
  <si>
    <t>Parameter untuk peta cusum dan EWMA part XYZ 1</t>
  </si>
  <si>
    <t>Observasi diameter dalam (mm)</t>
  </si>
  <si>
    <t>Observasi diameter luar (mm)</t>
  </si>
  <si>
    <t>USL</t>
  </si>
  <si>
    <t>A</t>
  </si>
  <si>
    <t>K</t>
  </si>
  <si>
    <t>1/2 sigma</t>
  </si>
  <si>
    <t>LSL</t>
  </si>
  <si>
    <t>B</t>
  </si>
  <si>
    <t>H</t>
  </si>
  <si>
    <t>5 sigma</t>
  </si>
  <si>
    <t>C</t>
  </si>
  <si>
    <t>Lambda</t>
  </si>
  <si>
    <t>D</t>
  </si>
  <si>
    <t>L</t>
  </si>
  <si>
    <t>miu0 target</t>
  </si>
  <si>
    <t>sigma target</t>
  </si>
  <si>
    <t>n</t>
  </si>
  <si>
    <t>A2</t>
  </si>
  <si>
    <t>A3</t>
  </si>
  <si>
    <t>c4</t>
  </si>
  <si>
    <t>1/c4</t>
  </si>
  <si>
    <t>B3</t>
  </si>
  <si>
    <t>B4</t>
  </si>
  <si>
    <t>B5</t>
  </si>
  <si>
    <t>B6</t>
  </si>
  <si>
    <t>d2</t>
  </si>
  <si>
    <t>1/d2</t>
  </si>
  <si>
    <t>d_3</t>
  </si>
  <si>
    <t>D1</t>
  </si>
  <si>
    <t>D2</t>
  </si>
  <si>
    <t>D3</t>
  </si>
  <si>
    <t>D4</t>
  </si>
  <si>
    <t>Instructions</t>
  </si>
  <si>
    <t>Worksheet specific notes</t>
  </si>
  <si>
    <t>Summary</t>
  </si>
  <si>
    <t>Lembar kerja ini dibuat untuk mengakomodasi pengolahan data PPST III 2025/2025 Modul 3 - Pengendalian Kualitas Secara Statistika. Seluruh data yang diperlukan tersedia pada lembar kerja ini.</t>
  </si>
  <si>
    <t>Keluaran dari lembar kerja ini adalah peta kendali, kurva OC, ARL, dan kapabilitas proses.</t>
  </si>
  <si>
    <t>Formatting guide</t>
  </si>
  <si>
    <t>Dalam lembar kerja ini, digunakan konvensi penulisan sebagai berikut.</t>
  </si>
  <si>
    <t>Cells</t>
  </si>
  <si>
    <t>Sel yang telah dikalkulasikan yang tidak boleh diubah secara manual</t>
  </si>
  <si>
    <t>Data mentah yang digunakan model</t>
  </si>
  <si>
    <t>Instruksi, catatan, atau informasi kontekstual lainnya</t>
  </si>
  <si>
    <t>Tabs</t>
  </si>
  <si>
    <t>Analysis sheets</t>
  </si>
  <si>
    <t>Raw data sheets</t>
  </si>
  <si>
    <t>Part</t>
  </si>
  <si>
    <t>Peta Kendali</t>
  </si>
  <si>
    <t>Pivot</t>
  </si>
  <si>
    <t>xbar-R atau xbar-s</t>
  </si>
  <si>
    <t>Bottom Base 2</t>
  </si>
  <si>
    <t>MR</t>
  </si>
  <si>
    <t>Pan Assembly</t>
  </si>
  <si>
    <t>p atau np</t>
  </si>
  <si>
    <t>Tripod</t>
  </si>
  <si>
    <t>c</t>
  </si>
  <si>
    <t>Leg</t>
  </si>
  <si>
    <t>u</t>
  </si>
  <si>
    <t>Dokumen</t>
  </si>
  <si>
    <t>cusum atau EWMA</t>
  </si>
  <si>
    <t>XYZ 1</t>
  </si>
  <si>
    <t>Short Production Run xbar-R</t>
  </si>
  <si>
    <t>XYZ 2</t>
  </si>
  <si>
    <t>T^2</t>
  </si>
  <si>
    <t>Pivot (Diameter Lubang Horizontal)</t>
  </si>
  <si>
    <t>Iterasi 1</t>
  </si>
  <si>
    <t>Iterasi 2</t>
  </si>
  <si>
    <t>Pemeriksaan Kondisi Abnormalitas Peta R</t>
  </si>
  <si>
    <t>Pemeriksaan Kondisi Abnormalitas Peta xbar</t>
  </si>
  <si>
    <t>Run</t>
  </si>
  <si>
    <t>Trend</t>
  </si>
  <si>
    <t>Pengulangan Secara Periodik</t>
  </si>
  <si>
    <t>Hugging pada garis tengah</t>
  </si>
  <si>
    <t>Hugging dekat garis batas kendali</t>
  </si>
  <si>
    <t>Peta xbar-R</t>
  </si>
  <si>
    <t>Parameter Peta Kendali</t>
  </si>
  <si>
    <t>m</t>
  </si>
  <si>
    <t>xbarbar</t>
  </si>
  <si>
    <t>Rbar</t>
  </si>
  <si>
    <t>BKA R</t>
  </si>
  <si>
    <t>BKB R</t>
  </si>
  <si>
    <t>BKA Xbar</t>
  </si>
  <si>
    <t>BKB Xbar</t>
  </si>
  <si>
    <t>Rata-rata (xi bar)</t>
  </si>
  <si>
    <t>Range (Ri)</t>
  </si>
  <si>
    <t>GT R</t>
  </si>
  <si>
    <t>GT xbar</t>
  </si>
  <si>
    <t>BKA xbar</t>
  </si>
  <si>
    <t>BKB xbar</t>
  </si>
  <si>
    <t>Pemeriksaan Kondisi Abnormalitas Peta s</t>
  </si>
  <si>
    <t>Peta xbar-s</t>
  </si>
  <si>
    <t>sbar</t>
  </si>
  <si>
    <t>BKA s</t>
  </si>
  <si>
    <t>BKB s</t>
  </si>
  <si>
    <t>Standar Deviasi (si)</t>
  </si>
  <si>
    <t>GT s</t>
  </si>
  <si>
    <t>Pivot - Diameter Lubang Horizontal (mm)</t>
  </si>
  <si>
    <t>OC Curve dan ARL</t>
  </si>
  <si>
    <t>Parameter kurva OC</t>
  </si>
  <si>
    <t>R</t>
  </si>
  <si>
    <t>sigma</t>
  </si>
  <si>
    <t>ksigma</t>
  </si>
  <si>
    <t>k</t>
  </si>
  <si>
    <t>Beta</t>
  </si>
  <si>
    <t>ARL</t>
  </si>
  <si>
    <t>Cp=1.3161, Cpk=0.6908, %Cacat=1.9111%. Proses capable (Cp&gt;1) namun tidak centered.</t>
  </si>
  <si>
    <t>Kapabilitas Proses</t>
  </si>
  <si>
    <t>Parameter Proses</t>
  </si>
  <si>
    <t>Mean</t>
  </si>
  <si>
    <t>Spesifikasi</t>
  </si>
  <si>
    <t>Sigma</t>
  </si>
  <si>
    <t>Cp</t>
  </si>
  <si>
    <t>Cpl</t>
  </si>
  <si>
    <t>Cpu</t>
  </si>
  <si>
    <t>Cpk</t>
  </si>
  <si>
    <t>Persentase Cacat</t>
  </si>
  <si>
    <t>z</t>
  </si>
  <si>
    <t>x proses</t>
  </si>
  <si>
    <t>f(x) proses</t>
  </si>
  <si>
    <t>x spesifikasi</t>
  </si>
  <si>
    <t>f(x) spesifikasi</t>
  </si>
  <si>
    <t>Pivot - Implementasi Fase II (Samples 26-50, xbar-S chart)</t>
  </si>
  <si>
    <t>Kesimpulan</t>
  </si>
  <si>
    <t>Sample</t>
  </si>
  <si>
    <t>Obs1</t>
  </si>
  <si>
    <t>Obs2</t>
  </si>
  <si>
    <t>Obs3</t>
  </si>
  <si>
    <t>Obs4</t>
  </si>
  <si>
    <t>Obs5</t>
  </si>
  <si>
    <t>xbar_i</t>
  </si>
  <si>
    <t>s_i</t>
  </si>
  <si>
    <t>Status x</t>
  </si>
  <si>
    <t>Status s</t>
  </si>
  <si>
    <t>In Control</t>
  </si>
  <si>
    <t>Bottom Base 2 (Diameter Half Cylinder)</t>
  </si>
  <si>
    <t>Pemeriksaan Kondisi Abnormalitas Peta MR</t>
  </si>
  <si>
    <t>Pemeriksaan Kondisi Abnormalitas Peta xindv</t>
  </si>
  <si>
    <t>Peta xindv-MR</t>
  </si>
  <si>
    <t>xbar</t>
  </si>
  <si>
    <t>MRbar</t>
  </si>
  <si>
    <t>BKA MR</t>
  </si>
  <si>
    <t>BKB MR</t>
  </si>
  <si>
    <t>BKA xindv</t>
  </si>
  <si>
    <t>BKB xindv</t>
  </si>
  <si>
    <t>x individual</t>
  </si>
  <si>
    <t>GT MR</t>
  </si>
  <si>
    <t>GT xindv</t>
  </si>
  <si>
    <t>1/2 UCLx</t>
  </si>
  <si>
    <t>1/2 LCLx</t>
  </si>
  <si>
    <t>Tripod (Jumlah Nonconforming per 50 unit)</t>
  </si>
  <si>
    <t>Pemeriksaan Kondisi Abnormalitas Peta p</t>
  </si>
  <si>
    <t>Pemeriksaan Kondisi Abnormalitas Peta np</t>
  </si>
  <si>
    <t>Peta p dan np</t>
  </si>
  <si>
    <t>pbar</t>
  </si>
  <si>
    <t>npbar</t>
  </si>
  <si>
    <t>BKA p</t>
  </si>
  <si>
    <t>BKB p</t>
  </si>
  <si>
    <t>BKA np</t>
  </si>
  <si>
    <t>BKB np</t>
  </si>
  <si>
    <t>Jumlah Item Cacat</t>
  </si>
  <si>
    <t>Fraksi Item Cacat (p)</t>
  </si>
  <si>
    <t>Jumlah Item Cacat (np)</t>
  </si>
  <si>
    <t>GT p</t>
  </si>
  <si>
    <t>GT np</t>
  </si>
  <si>
    <t>Pan Assembly S3A1 (Jumlah Nonconformity)</t>
  </si>
  <si>
    <t>Pemeriksaan Kondisi Abnormalitas Peta c</t>
  </si>
  <si>
    <t>Peta c</t>
  </si>
  <si>
    <t>cbar</t>
  </si>
  <si>
    <t>BKA c</t>
  </si>
  <si>
    <t>BKB c</t>
  </si>
  <si>
    <t>Jumlah Cacat (c)</t>
  </si>
  <si>
    <t>GT c</t>
  </si>
  <si>
    <t>Dokumen (Jumlah Saltik/Typo per 100 dokumen)</t>
  </si>
  <si>
    <t>Pemeriksaan Kondisi Abnormalitas Peta u</t>
  </si>
  <si>
    <t>Peta u</t>
  </si>
  <si>
    <t>ubar</t>
  </si>
  <si>
    <t>BKA u</t>
  </si>
  <si>
    <t>BKB u</t>
  </si>
  <si>
    <t>Jumlah Cacat</t>
  </si>
  <si>
    <t>Jumlah Cacat/unit (u)</t>
  </si>
  <si>
    <t>GT u</t>
  </si>
  <si>
    <t>Part XYZ 1 (Panjang)</t>
  </si>
  <si>
    <t>Peta cusum</t>
  </si>
  <si>
    <t>Deteksi Pergeseran</t>
  </si>
  <si>
    <t>i</t>
  </si>
  <si>
    <t>Ci</t>
  </si>
  <si>
    <t>miu0</t>
  </si>
  <si>
    <t>Ni</t>
  </si>
  <si>
    <t>miu</t>
  </si>
  <si>
    <t>Period (i)</t>
  </si>
  <si>
    <t>Observasi (xi)</t>
  </si>
  <si>
    <t>xi-(miu0+k)</t>
  </si>
  <si>
    <t>Ci+</t>
  </si>
  <si>
    <t>Ni+</t>
  </si>
  <si>
    <t>(miu0-k)-xi</t>
  </si>
  <si>
    <t>Ci-</t>
  </si>
  <si>
    <t>Ni-</t>
  </si>
  <si>
    <t>-Ci-</t>
  </si>
  <si>
    <t>-H</t>
  </si>
  <si>
    <t>Peta EWMA</t>
  </si>
  <si>
    <t>BKA i besar</t>
  </si>
  <si>
    <t>BKB i besar</t>
  </si>
  <si>
    <t>EWMA, zi</t>
  </si>
  <si>
    <t>BKA</t>
  </si>
  <si>
    <t>BKB</t>
  </si>
  <si>
    <t>Check Luar BK</t>
  </si>
  <si>
    <t>Leg Tripod (Panjang)</t>
  </si>
  <si>
    <t>Peta xbar-R Short Production Run</t>
  </si>
  <si>
    <t>T
(Target)</t>
  </si>
  <si>
    <t>R
(Range)</t>
  </si>
  <si>
    <t>Target (T)</t>
  </si>
  <si>
    <t>Avg Range</t>
  </si>
  <si>
    <t>xbar standardized</t>
  </si>
  <si>
    <t>R standardized</t>
  </si>
  <si>
    <t>Part XYZ 2 (Diameter Dalam &amp; Luar)</t>
  </si>
  <si>
    <t>Peta Hotelling T^2</t>
  </si>
  <si>
    <t>p</t>
  </si>
  <si>
    <t>alpha</t>
  </si>
  <si>
    <t>xbar-bar1i</t>
  </si>
  <si>
    <t>xbar-bar2i</t>
  </si>
  <si>
    <t>s^2 bar 1k</t>
  </si>
  <si>
    <t>s^2 bar 2k</t>
  </si>
  <si>
    <t>kovarians bar</t>
  </si>
  <si>
    <t>Falpha</t>
  </si>
  <si>
    <t>BKA Fase 1</t>
  </si>
  <si>
    <t>BKA Fase 2</t>
  </si>
  <si>
    <t>Sampel (i)</t>
  </si>
  <si>
    <t>x1</t>
  </si>
  <si>
    <t>x2</t>
  </si>
  <si>
    <t>xbar1i</t>
  </si>
  <si>
    <t>xbar2i</t>
  </si>
  <si>
    <t>s^2 1k</t>
  </si>
  <si>
    <t>s^2 2k</t>
  </si>
  <si>
    <t>kovarians</t>
  </si>
  <si>
    <t>Nilai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</si>
</sst>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0"/>
    <numFmt numFmtId="167" formatCode="0.0000"/>
    <numFmt numFmtId="168" formatCode="0.0000000%"/>
  </numFmts>
  <fonts count="21" x14ac:knownFonts="1">
    <font>
      <sz val="11"/>
      <color theme="1"/>
      <name val="Calibri"/>
      <charset val="1"/>
    </font>
    <font>
      <sz val="11"/>
      <color theme="1"/>
      <name val="Calibri"/>
      <family val="2"/>
      <charset val="1"/>
    </font>
    <font>
      <b/>
      <sz val="18"/>
      <color theme="1"/>
      <name val="Times New Roman"/>
      <family val="1"/>
      <charset val="1"/>
    </font>
    <font>
      <sz val="11"/>
      <color theme="1"/>
      <name val="Arial"/>
      <family val="2"/>
      <charset val="1"/>
    </font>
    <font>
      <sz val="14"/>
      <color theme="1"/>
      <name val="Arial"/>
      <family val="2"/>
      <charset val="1"/>
    </font>
    <font>
      <b/>
      <sz val="14"/>
      <color theme="1"/>
      <name val="Arial"/>
      <family val="2"/>
      <charset val="1"/>
    </font>
    <font>
      <b/>
      <sz val="14"/>
      <color theme="1"/>
      <name val="Times New Roman"/>
      <family val="1"/>
      <charset val="1"/>
    </font>
    <font>
      <b/>
      <sz val="22"/>
      <color theme="1"/>
      <name val="Calibri"/>
      <family val="2"/>
      <charset val="1"/>
    </font>
    <font>
      <b/>
      <i/>
      <sz val="11"/>
      <color theme="0"/>
      <name val="Calibri"/>
      <family val="2"/>
      <charset val="1"/>
    </font>
    <font>
      <b/>
      <sz val="11"/>
      <color theme="0"/>
      <name val="Calibri"/>
      <family val="2"/>
      <charset val="1"/>
    </font>
    <font>
      <b/>
      <sz val="11"/>
      <color theme="1"/>
      <name val="Calibri"/>
      <family val="2"/>
      <charset val="1"/>
    </font>
    <font>
      <b/>
      <i/>
      <sz val="11"/>
      <color theme="1"/>
      <name val="Calibri"/>
      <family val="2"/>
      <charset val="1"/>
    </font>
    <font>
      <sz val="11"/>
      <color rgb="FF000000"/>
      <name val="Calibri"/>
      <family val="2"/>
      <charset val="1"/>
    </font>
    <font>
      <b/>
      <sz val="11"/>
      <color rgb="FFFFFFFF"/>
      <name val="Calibri"/>
      <family val="2"/>
      <charset val="1"/>
    </font>
    <font>
      <sz val="11"/>
      <color rgb="FFFFFFFF"/>
      <name val="Calibri"/>
      <family val="2"/>
      <charset val="1"/>
    </font>
    <font>
      <i/>
      <sz val="11"/>
      <color theme="1"/>
      <name val="Calibri"/>
      <family val="2"/>
      <charset val="1"/>
    </font>
    <font>
      <sz val="11"/>
      <color rgb="FF0000FF"/>
      <name val="Calibri"/>
      <family val="2"/>
      <charset val="1"/>
    </font>
    <font>
      <sz val="11"/>
      <color rgb="FF595959"/>
      <name val="Calibri"/>
      <family val="2"/>
      <charset val="1"/>
    </font>
    <font>
      <sz val="11"/>
      <color theme="0"/>
      <name val="Calibri"/>
      <family val="2"/>
      <charset val="1"/>
    </font>
    <font>
      <b/>
      <sz val="20"/>
      <color theme="1"/>
      <name val="Calibri"/>
      <family val="2"/>
      <charset val="1"/>
    </font>
    <font>
      <sz val="11"/>
      <color theme="1" tint="4.9897762993255407E-2"/>
      <name val="Calibri"/>
      <family val="2"/>
      <charset val="1"/>
    </font>
  </fonts>
  <fills count="8">
    <fill>
      <patternFill patternType="none"/>
    </fill>
    <fill>
      <patternFill patternType="gray125"/>
    </fill>
    <fill>
      <patternFill patternType="solid">
        <fgColor rgb="FFFFFCF1"/>
        <bgColor rgb="FFFFFFFF"/>
      </patternFill>
    </fill>
    <fill>
      <patternFill patternType="solid">
        <fgColor rgb="FFA92F2F"/>
        <bgColor rgb="FF993366"/>
      </patternFill>
    </fill>
    <fill>
      <patternFill patternType="solid">
        <fgColor rgb="FFF77F00"/>
        <bgColor rgb="FFED7D31"/>
      </patternFill>
    </fill>
    <fill>
      <patternFill patternType="solid">
        <fgColor theme="4"/>
        <bgColor rgb="FF5B9BD5"/>
      </patternFill>
    </fill>
    <fill>
      <patternFill patternType="solid">
        <fgColor rgb="FFE6E6E6"/>
        <bgColor rgb="FFD9D9D9"/>
      </patternFill>
    </fill>
    <fill>
      <patternFill patternType="solid">
        <fgColor rgb="FFED7D31"/>
        <bgColor rgb="FFF77F00"/>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double">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hair">
        <color auto="1"/>
      </top>
      <bottom style="hair">
        <color auto="1"/>
      </bottom>
      <diagonal/>
    </border>
    <border>
      <left/>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18">
    <xf numFmtId="0" fontId="0" fillId="0" borderId="0" xfId="0"/>
    <xf numFmtId="0" fontId="1" fillId="2" borderId="3" xfId="0" applyFont="1" applyFill="1" applyBorder="1" applyAlignment="1">
      <alignment horizontal="center"/>
    </xf>
    <xf numFmtId="0" fontId="6" fillId="2" borderId="2" xfId="0" applyFont="1" applyFill="1" applyBorder="1" applyAlignment="1">
      <alignment horizontal="center"/>
    </xf>
    <xf numFmtId="0" fontId="1" fillId="2" borderId="1" xfId="0" applyFont="1" applyFill="1" applyBorder="1" applyAlignment="1">
      <alignment horizontal="center"/>
    </xf>
    <xf numFmtId="0" fontId="4" fillId="2" borderId="0" xfId="0" applyFont="1" applyFill="1" applyAlignment="1">
      <alignment horizontal="center" wrapText="1"/>
    </xf>
    <xf numFmtId="0" fontId="1" fillId="4" borderId="3" xfId="0" applyFont="1" applyFill="1" applyBorder="1" applyAlignment="1">
      <alignment horizontal="center"/>
    </xf>
    <xf numFmtId="0" fontId="2" fillId="2" borderId="2" xfId="0" applyFont="1" applyFill="1" applyBorder="1" applyAlignment="1">
      <alignment horizontal="center"/>
    </xf>
    <xf numFmtId="0" fontId="1" fillId="3" borderId="1" xfId="0" applyFont="1" applyFill="1" applyBorder="1" applyAlignment="1">
      <alignment horizontal="center"/>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vertical="center" wrapText="1"/>
    </xf>
    <xf numFmtId="0" fontId="1" fillId="0" borderId="6" xfId="0" applyFont="1" applyBorder="1" applyAlignment="1">
      <alignment horizontal="center" wrapText="1"/>
    </xf>
    <xf numFmtId="0" fontId="1" fillId="0" borderId="5" xfId="0" applyFont="1" applyBorder="1" applyAlignment="1">
      <alignment horizontal="center"/>
    </xf>
    <xf numFmtId="0" fontId="1" fillId="2" borderId="0" xfId="0" applyFont="1" applyFill="1"/>
    <xf numFmtId="0" fontId="3" fillId="2" borderId="0" xfId="0" applyFont="1" applyFill="1"/>
    <xf numFmtId="0" fontId="4" fillId="2" borderId="0" xfId="0" applyFont="1" applyFill="1"/>
    <xf numFmtId="0" fontId="5" fillId="2" borderId="0" xfId="0" applyFont="1" applyFill="1" applyAlignment="1">
      <alignment horizontal="center" vertical="center"/>
    </xf>
    <xf numFmtId="49" fontId="3" fillId="2" borderId="0" xfId="0" applyNumberFormat="1" applyFont="1" applyFill="1" applyAlignment="1">
      <alignment horizontal="left"/>
    </xf>
    <xf numFmtId="0" fontId="1" fillId="2" borderId="0" xfId="0" applyFont="1" applyFill="1" applyAlignment="1">
      <alignment horizontal="center"/>
    </xf>
    <xf numFmtId="0" fontId="1" fillId="0" borderId="4" xfId="0" applyFont="1" applyBorder="1" applyAlignment="1">
      <alignment vertical="center"/>
    </xf>
    <xf numFmtId="0" fontId="1" fillId="0" borderId="4" xfId="0" applyFont="1" applyBorder="1" applyAlignment="1">
      <alignment wrapText="1"/>
    </xf>
    <xf numFmtId="0" fontId="1" fillId="0" borderId="4" xfId="0" applyFont="1" applyBorder="1" applyAlignment="1">
      <alignment horizontal="center" vertical="center"/>
    </xf>
    <xf numFmtId="0" fontId="1" fillId="0" borderId="4" xfId="0" applyFont="1" applyBorder="1" applyAlignment="1">
      <alignment horizontal="left" vertical="center" wrapText="1"/>
    </xf>
    <xf numFmtId="17" fontId="1" fillId="0" borderId="0" xfId="0" applyNumberFormat="1" applyFont="1"/>
    <xf numFmtId="1" fontId="1" fillId="0" borderId="0" xfId="0" applyNumberFormat="1" applyFont="1"/>
    <xf numFmtId="0" fontId="1" fillId="0" borderId="0" xfId="0" applyFont="1" applyAlignment="1">
      <alignment vertical="center"/>
    </xf>
    <xf numFmtId="0" fontId="1" fillId="0" borderId="0" xfId="0" applyFont="1" applyAlignment="1">
      <alignment wrapText="1"/>
    </xf>
    <xf numFmtId="0" fontId="1" fillId="0" borderId="0" xfId="0" applyFont="1" applyAlignment="1">
      <alignment horizontal="center"/>
    </xf>
    <xf numFmtId="0" fontId="1" fillId="0" borderId="5" xfId="0" applyFont="1" applyBorder="1" applyAlignment="1">
      <alignment horizontal="center"/>
    </xf>
    <xf numFmtId="0" fontId="1" fillId="0" borderId="0" xfId="0" applyFont="1" applyAlignment="1">
      <alignment horizontal="center" wrapText="1"/>
    </xf>
    <xf numFmtId="0" fontId="1" fillId="0" borderId="5" xfId="0" applyFont="1" applyBorder="1" applyAlignment="1">
      <alignment horizontal="center" wrapText="1"/>
    </xf>
    <xf numFmtId="0" fontId="1" fillId="0" borderId="5" xfId="0" applyFont="1" applyBorder="1" applyAlignment="1">
      <alignment wrapText="1"/>
    </xf>
    <xf numFmtId="0" fontId="1" fillId="0" borderId="0" xfId="0" applyFont="1" applyAlignment="1">
      <alignment horizontal="center" vertical="center"/>
    </xf>
    <xf numFmtId="0" fontId="0" fillId="0" borderId="0" xfId="0" applyAlignment="1">
      <alignment horizontal="center" vertical="center"/>
    </xf>
    <xf numFmtId="1" fontId="1" fillId="0" borderId="0" xfId="0" applyNumberFormat="1" applyFont="1" applyAlignment="1">
      <alignment horizontal="center" vertical="center"/>
    </xf>
    <xf numFmtId="0" fontId="1" fillId="0" borderId="4" xfId="0" applyFont="1" applyBorder="1"/>
    <xf numFmtId="1" fontId="1" fillId="0" borderId="4" xfId="0" applyNumberFormat="1" applyFont="1" applyBorder="1" applyAlignment="1">
      <alignment horizontal="center"/>
    </xf>
    <xf numFmtId="164"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2"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0" xfId="0" applyFont="1"/>
    <xf numFmtId="164" fontId="1" fillId="0" borderId="4" xfId="0" applyNumberFormat="1" applyFont="1" applyBorder="1"/>
    <xf numFmtId="0" fontId="7" fillId="0" borderId="0" xfId="0" applyFont="1"/>
    <xf numFmtId="0" fontId="8" fillId="5" borderId="0" xfId="0" applyFont="1" applyFill="1" applyAlignment="1">
      <alignment horizontal="left"/>
    </xf>
    <xf numFmtId="0" fontId="9" fillId="5" borderId="0" xfId="0" applyFont="1" applyFill="1" applyAlignment="1">
      <alignment horizontal="left"/>
    </xf>
    <xf numFmtId="0" fontId="10" fillId="0" borderId="0" xfId="0" applyFont="1"/>
    <xf numFmtId="0" fontId="11" fillId="6" borderId="0" xfId="0" applyFont="1" applyFill="1"/>
    <xf numFmtId="0" fontId="10" fillId="6" borderId="0" xfId="0" applyFont="1" applyFill="1"/>
    <xf numFmtId="0" fontId="12" fillId="0" borderId="9" xfId="0" applyFont="1" applyBorder="1"/>
    <xf numFmtId="0" fontId="1" fillId="0" borderId="9" xfId="0" applyFont="1" applyBorder="1"/>
    <xf numFmtId="0" fontId="13" fillId="0" borderId="0" xfId="0" applyFont="1"/>
    <xf numFmtId="0" fontId="14" fillId="0" borderId="0" xfId="0" applyFont="1"/>
    <xf numFmtId="0" fontId="15" fillId="0" borderId="0" xfId="0" applyFont="1"/>
    <xf numFmtId="0" fontId="12" fillId="0" borderId="0" xfId="0" applyFont="1" applyAlignment="1">
      <alignment horizontal="left"/>
    </xf>
    <xf numFmtId="0" fontId="1" fillId="0" borderId="0" xfId="0" applyFont="1" applyAlignment="1">
      <alignment horizontal="left"/>
    </xf>
    <xf numFmtId="0" fontId="17" fillId="0" borderId="0" xfId="0" applyFont="1" applyAlignment="1">
      <alignment horizontal="left"/>
    </xf>
    <xf numFmtId="0" fontId="18" fillId="5" borderId="0" xfId="0" applyFont="1" applyFill="1" applyAlignment="1">
      <alignment horizontal="left"/>
    </xf>
    <xf numFmtId="0" fontId="18" fillId="7" borderId="9" xfId="0" applyFont="1" applyFill="1" applyBorder="1" applyAlignment="1">
      <alignment horizontal="left"/>
    </xf>
    <xf numFmtId="0" fontId="10" fillId="0" borderId="4" xfId="0" applyFont="1" applyBorder="1" applyAlignment="1">
      <alignment vertical="center"/>
    </xf>
    <xf numFmtId="0" fontId="10" fillId="0" borderId="4" xfId="0" applyFont="1" applyBorder="1" applyAlignment="1">
      <alignment wrapText="1"/>
    </xf>
    <xf numFmtId="0" fontId="16" fillId="0" borderId="4" xfId="0" applyFont="1" applyBorder="1" applyAlignment="1">
      <alignment vertical="center" wrapText="1"/>
    </xf>
    <xf numFmtId="0" fontId="1" fillId="0" borderId="11" xfId="0" applyFont="1" applyBorder="1" applyAlignment="1">
      <alignment horizontal="center"/>
    </xf>
    <xf numFmtId="1" fontId="16" fillId="0" borderId="11" xfId="0" applyNumberFormat="1" applyFont="1" applyBorder="1"/>
    <xf numFmtId="1" fontId="1" fillId="0" borderId="11" xfId="0" applyNumberFormat="1" applyFont="1" applyBorder="1"/>
    <xf numFmtId="1" fontId="16" fillId="0" borderId="0" xfId="0" applyNumberFormat="1" applyFont="1"/>
    <xf numFmtId="164" fontId="16" fillId="0" borderId="0" xfId="0" applyNumberFormat="1" applyFont="1"/>
    <xf numFmtId="164" fontId="1" fillId="0" borderId="0" xfId="0" applyNumberFormat="1" applyFont="1"/>
    <xf numFmtId="0" fontId="1" fillId="0" borderId="10" xfId="0" applyFont="1" applyBorder="1" applyAlignment="1">
      <alignment horizontal="center"/>
    </xf>
    <xf numFmtId="164" fontId="1" fillId="0" borderId="10" xfId="0" applyNumberFormat="1" applyFont="1" applyBorder="1"/>
    <xf numFmtId="164" fontId="16" fillId="0" borderId="10" xfId="0" applyNumberFormat="1" applyFont="1" applyBorder="1"/>
    <xf numFmtId="164" fontId="16" fillId="0" borderId="0" xfId="0" applyNumberFormat="1" applyFont="1" applyAlignment="1">
      <alignment horizontal="center"/>
    </xf>
    <xf numFmtId="166" fontId="16" fillId="0" borderId="0" xfId="0" applyNumberFormat="1" applyFont="1" applyAlignment="1">
      <alignment horizontal="center" wrapText="1"/>
    </xf>
    <xf numFmtId="0" fontId="1" fillId="0" borderId="11" xfId="0" applyFont="1" applyBorder="1"/>
    <xf numFmtId="2" fontId="16" fillId="0" borderId="11" xfId="0" applyNumberFormat="1" applyFont="1" applyBorder="1"/>
    <xf numFmtId="166" fontId="1" fillId="0" borderId="0" xfId="0" applyNumberFormat="1" applyFont="1"/>
    <xf numFmtId="2" fontId="1" fillId="0" borderId="0" xfId="0" applyNumberFormat="1" applyFont="1"/>
    <xf numFmtId="167" fontId="16" fillId="0" borderId="0" xfId="0" applyNumberFormat="1" applyFont="1" applyAlignment="1">
      <alignment horizontal="center"/>
    </xf>
    <xf numFmtId="2" fontId="16" fillId="0" borderId="0" xfId="0" applyNumberFormat="1" applyFont="1" applyAlignment="1">
      <alignment horizontal="right"/>
    </xf>
    <xf numFmtId="2" fontId="1" fillId="0" borderId="0" xfId="0" applyNumberFormat="1" applyFont="1" applyAlignment="1">
      <alignment horizontal="right"/>
    </xf>
    <xf numFmtId="2" fontId="1" fillId="0" borderId="10" xfId="0" applyNumberFormat="1" applyFont="1" applyBorder="1" applyAlignment="1">
      <alignment horizontal="right"/>
    </xf>
    <xf numFmtId="1" fontId="1" fillId="0" borderId="0" xfId="0" applyNumberFormat="1" applyFont="1" applyAlignment="1">
      <alignment horizontal="center" wrapText="1"/>
    </xf>
    <xf numFmtId="10" fontId="20" fillId="0" borderId="0" xfId="0" applyNumberFormat="1" applyFont="1" applyAlignment="1">
      <alignment horizontal="right" vertical="center" wrapText="1"/>
    </xf>
    <xf numFmtId="0" fontId="1" fillId="0" borderId="10" xfId="0" applyFont="1" applyBorder="1" applyAlignment="1">
      <alignment horizontal="center" wrapText="1"/>
    </xf>
    <xf numFmtId="168" fontId="1" fillId="0" borderId="0" xfId="0" applyNumberFormat="1" applyFont="1"/>
    <xf numFmtId="164" fontId="16" fillId="0" borderId="0" xfId="0" applyNumberFormat="1" applyFont="1" applyAlignment="1">
      <alignment wrapText="1"/>
    </xf>
    <xf numFmtId="0" fontId="0" fillId="0" borderId="5" xfId="0" applyBorder="1"/>
    <xf numFmtId="164" fontId="0" fillId="0" borderId="0" xfId="0" applyNumberFormat="1"/>
    <xf numFmtId="1" fontId="16" fillId="0" borderId="0" xfId="0" applyNumberFormat="1" applyFont="1" applyAlignment="1">
      <alignment horizontal="center"/>
    </xf>
    <xf numFmtId="2" fontId="1" fillId="0" borderId="11" xfId="0" applyNumberFormat="1" applyFont="1" applyBorder="1"/>
    <xf numFmtId="2" fontId="1" fillId="0" borderId="10" xfId="0" applyNumberFormat="1" applyFont="1" applyBorder="1"/>
    <xf numFmtId="1" fontId="1" fillId="0" borderId="10" xfId="0" applyNumberFormat="1" applyFont="1" applyBorder="1"/>
    <xf numFmtId="164" fontId="16" fillId="0" borderId="0" xfId="0" applyNumberFormat="1" applyFont="1" applyAlignment="1">
      <alignment horizontal="center" wrapText="1"/>
    </xf>
    <xf numFmtId="1" fontId="16" fillId="0" borderId="0" xfId="0" applyNumberFormat="1" applyFont="1" applyAlignment="1">
      <alignment horizontal="center" wrapText="1"/>
    </xf>
    <xf numFmtId="165" fontId="1" fillId="0" borderId="0" xfId="0" applyNumberFormat="1" applyFont="1"/>
    <xf numFmtId="0" fontId="1" fillId="0" borderId="10" xfId="0" applyFont="1" applyBorder="1"/>
    <xf numFmtId="2" fontId="16" fillId="0" borderId="0" xfId="0" applyNumberFormat="1" applyFont="1" applyAlignment="1">
      <alignment wrapText="1"/>
    </xf>
    <xf numFmtId="2" fontId="16" fillId="0" borderId="0" xfId="0" applyNumberFormat="1" applyFont="1"/>
    <xf numFmtId="164" fontId="20" fillId="0" borderId="0" xfId="0" applyNumberFormat="1" applyFont="1"/>
    <xf numFmtId="2" fontId="16" fillId="0" borderId="10" xfId="0" applyNumberFormat="1" applyFont="1" applyBorder="1"/>
    <xf numFmtId="0" fontId="0" fillId="0" borderId="4" xfId="0" applyBorder="1" applyAlignment="1">
      <alignment horizontal="center"/>
    </xf>
    <xf numFmtId="0" fontId="1" fillId="0" borderId="4" xfId="0" applyFont="1" applyBorder="1" applyAlignment="1">
      <alignment horizontal="center"/>
    </xf>
    <xf numFmtId="0" fontId="12" fillId="0" borderId="9" xfId="0" applyFont="1" applyBorder="1" applyAlignment="1">
      <alignment horizontal="left" wrapText="1"/>
    </xf>
    <xf numFmtId="0" fontId="16" fillId="0" borderId="0" xfId="0" applyFont="1" applyAlignment="1">
      <alignment horizontal="left" wrapText="1"/>
    </xf>
    <xf numFmtId="0" fontId="16" fillId="0" borderId="10" xfId="0" applyFont="1" applyBorder="1" applyAlignment="1">
      <alignment horizontal="left"/>
    </xf>
    <xf numFmtId="0" fontId="1" fillId="0" borderId="0" xfId="0" applyFont="1" applyAlignment="1">
      <alignment horizontal="center"/>
    </xf>
    <xf numFmtId="0" fontId="15" fillId="0" borderId="0" xfId="0" applyFont="1" applyAlignment="1">
      <alignment horizontal="left"/>
    </xf>
    <xf numFmtId="0" fontId="1" fillId="0" borderId="0" xfId="0" applyFont="1" applyAlignment="1">
      <alignment horizontal="left"/>
    </xf>
    <xf numFmtId="0" fontId="19" fillId="0" borderId="11" xfId="0" applyFont="1" applyBorder="1" applyAlignment="1">
      <alignment horizontal="center" vertical="center"/>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9" fillId="0" borderId="5" xfId="0" applyFont="1" applyBorder="1" applyAlignment="1">
      <alignment horizontal="center" vertical="center"/>
    </xf>
    <xf numFmtId="0" fontId="1" fillId="0" borderId="10" xfId="0" applyFont="1" applyBorder="1" applyAlignment="1">
      <alignment horizontal="center" vertical="center" wrapText="1"/>
    </xf>
    <xf numFmtId="1" fontId="1" fillId="0" borderId="12" xfId="0" applyNumberFormat="1" applyFont="1" applyBorder="1" applyAlignment="1">
      <alignment horizontal="center" vertical="center" wrapText="1"/>
    </xf>
    <xf numFmtId="1" fontId="1" fillId="0" borderId="13" xfId="0" applyNumberFormat="1" applyFont="1" applyBorder="1" applyAlignment="1">
      <alignment horizontal="center" vertical="center" wrapText="1"/>
    </xf>
  </cellXfs>
  <cellStyles count="1">
    <cellStyle name="Normal" xfId="0" builtinId="0"/>
  </cellStyles>
  <dxfs count="3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757575"/>
      <rgbColor rgb="FFA5A5A5"/>
      <rgbColor rgb="FF993366"/>
      <rgbColor rgb="FFFFFCF1"/>
      <rgbColor rgb="FFE6E6E6"/>
      <rgbColor rgb="FF660066"/>
      <rgbColor rgb="FFED7D31"/>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472C4"/>
      <rgbColor rgb="FF5B9BD5"/>
      <rgbColor rgb="FF99CC00"/>
      <rgbColor rgb="FFFFC000"/>
      <rgbColor rgb="FFFF9900"/>
      <rgbColor rgb="FFF77F00"/>
      <rgbColor rgb="FF595959"/>
      <rgbColor rgb="FF8B8B8B"/>
      <rgbColor rgb="FF003366"/>
      <rgbColor rgb="FF70AD47"/>
      <rgbColor rgb="FF0D0D0D"/>
      <rgbColor rgb="FF333300"/>
      <rgbColor rgb="FFA92F2F"/>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xbar Chart</a:t>
            </a:r>
          </a:p>
        </c:rich>
      </c:tx>
      <c:overlay val="0"/>
      <c:spPr>
        <a:noFill/>
        <a:ln w="0">
          <a:noFill/>
        </a:ln>
      </c:spPr>
    </c:title>
    <c:autoTitleDeleted val="0"/>
    <c:plotArea>
      <c:layout/>
      <c:lineChart>
        <c:grouping val="standard"/>
        <c:varyColors val="0"/>
        <c:ser>
          <c:idx val="0"/>
          <c:order val="0"/>
          <c:tx>
            <c:v>Rata-rata (xi bar)</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xbar-R'!$H$42:$H$66</c:f>
              <c:numCache>
                <c:formatCode>0.000</c:formatCode>
                <c:ptCount val="25"/>
                <c:pt idx="0">
                  <c:v>10.3728</c:v>
                </c:pt>
                <c:pt idx="1">
                  <c:v>10.5724</c:v>
                </c:pt>
                <c:pt idx="2">
                  <c:v>10.4222</c:v>
                </c:pt>
                <c:pt idx="3">
                  <c:v>10.601599999999999</c:v>
                </c:pt>
                <c:pt idx="4">
                  <c:v>10.635400000000001</c:v>
                </c:pt>
                <c:pt idx="5">
                  <c:v>10.4222</c:v>
                </c:pt>
                <c:pt idx="6">
                  <c:v>10.513999999999999</c:v>
                </c:pt>
                <c:pt idx="7">
                  <c:v>10.478400000000001</c:v>
                </c:pt>
                <c:pt idx="8">
                  <c:v>10.5724</c:v>
                </c:pt>
                <c:pt idx="9">
                  <c:v>10.653</c:v>
                </c:pt>
                <c:pt idx="10">
                  <c:v>10.815</c:v>
                </c:pt>
                <c:pt idx="11">
                  <c:v>10.570399999999999</c:v>
                </c:pt>
                <c:pt idx="12">
                  <c:v>10.494</c:v>
                </c:pt>
                <c:pt idx="13">
                  <c:v>10.44</c:v>
                </c:pt>
                <c:pt idx="14">
                  <c:v>10.4602</c:v>
                </c:pt>
                <c:pt idx="15">
                  <c:v>10.587999999999999</c:v>
                </c:pt>
                <c:pt idx="16">
                  <c:v>10.3682</c:v>
                </c:pt>
                <c:pt idx="17">
                  <c:v>10.5076</c:v>
                </c:pt>
                <c:pt idx="18">
                  <c:v>10.5566</c:v>
                </c:pt>
                <c:pt idx="19">
                  <c:v>10.7454</c:v>
                </c:pt>
                <c:pt idx="20">
                  <c:v>10.521000000000001</c:v>
                </c:pt>
                <c:pt idx="21">
                  <c:v>10.402200000000001</c:v>
                </c:pt>
                <c:pt idx="22">
                  <c:v>10.951395</c:v>
                </c:pt>
                <c:pt idx="23">
                  <c:v>10.4694</c:v>
                </c:pt>
                <c:pt idx="24">
                  <c:v>10.4154</c:v>
                </c:pt>
              </c:numCache>
            </c:numRef>
          </c:val>
          <c:smooth val="0"/>
          <c:extLst>
            <c:ext xmlns:c16="http://schemas.microsoft.com/office/drawing/2014/chart" uri="{C3380CC4-5D6E-409C-BE32-E72D297353CC}">
              <c16:uniqueId val="{00000000-CCB0-4EF4-89C1-A89042D18BE5}"/>
            </c:ext>
          </c:extLst>
        </c:ser>
        <c:ser>
          <c:idx val="1"/>
          <c:order val="1"/>
          <c:tx>
            <c:v>GT xbar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xbar-R'!$M$42:$M$66</c:f>
              <c:numCache>
                <c:formatCode>0.000</c:formatCode>
                <c:ptCount val="25"/>
                <c:pt idx="0">
                  <c:v>10.491992</c:v>
                </c:pt>
                <c:pt idx="1">
                  <c:v>10.491992</c:v>
                </c:pt>
                <c:pt idx="2">
                  <c:v>10.491992</c:v>
                </c:pt>
                <c:pt idx="3">
                  <c:v>10.491992</c:v>
                </c:pt>
                <c:pt idx="4">
                  <c:v>10.491992</c:v>
                </c:pt>
                <c:pt idx="5">
                  <c:v>10.491992</c:v>
                </c:pt>
                <c:pt idx="6">
                  <c:v>10.491992</c:v>
                </c:pt>
                <c:pt idx="7">
                  <c:v>10.491992</c:v>
                </c:pt>
                <c:pt idx="8">
                  <c:v>10.491992</c:v>
                </c:pt>
                <c:pt idx="9">
                  <c:v>10.491992</c:v>
                </c:pt>
                <c:pt idx="10">
                  <c:v>10.491992</c:v>
                </c:pt>
                <c:pt idx="11">
                  <c:v>10.491992</c:v>
                </c:pt>
                <c:pt idx="12">
                  <c:v>10.491992</c:v>
                </c:pt>
                <c:pt idx="13">
                  <c:v>10.491992</c:v>
                </c:pt>
                <c:pt idx="14">
                  <c:v>10.491992</c:v>
                </c:pt>
                <c:pt idx="15">
                  <c:v>10.491992</c:v>
                </c:pt>
                <c:pt idx="16">
                  <c:v>10.491992</c:v>
                </c:pt>
                <c:pt idx="17">
                  <c:v>10.491992</c:v>
                </c:pt>
                <c:pt idx="18">
                  <c:v>10.491992</c:v>
                </c:pt>
                <c:pt idx="19">
                  <c:v>10.491992</c:v>
                </c:pt>
                <c:pt idx="20">
                  <c:v>10.491992</c:v>
                </c:pt>
                <c:pt idx="21">
                  <c:v>10.491992</c:v>
                </c:pt>
                <c:pt idx="22">
                  <c:v>10.491992</c:v>
                </c:pt>
                <c:pt idx="23">
                  <c:v>10.491992</c:v>
                </c:pt>
                <c:pt idx="24">
                  <c:v>10.491992</c:v>
                </c:pt>
              </c:numCache>
            </c:numRef>
          </c:val>
          <c:smooth val="0"/>
          <c:extLst>
            <c:ext xmlns:c16="http://schemas.microsoft.com/office/drawing/2014/chart" uri="{C3380CC4-5D6E-409C-BE32-E72D297353CC}">
              <c16:uniqueId val="{00000001-CCB0-4EF4-89C1-A89042D18BE5}"/>
            </c:ext>
          </c:extLst>
        </c:ser>
        <c:ser>
          <c:idx val="2"/>
          <c:order val="2"/>
          <c:tx>
            <c:v>BKA xbar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xbar-R'!$N$42:$N$66</c:f>
              <c:numCache>
                <c:formatCode>0.000</c:formatCode>
                <c:ptCount val="25"/>
                <c:pt idx="0">
                  <c:v>10.762062999999999</c:v>
                </c:pt>
                <c:pt idx="1">
                  <c:v>10.762062999999999</c:v>
                </c:pt>
                <c:pt idx="2">
                  <c:v>10.762062999999999</c:v>
                </c:pt>
                <c:pt idx="3">
                  <c:v>10.762062999999999</c:v>
                </c:pt>
                <c:pt idx="4">
                  <c:v>10.762062999999999</c:v>
                </c:pt>
                <c:pt idx="5">
                  <c:v>10.762062999999999</c:v>
                </c:pt>
                <c:pt idx="6">
                  <c:v>10.762062999999999</c:v>
                </c:pt>
                <c:pt idx="7">
                  <c:v>10.762062999999999</c:v>
                </c:pt>
                <c:pt idx="8">
                  <c:v>10.762062999999999</c:v>
                </c:pt>
                <c:pt idx="9">
                  <c:v>10.762062999999999</c:v>
                </c:pt>
                <c:pt idx="10">
                  <c:v>10.762062999999999</c:v>
                </c:pt>
                <c:pt idx="11">
                  <c:v>10.762062999999999</c:v>
                </c:pt>
                <c:pt idx="12">
                  <c:v>10.762062999999999</c:v>
                </c:pt>
                <c:pt idx="13">
                  <c:v>10.762062999999999</c:v>
                </c:pt>
                <c:pt idx="14">
                  <c:v>10.762062999999999</c:v>
                </c:pt>
                <c:pt idx="15">
                  <c:v>10.762062999999999</c:v>
                </c:pt>
                <c:pt idx="16">
                  <c:v>10.762062999999999</c:v>
                </c:pt>
                <c:pt idx="17">
                  <c:v>10.762062999999999</c:v>
                </c:pt>
                <c:pt idx="18">
                  <c:v>10.762062999999999</c:v>
                </c:pt>
                <c:pt idx="19">
                  <c:v>10.762062999999999</c:v>
                </c:pt>
                <c:pt idx="20">
                  <c:v>10.762062999999999</c:v>
                </c:pt>
                <c:pt idx="21">
                  <c:v>10.762062999999999</c:v>
                </c:pt>
                <c:pt idx="22">
                  <c:v>10.762062999999999</c:v>
                </c:pt>
                <c:pt idx="23">
                  <c:v>10.762062999999999</c:v>
                </c:pt>
                <c:pt idx="24">
                  <c:v>10.762062999999999</c:v>
                </c:pt>
              </c:numCache>
            </c:numRef>
          </c:val>
          <c:smooth val="0"/>
          <c:extLst>
            <c:ext xmlns:c16="http://schemas.microsoft.com/office/drawing/2014/chart" uri="{C3380CC4-5D6E-409C-BE32-E72D297353CC}">
              <c16:uniqueId val="{00000002-CCB0-4EF4-89C1-A89042D18BE5}"/>
            </c:ext>
          </c:extLst>
        </c:ser>
        <c:ser>
          <c:idx val="3"/>
          <c:order val="3"/>
          <c:tx>
            <c:v>BKB xbar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xbar-R'!$O$42:$O$66</c:f>
              <c:numCache>
                <c:formatCode>0.000</c:formatCode>
                <c:ptCount val="25"/>
                <c:pt idx="0">
                  <c:v>10.221921</c:v>
                </c:pt>
                <c:pt idx="1">
                  <c:v>10.221921</c:v>
                </c:pt>
                <c:pt idx="2">
                  <c:v>10.221921</c:v>
                </c:pt>
                <c:pt idx="3">
                  <c:v>10.221921</c:v>
                </c:pt>
                <c:pt idx="4">
                  <c:v>10.221921</c:v>
                </c:pt>
                <c:pt idx="5">
                  <c:v>10.221921</c:v>
                </c:pt>
                <c:pt idx="6">
                  <c:v>10.221921</c:v>
                </c:pt>
                <c:pt idx="7">
                  <c:v>10.221921</c:v>
                </c:pt>
                <c:pt idx="8">
                  <c:v>10.221921</c:v>
                </c:pt>
                <c:pt idx="9">
                  <c:v>10.221921</c:v>
                </c:pt>
                <c:pt idx="10">
                  <c:v>10.221921</c:v>
                </c:pt>
                <c:pt idx="11">
                  <c:v>10.221921</c:v>
                </c:pt>
                <c:pt idx="12">
                  <c:v>10.221921</c:v>
                </c:pt>
                <c:pt idx="13">
                  <c:v>10.221921</c:v>
                </c:pt>
                <c:pt idx="14">
                  <c:v>10.221921</c:v>
                </c:pt>
                <c:pt idx="15">
                  <c:v>10.221921</c:v>
                </c:pt>
                <c:pt idx="16">
                  <c:v>10.221921</c:v>
                </c:pt>
                <c:pt idx="17">
                  <c:v>10.221921</c:v>
                </c:pt>
                <c:pt idx="18">
                  <c:v>10.221921</c:v>
                </c:pt>
                <c:pt idx="19">
                  <c:v>10.221921</c:v>
                </c:pt>
                <c:pt idx="20">
                  <c:v>10.221921</c:v>
                </c:pt>
                <c:pt idx="21">
                  <c:v>10.221921</c:v>
                </c:pt>
                <c:pt idx="22">
                  <c:v>10.221921</c:v>
                </c:pt>
                <c:pt idx="23">
                  <c:v>10.221921</c:v>
                </c:pt>
                <c:pt idx="24">
                  <c:v>10.221921</c:v>
                </c:pt>
              </c:numCache>
            </c:numRef>
          </c:val>
          <c:smooth val="0"/>
          <c:extLst>
            <c:ext xmlns:c16="http://schemas.microsoft.com/office/drawing/2014/chart" uri="{C3380CC4-5D6E-409C-BE32-E72D297353CC}">
              <c16:uniqueId val="{00000003-CCB0-4EF4-89C1-A89042D18BE5}"/>
            </c:ext>
          </c:extLst>
        </c:ser>
        <c:dLbls>
          <c:showLegendKey val="0"/>
          <c:showVal val="0"/>
          <c:showCatName val="0"/>
          <c:showSerName val="0"/>
          <c:showPercent val="0"/>
          <c:showBubbleSize val="0"/>
        </c:dLbls>
        <c:hiLowLines>
          <c:spPr>
            <a:ln w="0">
              <a:noFill/>
            </a:ln>
          </c:spPr>
        </c:hiLowLines>
        <c:marker val="1"/>
        <c:smooth val="0"/>
        <c:axId val="71910777"/>
        <c:axId val="11920948"/>
      </c:lineChart>
      <c:catAx>
        <c:axId val="71910777"/>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1920948"/>
        <c:crosses val="autoZero"/>
        <c:auto val="1"/>
        <c:lblAlgn val="ctr"/>
        <c:lblOffset val="100"/>
        <c:noMultiLvlLbl val="0"/>
      </c:catAx>
      <c:valAx>
        <c:axId val="11920948"/>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1910777"/>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R Chart</a:t>
            </a:r>
          </a:p>
        </c:rich>
      </c:tx>
      <c:overlay val="0"/>
      <c:spPr>
        <a:noFill/>
        <a:ln w="0">
          <a:noFill/>
        </a:ln>
      </c:spPr>
    </c:title>
    <c:autoTitleDeleted val="0"/>
    <c:plotArea>
      <c:layout/>
      <c:lineChart>
        <c:grouping val="standard"/>
        <c:varyColors val="0"/>
        <c:ser>
          <c:idx val="0"/>
          <c:order val="0"/>
          <c:tx>
            <c:v>Range (Ri)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xbar-R'!$I$42:$I$66</c:f>
              <c:numCache>
                <c:formatCode>0.00000</c:formatCode>
                <c:ptCount val="25"/>
                <c:pt idx="0">
                  <c:v>0.71799999999999997</c:v>
                </c:pt>
                <c:pt idx="1">
                  <c:v>0.97599999999999998</c:v>
                </c:pt>
                <c:pt idx="2">
                  <c:v>0.71799999999999997</c:v>
                </c:pt>
                <c:pt idx="3">
                  <c:v>0.30299999999999999</c:v>
                </c:pt>
                <c:pt idx="4">
                  <c:v>0.51600000000000001</c:v>
                </c:pt>
                <c:pt idx="5">
                  <c:v>1.1000000000000001</c:v>
                </c:pt>
                <c:pt idx="6">
                  <c:v>0.49399999999999999</c:v>
                </c:pt>
                <c:pt idx="7">
                  <c:v>0.28100000000000003</c:v>
                </c:pt>
                <c:pt idx="8">
                  <c:v>0.61699999999999999</c:v>
                </c:pt>
                <c:pt idx="9">
                  <c:v>0.29199999999999998</c:v>
                </c:pt>
                <c:pt idx="10">
                  <c:v>0.68500000000000005</c:v>
                </c:pt>
                <c:pt idx="11">
                  <c:v>0.57199999999999995</c:v>
                </c:pt>
                <c:pt idx="12">
                  <c:v>0.34799999999999998</c:v>
                </c:pt>
                <c:pt idx="13">
                  <c:v>0.224</c:v>
                </c:pt>
                <c:pt idx="14">
                  <c:v>0.49399999999999999</c:v>
                </c:pt>
                <c:pt idx="15">
                  <c:v>0.33700000000000002</c:v>
                </c:pt>
                <c:pt idx="16">
                  <c:v>1.0209999999999999</c:v>
                </c:pt>
                <c:pt idx="17">
                  <c:v>1.167</c:v>
                </c:pt>
                <c:pt idx="18">
                  <c:v>0.438</c:v>
                </c:pt>
                <c:pt idx="19">
                  <c:v>0.39300000000000002</c:v>
                </c:pt>
                <c:pt idx="20">
                  <c:v>0.437</c:v>
                </c:pt>
                <c:pt idx="21">
                  <c:v>0.86399999999999999</c:v>
                </c:pt>
                <c:pt idx="22">
                  <c:v>1.3069999999999999</c:v>
                </c:pt>
                <c:pt idx="23">
                  <c:v>0.86399999999999999</c:v>
                </c:pt>
                <c:pt idx="24">
                  <c:v>0.28000000000000003</c:v>
                </c:pt>
              </c:numCache>
            </c:numRef>
          </c:val>
          <c:smooth val="0"/>
          <c:extLst>
            <c:ext xmlns:c16="http://schemas.microsoft.com/office/drawing/2014/chart" uri="{C3380CC4-5D6E-409C-BE32-E72D297353CC}">
              <c16:uniqueId val="{00000000-5D7A-4429-AF3B-C45461A10CBF}"/>
            </c:ext>
          </c:extLst>
        </c:ser>
        <c:ser>
          <c:idx val="1"/>
          <c:order val="1"/>
          <c:tx>
            <c:v>GT 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xbar-R'!$J$42:$J$66</c:f>
              <c:numCache>
                <c:formatCode>0.000</c:formatCode>
                <c:ptCount val="25"/>
                <c:pt idx="0">
                  <c:v>0.46805999999999998</c:v>
                </c:pt>
                <c:pt idx="1">
                  <c:v>0.46805999999999998</c:v>
                </c:pt>
                <c:pt idx="2">
                  <c:v>0.46805999999999998</c:v>
                </c:pt>
                <c:pt idx="3">
                  <c:v>0.46805999999999998</c:v>
                </c:pt>
                <c:pt idx="4">
                  <c:v>0.46805999999999998</c:v>
                </c:pt>
                <c:pt idx="5">
                  <c:v>0.46805999999999998</c:v>
                </c:pt>
                <c:pt idx="6">
                  <c:v>0.46805999999999998</c:v>
                </c:pt>
                <c:pt idx="7">
                  <c:v>0.46805999999999998</c:v>
                </c:pt>
                <c:pt idx="8">
                  <c:v>0.46805999999999998</c:v>
                </c:pt>
                <c:pt idx="9">
                  <c:v>0.46805999999999998</c:v>
                </c:pt>
                <c:pt idx="10">
                  <c:v>0.46805999999999998</c:v>
                </c:pt>
                <c:pt idx="11">
                  <c:v>0.46805999999999998</c:v>
                </c:pt>
                <c:pt idx="12">
                  <c:v>0.46805999999999998</c:v>
                </c:pt>
                <c:pt idx="13">
                  <c:v>0.46805999999999998</c:v>
                </c:pt>
                <c:pt idx="14">
                  <c:v>0.46805999999999998</c:v>
                </c:pt>
                <c:pt idx="15">
                  <c:v>0.46805999999999998</c:v>
                </c:pt>
                <c:pt idx="16">
                  <c:v>0.46805999999999998</c:v>
                </c:pt>
                <c:pt idx="17">
                  <c:v>0.46805999999999998</c:v>
                </c:pt>
                <c:pt idx="18">
                  <c:v>0.46805999999999998</c:v>
                </c:pt>
                <c:pt idx="19">
                  <c:v>0.46805999999999998</c:v>
                </c:pt>
                <c:pt idx="20">
                  <c:v>0.46805999999999998</c:v>
                </c:pt>
                <c:pt idx="21">
                  <c:v>0.46805999999999998</c:v>
                </c:pt>
                <c:pt idx="22">
                  <c:v>0.46805999999999998</c:v>
                </c:pt>
                <c:pt idx="23">
                  <c:v>0.46805999999999998</c:v>
                </c:pt>
                <c:pt idx="24">
                  <c:v>0.46805999999999998</c:v>
                </c:pt>
              </c:numCache>
            </c:numRef>
          </c:val>
          <c:smooth val="0"/>
          <c:extLst>
            <c:ext xmlns:c16="http://schemas.microsoft.com/office/drawing/2014/chart" uri="{C3380CC4-5D6E-409C-BE32-E72D297353CC}">
              <c16:uniqueId val="{00000001-5D7A-4429-AF3B-C45461A10CBF}"/>
            </c:ext>
          </c:extLst>
        </c:ser>
        <c:ser>
          <c:idx val="2"/>
          <c:order val="2"/>
          <c:tx>
            <c:v>BKA 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xbar-R'!$K$42:$K$66</c:f>
              <c:numCache>
                <c:formatCode>0.000</c:formatCode>
                <c:ptCount val="25"/>
                <c:pt idx="0">
                  <c:v>0.989479</c:v>
                </c:pt>
                <c:pt idx="1">
                  <c:v>0.989479</c:v>
                </c:pt>
                <c:pt idx="2">
                  <c:v>0.989479</c:v>
                </c:pt>
                <c:pt idx="3">
                  <c:v>0.989479</c:v>
                </c:pt>
                <c:pt idx="4">
                  <c:v>0.989479</c:v>
                </c:pt>
                <c:pt idx="5">
                  <c:v>0.989479</c:v>
                </c:pt>
                <c:pt idx="6">
                  <c:v>0.989479</c:v>
                </c:pt>
                <c:pt idx="7">
                  <c:v>0.989479</c:v>
                </c:pt>
                <c:pt idx="8">
                  <c:v>0.989479</c:v>
                </c:pt>
                <c:pt idx="9">
                  <c:v>0.989479</c:v>
                </c:pt>
                <c:pt idx="10">
                  <c:v>0.989479</c:v>
                </c:pt>
                <c:pt idx="11">
                  <c:v>0.989479</c:v>
                </c:pt>
                <c:pt idx="12">
                  <c:v>0.989479</c:v>
                </c:pt>
                <c:pt idx="13">
                  <c:v>0.989479</c:v>
                </c:pt>
                <c:pt idx="14">
                  <c:v>0.989479</c:v>
                </c:pt>
                <c:pt idx="15">
                  <c:v>0.989479</c:v>
                </c:pt>
                <c:pt idx="16">
                  <c:v>0.989479</c:v>
                </c:pt>
                <c:pt idx="17">
                  <c:v>0.989479</c:v>
                </c:pt>
                <c:pt idx="18">
                  <c:v>0.989479</c:v>
                </c:pt>
                <c:pt idx="19">
                  <c:v>0.989479</c:v>
                </c:pt>
                <c:pt idx="20">
                  <c:v>0.989479</c:v>
                </c:pt>
                <c:pt idx="21">
                  <c:v>0.989479</c:v>
                </c:pt>
                <c:pt idx="22">
                  <c:v>0.989479</c:v>
                </c:pt>
                <c:pt idx="23">
                  <c:v>0.989479</c:v>
                </c:pt>
                <c:pt idx="24">
                  <c:v>0.989479</c:v>
                </c:pt>
              </c:numCache>
            </c:numRef>
          </c:val>
          <c:smooth val="0"/>
          <c:extLst>
            <c:ext xmlns:c16="http://schemas.microsoft.com/office/drawing/2014/chart" uri="{C3380CC4-5D6E-409C-BE32-E72D297353CC}">
              <c16:uniqueId val="{00000002-5D7A-4429-AF3B-C45461A10CBF}"/>
            </c:ext>
          </c:extLst>
        </c:ser>
        <c:ser>
          <c:idx val="3"/>
          <c:order val="3"/>
          <c:tx>
            <c:v>BKB 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xbar-R'!$L$42:$L$66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5D7A-4429-AF3B-C45461A10CBF}"/>
            </c:ext>
          </c:extLst>
        </c:ser>
        <c:dLbls>
          <c:showLegendKey val="0"/>
          <c:showVal val="0"/>
          <c:showCatName val="0"/>
          <c:showSerName val="0"/>
          <c:showPercent val="0"/>
          <c:showBubbleSize val="0"/>
        </c:dLbls>
        <c:hiLowLines>
          <c:spPr>
            <a:ln w="0">
              <a:noFill/>
            </a:ln>
          </c:spPr>
        </c:hiLowLines>
        <c:marker val="1"/>
        <c:smooth val="0"/>
        <c:axId val="11709486"/>
        <c:axId val="24203957"/>
      </c:lineChart>
      <c:catAx>
        <c:axId val="11709486"/>
        <c:scaling>
          <c:orientation val="minMax"/>
        </c:scaling>
        <c:delete val="0"/>
        <c:axPos val="b"/>
        <c:title>
          <c:tx>
            <c:rich>
              <a:bodyPr rot="0"/>
              <a:lstStyle/>
              <a:p>
                <a:pPr>
                  <a:defRPr sz="1000" b="0" strike="noStrike" spc="-1">
                    <a:solidFill>
                      <a:srgbClr val="000000"/>
                    </a:solidFill>
                    <a:latin typeface="Calibri"/>
                    <a:ea typeface="Calibri"/>
                  </a:defRPr>
                </a:pPr>
                <a:r>
                  <a:rPr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24203957"/>
        <c:crosses val="autoZero"/>
        <c:auto val="1"/>
        <c:lblAlgn val="ctr"/>
        <c:lblOffset val="100"/>
        <c:noMultiLvlLbl val="0"/>
      </c:catAx>
      <c:valAx>
        <c:axId val="24203957"/>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sz="1000" b="0" strike="noStrike" spc="-1">
                    <a:solidFill>
                      <a:srgbClr val="000000"/>
                    </a:solidFill>
                    <a:latin typeface="Calibri"/>
                    <a:ea typeface="Calibri"/>
                  </a:rPr>
                  <a:t>None</a:t>
                </a:r>
              </a:p>
            </c:rich>
          </c:tx>
          <c:overlay val="0"/>
          <c:spPr>
            <a:noFill/>
            <a:ln w="0">
              <a:noFill/>
            </a:ln>
          </c:spPr>
        </c:title>
        <c:numFmt formatCode="0.0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1709486"/>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xbar Chart</a:t>
            </a:r>
          </a:p>
        </c:rich>
      </c:tx>
      <c:overlay val="0"/>
      <c:spPr>
        <a:noFill/>
        <a:ln w="0">
          <a:noFill/>
        </a:ln>
      </c:spPr>
    </c:title>
    <c:autoTitleDeleted val="0"/>
    <c:plotArea>
      <c:layout/>
      <c:lineChart>
        <c:grouping val="standard"/>
        <c:varyColors val="0"/>
        <c:ser>
          <c:idx val="0"/>
          <c:order val="0"/>
          <c:tx>
            <c:v>Rata-rata (xi bar)</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xbar-R'!$W$42:$W$65</c:f>
              <c:numCache>
                <c:formatCode>0.000</c:formatCode>
                <c:ptCount val="24"/>
                <c:pt idx="0">
                  <c:v>10.3728</c:v>
                </c:pt>
                <c:pt idx="1">
                  <c:v>10.5724</c:v>
                </c:pt>
                <c:pt idx="2">
                  <c:v>10.4222</c:v>
                </c:pt>
                <c:pt idx="3">
                  <c:v>10.601599999999999</c:v>
                </c:pt>
                <c:pt idx="4">
                  <c:v>10.635400000000001</c:v>
                </c:pt>
                <c:pt idx="5">
                  <c:v>10.513999999999999</c:v>
                </c:pt>
                <c:pt idx="6">
                  <c:v>10.478400000000001</c:v>
                </c:pt>
                <c:pt idx="7">
                  <c:v>10.5724</c:v>
                </c:pt>
                <c:pt idx="8">
                  <c:v>10.653</c:v>
                </c:pt>
                <c:pt idx="9">
                  <c:v>10.815</c:v>
                </c:pt>
                <c:pt idx="10">
                  <c:v>10.570399999999999</c:v>
                </c:pt>
                <c:pt idx="11">
                  <c:v>10.494</c:v>
                </c:pt>
                <c:pt idx="12">
                  <c:v>10.44</c:v>
                </c:pt>
                <c:pt idx="13">
                  <c:v>10.4602</c:v>
                </c:pt>
                <c:pt idx="14">
                  <c:v>10.587999999999999</c:v>
                </c:pt>
                <c:pt idx="15">
                  <c:v>10.5566</c:v>
                </c:pt>
                <c:pt idx="16">
                  <c:v>10.7454</c:v>
                </c:pt>
                <c:pt idx="17">
                  <c:v>10.521000000000001</c:v>
                </c:pt>
                <c:pt idx="18">
                  <c:v>10.402200000000001</c:v>
                </c:pt>
                <c:pt idx="19">
                  <c:v>10.4694</c:v>
                </c:pt>
                <c:pt idx="20">
                  <c:v>10.4154</c:v>
                </c:pt>
                <c:pt idx="21">
                  <c:v>10.532400000000001</c:v>
                </c:pt>
                <c:pt idx="22">
                  <c:v>10.3544</c:v>
                </c:pt>
                <c:pt idx="23">
                  <c:v>10.4032</c:v>
                </c:pt>
              </c:numCache>
            </c:numRef>
          </c:val>
          <c:smooth val="0"/>
          <c:extLst>
            <c:ext xmlns:c16="http://schemas.microsoft.com/office/drawing/2014/chart" uri="{C3380CC4-5D6E-409C-BE32-E72D297353CC}">
              <c16:uniqueId val="{00000000-95C8-4342-A411-25E709303EF1}"/>
            </c:ext>
          </c:extLst>
        </c:ser>
        <c:ser>
          <c:idx val="1"/>
          <c:order val="1"/>
          <c:tx>
            <c:v>GT xbar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xbar-R'!$AB$42:$AB$65</c:f>
              <c:numCache>
                <c:formatCode>0.000</c:formatCode>
                <c:ptCount val="24"/>
                <c:pt idx="0">
                  <c:v>10.485874000000001</c:v>
                </c:pt>
                <c:pt idx="1">
                  <c:v>10.485874000000001</c:v>
                </c:pt>
                <c:pt idx="2">
                  <c:v>10.485874000000001</c:v>
                </c:pt>
                <c:pt idx="3">
                  <c:v>10.485874000000001</c:v>
                </c:pt>
                <c:pt idx="4">
                  <c:v>10.485874000000001</c:v>
                </c:pt>
                <c:pt idx="5">
                  <c:v>10.485874000000001</c:v>
                </c:pt>
                <c:pt idx="6">
                  <c:v>10.485874000000001</c:v>
                </c:pt>
                <c:pt idx="7">
                  <c:v>10.485874000000001</c:v>
                </c:pt>
                <c:pt idx="8">
                  <c:v>10.485874000000001</c:v>
                </c:pt>
                <c:pt idx="9">
                  <c:v>10.485874000000001</c:v>
                </c:pt>
                <c:pt idx="10">
                  <c:v>10.485874000000001</c:v>
                </c:pt>
                <c:pt idx="11">
                  <c:v>10.485874000000001</c:v>
                </c:pt>
                <c:pt idx="12">
                  <c:v>10.485874000000001</c:v>
                </c:pt>
                <c:pt idx="13">
                  <c:v>10.485874000000001</c:v>
                </c:pt>
                <c:pt idx="14">
                  <c:v>10.485874000000001</c:v>
                </c:pt>
                <c:pt idx="15">
                  <c:v>10.485874000000001</c:v>
                </c:pt>
                <c:pt idx="16">
                  <c:v>10.485874000000001</c:v>
                </c:pt>
                <c:pt idx="17">
                  <c:v>10.485874000000001</c:v>
                </c:pt>
                <c:pt idx="18">
                  <c:v>10.485874000000001</c:v>
                </c:pt>
                <c:pt idx="19">
                  <c:v>10.485874000000001</c:v>
                </c:pt>
                <c:pt idx="20">
                  <c:v>10.485874000000001</c:v>
                </c:pt>
                <c:pt idx="21">
                  <c:v>10.485874000000001</c:v>
                </c:pt>
                <c:pt idx="22">
                  <c:v>10.485874000000001</c:v>
                </c:pt>
                <c:pt idx="23">
                  <c:v>10.485874000000001</c:v>
                </c:pt>
              </c:numCache>
            </c:numRef>
          </c:val>
          <c:smooth val="0"/>
          <c:extLst>
            <c:ext xmlns:c16="http://schemas.microsoft.com/office/drawing/2014/chart" uri="{C3380CC4-5D6E-409C-BE32-E72D297353CC}">
              <c16:uniqueId val="{00000001-95C8-4342-A411-25E709303EF1}"/>
            </c:ext>
          </c:extLst>
        </c:ser>
        <c:ser>
          <c:idx val="2"/>
          <c:order val="2"/>
          <c:tx>
            <c:v>BKA xbar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xbar-R'!$AC$42:$AC$65</c:f>
              <c:numCache>
                <c:formatCode>0.000</c:formatCode>
                <c:ptCount val="24"/>
                <c:pt idx="0">
                  <c:v>10.721792000000001</c:v>
                </c:pt>
                <c:pt idx="1">
                  <c:v>10.721792000000001</c:v>
                </c:pt>
                <c:pt idx="2">
                  <c:v>10.721792000000001</c:v>
                </c:pt>
                <c:pt idx="3">
                  <c:v>10.721792000000001</c:v>
                </c:pt>
                <c:pt idx="4">
                  <c:v>10.721792000000001</c:v>
                </c:pt>
                <c:pt idx="5">
                  <c:v>10.721792000000001</c:v>
                </c:pt>
                <c:pt idx="6">
                  <c:v>10.721792000000001</c:v>
                </c:pt>
                <c:pt idx="7">
                  <c:v>10.721792000000001</c:v>
                </c:pt>
                <c:pt idx="8">
                  <c:v>10.721792000000001</c:v>
                </c:pt>
                <c:pt idx="9">
                  <c:v>10.721792000000001</c:v>
                </c:pt>
                <c:pt idx="10">
                  <c:v>10.721792000000001</c:v>
                </c:pt>
                <c:pt idx="11">
                  <c:v>10.721792000000001</c:v>
                </c:pt>
                <c:pt idx="12">
                  <c:v>10.721792000000001</c:v>
                </c:pt>
                <c:pt idx="13">
                  <c:v>10.721792000000001</c:v>
                </c:pt>
                <c:pt idx="14">
                  <c:v>10.721792000000001</c:v>
                </c:pt>
                <c:pt idx="15">
                  <c:v>10.721792000000001</c:v>
                </c:pt>
                <c:pt idx="16">
                  <c:v>10.721792000000001</c:v>
                </c:pt>
                <c:pt idx="17">
                  <c:v>10.721792000000001</c:v>
                </c:pt>
                <c:pt idx="18">
                  <c:v>10.721792000000001</c:v>
                </c:pt>
                <c:pt idx="19">
                  <c:v>10.721792000000001</c:v>
                </c:pt>
                <c:pt idx="20">
                  <c:v>10.721792000000001</c:v>
                </c:pt>
                <c:pt idx="21">
                  <c:v>10.721792000000001</c:v>
                </c:pt>
                <c:pt idx="22">
                  <c:v>10.721792000000001</c:v>
                </c:pt>
                <c:pt idx="23">
                  <c:v>10.721792000000001</c:v>
                </c:pt>
              </c:numCache>
            </c:numRef>
          </c:val>
          <c:smooth val="0"/>
          <c:extLst>
            <c:ext xmlns:c16="http://schemas.microsoft.com/office/drawing/2014/chart" uri="{C3380CC4-5D6E-409C-BE32-E72D297353CC}">
              <c16:uniqueId val="{00000002-95C8-4342-A411-25E709303EF1}"/>
            </c:ext>
          </c:extLst>
        </c:ser>
        <c:ser>
          <c:idx val="3"/>
          <c:order val="3"/>
          <c:tx>
            <c:v>BKB xbar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xbar-R'!$AD$42:$AD$65</c:f>
              <c:numCache>
                <c:formatCode>0.000</c:formatCode>
                <c:ptCount val="24"/>
                <c:pt idx="0">
                  <c:v>10.249955999999999</c:v>
                </c:pt>
                <c:pt idx="1">
                  <c:v>10.249955999999999</c:v>
                </c:pt>
                <c:pt idx="2">
                  <c:v>10.249955999999999</c:v>
                </c:pt>
                <c:pt idx="3">
                  <c:v>10.249955999999999</c:v>
                </c:pt>
                <c:pt idx="4">
                  <c:v>10.249955999999999</c:v>
                </c:pt>
                <c:pt idx="5">
                  <c:v>10.249955999999999</c:v>
                </c:pt>
                <c:pt idx="6">
                  <c:v>10.249955999999999</c:v>
                </c:pt>
                <c:pt idx="7">
                  <c:v>10.249955999999999</c:v>
                </c:pt>
                <c:pt idx="8">
                  <c:v>10.249955999999999</c:v>
                </c:pt>
                <c:pt idx="9">
                  <c:v>10.249955999999999</c:v>
                </c:pt>
                <c:pt idx="10">
                  <c:v>10.249955999999999</c:v>
                </c:pt>
                <c:pt idx="11">
                  <c:v>10.249955999999999</c:v>
                </c:pt>
                <c:pt idx="12">
                  <c:v>10.249955999999999</c:v>
                </c:pt>
                <c:pt idx="13">
                  <c:v>10.249955999999999</c:v>
                </c:pt>
                <c:pt idx="14">
                  <c:v>10.249955999999999</c:v>
                </c:pt>
                <c:pt idx="15">
                  <c:v>10.249955999999999</c:v>
                </c:pt>
                <c:pt idx="16">
                  <c:v>10.249955999999999</c:v>
                </c:pt>
                <c:pt idx="17">
                  <c:v>10.249955999999999</c:v>
                </c:pt>
                <c:pt idx="18">
                  <c:v>10.249955999999999</c:v>
                </c:pt>
                <c:pt idx="19">
                  <c:v>10.249955999999999</c:v>
                </c:pt>
                <c:pt idx="20">
                  <c:v>10.249955999999999</c:v>
                </c:pt>
                <c:pt idx="21">
                  <c:v>10.249955999999999</c:v>
                </c:pt>
                <c:pt idx="22">
                  <c:v>10.249955999999999</c:v>
                </c:pt>
                <c:pt idx="23">
                  <c:v>10.249955999999999</c:v>
                </c:pt>
              </c:numCache>
            </c:numRef>
          </c:val>
          <c:smooth val="0"/>
          <c:extLst>
            <c:ext xmlns:c16="http://schemas.microsoft.com/office/drawing/2014/chart" uri="{C3380CC4-5D6E-409C-BE32-E72D297353CC}">
              <c16:uniqueId val="{00000003-95C8-4342-A411-25E709303EF1}"/>
            </c:ext>
          </c:extLst>
        </c:ser>
        <c:dLbls>
          <c:showLegendKey val="0"/>
          <c:showVal val="0"/>
          <c:showCatName val="0"/>
          <c:showSerName val="0"/>
          <c:showPercent val="0"/>
          <c:showBubbleSize val="0"/>
        </c:dLbls>
        <c:hiLowLines>
          <c:spPr>
            <a:ln w="0">
              <a:noFill/>
            </a:ln>
          </c:spPr>
        </c:hiLowLines>
        <c:marker val="1"/>
        <c:smooth val="0"/>
        <c:axId val="29508722"/>
        <c:axId val="61356061"/>
      </c:lineChart>
      <c:catAx>
        <c:axId val="29508722"/>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61356061"/>
        <c:crosses val="autoZero"/>
        <c:auto val="1"/>
        <c:lblAlgn val="ctr"/>
        <c:lblOffset val="100"/>
        <c:noMultiLvlLbl val="0"/>
      </c:catAx>
      <c:valAx>
        <c:axId val="61356061"/>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29508722"/>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R Chart</a:t>
            </a:r>
          </a:p>
        </c:rich>
      </c:tx>
      <c:overlay val="0"/>
      <c:spPr>
        <a:noFill/>
        <a:ln w="0">
          <a:noFill/>
        </a:ln>
      </c:spPr>
    </c:title>
    <c:autoTitleDeleted val="0"/>
    <c:plotArea>
      <c:layout/>
      <c:lineChart>
        <c:grouping val="standard"/>
        <c:varyColors val="0"/>
        <c:ser>
          <c:idx val="0"/>
          <c:order val="0"/>
          <c:tx>
            <c:v>Range (Ri)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xbar-R'!$X$42:$X$65</c:f>
              <c:numCache>
                <c:formatCode>0.000</c:formatCode>
                <c:ptCount val="24"/>
                <c:pt idx="0">
                  <c:v>0.71799999999999997</c:v>
                </c:pt>
                <c:pt idx="1">
                  <c:v>0.97599999999999998</c:v>
                </c:pt>
                <c:pt idx="2">
                  <c:v>0.71799999999999997</c:v>
                </c:pt>
                <c:pt idx="3">
                  <c:v>0.30299999999999999</c:v>
                </c:pt>
                <c:pt idx="4">
                  <c:v>0.51600000000000001</c:v>
                </c:pt>
                <c:pt idx="5">
                  <c:v>0.49399999999999999</c:v>
                </c:pt>
                <c:pt idx="6">
                  <c:v>0.28100000000000003</c:v>
                </c:pt>
                <c:pt idx="7">
                  <c:v>0.61699999999999999</c:v>
                </c:pt>
                <c:pt idx="8">
                  <c:v>0.29199999999999998</c:v>
                </c:pt>
                <c:pt idx="9">
                  <c:v>0.68500000000000005</c:v>
                </c:pt>
                <c:pt idx="10">
                  <c:v>0.57199999999999995</c:v>
                </c:pt>
                <c:pt idx="11">
                  <c:v>0.34799999999999998</c:v>
                </c:pt>
                <c:pt idx="12">
                  <c:v>0.224</c:v>
                </c:pt>
                <c:pt idx="13">
                  <c:v>0.49399999999999999</c:v>
                </c:pt>
                <c:pt idx="14">
                  <c:v>0.33700000000000002</c:v>
                </c:pt>
                <c:pt idx="15">
                  <c:v>0.438</c:v>
                </c:pt>
                <c:pt idx="16">
                  <c:v>0.39300000000000002</c:v>
                </c:pt>
                <c:pt idx="17">
                  <c:v>0.437</c:v>
                </c:pt>
                <c:pt idx="18">
                  <c:v>0.86399999999999999</c:v>
                </c:pt>
                <c:pt idx="19">
                  <c:v>0.86399999999999999</c:v>
                </c:pt>
                <c:pt idx="20">
                  <c:v>0.28000000000000003</c:v>
                </c:pt>
                <c:pt idx="21">
                  <c:v>0.19900000000000001</c:v>
                </c:pt>
                <c:pt idx="22">
                  <c:v>0.27700000000000002</c:v>
                </c:pt>
                <c:pt idx="23">
                  <c:v>0.433</c:v>
                </c:pt>
              </c:numCache>
            </c:numRef>
          </c:val>
          <c:smooth val="0"/>
          <c:extLst>
            <c:ext xmlns:c16="http://schemas.microsoft.com/office/drawing/2014/chart" uri="{C3380CC4-5D6E-409C-BE32-E72D297353CC}">
              <c16:uniqueId val="{00000000-6C00-42F8-AC5C-8C12157DB028}"/>
            </c:ext>
          </c:extLst>
        </c:ser>
        <c:ser>
          <c:idx val="1"/>
          <c:order val="1"/>
          <c:tx>
            <c:v>GT 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xbar-R'!$Y$42:$Y$65</c:f>
              <c:numCache>
                <c:formatCode>0.000</c:formatCode>
                <c:ptCount val="24"/>
                <c:pt idx="0">
                  <c:v>0.40887000000000001</c:v>
                </c:pt>
                <c:pt idx="1">
                  <c:v>0.40887000000000001</c:v>
                </c:pt>
                <c:pt idx="2">
                  <c:v>0.40887000000000001</c:v>
                </c:pt>
                <c:pt idx="3">
                  <c:v>0.40887000000000001</c:v>
                </c:pt>
                <c:pt idx="4">
                  <c:v>0.40887000000000001</c:v>
                </c:pt>
                <c:pt idx="5">
                  <c:v>0.40887000000000001</c:v>
                </c:pt>
                <c:pt idx="6">
                  <c:v>0.40887000000000001</c:v>
                </c:pt>
                <c:pt idx="7">
                  <c:v>0.40887000000000001</c:v>
                </c:pt>
                <c:pt idx="8">
                  <c:v>0.40887000000000001</c:v>
                </c:pt>
                <c:pt idx="9">
                  <c:v>0.40887000000000001</c:v>
                </c:pt>
                <c:pt idx="10">
                  <c:v>0.40887000000000001</c:v>
                </c:pt>
                <c:pt idx="11">
                  <c:v>0.40887000000000001</c:v>
                </c:pt>
                <c:pt idx="12">
                  <c:v>0.40887000000000001</c:v>
                </c:pt>
                <c:pt idx="13">
                  <c:v>0.40887000000000001</c:v>
                </c:pt>
                <c:pt idx="14">
                  <c:v>0.40887000000000001</c:v>
                </c:pt>
                <c:pt idx="15">
                  <c:v>0.40887000000000001</c:v>
                </c:pt>
                <c:pt idx="16">
                  <c:v>0.40887000000000001</c:v>
                </c:pt>
                <c:pt idx="17">
                  <c:v>0.40887000000000001</c:v>
                </c:pt>
                <c:pt idx="18">
                  <c:v>0.40887000000000001</c:v>
                </c:pt>
                <c:pt idx="19">
                  <c:v>0.40887000000000001</c:v>
                </c:pt>
                <c:pt idx="20">
                  <c:v>0.40887000000000001</c:v>
                </c:pt>
                <c:pt idx="21">
                  <c:v>0.40887000000000001</c:v>
                </c:pt>
                <c:pt idx="22">
                  <c:v>0.40887000000000001</c:v>
                </c:pt>
                <c:pt idx="23">
                  <c:v>0.40887000000000001</c:v>
                </c:pt>
              </c:numCache>
            </c:numRef>
          </c:val>
          <c:smooth val="0"/>
          <c:extLst>
            <c:ext xmlns:c16="http://schemas.microsoft.com/office/drawing/2014/chart" uri="{C3380CC4-5D6E-409C-BE32-E72D297353CC}">
              <c16:uniqueId val="{00000001-6C00-42F8-AC5C-8C12157DB028}"/>
            </c:ext>
          </c:extLst>
        </c:ser>
        <c:ser>
          <c:idx val="2"/>
          <c:order val="2"/>
          <c:tx>
            <c:v>BKA 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xbar-R'!$Z$42:$Z$65</c:f>
              <c:numCache>
                <c:formatCode>0.000</c:formatCode>
                <c:ptCount val="24"/>
                <c:pt idx="0">
                  <c:v>0.86434999999999995</c:v>
                </c:pt>
                <c:pt idx="1">
                  <c:v>0.86434999999999995</c:v>
                </c:pt>
                <c:pt idx="2">
                  <c:v>0.86434999999999995</c:v>
                </c:pt>
                <c:pt idx="3">
                  <c:v>0.86434999999999995</c:v>
                </c:pt>
                <c:pt idx="4">
                  <c:v>0.86434999999999995</c:v>
                </c:pt>
                <c:pt idx="5">
                  <c:v>0.86434999999999995</c:v>
                </c:pt>
                <c:pt idx="6">
                  <c:v>0.86434999999999995</c:v>
                </c:pt>
                <c:pt idx="7">
                  <c:v>0.86434999999999995</c:v>
                </c:pt>
                <c:pt idx="8">
                  <c:v>0.86434999999999995</c:v>
                </c:pt>
                <c:pt idx="9">
                  <c:v>0.86434999999999995</c:v>
                </c:pt>
                <c:pt idx="10">
                  <c:v>0.86434999999999995</c:v>
                </c:pt>
                <c:pt idx="11">
                  <c:v>0.86434999999999995</c:v>
                </c:pt>
                <c:pt idx="12">
                  <c:v>0.86434999999999995</c:v>
                </c:pt>
                <c:pt idx="13">
                  <c:v>0.86434999999999995</c:v>
                </c:pt>
                <c:pt idx="14">
                  <c:v>0.86434999999999995</c:v>
                </c:pt>
                <c:pt idx="15">
                  <c:v>0.86434999999999995</c:v>
                </c:pt>
                <c:pt idx="16">
                  <c:v>0.86434999999999995</c:v>
                </c:pt>
                <c:pt idx="17">
                  <c:v>0.86434999999999995</c:v>
                </c:pt>
                <c:pt idx="18">
                  <c:v>0.86434999999999995</c:v>
                </c:pt>
                <c:pt idx="19">
                  <c:v>0.86434999999999995</c:v>
                </c:pt>
                <c:pt idx="20">
                  <c:v>0.86434999999999995</c:v>
                </c:pt>
                <c:pt idx="21">
                  <c:v>0.86434999999999995</c:v>
                </c:pt>
                <c:pt idx="22">
                  <c:v>0.86434999999999995</c:v>
                </c:pt>
                <c:pt idx="23">
                  <c:v>0.86434999999999995</c:v>
                </c:pt>
              </c:numCache>
            </c:numRef>
          </c:val>
          <c:smooth val="0"/>
          <c:extLst>
            <c:ext xmlns:c16="http://schemas.microsoft.com/office/drawing/2014/chart" uri="{C3380CC4-5D6E-409C-BE32-E72D297353CC}">
              <c16:uniqueId val="{00000002-6C00-42F8-AC5C-8C12157DB028}"/>
            </c:ext>
          </c:extLst>
        </c:ser>
        <c:ser>
          <c:idx val="3"/>
          <c:order val="3"/>
          <c:tx>
            <c:v>BKB 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xbar-R'!$AA$42:$AA$65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6C00-42F8-AC5C-8C12157DB028}"/>
            </c:ext>
          </c:extLst>
        </c:ser>
        <c:dLbls>
          <c:showLegendKey val="0"/>
          <c:showVal val="0"/>
          <c:showCatName val="0"/>
          <c:showSerName val="0"/>
          <c:showPercent val="0"/>
          <c:showBubbleSize val="0"/>
        </c:dLbls>
        <c:hiLowLines>
          <c:spPr>
            <a:ln w="0">
              <a:noFill/>
            </a:ln>
          </c:spPr>
        </c:hiLowLines>
        <c:marker val="1"/>
        <c:smooth val="0"/>
        <c:axId val="91585124"/>
        <c:axId val="85545537"/>
      </c:lineChart>
      <c:catAx>
        <c:axId val="91585124"/>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85545537"/>
        <c:crosses val="autoZero"/>
        <c:auto val="1"/>
        <c:lblAlgn val="ctr"/>
        <c:lblOffset val="100"/>
        <c:noMultiLvlLbl val="0"/>
      </c:catAx>
      <c:valAx>
        <c:axId val="85545537"/>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91585124"/>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xbar Chart</a:t>
            </a:r>
          </a:p>
        </c:rich>
      </c:tx>
      <c:overlay val="0"/>
      <c:spPr>
        <a:noFill/>
        <a:ln w="0">
          <a:noFill/>
        </a:ln>
      </c:spPr>
    </c:title>
    <c:autoTitleDeleted val="0"/>
    <c:plotArea>
      <c:layout/>
      <c:lineChart>
        <c:grouping val="standard"/>
        <c:varyColors val="0"/>
        <c:ser>
          <c:idx val="0"/>
          <c:order val="0"/>
          <c:tx>
            <c:v>Rata-rata (xi bar)</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xbar-s'!$H$42:$H$66</c:f>
              <c:numCache>
                <c:formatCode>0.000</c:formatCode>
                <c:ptCount val="25"/>
                <c:pt idx="0">
                  <c:v>10.3728</c:v>
                </c:pt>
                <c:pt idx="1">
                  <c:v>10.5724</c:v>
                </c:pt>
                <c:pt idx="2">
                  <c:v>10.4222</c:v>
                </c:pt>
                <c:pt idx="3">
                  <c:v>10.601599999999999</c:v>
                </c:pt>
                <c:pt idx="4">
                  <c:v>10.635400000000001</c:v>
                </c:pt>
                <c:pt idx="5">
                  <c:v>10.4222</c:v>
                </c:pt>
                <c:pt idx="6">
                  <c:v>10.513999999999999</c:v>
                </c:pt>
                <c:pt idx="7">
                  <c:v>10.478400000000001</c:v>
                </c:pt>
                <c:pt idx="8">
                  <c:v>10.5724</c:v>
                </c:pt>
                <c:pt idx="9">
                  <c:v>10.653</c:v>
                </c:pt>
                <c:pt idx="10">
                  <c:v>10.815</c:v>
                </c:pt>
                <c:pt idx="11">
                  <c:v>10.570399999999999</c:v>
                </c:pt>
                <c:pt idx="12">
                  <c:v>10.494</c:v>
                </c:pt>
                <c:pt idx="13">
                  <c:v>10.44</c:v>
                </c:pt>
                <c:pt idx="14">
                  <c:v>10.4602</c:v>
                </c:pt>
                <c:pt idx="15">
                  <c:v>10.587999999999999</c:v>
                </c:pt>
                <c:pt idx="16">
                  <c:v>10.3682</c:v>
                </c:pt>
                <c:pt idx="17">
                  <c:v>10.5076</c:v>
                </c:pt>
                <c:pt idx="18">
                  <c:v>10.5566</c:v>
                </c:pt>
                <c:pt idx="19">
                  <c:v>10.7454</c:v>
                </c:pt>
                <c:pt idx="20">
                  <c:v>10.521000000000001</c:v>
                </c:pt>
                <c:pt idx="21">
                  <c:v>10.402200000000001</c:v>
                </c:pt>
                <c:pt idx="22">
                  <c:v>10.951395</c:v>
                </c:pt>
                <c:pt idx="23">
                  <c:v>10.4694</c:v>
                </c:pt>
                <c:pt idx="24">
                  <c:v>10.4154</c:v>
                </c:pt>
              </c:numCache>
            </c:numRef>
          </c:val>
          <c:smooth val="0"/>
          <c:extLst>
            <c:ext xmlns:c16="http://schemas.microsoft.com/office/drawing/2014/chart" uri="{C3380CC4-5D6E-409C-BE32-E72D297353CC}">
              <c16:uniqueId val="{00000000-F13E-4A20-8E42-2D8BE77DC2D3}"/>
            </c:ext>
          </c:extLst>
        </c:ser>
        <c:ser>
          <c:idx val="1"/>
          <c:order val="1"/>
          <c:tx>
            <c:v>GT xbar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xbar-s'!$M$42:$M$66</c:f>
              <c:numCache>
                <c:formatCode>0.000</c:formatCode>
                <c:ptCount val="25"/>
                <c:pt idx="0">
                  <c:v>10.491992</c:v>
                </c:pt>
                <c:pt idx="1">
                  <c:v>10.491992</c:v>
                </c:pt>
                <c:pt idx="2">
                  <c:v>10.491992</c:v>
                </c:pt>
                <c:pt idx="3">
                  <c:v>10.491992</c:v>
                </c:pt>
                <c:pt idx="4">
                  <c:v>10.491992</c:v>
                </c:pt>
                <c:pt idx="5">
                  <c:v>10.491992</c:v>
                </c:pt>
                <c:pt idx="6">
                  <c:v>10.491992</c:v>
                </c:pt>
                <c:pt idx="7">
                  <c:v>10.491992</c:v>
                </c:pt>
                <c:pt idx="8">
                  <c:v>10.491992</c:v>
                </c:pt>
                <c:pt idx="9">
                  <c:v>10.491992</c:v>
                </c:pt>
                <c:pt idx="10">
                  <c:v>10.491992</c:v>
                </c:pt>
                <c:pt idx="11">
                  <c:v>10.491992</c:v>
                </c:pt>
                <c:pt idx="12">
                  <c:v>10.491992</c:v>
                </c:pt>
                <c:pt idx="13">
                  <c:v>10.491992</c:v>
                </c:pt>
                <c:pt idx="14">
                  <c:v>10.491992</c:v>
                </c:pt>
                <c:pt idx="15">
                  <c:v>10.491992</c:v>
                </c:pt>
                <c:pt idx="16">
                  <c:v>10.491992</c:v>
                </c:pt>
                <c:pt idx="17">
                  <c:v>10.491992</c:v>
                </c:pt>
                <c:pt idx="18">
                  <c:v>10.491992</c:v>
                </c:pt>
                <c:pt idx="19">
                  <c:v>10.491992</c:v>
                </c:pt>
                <c:pt idx="20">
                  <c:v>10.491992</c:v>
                </c:pt>
                <c:pt idx="21">
                  <c:v>10.491992</c:v>
                </c:pt>
                <c:pt idx="22">
                  <c:v>10.491992</c:v>
                </c:pt>
                <c:pt idx="23">
                  <c:v>10.491992</c:v>
                </c:pt>
                <c:pt idx="24">
                  <c:v>10.491992</c:v>
                </c:pt>
              </c:numCache>
            </c:numRef>
          </c:val>
          <c:smooth val="0"/>
          <c:extLst>
            <c:ext xmlns:c16="http://schemas.microsoft.com/office/drawing/2014/chart" uri="{C3380CC4-5D6E-409C-BE32-E72D297353CC}">
              <c16:uniqueId val="{00000001-F13E-4A20-8E42-2D8BE77DC2D3}"/>
            </c:ext>
          </c:extLst>
        </c:ser>
        <c:ser>
          <c:idx val="2"/>
          <c:order val="2"/>
          <c:tx>
            <c:v>BKA xbar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xbar-s'!$N$42:$N$66</c:f>
              <c:numCache>
                <c:formatCode>0.000</c:formatCode>
                <c:ptCount val="25"/>
                <c:pt idx="0">
                  <c:v>10.755046</c:v>
                </c:pt>
                <c:pt idx="1">
                  <c:v>10.755046</c:v>
                </c:pt>
                <c:pt idx="2">
                  <c:v>10.755046</c:v>
                </c:pt>
                <c:pt idx="3">
                  <c:v>10.755046</c:v>
                </c:pt>
                <c:pt idx="4">
                  <c:v>10.755046</c:v>
                </c:pt>
                <c:pt idx="5">
                  <c:v>10.755046</c:v>
                </c:pt>
                <c:pt idx="6">
                  <c:v>10.755046</c:v>
                </c:pt>
                <c:pt idx="7">
                  <c:v>10.755046</c:v>
                </c:pt>
                <c:pt idx="8">
                  <c:v>10.755046</c:v>
                </c:pt>
                <c:pt idx="9">
                  <c:v>10.755046</c:v>
                </c:pt>
                <c:pt idx="10">
                  <c:v>10.755046</c:v>
                </c:pt>
                <c:pt idx="11">
                  <c:v>10.755046</c:v>
                </c:pt>
                <c:pt idx="12">
                  <c:v>10.755046</c:v>
                </c:pt>
                <c:pt idx="13">
                  <c:v>10.755046</c:v>
                </c:pt>
                <c:pt idx="14">
                  <c:v>10.755046</c:v>
                </c:pt>
                <c:pt idx="15">
                  <c:v>10.755046</c:v>
                </c:pt>
                <c:pt idx="16">
                  <c:v>10.755046</c:v>
                </c:pt>
                <c:pt idx="17">
                  <c:v>10.755046</c:v>
                </c:pt>
                <c:pt idx="18">
                  <c:v>10.755046</c:v>
                </c:pt>
                <c:pt idx="19">
                  <c:v>10.755046</c:v>
                </c:pt>
                <c:pt idx="20">
                  <c:v>10.755046</c:v>
                </c:pt>
                <c:pt idx="21">
                  <c:v>10.755046</c:v>
                </c:pt>
                <c:pt idx="22">
                  <c:v>10.755046</c:v>
                </c:pt>
                <c:pt idx="23">
                  <c:v>10.755046</c:v>
                </c:pt>
                <c:pt idx="24">
                  <c:v>10.755046</c:v>
                </c:pt>
              </c:numCache>
            </c:numRef>
          </c:val>
          <c:smooth val="0"/>
          <c:extLst>
            <c:ext xmlns:c16="http://schemas.microsoft.com/office/drawing/2014/chart" uri="{C3380CC4-5D6E-409C-BE32-E72D297353CC}">
              <c16:uniqueId val="{00000002-F13E-4A20-8E42-2D8BE77DC2D3}"/>
            </c:ext>
          </c:extLst>
        </c:ser>
        <c:ser>
          <c:idx val="3"/>
          <c:order val="3"/>
          <c:tx>
            <c:v>BKB xbar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xbar-s'!$O$42:$O$66</c:f>
              <c:numCache>
                <c:formatCode>0.000</c:formatCode>
                <c:ptCount val="25"/>
                <c:pt idx="0">
                  <c:v>10.228937999999999</c:v>
                </c:pt>
                <c:pt idx="1">
                  <c:v>10.228937999999999</c:v>
                </c:pt>
                <c:pt idx="2">
                  <c:v>10.228937999999999</c:v>
                </c:pt>
                <c:pt idx="3">
                  <c:v>10.228937999999999</c:v>
                </c:pt>
                <c:pt idx="4">
                  <c:v>10.228937999999999</c:v>
                </c:pt>
                <c:pt idx="5">
                  <c:v>10.228937999999999</c:v>
                </c:pt>
                <c:pt idx="6">
                  <c:v>10.228937999999999</c:v>
                </c:pt>
                <c:pt idx="7">
                  <c:v>10.228937999999999</c:v>
                </c:pt>
                <c:pt idx="8">
                  <c:v>10.228937999999999</c:v>
                </c:pt>
                <c:pt idx="9">
                  <c:v>10.228937999999999</c:v>
                </c:pt>
                <c:pt idx="10">
                  <c:v>10.228937999999999</c:v>
                </c:pt>
                <c:pt idx="11">
                  <c:v>10.228937999999999</c:v>
                </c:pt>
                <c:pt idx="12">
                  <c:v>10.228937999999999</c:v>
                </c:pt>
                <c:pt idx="13">
                  <c:v>10.228937999999999</c:v>
                </c:pt>
                <c:pt idx="14">
                  <c:v>10.228937999999999</c:v>
                </c:pt>
                <c:pt idx="15">
                  <c:v>10.228937999999999</c:v>
                </c:pt>
                <c:pt idx="16">
                  <c:v>10.228937999999999</c:v>
                </c:pt>
                <c:pt idx="17">
                  <c:v>10.228937999999999</c:v>
                </c:pt>
                <c:pt idx="18">
                  <c:v>10.228937999999999</c:v>
                </c:pt>
                <c:pt idx="19">
                  <c:v>10.228937999999999</c:v>
                </c:pt>
                <c:pt idx="20">
                  <c:v>10.228937999999999</c:v>
                </c:pt>
                <c:pt idx="21">
                  <c:v>10.228937999999999</c:v>
                </c:pt>
                <c:pt idx="22">
                  <c:v>10.228937999999999</c:v>
                </c:pt>
                <c:pt idx="23">
                  <c:v>10.228937999999999</c:v>
                </c:pt>
                <c:pt idx="24">
                  <c:v>10.228937999999999</c:v>
                </c:pt>
              </c:numCache>
            </c:numRef>
          </c:val>
          <c:smooth val="0"/>
          <c:extLst>
            <c:ext xmlns:c16="http://schemas.microsoft.com/office/drawing/2014/chart" uri="{C3380CC4-5D6E-409C-BE32-E72D297353CC}">
              <c16:uniqueId val="{00000003-F13E-4A20-8E42-2D8BE77DC2D3}"/>
            </c:ext>
          </c:extLst>
        </c:ser>
        <c:dLbls>
          <c:showLegendKey val="0"/>
          <c:showVal val="0"/>
          <c:showCatName val="0"/>
          <c:showSerName val="0"/>
          <c:showPercent val="0"/>
          <c:showBubbleSize val="0"/>
        </c:dLbls>
        <c:hiLowLines>
          <c:spPr>
            <a:ln w="0">
              <a:noFill/>
            </a:ln>
          </c:spPr>
        </c:hiLowLines>
        <c:marker val="1"/>
        <c:smooth val="0"/>
        <c:axId val="55408658"/>
        <c:axId val="9110884"/>
      </c:lineChart>
      <c:catAx>
        <c:axId val="55408658"/>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9110884"/>
        <c:crosses val="autoZero"/>
        <c:auto val="1"/>
        <c:lblAlgn val="ctr"/>
        <c:lblOffset val="100"/>
        <c:noMultiLvlLbl val="0"/>
      </c:catAx>
      <c:valAx>
        <c:axId val="9110884"/>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55408658"/>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s Chart</a:t>
            </a:r>
          </a:p>
        </c:rich>
      </c:tx>
      <c:overlay val="0"/>
      <c:spPr>
        <a:noFill/>
        <a:ln w="0">
          <a:noFill/>
        </a:ln>
      </c:spPr>
    </c:title>
    <c:autoTitleDeleted val="0"/>
    <c:plotArea>
      <c:layout/>
      <c:lineChart>
        <c:grouping val="standard"/>
        <c:varyColors val="0"/>
        <c:ser>
          <c:idx val="0"/>
          <c:order val="0"/>
          <c:tx>
            <c:v>Standar Deviasi (si)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xbar-s'!$I$42:$I$66</c:f>
              <c:numCache>
                <c:formatCode>0.000</c:formatCode>
                <c:ptCount val="25"/>
                <c:pt idx="0">
                  <c:v>0.26461000000000001</c:v>
                </c:pt>
                <c:pt idx="1">
                  <c:v>0.35563800000000001</c:v>
                </c:pt>
                <c:pt idx="2">
                  <c:v>0.269432</c:v>
                </c:pt>
                <c:pt idx="3">
                  <c:v>0.11127099999999999</c:v>
                </c:pt>
                <c:pt idx="4">
                  <c:v>0.21599099999999999</c:v>
                </c:pt>
                <c:pt idx="5">
                  <c:v>0.394177</c:v>
                </c:pt>
                <c:pt idx="6">
                  <c:v>0.220942</c:v>
                </c:pt>
                <c:pt idx="7">
                  <c:v>0.101601</c:v>
                </c:pt>
                <c:pt idx="8">
                  <c:v>0.241262</c:v>
                </c:pt>
                <c:pt idx="9">
                  <c:v>0.111079</c:v>
                </c:pt>
                <c:pt idx="10">
                  <c:v>0.29894900000000002</c:v>
                </c:pt>
                <c:pt idx="11">
                  <c:v>0.226158</c:v>
                </c:pt>
                <c:pt idx="12">
                  <c:v>0.145179</c:v>
                </c:pt>
                <c:pt idx="13">
                  <c:v>8.2177E-2</c:v>
                </c:pt>
                <c:pt idx="14">
                  <c:v>0.20006299999999999</c:v>
                </c:pt>
                <c:pt idx="15">
                  <c:v>0.132991</c:v>
                </c:pt>
                <c:pt idx="16">
                  <c:v>0.39730500000000002</c:v>
                </c:pt>
                <c:pt idx="17">
                  <c:v>0.43317499999999998</c:v>
                </c:pt>
                <c:pt idx="18">
                  <c:v>0.17821600000000001</c:v>
                </c:pt>
                <c:pt idx="19">
                  <c:v>0.14649200000000001</c:v>
                </c:pt>
                <c:pt idx="20">
                  <c:v>0.204598</c:v>
                </c:pt>
                <c:pt idx="21">
                  <c:v>0.32570100000000002</c:v>
                </c:pt>
                <c:pt idx="22">
                  <c:v>0.49329600000000001</c:v>
                </c:pt>
                <c:pt idx="23">
                  <c:v>0.344773</c:v>
                </c:pt>
                <c:pt idx="24">
                  <c:v>0.120728</c:v>
                </c:pt>
              </c:numCache>
            </c:numRef>
          </c:val>
          <c:smooth val="0"/>
          <c:extLst>
            <c:ext xmlns:c16="http://schemas.microsoft.com/office/drawing/2014/chart" uri="{C3380CC4-5D6E-409C-BE32-E72D297353CC}">
              <c16:uniqueId val="{00000000-DA25-4F8B-8D27-A8EDC75A2853}"/>
            </c:ext>
          </c:extLst>
        </c:ser>
        <c:ser>
          <c:idx val="1"/>
          <c:order val="1"/>
          <c:tx>
            <c:v>GT s</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xbar-s'!$J$42:$J$66</c:f>
              <c:numCache>
                <c:formatCode>0.000</c:formatCode>
                <c:ptCount val="25"/>
                <c:pt idx="0">
                  <c:v>0.184341</c:v>
                </c:pt>
                <c:pt idx="1">
                  <c:v>0.184341</c:v>
                </c:pt>
                <c:pt idx="2">
                  <c:v>0.184341</c:v>
                </c:pt>
                <c:pt idx="3">
                  <c:v>0.184341</c:v>
                </c:pt>
                <c:pt idx="4">
                  <c:v>0.184341</c:v>
                </c:pt>
                <c:pt idx="5">
                  <c:v>0.184341</c:v>
                </c:pt>
                <c:pt idx="6">
                  <c:v>0.184341</c:v>
                </c:pt>
                <c:pt idx="7">
                  <c:v>0.184341</c:v>
                </c:pt>
                <c:pt idx="8">
                  <c:v>0.184341</c:v>
                </c:pt>
                <c:pt idx="9">
                  <c:v>0.184341</c:v>
                </c:pt>
                <c:pt idx="10">
                  <c:v>0.184341</c:v>
                </c:pt>
                <c:pt idx="11">
                  <c:v>0.184341</c:v>
                </c:pt>
                <c:pt idx="12">
                  <c:v>0.184341</c:v>
                </c:pt>
                <c:pt idx="13">
                  <c:v>0.184341</c:v>
                </c:pt>
                <c:pt idx="14">
                  <c:v>0.184341</c:v>
                </c:pt>
                <c:pt idx="15">
                  <c:v>0.184341</c:v>
                </c:pt>
                <c:pt idx="16">
                  <c:v>0.184341</c:v>
                </c:pt>
                <c:pt idx="17">
                  <c:v>0.184341</c:v>
                </c:pt>
                <c:pt idx="18">
                  <c:v>0.184341</c:v>
                </c:pt>
                <c:pt idx="19">
                  <c:v>0.184341</c:v>
                </c:pt>
                <c:pt idx="20">
                  <c:v>0.184341</c:v>
                </c:pt>
                <c:pt idx="21">
                  <c:v>0.184341</c:v>
                </c:pt>
                <c:pt idx="22">
                  <c:v>0.184341</c:v>
                </c:pt>
                <c:pt idx="23">
                  <c:v>0.184341</c:v>
                </c:pt>
                <c:pt idx="24">
                  <c:v>0.184341</c:v>
                </c:pt>
              </c:numCache>
            </c:numRef>
          </c:val>
          <c:smooth val="0"/>
          <c:extLst>
            <c:ext xmlns:c16="http://schemas.microsoft.com/office/drawing/2014/chart" uri="{C3380CC4-5D6E-409C-BE32-E72D297353CC}">
              <c16:uniqueId val="{00000001-DA25-4F8B-8D27-A8EDC75A2853}"/>
            </c:ext>
          </c:extLst>
        </c:ser>
        <c:ser>
          <c:idx val="2"/>
          <c:order val="2"/>
          <c:tx>
            <c:v>BKA s</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xbar-s'!$K$42:$K$66</c:f>
              <c:numCache>
                <c:formatCode>0.000</c:formatCode>
                <c:ptCount val="25"/>
                <c:pt idx="0">
                  <c:v>0.38508799999999999</c:v>
                </c:pt>
                <c:pt idx="1">
                  <c:v>0.38508799999999999</c:v>
                </c:pt>
                <c:pt idx="2">
                  <c:v>0.38508799999999999</c:v>
                </c:pt>
                <c:pt idx="3">
                  <c:v>0.38508799999999999</c:v>
                </c:pt>
                <c:pt idx="4">
                  <c:v>0.38508799999999999</c:v>
                </c:pt>
                <c:pt idx="5">
                  <c:v>0.38508799999999999</c:v>
                </c:pt>
                <c:pt idx="6">
                  <c:v>0.38508799999999999</c:v>
                </c:pt>
                <c:pt idx="7">
                  <c:v>0.38508799999999999</c:v>
                </c:pt>
                <c:pt idx="8">
                  <c:v>0.38508799999999999</c:v>
                </c:pt>
                <c:pt idx="9">
                  <c:v>0.38508799999999999</c:v>
                </c:pt>
                <c:pt idx="10">
                  <c:v>0.38508799999999999</c:v>
                </c:pt>
                <c:pt idx="11">
                  <c:v>0.38508799999999999</c:v>
                </c:pt>
                <c:pt idx="12">
                  <c:v>0.38508799999999999</c:v>
                </c:pt>
                <c:pt idx="13">
                  <c:v>0.38508799999999999</c:v>
                </c:pt>
                <c:pt idx="14">
                  <c:v>0.38508799999999999</c:v>
                </c:pt>
                <c:pt idx="15">
                  <c:v>0.38508799999999999</c:v>
                </c:pt>
                <c:pt idx="16">
                  <c:v>0.38508799999999999</c:v>
                </c:pt>
                <c:pt idx="17">
                  <c:v>0.38508799999999999</c:v>
                </c:pt>
                <c:pt idx="18">
                  <c:v>0.38508799999999999</c:v>
                </c:pt>
                <c:pt idx="19">
                  <c:v>0.38508799999999999</c:v>
                </c:pt>
                <c:pt idx="20">
                  <c:v>0.38508799999999999</c:v>
                </c:pt>
                <c:pt idx="21">
                  <c:v>0.38508799999999999</c:v>
                </c:pt>
                <c:pt idx="22">
                  <c:v>0.38508799999999999</c:v>
                </c:pt>
                <c:pt idx="23">
                  <c:v>0.38508799999999999</c:v>
                </c:pt>
                <c:pt idx="24">
                  <c:v>0.38508799999999999</c:v>
                </c:pt>
              </c:numCache>
            </c:numRef>
          </c:val>
          <c:smooth val="0"/>
          <c:extLst>
            <c:ext xmlns:c16="http://schemas.microsoft.com/office/drawing/2014/chart" uri="{C3380CC4-5D6E-409C-BE32-E72D297353CC}">
              <c16:uniqueId val="{00000002-DA25-4F8B-8D27-A8EDC75A2853}"/>
            </c:ext>
          </c:extLst>
        </c:ser>
        <c:ser>
          <c:idx val="3"/>
          <c:order val="3"/>
          <c:tx>
            <c:v>BKB s</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xbar-s'!$L$42:$L$66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DA25-4F8B-8D27-A8EDC75A2853}"/>
            </c:ext>
          </c:extLst>
        </c:ser>
        <c:dLbls>
          <c:showLegendKey val="0"/>
          <c:showVal val="0"/>
          <c:showCatName val="0"/>
          <c:showSerName val="0"/>
          <c:showPercent val="0"/>
          <c:showBubbleSize val="0"/>
        </c:dLbls>
        <c:hiLowLines>
          <c:spPr>
            <a:ln w="0">
              <a:noFill/>
            </a:ln>
          </c:spPr>
        </c:hiLowLines>
        <c:marker val="1"/>
        <c:smooth val="0"/>
        <c:axId val="54443013"/>
        <c:axId val="18146676"/>
      </c:lineChart>
      <c:catAx>
        <c:axId val="54443013"/>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8146676"/>
        <c:crosses val="autoZero"/>
        <c:auto val="1"/>
        <c:lblAlgn val="ctr"/>
        <c:lblOffset val="100"/>
        <c:noMultiLvlLbl val="0"/>
      </c:catAx>
      <c:valAx>
        <c:axId val="18146676"/>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54443013"/>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S chart</a:t>
            </a:r>
          </a:p>
        </c:rich>
      </c:tx>
      <c:overlay val="0"/>
      <c:spPr>
        <a:noFill/>
        <a:ln w="0">
          <a:noFill/>
        </a:ln>
      </c:spPr>
    </c:title>
    <c:autoTitleDeleted val="0"/>
    <c:plotArea>
      <c:layout/>
      <c:lineChart>
        <c:grouping val="standard"/>
        <c:varyColors val="0"/>
        <c:ser>
          <c:idx val="0"/>
          <c:order val="0"/>
          <c:tx>
            <c:strRef>
              <c:f>'Peta Kendali xbar-s'!$Y$41</c:f>
              <c:strCache>
                <c:ptCount val="1"/>
                <c:pt idx="0">
                  <c:v>Standar Deviasi (si)</c:v>
                </c:pt>
              </c:strCache>
            </c:strRef>
          </c:tx>
          <c:spPr>
            <a:ln w="19080">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xbar-s'!$Y$42:$Y$65</c:f>
              <c:numCache>
                <c:formatCode>0.000</c:formatCode>
                <c:ptCount val="24"/>
                <c:pt idx="0">
                  <c:v>0.163024</c:v>
                </c:pt>
                <c:pt idx="1">
                  <c:v>0.163024</c:v>
                </c:pt>
                <c:pt idx="2">
                  <c:v>0.163024</c:v>
                </c:pt>
                <c:pt idx="3">
                  <c:v>0.163024</c:v>
                </c:pt>
                <c:pt idx="4">
                  <c:v>0.163024</c:v>
                </c:pt>
                <c:pt idx="5">
                  <c:v>0.163024</c:v>
                </c:pt>
                <c:pt idx="6">
                  <c:v>0.163024</c:v>
                </c:pt>
                <c:pt idx="7">
                  <c:v>0.163024</c:v>
                </c:pt>
                <c:pt idx="8">
                  <c:v>0.163024</c:v>
                </c:pt>
                <c:pt idx="9">
                  <c:v>0.163024</c:v>
                </c:pt>
                <c:pt idx="10">
                  <c:v>0.163024</c:v>
                </c:pt>
                <c:pt idx="11">
                  <c:v>0.163024</c:v>
                </c:pt>
                <c:pt idx="12">
                  <c:v>0.163024</c:v>
                </c:pt>
                <c:pt idx="13">
                  <c:v>0.163024</c:v>
                </c:pt>
                <c:pt idx="14">
                  <c:v>0.163024</c:v>
                </c:pt>
                <c:pt idx="15">
                  <c:v>0.163024</c:v>
                </c:pt>
                <c:pt idx="16">
                  <c:v>0.163024</c:v>
                </c:pt>
                <c:pt idx="17">
                  <c:v>0.163024</c:v>
                </c:pt>
                <c:pt idx="18">
                  <c:v>0.163024</c:v>
                </c:pt>
                <c:pt idx="19">
                  <c:v>0.163024</c:v>
                </c:pt>
                <c:pt idx="20">
                  <c:v>0.163024</c:v>
                </c:pt>
                <c:pt idx="21">
                  <c:v>0.163024</c:v>
                </c:pt>
                <c:pt idx="22">
                  <c:v>0.163024</c:v>
                </c:pt>
                <c:pt idx="23">
                  <c:v>0.163024</c:v>
                </c:pt>
              </c:numCache>
            </c:numRef>
          </c:val>
          <c:smooth val="0"/>
          <c:extLst>
            <c:ext xmlns:c16="http://schemas.microsoft.com/office/drawing/2014/chart" uri="{C3380CC4-5D6E-409C-BE32-E72D297353CC}">
              <c16:uniqueId val="{00000000-0280-4872-B1FD-E389CF7D2A11}"/>
            </c:ext>
          </c:extLst>
        </c:ser>
        <c:ser>
          <c:idx val="1"/>
          <c:order val="1"/>
          <c:tx>
            <c:strRef>
              <c:f>'Peta Kendali xbar-s'!$Z$41</c:f>
              <c:strCache>
                <c:ptCount val="1"/>
                <c:pt idx="0">
                  <c:v>GT s</c:v>
                </c:pt>
              </c:strCache>
            </c:strRef>
          </c:tx>
          <c:spPr>
            <a:ln w="190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xbar-s'!$Z$42:$Z$65</c:f>
              <c:numCache>
                <c:formatCode>0.000</c:formatCode>
                <c:ptCount val="24"/>
                <c:pt idx="0">
                  <c:v>0.34055600000000003</c:v>
                </c:pt>
                <c:pt idx="1">
                  <c:v>0.34055600000000003</c:v>
                </c:pt>
                <c:pt idx="2">
                  <c:v>0.34055600000000003</c:v>
                </c:pt>
                <c:pt idx="3">
                  <c:v>0.34055600000000003</c:v>
                </c:pt>
                <c:pt idx="4">
                  <c:v>0.34055600000000003</c:v>
                </c:pt>
                <c:pt idx="5">
                  <c:v>0.34055600000000003</c:v>
                </c:pt>
                <c:pt idx="6">
                  <c:v>0.34055600000000003</c:v>
                </c:pt>
                <c:pt idx="7">
                  <c:v>0.34055600000000003</c:v>
                </c:pt>
                <c:pt idx="8">
                  <c:v>0.34055600000000003</c:v>
                </c:pt>
                <c:pt idx="9">
                  <c:v>0.34055600000000003</c:v>
                </c:pt>
                <c:pt idx="10">
                  <c:v>0.34055600000000003</c:v>
                </c:pt>
                <c:pt idx="11">
                  <c:v>0.34055600000000003</c:v>
                </c:pt>
                <c:pt idx="12">
                  <c:v>0.34055600000000003</c:v>
                </c:pt>
                <c:pt idx="13">
                  <c:v>0.34055600000000003</c:v>
                </c:pt>
                <c:pt idx="14">
                  <c:v>0.34055600000000003</c:v>
                </c:pt>
                <c:pt idx="15">
                  <c:v>0.34055600000000003</c:v>
                </c:pt>
                <c:pt idx="16">
                  <c:v>0.34055600000000003</c:v>
                </c:pt>
                <c:pt idx="17">
                  <c:v>0.34055600000000003</c:v>
                </c:pt>
                <c:pt idx="18">
                  <c:v>0.34055600000000003</c:v>
                </c:pt>
                <c:pt idx="19">
                  <c:v>0.34055600000000003</c:v>
                </c:pt>
                <c:pt idx="20">
                  <c:v>0.34055600000000003</c:v>
                </c:pt>
                <c:pt idx="21">
                  <c:v>0.34055600000000003</c:v>
                </c:pt>
                <c:pt idx="22">
                  <c:v>0.34055600000000003</c:v>
                </c:pt>
                <c:pt idx="23">
                  <c:v>0.34055600000000003</c:v>
                </c:pt>
              </c:numCache>
            </c:numRef>
          </c:val>
          <c:smooth val="0"/>
          <c:extLst>
            <c:ext xmlns:c16="http://schemas.microsoft.com/office/drawing/2014/chart" uri="{C3380CC4-5D6E-409C-BE32-E72D297353CC}">
              <c16:uniqueId val="{00000001-0280-4872-B1FD-E389CF7D2A11}"/>
            </c:ext>
          </c:extLst>
        </c:ser>
        <c:ser>
          <c:idx val="2"/>
          <c:order val="2"/>
          <c:tx>
            <c:strRef>
              <c:f>'Peta Kendali xbar-s'!$AA$41</c:f>
              <c:strCache>
                <c:ptCount val="1"/>
                <c:pt idx="0">
                  <c:v>BKA s</c:v>
                </c:pt>
              </c:strCache>
            </c:strRef>
          </c:tx>
          <c:spPr>
            <a:ln w="19080">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xbar-s'!$AA$42:$AA$65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280-4872-B1FD-E389CF7D2A11}"/>
            </c:ext>
          </c:extLst>
        </c:ser>
        <c:ser>
          <c:idx val="3"/>
          <c:order val="3"/>
          <c:tx>
            <c:strRef>
              <c:f>'Peta Kendali xbar-s'!$AB$41</c:f>
              <c:strCache>
                <c:ptCount val="1"/>
                <c:pt idx="0">
                  <c:v>BKB s</c:v>
                </c:pt>
              </c:strCache>
            </c:strRef>
          </c:tx>
          <c:spPr>
            <a:ln w="19080">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xbar-s'!$AB$42:$AB$65</c:f>
              <c:numCache>
                <c:formatCode>0.000</c:formatCode>
                <c:ptCount val="24"/>
                <c:pt idx="0">
                  <c:v>10.485874000000001</c:v>
                </c:pt>
                <c:pt idx="1">
                  <c:v>10.485874000000001</c:v>
                </c:pt>
                <c:pt idx="2">
                  <c:v>10.485874000000001</c:v>
                </c:pt>
                <c:pt idx="3">
                  <c:v>10.485874000000001</c:v>
                </c:pt>
                <c:pt idx="4">
                  <c:v>10.485874000000001</c:v>
                </c:pt>
                <c:pt idx="5">
                  <c:v>10.485874000000001</c:v>
                </c:pt>
                <c:pt idx="6">
                  <c:v>10.485874000000001</c:v>
                </c:pt>
                <c:pt idx="7">
                  <c:v>10.485874000000001</c:v>
                </c:pt>
                <c:pt idx="8">
                  <c:v>10.485874000000001</c:v>
                </c:pt>
                <c:pt idx="9">
                  <c:v>10.485874000000001</c:v>
                </c:pt>
                <c:pt idx="10">
                  <c:v>10.485874000000001</c:v>
                </c:pt>
                <c:pt idx="11">
                  <c:v>10.485874000000001</c:v>
                </c:pt>
                <c:pt idx="12">
                  <c:v>10.485874000000001</c:v>
                </c:pt>
                <c:pt idx="13">
                  <c:v>10.485874000000001</c:v>
                </c:pt>
                <c:pt idx="14">
                  <c:v>10.485874000000001</c:v>
                </c:pt>
                <c:pt idx="15">
                  <c:v>10.485874000000001</c:v>
                </c:pt>
                <c:pt idx="16">
                  <c:v>10.485874000000001</c:v>
                </c:pt>
                <c:pt idx="17">
                  <c:v>10.485874000000001</c:v>
                </c:pt>
                <c:pt idx="18">
                  <c:v>10.485874000000001</c:v>
                </c:pt>
                <c:pt idx="19">
                  <c:v>10.485874000000001</c:v>
                </c:pt>
                <c:pt idx="20">
                  <c:v>10.485874000000001</c:v>
                </c:pt>
                <c:pt idx="21">
                  <c:v>10.485874000000001</c:v>
                </c:pt>
                <c:pt idx="22">
                  <c:v>10.485874000000001</c:v>
                </c:pt>
                <c:pt idx="23">
                  <c:v>10.485874000000001</c:v>
                </c:pt>
              </c:numCache>
            </c:numRef>
          </c:val>
          <c:smooth val="0"/>
          <c:extLst>
            <c:ext xmlns:c16="http://schemas.microsoft.com/office/drawing/2014/chart" uri="{C3380CC4-5D6E-409C-BE32-E72D297353CC}">
              <c16:uniqueId val="{00000003-0280-4872-B1FD-E389CF7D2A11}"/>
            </c:ext>
          </c:extLst>
        </c:ser>
        <c:dLbls>
          <c:showLegendKey val="0"/>
          <c:showVal val="0"/>
          <c:showCatName val="0"/>
          <c:showSerName val="0"/>
          <c:showPercent val="0"/>
          <c:showBubbleSize val="0"/>
        </c:dLbls>
        <c:hiLowLines>
          <c:spPr>
            <a:ln w="0">
              <a:noFill/>
            </a:ln>
          </c:spPr>
        </c:hiLowLines>
        <c:smooth val="0"/>
        <c:axId val="25137743"/>
        <c:axId val="47854814"/>
      </c:lineChart>
      <c:catAx>
        <c:axId val="25137743"/>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47854814"/>
        <c:crosses val="autoZero"/>
        <c:auto val="1"/>
        <c:lblAlgn val="ctr"/>
        <c:lblOffset val="100"/>
        <c:noMultiLvlLbl val="0"/>
      </c:catAx>
      <c:valAx>
        <c:axId val="47854814"/>
        <c:scaling>
          <c:orientation val="minMax"/>
        </c:scaling>
        <c:delete val="0"/>
        <c:axPos val="l"/>
        <c:majorGridlines>
          <c:spPr>
            <a:ln w="6480">
              <a:solidFill>
                <a:srgbClr val="B7B7B7"/>
              </a:solidFill>
              <a:round/>
            </a:ln>
          </c:spPr>
        </c:majorGridlines>
        <c:minorGridlines>
          <c:spPr>
            <a:ln w="6480">
              <a:solidFill>
                <a:srgbClr val="CCCCCC"/>
              </a:solidFill>
              <a:round/>
            </a:ln>
          </c:spPr>
        </c:min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25137743"/>
        <c:crosses val="autoZero"/>
        <c:crossBetween val="between"/>
      </c:valAx>
      <c:spPr>
        <a:noFill/>
        <a:ln w="0">
          <a:noFill/>
        </a:ln>
      </c:spPr>
    </c:plotArea>
    <c:legend>
      <c:legendPos val="r"/>
      <c:overlay val="0"/>
      <c:spPr>
        <a:noFill/>
        <a:ln w="0">
          <a:noFill/>
        </a:ln>
      </c:spPr>
      <c:txPr>
        <a:bodyPr/>
        <a:lstStyle/>
        <a:p>
          <a:pPr>
            <a:defRPr sz="10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X bar chart</a:t>
            </a:r>
          </a:p>
        </c:rich>
      </c:tx>
      <c:overlay val="0"/>
      <c:spPr>
        <a:noFill/>
        <a:ln w="0">
          <a:noFill/>
        </a:ln>
      </c:spPr>
    </c:title>
    <c:autoTitleDeleted val="0"/>
    <c:plotArea>
      <c:layout/>
      <c:lineChart>
        <c:grouping val="standard"/>
        <c:varyColors val="0"/>
        <c:ser>
          <c:idx val="0"/>
          <c:order val="0"/>
          <c:tx>
            <c:strRef>
              <c:f>'Peta Kendali xbar-s'!$X$41</c:f>
              <c:strCache>
                <c:ptCount val="1"/>
                <c:pt idx="0">
                  <c:v>Rata-rata (xi bar)</c:v>
                </c:pt>
              </c:strCache>
            </c:strRef>
          </c:tx>
          <c:spPr>
            <a:ln w="19080">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xbar-s'!$X$42:$X$65</c:f>
              <c:numCache>
                <c:formatCode>0.000</c:formatCode>
                <c:ptCount val="24"/>
                <c:pt idx="0">
                  <c:v>0.26461000000000001</c:v>
                </c:pt>
                <c:pt idx="1">
                  <c:v>0.35563800000000001</c:v>
                </c:pt>
                <c:pt idx="2">
                  <c:v>0.269432</c:v>
                </c:pt>
                <c:pt idx="3">
                  <c:v>0.11127099999999999</c:v>
                </c:pt>
                <c:pt idx="4">
                  <c:v>0.21599099999999999</c:v>
                </c:pt>
                <c:pt idx="5">
                  <c:v>0.220942</c:v>
                </c:pt>
                <c:pt idx="6">
                  <c:v>0.101601</c:v>
                </c:pt>
                <c:pt idx="7">
                  <c:v>0.241262</c:v>
                </c:pt>
                <c:pt idx="8">
                  <c:v>0.111079</c:v>
                </c:pt>
                <c:pt idx="9">
                  <c:v>0.29894900000000002</c:v>
                </c:pt>
                <c:pt idx="10">
                  <c:v>0.226158</c:v>
                </c:pt>
                <c:pt idx="11">
                  <c:v>0.145179</c:v>
                </c:pt>
                <c:pt idx="12">
                  <c:v>8.2177E-2</c:v>
                </c:pt>
                <c:pt idx="13">
                  <c:v>0.20006299999999999</c:v>
                </c:pt>
                <c:pt idx="14">
                  <c:v>0.132991</c:v>
                </c:pt>
                <c:pt idx="15">
                  <c:v>0.17821600000000001</c:v>
                </c:pt>
                <c:pt idx="16">
                  <c:v>0.14649200000000001</c:v>
                </c:pt>
                <c:pt idx="17">
                  <c:v>0.204598</c:v>
                </c:pt>
                <c:pt idx="18">
                  <c:v>0.32570100000000002</c:v>
                </c:pt>
                <c:pt idx="19">
                  <c:v>0.344773</c:v>
                </c:pt>
                <c:pt idx="20">
                  <c:v>0.120728</c:v>
                </c:pt>
                <c:pt idx="21">
                  <c:v>8.2084000000000004E-2</c:v>
                </c:pt>
                <c:pt idx="22">
                  <c:v>0.10920100000000001</c:v>
                </c:pt>
                <c:pt idx="23">
                  <c:v>0.19017300000000001</c:v>
                </c:pt>
              </c:numCache>
            </c:numRef>
          </c:val>
          <c:smooth val="0"/>
          <c:extLst>
            <c:ext xmlns:c16="http://schemas.microsoft.com/office/drawing/2014/chart" uri="{C3380CC4-5D6E-409C-BE32-E72D297353CC}">
              <c16:uniqueId val="{00000000-522A-4B69-BB6E-0EF0CC01995E}"/>
            </c:ext>
          </c:extLst>
        </c:ser>
        <c:ser>
          <c:idx val="1"/>
          <c:order val="1"/>
          <c:tx>
            <c:strRef>
              <c:f>'Peta Kendali xbar-s'!$AC$41</c:f>
              <c:strCache>
                <c:ptCount val="1"/>
                <c:pt idx="0">
                  <c:v>GT xbar</c:v>
                </c:pt>
              </c:strCache>
            </c:strRef>
          </c:tx>
          <c:spPr>
            <a:ln w="190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xbar-s'!$AC$42:$AC$65</c:f>
              <c:numCache>
                <c:formatCode>0.000</c:formatCode>
                <c:ptCount val="24"/>
                <c:pt idx="0">
                  <c:v>10.718508999999999</c:v>
                </c:pt>
                <c:pt idx="1">
                  <c:v>10.718508999999999</c:v>
                </c:pt>
                <c:pt idx="2">
                  <c:v>10.718508999999999</c:v>
                </c:pt>
                <c:pt idx="3">
                  <c:v>10.718508999999999</c:v>
                </c:pt>
                <c:pt idx="4">
                  <c:v>10.718508999999999</c:v>
                </c:pt>
                <c:pt idx="5">
                  <c:v>10.718508999999999</c:v>
                </c:pt>
                <c:pt idx="6">
                  <c:v>10.718508999999999</c:v>
                </c:pt>
                <c:pt idx="7">
                  <c:v>10.718508999999999</c:v>
                </c:pt>
                <c:pt idx="8">
                  <c:v>10.718508999999999</c:v>
                </c:pt>
                <c:pt idx="9">
                  <c:v>10.718508999999999</c:v>
                </c:pt>
                <c:pt idx="10">
                  <c:v>10.718508999999999</c:v>
                </c:pt>
                <c:pt idx="11">
                  <c:v>10.718508999999999</c:v>
                </c:pt>
                <c:pt idx="12">
                  <c:v>10.718508999999999</c:v>
                </c:pt>
                <c:pt idx="13">
                  <c:v>10.718508999999999</c:v>
                </c:pt>
                <c:pt idx="14">
                  <c:v>10.718508999999999</c:v>
                </c:pt>
                <c:pt idx="15">
                  <c:v>10.718508999999999</c:v>
                </c:pt>
                <c:pt idx="16">
                  <c:v>10.718508999999999</c:v>
                </c:pt>
                <c:pt idx="17">
                  <c:v>10.718508999999999</c:v>
                </c:pt>
                <c:pt idx="18">
                  <c:v>10.718508999999999</c:v>
                </c:pt>
                <c:pt idx="19">
                  <c:v>10.718508999999999</c:v>
                </c:pt>
                <c:pt idx="20">
                  <c:v>10.718508999999999</c:v>
                </c:pt>
                <c:pt idx="21">
                  <c:v>10.718508999999999</c:v>
                </c:pt>
                <c:pt idx="22">
                  <c:v>10.718508999999999</c:v>
                </c:pt>
                <c:pt idx="23">
                  <c:v>10.718508999999999</c:v>
                </c:pt>
              </c:numCache>
            </c:numRef>
          </c:val>
          <c:smooth val="0"/>
          <c:extLst>
            <c:ext xmlns:c16="http://schemas.microsoft.com/office/drawing/2014/chart" uri="{C3380CC4-5D6E-409C-BE32-E72D297353CC}">
              <c16:uniqueId val="{00000001-522A-4B69-BB6E-0EF0CC01995E}"/>
            </c:ext>
          </c:extLst>
        </c:ser>
        <c:ser>
          <c:idx val="2"/>
          <c:order val="2"/>
          <c:tx>
            <c:strRef>
              <c:f>'Peta Kendali xbar-s'!$AD$41</c:f>
              <c:strCache>
                <c:ptCount val="1"/>
                <c:pt idx="0">
                  <c:v>BKA xbar</c:v>
                </c:pt>
              </c:strCache>
            </c:strRef>
          </c:tx>
          <c:spPr>
            <a:ln w="19080">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xbar-s'!$AD$42:$AD$65</c:f>
              <c:numCache>
                <c:formatCode>0.000</c:formatCode>
                <c:ptCount val="24"/>
                <c:pt idx="0">
                  <c:v>10.253239000000001</c:v>
                </c:pt>
                <c:pt idx="1">
                  <c:v>10.253239000000001</c:v>
                </c:pt>
                <c:pt idx="2">
                  <c:v>10.253239000000001</c:v>
                </c:pt>
                <c:pt idx="3">
                  <c:v>10.253239000000001</c:v>
                </c:pt>
                <c:pt idx="4">
                  <c:v>10.253239000000001</c:v>
                </c:pt>
                <c:pt idx="5">
                  <c:v>10.253239000000001</c:v>
                </c:pt>
                <c:pt idx="6">
                  <c:v>10.253239000000001</c:v>
                </c:pt>
                <c:pt idx="7">
                  <c:v>10.253239000000001</c:v>
                </c:pt>
                <c:pt idx="8">
                  <c:v>10.253239000000001</c:v>
                </c:pt>
                <c:pt idx="9">
                  <c:v>10.253239000000001</c:v>
                </c:pt>
                <c:pt idx="10">
                  <c:v>10.253239000000001</c:v>
                </c:pt>
                <c:pt idx="11">
                  <c:v>10.253239000000001</c:v>
                </c:pt>
                <c:pt idx="12">
                  <c:v>10.253239000000001</c:v>
                </c:pt>
                <c:pt idx="13">
                  <c:v>10.253239000000001</c:v>
                </c:pt>
                <c:pt idx="14">
                  <c:v>10.253239000000001</c:v>
                </c:pt>
                <c:pt idx="15">
                  <c:v>10.253239000000001</c:v>
                </c:pt>
                <c:pt idx="16">
                  <c:v>10.253239000000001</c:v>
                </c:pt>
                <c:pt idx="17">
                  <c:v>10.253239000000001</c:v>
                </c:pt>
                <c:pt idx="18">
                  <c:v>10.253239000000001</c:v>
                </c:pt>
                <c:pt idx="19">
                  <c:v>10.253239000000001</c:v>
                </c:pt>
                <c:pt idx="20">
                  <c:v>10.253239000000001</c:v>
                </c:pt>
                <c:pt idx="21">
                  <c:v>10.253239000000001</c:v>
                </c:pt>
                <c:pt idx="22">
                  <c:v>10.253239000000001</c:v>
                </c:pt>
                <c:pt idx="23">
                  <c:v>10.253239000000001</c:v>
                </c:pt>
              </c:numCache>
            </c:numRef>
          </c:val>
          <c:smooth val="0"/>
          <c:extLst>
            <c:ext xmlns:c16="http://schemas.microsoft.com/office/drawing/2014/chart" uri="{C3380CC4-5D6E-409C-BE32-E72D297353CC}">
              <c16:uniqueId val="{00000002-522A-4B69-BB6E-0EF0CC01995E}"/>
            </c:ext>
          </c:extLst>
        </c:ser>
        <c:ser>
          <c:idx val="3"/>
          <c:order val="3"/>
          <c:tx>
            <c:strRef>
              <c:f>'Peta Kendali xbar-s'!$AE$41</c:f>
              <c:strCache>
                <c:ptCount val="1"/>
                <c:pt idx="0">
                  <c:v>BKB xbar</c:v>
                </c:pt>
              </c:strCache>
            </c:strRef>
          </c:tx>
          <c:spPr>
            <a:ln w="19080">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xbar-s'!$AE$42:$AE$65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522A-4B69-BB6E-0EF0CC01995E}"/>
            </c:ext>
          </c:extLst>
        </c:ser>
        <c:dLbls>
          <c:showLegendKey val="0"/>
          <c:showVal val="0"/>
          <c:showCatName val="0"/>
          <c:showSerName val="0"/>
          <c:showPercent val="0"/>
          <c:showBubbleSize val="0"/>
        </c:dLbls>
        <c:hiLowLines>
          <c:spPr>
            <a:ln w="0">
              <a:noFill/>
            </a:ln>
          </c:spPr>
        </c:hiLowLines>
        <c:smooth val="0"/>
        <c:axId val="19901823"/>
        <c:axId val="30158128"/>
      </c:lineChart>
      <c:catAx>
        <c:axId val="19901823"/>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30158128"/>
        <c:crosses val="autoZero"/>
        <c:auto val="1"/>
        <c:lblAlgn val="ctr"/>
        <c:lblOffset val="100"/>
        <c:noMultiLvlLbl val="0"/>
      </c:catAx>
      <c:valAx>
        <c:axId val="30158128"/>
        <c:scaling>
          <c:orientation val="minMax"/>
        </c:scaling>
        <c:delete val="0"/>
        <c:axPos val="l"/>
        <c:majorGridlines>
          <c:spPr>
            <a:ln w="6480">
              <a:solidFill>
                <a:srgbClr val="B7B7B7"/>
              </a:solidFill>
              <a:round/>
            </a:ln>
          </c:spPr>
        </c:majorGridlines>
        <c:minorGridlines>
          <c:spPr>
            <a:ln w="6480">
              <a:solidFill>
                <a:srgbClr val="CCCCCC"/>
              </a:solidFill>
              <a:round/>
            </a:ln>
          </c:spPr>
        </c:min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19901823"/>
        <c:crosses val="autoZero"/>
        <c:crossBetween val="between"/>
      </c:valAx>
      <c:spPr>
        <a:noFill/>
        <a:ln w="0">
          <a:noFill/>
        </a:ln>
      </c:spPr>
    </c:plotArea>
    <c:legend>
      <c:legendPos val="r"/>
      <c:overlay val="0"/>
      <c:spPr>
        <a:noFill/>
        <a:ln w="0">
          <a:noFill/>
        </a:ln>
      </c:spPr>
      <c:txPr>
        <a:bodyPr/>
        <a:lstStyle/>
        <a:p>
          <a:pPr>
            <a:defRPr sz="10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OC Curve</a:t>
            </a:r>
          </a:p>
        </c:rich>
      </c:tx>
      <c:overlay val="0"/>
      <c:spPr>
        <a:noFill/>
        <a:ln w="0">
          <a:noFill/>
        </a:ln>
      </c:spPr>
    </c:title>
    <c:autoTitleDeleted val="0"/>
    <c:plotArea>
      <c:layout/>
      <c:scatterChart>
        <c:scatterStyle val="lineMarker"/>
        <c:varyColors val="0"/>
        <c:ser>
          <c:idx val="0"/>
          <c:order val="0"/>
          <c:tx>
            <c:v>Beta</c:v>
          </c:tx>
          <c:spPr>
            <a:ln w="19080">
              <a:noFill/>
            </a:ln>
          </c:spPr>
          <c:marker>
            <c:symbol val="circle"/>
            <c:size val="7"/>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'OC Curve ARL xbar-R'!$C$13:$C$57</c:f>
              <c:numCache>
                <c:formatCode>0.000</c:formatCode>
                <c:ptCount val="45"/>
                <c:pt idx="0">
                  <c:v>0</c:v>
                </c:pt>
                <c:pt idx="1">
                  <c:v>5.6888497566463664E-2</c:v>
                </c:pt>
                <c:pt idx="2">
                  <c:v>0.11377699513292733</c:v>
                </c:pt>
                <c:pt idx="3">
                  <c:v>0.17066549269939099</c:v>
                </c:pt>
                <c:pt idx="4">
                  <c:v>0.22755399026585466</c:v>
                </c:pt>
                <c:pt idx="5">
                  <c:v>0.28444248783231835</c:v>
                </c:pt>
                <c:pt idx="6">
                  <c:v>0.34133098539878198</c:v>
                </c:pt>
                <c:pt idx="7">
                  <c:v>0.39821948296524567</c:v>
                </c:pt>
                <c:pt idx="8">
                  <c:v>0.45510798053170931</c:v>
                </c:pt>
                <c:pt idx="9">
                  <c:v>0.51199647809817295</c:v>
                </c:pt>
                <c:pt idx="10">
                  <c:v>0.56888497566463669</c:v>
                </c:pt>
                <c:pt idx="11">
                  <c:v>0.62577347323110033</c:v>
                </c:pt>
                <c:pt idx="12">
                  <c:v>0.68266197079756397</c:v>
                </c:pt>
                <c:pt idx="13">
                  <c:v>0.73955046836402771</c:v>
                </c:pt>
                <c:pt idx="14">
                  <c:v>0.79643896593049135</c:v>
                </c:pt>
                <c:pt idx="15">
                  <c:v>0.85332746349695487</c:v>
                </c:pt>
                <c:pt idx="16">
                  <c:v>0.91021596106341862</c:v>
                </c:pt>
                <c:pt idx="17">
                  <c:v>0.96710445862988237</c:v>
                </c:pt>
                <c:pt idx="18">
                  <c:v>1.0239929561963459</c:v>
                </c:pt>
                <c:pt idx="19">
                  <c:v>1.0808814537628095</c:v>
                </c:pt>
                <c:pt idx="20">
                  <c:v>1.1377699513292734</c:v>
                </c:pt>
                <c:pt idx="21">
                  <c:v>1.1946584488957368</c:v>
                </c:pt>
                <c:pt idx="22">
                  <c:v>1.2515469464622007</c:v>
                </c:pt>
                <c:pt idx="23">
                  <c:v>1.3084354440286643</c:v>
                </c:pt>
                <c:pt idx="24">
                  <c:v>1.3653239415951279</c:v>
                </c:pt>
                <c:pt idx="25">
                  <c:v>1.4222124391615916</c:v>
                </c:pt>
                <c:pt idx="26">
                  <c:v>1.4791009367280554</c:v>
                </c:pt>
                <c:pt idx="27">
                  <c:v>1.5359894342945191</c:v>
                </c:pt>
                <c:pt idx="28">
                  <c:v>1.5928779318609827</c:v>
                </c:pt>
                <c:pt idx="29">
                  <c:v>1.6497664294274461</c:v>
                </c:pt>
                <c:pt idx="30">
                  <c:v>1.7066549269939097</c:v>
                </c:pt>
                <c:pt idx="31">
                  <c:v>1.9910974148262282</c:v>
                </c:pt>
                <c:pt idx="32">
                  <c:v>2.2755399026585468</c:v>
                </c:pt>
                <c:pt idx="33">
                  <c:v>2.5599823904908647</c:v>
                </c:pt>
                <c:pt idx="34">
                  <c:v>2.8444248783231831</c:v>
                </c:pt>
                <c:pt idx="35">
                  <c:v>3.128867366155502</c:v>
                </c:pt>
                <c:pt idx="36">
                  <c:v>3.4133098539878195</c:v>
                </c:pt>
                <c:pt idx="37">
                  <c:v>3.6977523418201383</c:v>
                </c:pt>
                <c:pt idx="38">
                  <c:v>3.9821948296524563</c:v>
                </c:pt>
                <c:pt idx="39">
                  <c:v>4.2666373174847747</c:v>
                </c:pt>
                <c:pt idx="40">
                  <c:v>4.5510798053170936</c:v>
                </c:pt>
                <c:pt idx="41">
                  <c:v>4.8355222931494115</c:v>
                </c:pt>
                <c:pt idx="42">
                  <c:v>5.1199647809817295</c:v>
                </c:pt>
                <c:pt idx="43">
                  <c:v>5.4044072688140474</c:v>
                </c:pt>
                <c:pt idx="44">
                  <c:v>5.6888497566463663</c:v>
                </c:pt>
              </c:numCache>
            </c:numRef>
          </c:xVal>
          <c:yVal>
            <c:numRef>
              <c:f>'OC Curve ARL xbar-R'!$D$13:$D$57</c:f>
              <c:numCache>
                <c:formatCode>0.0000</c:formatCode>
                <c:ptCount val="45"/>
                <c:pt idx="0">
                  <c:v>0.99730020393673979</c:v>
                </c:pt>
                <c:pt idx="1">
                  <c:v>0.99708332040149183</c:v>
                </c:pt>
                <c:pt idx="2">
                  <c:v>0.99641172703883885</c:v>
                </c:pt>
                <c:pt idx="3">
                  <c:v>0.99522228742690433</c:v>
                </c:pt>
                <c:pt idx="4">
                  <c:v>0.99340886464597766</c:v>
                </c:pt>
                <c:pt idx="5">
                  <c:v>0.99082136028902612</c:v>
                </c:pt>
                <c:pt idx="6">
                  <c:v>0.98726514497040241</c:v>
                </c:pt>
                <c:pt idx="7">
                  <c:v>0.9825015820093933</c:v>
                </c:pt>
                <c:pt idx="8">
                  <c:v>0.97625043563321012</c:v>
                </c:pt>
                <c:pt idx="9">
                  <c:v>0.96819495675940603</c:v>
                </c:pt>
                <c:pt idx="10">
                  <c:v>0.95799033445412674</c:v>
                </c:pt>
                <c:pt idx="11">
                  <c:v>0.94527597818746023</c:v>
                </c:pt>
                <c:pt idx="12">
                  <c:v>0.92969175607972476</c:v>
                </c:pt>
                <c:pt idx="13">
                  <c:v>0.91089787520974397</c:v>
                </c:pt>
                <c:pt idx="14">
                  <c:v>0.88859758849572124</c:v>
                </c:pt>
                <c:pt idx="15">
                  <c:v>0.86256140355587507</c:v>
                </c:pt>
                <c:pt idx="16">
                  <c:v>0.83265102061368623</c:v>
                </c:pt>
                <c:pt idx="17">
                  <c:v>0.79884091210151353</c:v>
                </c:pt>
                <c:pt idx="18">
                  <c:v>0.76123534275743576</c:v>
                </c:pt>
                <c:pt idx="19">
                  <c:v>0.72007876328696663</c:v>
                </c:pt>
                <c:pt idx="20">
                  <c:v>0.67575791044260691</c:v>
                </c:pt>
                <c:pt idx="21">
                  <c:v>0.62879459145617689</c:v>
                </c:pt>
                <c:pt idx="22">
                  <c:v>0.57982896188396682</c:v>
                </c:pt>
                <c:pt idx="23">
                  <c:v>0.52959403024090179</c:v>
                </c:pt>
                <c:pt idx="24">
                  <c:v>0.47888302595554638</c:v>
                </c:pt>
                <c:pt idx="25">
                  <c:v>0.42851203030091184</c:v>
                </c:pt>
                <c:pt idx="26">
                  <c:v>0.37928078858508896</c:v>
                </c:pt>
                <c:pt idx="27">
                  <c:v>0.33193482331347268</c:v>
                </c:pt>
                <c:pt idx="28">
                  <c:v>0.28713182367580004</c:v>
                </c:pt>
                <c:pt idx="29">
                  <c:v>0.24541481701989401</c:v>
                </c:pt>
                <c:pt idx="30">
                  <c:v>0.20719389890817197</c:v>
                </c:pt>
                <c:pt idx="31">
                  <c:v>7.3218947298805029E-2</c:v>
                </c:pt>
                <c:pt idx="32">
                  <c:v>1.83871077887417E-2</c:v>
                </c:pt>
                <c:pt idx="33">
                  <c:v>3.2219494755018332E-3</c:v>
                </c:pt>
                <c:pt idx="34">
                  <c:v>3.8925080672644905E-4</c:v>
                </c:pt>
                <c:pt idx="35">
                  <c:v>3.2161929692166282E-5</c:v>
                </c:pt>
                <c:pt idx="36">
                  <c:v>1.8073170194818513E-6</c:v>
                </c:pt>
                <c:pt idx="37">
                  <c:v>6.8799394764599058E-8</c:v>
                </c:pt>
                <c:pt idx="38">
                  <c:v>1.7690363162853226E-9</c:v>
                </c:pt>
                <c:pt idx="39">
                  <c:v>3.065857786829545E-11</c:v>
                </c:pt>
                <c:pt idx="40">
                  <c:v>3.5753100250048365E-13</c:v>
                </c:pt>
                <c:pt idx="41">
                  <c:v>2.80197425473874E-15</c:v>
                </c:pt>
                <c:pt idx="42">
                  <c:v>1.4742185462637636E-17</c:v>
                </c:pt>
                <c:pt idx="43">
                  <c:v>5.2029801364726893E-20</c:v>
                </c:pt>
                <c:pt idx="44">
                  <c:v>1.2309661456199639E-22</c:v>
                </c:pt>
              </c:numCache>
            </c:numRef>
          </c:yVal>
          <c:smooth val="1"/>
          <c:extLst>
            <c:ext xmlns:c16="http://schemas.microsoft.com/office/drawing/2014/chart" uri="{C3380CC4-5D6E-409C-BE32-E72D297353CC}">
              <c16:uniqueId val="{00000000-D21E-4425-A567-CD18D38DA245}"/>
            </c:ext>
          </c:extLst>
        </c:ser>
        <c:dLbls>
          <c:showLegendKey val="0"/>
          <c:showVal val="0"/>
          <c:showCatName val="0"/>
          <c:showSerName val="0"/>
          <c:showPercent val="0"/>
          <c:showBubbleSize val="0"/>
        </c:dLbls>
        <c:axId val="46461717"/>
        <c:axId val="73136995"/>
      </c:scatterChart>
      <c:valAx>
        <c:axId val="46461717"/>
        <c:scaling>
          <c:orientation val="minMax"/>
        </c:scaling>
        <c:delete val="0"/>
        <c:axPos val="b"/>
        <c:majorGridlines>
          <c:spPr>
            <a:ln w="6480">
              <a:solidFill>
                <a:srgbClr val="B7B7B7"/>
              </a:solidFill>
              <a:round/>
            </a:ln>
          </c:spPr>
        </c:majorGridlines>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3136995"/>
        <c:crosses val="autoZero"/>
        <c:crossBetween val="midCat"/>
      </c:valAx>
      <c:valAx>
        <c:axId val="73136995"/>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46461717"/>
        <c:crosses val="autoZero"/>
        <c:crossBetween val="midCat"/>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ARL</a:t>
            </a:r>
          </a:p>
        </c:rich>
      </c:tx>
      <c:overlay val="0"/>
      <c:spPr>
        <a:noFill/>
        <a:ln w="0">
          <a:noFill/>
        </a:ln>
      </c:spPr>
    </c:title>
    <c:autoTitleDeleted val="0"/>
    <c:plotArea>
      <c:layout/>
      <c:scatterChart>
        <c:scatterStyle val="lineMarker"/>
        <c:varyColors val="0"/>
        <c:ser>
          <c:idx val="0"/>
          <c:order val="0"/>
          <c:tx>
            <c:v>ARL</c:v>
          </c:tx>
          <c:spPr>
            <a:ln w="19080">
              <a:noFill/>
            </a:ln>
          </c:spPr>
          <c:marker>
            <c:symbol val="circle"/>
            <c:size val="7"/>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'OC Curve ARL xbar-R'!$C$13:$C$57</c:f>
              <c:numCache>
                <c:formatCode>0.000</c:formatCode>
                <c:ptCount val="45"/>
                <c:pt idx="0">
                  <c:v>0</c:v>
                </c:pt>
                <c:pt idx="1">
                  <c:v>5.6888497566463664E-2</c:v>
                </c:pt>
                <c:pt idx="2">
                  <c:v>0.11377699513292733</c:v>
                </c:pt>
                <c:pt idx="3">
                  <c:v>0.17066549269939099</c:v>
                </c:pt>
                <c:pt idx="4">
                  <c:v>0.22755399026585466</c:v>
                </c:pt>
                <c:pt idx="5">
                  <c:v>0.28444248783231835</c:v>
                </c:pt>
                <c:pt idx="6">
                  <c:v>0.34133098539878198</c:v>
                </c:pt>
                <c:pt idx="7">
                  <c:v>0.39821948296524567</c:v>
                </c:pt>
                <c:pt idx="8">
                  <c:v>0.45510798053170931</c:v>
                </c:pt>
                <c:pt idx="9">
                  <c:v>0.51199647809817295</c:v>
                </c:pt>
                <c:pt idx="10">
                  <c:v>0.56888497566463669</c:v>
                </c:pt>
                <c:pt idx="11">
                  <c:v>0.62577347323110033</c:v>
                </c:pt>
                <c:pt idx="12">
                  <c:v>0.68266197079756397</c:v>
                </c:pt>
                <c:pt idx="13">
                  <c:v>0.73955046836402771</c:v>
                </c:pt>
                <c:pt idx="14">
                  <c:v>0.79643896593049135</c:v>
                </c:pt>
                <c:pt idx="15">
                  <c:v>0.85332746349695487</c:v>
                </c:pt>
                <c:pt idx="16">
                  <c:v>0.91021596106341862</c:v>
                </c:pt>
                <c:pt idx="17">
                  <c:v>0.96710445862988237</c:v>
                </c:pt>
                <c:pt idx="18">
                  <c:v>1.0239929561963459</c:v>
                </c:pt>
                <c:pt idx="19">
                  <c:v>1.0808814537628095</c:v>
                </c:pt>
                <c:pt idx="20">
                  <c:v>1.1377699513292734</c:v>
                </c:pt>
                <c:pt idx="21">
                  <c:v>1.1946584488957368</c:v>
                </c:pt>
                <c:pt idx="22">
                  <c:v>1.2515469464622007</c:v>
                </c:pt>
                <c:pt idx="23">
                  <c:v>1.3084354440286643</c:v>
                </c:pt>
                <c:pt idx="24">
                  <c:v>1.3653239415951279</c:v>
                </c:pt>
                <c:pt idx="25">
                  <c:v>1.4222124391615916</c:v>
                </c:pt>
                <c:pt idx="26">
                  <c:v>1.4791009367280554</c:v>
                </c:pt>
                <c:pt idx="27">
                  <c:v>1.5359894342945191</c:v>
                </c:pt>
                <c:pt idx="28">
                  <c:v>1.5928779318609827</c:v>
                </c:pt>
                <c:pt idx="29">
                  <c:v>1.6497664294274461</c:v>
                </c:pt>
                <c:pt idx="30">
                  <c:v>1.7066549269939097</c:v>
                </c:pt>
                <c:pt idx="31">
                  <c:v>1.9910974148262282</c:v>
                </c:pt>
                <c:pt idx="32">
                  <c:v>2.2755399026585468</c:v>
                </c:pt>
                <c:pt idx="33">
                  <c:v>2.5599823904908647</c:v>
                </c:pt>
                <c:pt idx="34">
                  <c:v>2.8444248783231831</c:v>
                </c:pt>
                <c:pt idx="35">
                  <c:v>3.128867366155502</c:v>
                </c:pt>
                <c:pt idx="36">
                  <c:v>3.4133098539878195</c:v>
                </c:pt>
                <c:pt idx="37">
                  <c:v>3.6977523418201383</c:v>
                </c:pt>
                <c:pt idx="38">
                  <c:v>3.9821948296524563</c:v>
                </c:pt>
                <c:pt idx="39">
                  <c:v>4.2666373174847747</c:v>
                </c:pt>
                <c:pt idx="40">
                  <c:v>4.5510798053170936</c:v>
                </c:pt>
                <c:pt idx="41">
                  <c:v>4.8355222931494115</c:v>
                </c:pt>
                <c:pt idx="42">
                  <c:v>5.1199647809817295</c:v>
                </c:pt>
                <c:pt idx="43">
                  <c:v>5.4044072688140474</c:v>
                </c:pt>
                <c:pt idx="44">
                  <c:v>5.6888497566463663</c:v>
                </c:pt>
              </c:numCache>
            </c:numRef>
          </c:xVal>
          <c:yVal>
            <c:numRef>
              <c:f>'OC Curve ARL xbar-R'!$E$13:$E$57</c:f>
              <c:numCache>
                <c:formatCode>0.0000</c:formatCode>
                <c:ptCount val="45"/>
                <c:pt idx="0">
                  <c:v>370.39834734495639</c:v>
                </c:pt>
                <c:pt idx="1">
                  <c:v>342.85562271271897</c:v>
                </c:pt>
                <c:pt idx="2">
                  <c:v>278.68559912354135</c:v>
                </c:pt>
                <c:pt idx="3">
                  <c:v>209.30518207211028</c:v>
                </c:pt>
                <c:pt idx="4">
                  <c:v>151.71892948454402</c:v>
                </c:pt>
                <c:pt idx="5">
                  <c:v>108.94860583801008</c:v>
                </c:pt>
                <c:pt idx="6">
                  <c:v>78.524647330170595</c:v>
                </c:pt>
                <c:pt idx="7">
                  <c:v>57.148023354843204</c:v>
                </c:pt>
                <c:pt idx="8">
                  <c:v>42.106035485785441</c:v>
                </c:pt>
                <c:pt idx="9">
                  <c:v>31.441554486669038</c:v>
                </c:pt>
                <c:pt idx="10">
                  <c:v>23.804045735808838</c:v>
                </c:pt>
                <c:pt idx="11">
                  <c:v>18.273510734016526</c:v>
                </c:pt>
                <c:pt idx="12">
                  <c:v>14.223083158412148</c:v>
                </c:pt>
                <c:pt idx="13">
                  <c:v>11.22307691712148</c:v>
                </c:pt>
                <c:pt idx="14">
                  <c:v>8.9764663663639972</c:v>
                </c:pt>
                <c:pt idx="15">
                  <c:v>7.2759765151308553</c:v>
                </c:pt>
                <c:pt idx="16">
                  <c:v>5.9755368910351576</c:v>
                </c:pt>
                <c:pt idx="17">
                  <c:v>4.9711897704797856</c:v>
                </c:pt>
                <c:pt idx="18">
                  <c:v>4.1882245536201221</c:v>
                </c:pt>
                <c:pt idx="19">
                  <c:v>3.5724334878713373</c:v>
                </c:pt>
                <c:pt idx="20">
                  <c:v>3.0841153329755886</c:v>
                </c:pt>
                <c:pt idx="21">
                  <c:v>2.6939262655757985</c:v>
                </c:pt>
                <c:pt idx="22">
                  <c:v>2.379983171814529</c:v>
                </c:pt>
                <c:pt idx="23">
                  <c:v>2.1258233617063036</c:v>
                </c:pt>
                <c:pt idx="24">
                  <c:v>1.9189549560032091</c:v>
                </c:pt>
                <c:pt idx="25">
                  <c:v>1.7498181117032803</c:v>
                </c:pt>
                <c:pt idx="26">
                  <c:v>1.6110343962458156</c:v>
                </c:pt>
                <c:pt idx="27">
                  <c:v>1.496859939564287</c:v>
                </c:pt>
                <c:pt idx="28">
                  <c:v>1.4027838992004849</c:v>
                </c:pt>
                <c:pt idx="29">
                  <c:v>1.3252314285455087</c:v>
                </c:pt>
                <c:pt idx="30">
                  <c:v>1.2613424627066201</c:v>
                </c:pt>
                <c:pt idx="31">
                  <c:v>1.0790035004334639</c:v>
                </c:pt>
                <c:pt idx="32">
                  <c:v>1.0187315263834009</c:v>
                </c:pt>
                <c:pt idx="33">
                  <c:v>1.0032323639889607</c:v>
                </c:pt>
                <c:pt idx="34">
                  <c:v>1.0003894023819178</c:v>
                </c:pt>
                <c:pt idx="35">
                  <c:v>1.0000321629641151</c:v>
                </c:pt>
                <c:pt idx="36">
                  <c:v>1.0000018073202859</c:v>
                </c:pt>
                <c:pt idx="37">
                  <c:v>1.0000000687993995</c:v>
                </c:pt>
                <c:pt idx="38">
                  <c:v>1.0000000017690365</c:v>
                </c:pt>
                <c:pt idx="39">
                  <c:v>1.0000000000306586</c:v>
                </c:pt>
                <c:pt idx="40">
                  <c:v>1.0000000000003575</c:v>
                </c:pt>
                <c:pt idx="41">
                  <c:v>1.0000000000000027</c:v>
                </c:pt>
                <c:pt idx="42">
                  <c:v>1</c:v>
                </c:pt>
                <c:pt idx="43">
                  <c:v>1</c:v>
                </c:pt>
                <c:pt idx="44">
                  <c:v>1</c:v>
                </c:pt>
              </c:numCache>
            </c:numRef>
          </c:yVal>
          <c:smooth val="1"/>
          <c:extLst>
            <c:ext xmlns:c16="http://schemas.microsoft.com/office/drawing/2014/chart" uri="{C3380CC4-5D6E-409C-BE32-E72D297353CC}">
              <c16:uniqueId val="{00000000-81AA-4EAE-BAC9-A854B8EC23AE}"/>
            </c:ext>
          </c:extLst>
        </c:ser>
        <c:dLbls>
          <c:showLegendKey val="0"/>
          <c:showVal val="0"/>
          <c:showCatName val="0"/>
          <c:showSerName val="0"/>
          <c:showPercent val="0"/>
          <c:showBubbleSize val="0"/>
        </c:dLbls>
        <c:axId val="32520600"/>
        <c:axId val="41576163"/>
      </c:scatterChart>
      <c:valAx>
        <c:axId val="32520600"/>
        <c:scaling>
          <c:orientation val="minMax"/>
        </c:scaling>
        <c:delete val="0"/>
        <c:axPos val="b"/>
        <c:majorGridlines>
          <c:spPr>
            <a:ln w="6480">
              <a:solidFill>
                <a:srgbClr val="B7B7B7"/>
              </a:solidFill>
              <a:round/>
            </a:ln>
          </c:spPr>
        </c:majorGridlines>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41576163"/>
        <c:crosses val="autoZero"/>
        <c:crossBetween val="midCat"/>
      </c:valAx>
      <c:valAx>
        <c:axId val="41576163"/>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32520600"/>
        <c:crosses val="autoZero"/>
        <c:crossBetween val="midCat"/>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Kapabilitas Proses</a:t>
            </a:r>
          </a:p>
        </c:rich>
      </c:tx>
      <c:overlay val="0"/>
      <c:spPr>
        <a:noFill/>
        <a:ln w="0">
          <a:noFill/>
        </a:ln>
      </c:spPr>
    </c:title>
    <c:autoTitleDeleted val="0"/>
    <c:plotArea>
      <c:layout/>
      <c:scatterChart>
        <c:scatterStyle val="lineMarker"/>
        <c:varyColors val="0"/>
        <c:ser>
          <c:idx val="0"/>
          <c:order val="0"/>
          <c:tx>
            <c:v>f(x) proses</c:v>
          </c:tx>
          <c:spPr>
            <a:ln w="19080">
              <a:noFill/>
            </a:ln>
          </c:spPr>
          <c:marker>
            <c:symbol val="circle"/>
            <c:size val="7"/>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'Kapabilitas Proses xbar-R'!$C$36:$C$236</c:f>
              <c:numCache>
                <c:formatCode>0.000</c:formatCode>
                <c:ptCount val="201"/>
                <c:pt idx="0">
                  <c:v>9.9585266225279465</c:v>
                </c:pt>
                <c:pt idx="1">
                  <c:v>9.9638000963026663</c:v>
                </c:pt>
                <c:pt idx="2">
                  <c:v>9.969073570077386</c:v>
                </c:pt>
                <c:pt idx="3">
                  <c:v>9.9743470438521076</c:v>
                </c:pt>
                <c:pt idx="4">
                  <c:v>9.9796205176268273</c:v>
                </c:pt>
                <c:pt idx="5">
                  <c:v>9.9848939914015489</c:v>
                </c:pt>
                <c:pt idx="6">
                  <c:v>9.9901674651762686</c:v>
                </c:pt>
                <c:pt idx="7">
                  <c:v>9.9954409389509902</c:v>
                </c:pt>
                <c:pt idx="8">
                  <c:v>10.00071441272571</c:v>
                </c:pt>
                <c:pt idx="9">
                  <c:v>10.00598788650043</c:v>
                </c:pt>
                <c:pt idx="10">
                  <c:v>10.011261360275151</c:v>
                </c:pt>
                <c:pt idx="11">
                  <c:v>10.016534834049871</c:v>
                </c:pt>
                <c:pt idx="12">
                  <c:v>10.021808307824593</c:v>
                </c:pt>
                <c:pt idx="13">
                  <c:v>10.027081781599312</c:v>
                </c:pt>
                <c:pt idx="14">
                  <c:v>10.032355255374032</c:v>
                </c:pt>
                <c:pt idx="15">
                  <c:v>10.037628729148754</c:v>
                </c:pt>
                <c:pt idx="16">
                  <c:v>10.042902202923473</c:v>
                </c:pt>
                <c:pt idx="17">
                  <c:v>10.048175676698195</c:v>
                </c:pt>
                <c:pt idx="18">
                  <c:v>10.053449150472915</c:v>
                </c:pt>
                <c:pt idx="19">
                  <c:v>10.058722624247636</c:v>
                </c:pt>
                <c:pt idx="20">
                  <c:v>10.063996098022356</c:v>
                </c:pt>
                <c:pt idx="21">
                  <c:v>10.069269571797076</c:v>
                </c:pt>
                <c:pt idx="22">
                  <c:v>10.074543045571797</c:v>
                </c:pt>
                <c:pt idx="23">
                  <c:v>10.079816519346517</c:v>
                </c:pt>
                <c:pt idx="24">
                  <c:v>10.085089993121239</c:v>
                </c:pt>
                <c:pt idx="25">
                  <c:v>10.090363466895958</c:v>
                </c:pt>
                <c:pt idx="26">
                  <c:v>10.09563694067068</c:v>
                </c:pt>
                <c:pt idx="27">
                  <c:v>10.1009104144454</c:v>
                </c:pt>
                <c:pt idx="28">
                  <c:v>10.106183888220119</c:v>
                </c:pt>
                <c:pt idx="29">
                  <c:v>10.111457361994841</c:v>
                </c:pt>
                <c:pt idx="30">
                  <c:v>10.116730835769561</c:v>
                </c:pt>
                <c:pt idx="31">
                  <c:v>10.122004309544282</c:v>
                </c:pt>
                <c:pt idx="32">
                  <c:v>10.127277783319002</c:v>
                </c:pt>
                <c:pt idx="33">
                  <c:v>10.132551257093724</c:v>
                </c:pt>
                <c:pt idx="34">
                  <c:v>10.137824730868443</c:v>
                </c:pt>
                <c:pt idx="35">
                  <c:v>10.143098204643163</c:v>
                </c:pt>
                <c:pt idx="36">
                  <c:v>10.148371678417885</c:v>
                </c:pt>
                <c:pt idx="37">
                  <c:v>10.153645152192604</c:v>
                </c:pt>
                <c:pt idx="38">
                  <c:v>10.158918625967326</c:v>
                </c:pt>
                <c:pt idx="39">
                  <c:v>10.164192099742046</c:v>
                </c:pt>
                <c:pt idx="40">
                  <c:v>10.169465573516767</c:v>
                </c:pt>
                <c:pt idx="41">
                  <c:v>10.174739047291487</c:v>
                </c:pt>
                <c:pt idx="42">
                  <c:v>10.180012521066208</c:v>
                </c:pt>
                <c:pt idx="43">
                  <c:v>10.185285994840928</c:v>
                </c:pt>
                <c:pt idx="44">
                  <c:v>10.19055946861565</c:v>
                </c:pt>
                <c:pt idx="45">
                  <c:v>10.19583294239037</c:v>
                </c:pt>
                <c:pt idx="46">
                  <c:v>10.201106416165089</c:v>
                </c:pt>
                <c:pt idx="47">
                  <c:v>10.206379889939811</c:v>
                </c:pt>
                <c:pt idx="48">
                  <c:v>10.211653363714531</c:v>
                </c:pt>
                <c:pt idx="49">
                  <c:v>10.216926837489252</c:v>
                </c:pt>
                <c:pt idx="50">
                  <c:v>10.222200311263972</c:v>
                </c:pt>
                <c:pt idx="51">
                  <c:v>10.227473785038693</c:v>
                </c:pt>
                <c:pt idx="52">
                  <c:v>10.232747258813413</c:v>
                </c:pt>
                <c:pt idx="53">
                  <c:v>10.238020732588135</c:v>
                </c:pt>
                <c:pt idx="54">
                  <c:v>10.243294206362854</c:v>
                </c:pt>
                <c:pt idx="55">
                  <c:v>10.248567680137574</c:v>
                </c:pt>
                <c:pt idx="56">
                  <c:v>10.253841153912296</c:v>
                </c:pt>
                <c:pt idx="57">
                  <c:v>10.259114627687016</c:v>
                </c:pt>
                <c:pt idx="58">
                  <c:v>10.264388101461737</c:v>
                </c:pt>
                <c:pt idx="59">
                  <c:v>10.269661575236457</c:v>
                </c:pt>
                <c:pt idx="60">
                  <c:v>10.274935049011178</c:v>
                </c:pt>
                <c:pt idx="61">
                  <c:v>10.280208522785898</c:v>
                </c:pt>
                <c:pt idx="62">
                  <c:v>10.28548199656062</c:v>
                </c:pt>
                <c:pt idx="63">
                  <c:v>10.290755470335339</c:v>
                </c:pt>
                <c:pt idx="64">
                  <c:v>10.296028944110059</c:v>
                </c:pt>
                <c:pt idx="65">
                  <c:v>10.301302417884781</c:v>
                </c:pt>
                <c:pt idx="66">
                  <c:v>10.3065758916595</c:v>
                </c:pt>
                <c:pt idx="67">
                  <c:v>10.311849365434222</c:v>
                </c:pt>
                <c:pt idx="68">
                  <c:v>10.317122839208942</c:v>
                </c:pt>
                <c:pt idx="69">
                  <c:v>10.322396312983663</c:v>
                </c:pt>
                <c:pt idx="70">
                  <c:v>10.327669786758383</c:v>
                </c:pt>
                <c:pt idx="71">
                  <c:v>10.332943260533105</c:v>
                </c:pt>
                <c:pt idx="72">
                  <c:v>10.338216734307824</c:v>
                </c:pt>
                <c:pt idx="73">
                  <c:v>10.343490208082544</c:v>
                </c:pt>
                <c:pt idx="74">
                  <c:v>10.348763681857266</c:v>
                </c:pt>
                <c:pt idx="75">
                  <c:v>10.354037155631985</c:v>
                </c:pt>
                <c:pt idx="76">
                  <c:v>10.359310629406707</c:v>
                </c:pt>
                <c:pt idx="77">
                  <c:v>10.364584103181427</c:v>
                </c:pt>
                <c:pt idx="78">
                  <c:v>10.369857576956148</c:v>
                </c:pt>
                <c:pt idx="79">
                  <c:v>10.375131050730868</c:v>
                </c:pt>
                <c:pt idx="80">
                  <c:v>10.38040452450559</c:v>
                </c:pt>
                <c:pt idx="81">
                  <c:v>10.385677998280309</c:v>
                </c:pt>
                <c:pt idx="82">
                  <c:v>10.390951472055029</c:v>
                </c:pt>
                <c:pt idx="83">
                  <c:v>10.396224945829751</c:v>
                </c:pt>
                <c:pt idx="84">
                  <c:v>10.40149841960447</c:v>
                </c:pt>
                <c:pt idx="85">
                  <c:v>10.406771893379192</c:v>
                </c:pt>
                <c:pt idx="86">
                  <c:v>10.412045367153912</c:v>
                </c:pt>
                <c:pt idx="87">
                  <c:v>10.417318840928633</c:v>
                </c:pt>
                <c:pt idx="88">
                  <c:v>10.422592314703353</c:v>
                </c:pt>
                <c:pt idx="89">
                  <c:v>10.427865788478075</c:v>
                </c:pt>
                <c:pt idx="90">
                  <c:v>10.433139262252794</c:v>
                </c:pt>
                <c:pt idx="91">
                  <c:v>10.438412736027516</c:v>
                </c:pt>
                <c:pt idx="92">
                  <c:v>10.443686209802236</c:v>
                </c:pt>
                <c:pt idx="93">
                  <c:v>10.448959683576955</c:v>
                </c:pt>
                <c:pt idx="94">
                  <c:v>10.454233157351677</c:v>
                </c:pt>
                <c:pt idx="95">
                  <c:v>10.459506631126397</c:v>
                </c:pt>
                <c:pt idx="96">
                  <c:v>10.464780104901118</c:v>
                </c:pt>
                <c:pt idx="97">
                  <c:v>10.470053578675838</c:v>
                </c:pt>
                <c:pt idx="98">
                  <c:v>10.47532705245056</c:v>
                </c:pt>
                <c:pt idx="99">
                  <c:v>10.480600526225279</c:v>
                </c:pt>
                <c:pt idx="100">
                  <c:v>10.485874000000001</c:v>
                </c:pt>
                <c:pt idx="101">
                  <c:v>10.491147473774721</c:v>
                </c:pt>
                <c:pt idx="102">
                  <c:v>10.49642094754944</c:v>
                </c:pt>
                <c:pt idx="103">
                  <c:v>10.501694421324162</c:v>
                </c:pt>
                <c:pt idx="104">
                  <c:v>10.506967895098882</c:v>
                </c:pt>
                <c:pt idx="105">
                  <c:v>10.512241368873603</c:v>
                </c:pt>
                <c:pt idx="106">
                  <c:v>10.517514842648323</c:v>
                </c:pt>
                <c:pt idx="107">
                  <c:v>10.522788316423044</c:v>
                </c:pt>
                <c:pt idx="108">
                  <c:v>10.528061790197764</c:v>
                </c:pt>
                <c:pt idx="109">
                  <c:v>10.533335263972486</c:v>
                </c:pt>
                <c:pt idx="110">
                  <c:v>10.538608737747206</c:v>
                </c:pt>
                <c:pt idx="111">
                  <c:v>10.543882211521925</c:v>
                </c:pt>
                <c:pt idx="112">
                  <c:v>10.549155685296647</c:v>
                </c:pt>
                <c:pt idx="113">
                  <c:v>10.554429159071367</c:v>
                </c:pt>
                <c:pt idx="114">
                  <c:v>10.559702632846088</c:v>
                </c:pt>
                <c:pt idx="115">
                  <c:v>10.564976106620808</c:v>
                </c:pt>
                <c:pt idx="116">
                  <c:v>10.570249580395529</c:v>
                </c:pt>
                <c:pt idx="117">
                  <c:v>10.575523054170249</c:v>
                </c:pt>
                <c:pt idx="118">
                  <c:v>10.580796527944971</c:v>
                </c:pt>
                <c:pt idx="119">
                  <c:v>10.58607000171969</c:v>
                </c:pt>
                <c:pt idx="120">
                  <c:v>10.59134347549441</c:v>
                </c:pt>
                <c:pt idx="121">
                  <c:v>10.596616949269132</c:v>
                </c:pt>
                <c:pt idx="122">
                  <c:v>10.601890423043852</c:v>
                </c:pt>
                <c:pt idx="123">
                  <c:v>10.607163896818573</c:v>
                </c:pt>
                <c:pt idx="124">
                  <c:v>10.612437370593293</c:v>
                </c:pt>
                <c:pt idx="125">
                  <c:v>10.617710844368014</c:v>
                </c:pt>
                <c:pt idx="126">
                  <c:v>10.622984318142734</c:v>
                </c:pt>
                <c:pt idx="127">
                  <c:v>10.628257791917456</c:v>
                </c:pt>
                <c:pt idx="128">
                  <c:v>10.633531265692175</c:v>
                </c:pt>
                <c:pt idx="129">
                  <c:v>10.638804739466895</c:v>
                </c:pt>
                <c:pt idx="130">
                  <c:v>10.644078213241617</c:v>
                </c:pt>
                <c:pt idx="131">
                  <c:v>10.649351687016336</c:v>
                </c:pt>
                <c:pt idx="132">
                  <c:v>10.654625160791058</c:v>
                </c:pt>
                <c:pt idx="133">
                  <c:v>10.659898634565778</c:v>
                </c:pt>
                <c:pt idx="134">
                  <c:v>10.665172108340499</c:v>
                </c:pt>
                <c:pt idx="135">
                  <c:v>10.670445582115219</c:v>
                </c:pt>
                <c:pt idx="136">
                  <c:v>10.675719055889941</c:v>
                </c:pt>
                <c:pt idx="137">
                  <c:v>10.68099252966466</c:v>
                </c:pt>
                <c:pt idx="138">
                  <c:v>10.68626600343938</c:v>
                </c:pt>
                <c:pt idx="139">
                  <c:v>10.691539477214102</c:v>
                </c:pt>
                <c:pt idx="140">
                  <c:v>10.696812950988821</c:v>
                </c:pt>
                <c:pt idx="141">
                  <c:v>10.702086424763543</c:v>
                </c:pt>
                <c:pt idx="142">
                  <c:v>10.707359898538263</c:v>
                </c:pt>
                <c:pt idx="143">
                  <c:v>10.712633372312984</c:v>
                </c:pt>
                <c:pt idx="144">
                  <c:v>10.717906846087704</c:v>
                </c:pt>
                <c:pt idx="145">
                  <c:v>10.723180319862426</c:v>
                </c:pt>
                <c:pt idx="146">
                  <c:v>10.728453793637145</c:v>
                </c:pt>
                <c:pt idx="147">
                  <c:v>10.733727267411865</c:v>
                </c:pt>
                <c:pt idx="148">
                  <c:v>10.739000741186587</c:v>
                </c:pt>
                <c:pt idx="149">
                  <c:v>10.744274214961306</c:v>
                </c:pt>
                <c:pt idx="150">
                  <c:v>10.749547688736028</c:v>
                </c:pt>
                <c:pt idx="151">
                  <c:v>10.754821162510748</c:v>
                </c:pt>
                <c:pt idx="152">
                  <c:v>10.760094636285469</c:v>
                </c:pt>
                <c:pt idx="153">
                  <c:v>10.765368110060189</c:v>
                </c:pt>
                <c:pt idx="154">
                  <c:v>10.770641583834911</c:v>
                </c:pt>
                <c:pt idx="155">
                  <c:v>10.77591505760963</c:v>
                </c:pt>
                <c:pt idx="156">
                  <c:v>10.781188531384352</c:v>
                </c:pt>
                <c:pt idx="157">
                  <c:v>10.786462005159072</c:v>
                </c:pt>
                <c:pt idx="158">
                  <c:v>10.791735478933791</c:v>
                </c:pt>
                <c:pt idx="159">
                  <c:v>10.797008952708513</c:v>
                </c:pt>
                <c:pt idx="160">
                  <c:v>10.802282426483233</c:v>
                </c:pt>
                <c:pt idx="161">
                  <c:v>10.807555900257954</c:v>
                </c:pt>
                <c:pt idx="162">
                  <c:v>10.812829374032674</c:v>
                </c:pt>
                <c:pt idx="163">
                  <c:v>10.818102847807396</c:v>
                </c:pt>
                <c:pt idx="164">
                  <c:v>10.823376321582115</c:v>
                </c:pt>
                <c:pt idx="165">
                  <c:v>10.828649795356837</c:v>
                </c:pt>
                <c:pt idx="166">
                  <c:v>10.833923269131557</c:v>
                </c:pt>
                <c:pt idx="167">
                  <c:v>10.839196742906276</c:v>
                </c:pt>
                <c:pt idx="168">
                  <c:v>10.844470216680998</c:v>
                </c:pt>
                <c:pt idx="169">
                  <c:v>10.849743690455718</c:v>
                </c:pt>
                <c:pt idx="170">
                  <c:v>10.855017164230439</c:v>
                </c:pt>
                <c:pt idx="171">
                  <c:v>10.860290638005159</c:v>
                </c:pt>
                <c:pt idx="172">
                  <c:v>10.86556411177988</c:v>
                </c:pt>
                <c:pt idx="173">
                  <c:v>10.8708375855546</c:v>
                </c:pt>
                <c:pt idx="174">
                  <c:v>10.87611105932932</c:v>
                </c:pt>
                <c:pt idx="175">
                  <c:v>10.881384533104042</c:v>
                </c:pt>
                <c:pt idx="176">
                  <c:v>10.886658006878761</c:v>
                </c:pt>
                <c:pt idx="177">
                  <c:v>10.891931480653483</c:v>
                </c:pt>
                <c:pt idx="178">
                  <c:v>10.897204954428203</c:v>
                </c:pt>
                <c:pt idx="179">
                  <c:v>10.902478428202922</c:v>
                </c:pt>
                <c:pt idx="180">
                  <c:v>10.907751901977644</c:v>
                </c:pt>
                <c:pt idx="181">
                  <c:v>10.913025375752364</c:v>
                </c:pt>
                <c:pt idx="182">
                  <c:v>10.918298849527085</c:v>
                </c:pt>
                <c:pt idx="183">
                  <c:v>10.923572323301805</c:v>
                </c:pt>
                <c:pt idx="184">
                  <c:v>10.928845797076526</c:v>
                </c:pt>
                <c:pt idx="185">
                  <c:v>10.934119270851246</c:v>
                </c:pt>
                <c:pt idx="186">
                  <c:v>10.939392744625966</c:v>
                </c:pt>
                <c:pt idx="187">
                  <c:v>10.944666218400688</c:v>
                </c:pt>
                <c:pt idx="188">
                  <c:v>10.949939692175407</c:v>
                </c:pt>
                <c:pt idx="189">
                  <c:v>10.955213165950129</c:v>
                </c:pt>
                <c:pt idx="190">
                  <c:v>10.960486639724849</c:v>
                </c:pt>
                <c:pt idx="191">
                  <c:v>10.96576011349957</c:v>
                </c:pt>
                <c:pt idx="192">
                  <c:v>10.97103358727429</c:v>
                </c:pt>
                <c:pt idx="193">
                  <c:v>10.97630706104901</c:v>
                </c:pt>
                <c:pt idx="194">
                  <c:v>10.981580534823731</c:v>
                </c:pt>
                <c:pt idx="195">
                  <c:v>10.986854008598451</c:v>
                </c:pt>
                <c:pt idx="196">
                  <c:v>10.992127482373172</c:v>
                </c:pt>
                <c:pt idx="197">
                  <c:v>10.997400956147892</c:v>
                </c:pt>
                <c:pt idx="198">
                  <c:v>11.002674429922614</c:v>
                </c:pt>
                <c:pt idx="199">
                  <c:v>11.007947903697334</c:v>
                </c:pt>
                <c:pt idx="200">
                  <c:v>11.013221377472053</c:v>
                </c:pt>
              </c:numCache>
            </c:numRef>
          </c:xVal>
          <c:yVal>
            <c:numRef>
              <c:f>'Kapabilitas Proses xbar-R'!$D$36:$D$236</c:f>
              <c:numCache>
                <c:formatCode>0.000</c:formatCode>
                <c:ptCount val="201"/>
                <c:pt idx="0">
                  <c:v>2.5212119759747454E-2</c:v>
                </c:pt>
                <c:pt idx="1">
                  <c:v>2.7574041967635247E-2</c:v>
                </c:pt>
                <c:pt idx="2">
                  <c:v>3.0130104509289667E-2</c:v>
                </c:pt>
                <c:pt idx="3">
                  <c:v>3.2893491838646149E-2</c:v>
                </c:pt>
                <c:pt idx="4">
                  <c:v>3.5878018924632292E-2</c:v>
                </c:pt>
                <c:pt idx="5">
                  <c:v>3.9098137115386782E-2</c:v>
                </c:pt>
                <c:pt idx="6">
                  <c:v>4.2568937547302219E-2</c:v>
                </c:pt>
                <c:pt idx="7">
                  <c:v>4.6306151857050504E-2</c:v>
                </c:pt>
                <c:pt idx="8">
                  <c:v>5.0326149950594846E-2</c:v>
                </c:pt>
                <c:pt idx="9">
                  <c:v>5.464593458065576E-2</c:v>
                </c:pt>
                <c:pt idx="10">
                  <c:v>5.9283132483055598E-2</c:v>
                </c:pt>
                <c:pt idx="11">
                  <c:v>6.4255981823221689E-2</c:v>
                </c:pt>
                <c:pt idx="12">
                  <c:v>6.9583315706881546E-2</c:v>
                </c:pt>
                <c:pt idx="13">
                  <c:v>7.5284541513753092E-2</c:v>
                </c:pt>
                <c:pt idx="14">
                  <c:v>8.1379615820166534E-2</c:v>
                </c:pt>
                <c:pt idx="15">
                  <c:v>8.7889014685848643E-2</c:v>
                </c:pt>
                <c:pt idx="16">
                  <c:v>9.4833699092004051E-2</c:v>
                </c:pt>
                <c:pt idx="17">
                  <c:v>0.10223507533224761</c:v>
                </c:pt>
                <c:pt idx="18">
                  <c:v>0.11011495017491998</c:v>
                </c:pt>
                <c:pt idx="19">
                  <c:v>0.11849548063522493</c:v>
                </c:pt>
                <c:pt idx="20">
                  <c:v>0.12739911821802535</c:v>
                </c:pt>
                <c:pt idx="21">
                  <c:v>0.13684854751764003</c:v>
                </c:pt>
                <c:pt idx="22">
                  <c:v>0.14686661908898296</c:v>
                </c:pt>
                <c:pt idx="23">
                  <c:v>0.15747627653540164</c:v>
                </c:pt>
                <c:pt idx="24">
                  <c:v>0.16870047779224548</c:v>
                </c:pt>
                <c:pt idx="25">
                  <c:v>0.18056211062137426</c:v>
                </c:pt>
                <c:pt idx="26">
                  <c:v>0.19308390237086753</c:v>
                </c:pt>
                <c:pt idx="27">
                  <c:v>0.20628832409521564</c:v>
                </c:pt>
                <c:pt idx="28">
                  <c:v>0.22019748917499385</c:v>
                </c:pt>
                <c:pt idx="29">
                  <c:v>0.23483304662030377</c:v>
                </c:pt>
                <c:pt idx="30">
                  <c:v>0.25021606928968071</c:v>
                </c:pt>
                <c:pt idx="31">
                  <c:v>0.26636693730498756</c:v>
                </c:pt>
                <c:pt idx="32">
                  <c:v>0.2833052169926204</c:v>
                </c:pt>
                <c:pt idx="33">
                  <c:v>0.30104953573251225</c:v>
                </c:pt>
                <c:pt idx="34">
                  <c:v>0.31961745314744366</c:v>
                </c:pt>
                <c:pt idx="35">
                  <c:v>0.33902532911698857</c:v>
                </c:pt>
                <c:pt idx="36">
                  <c:v>0.35928818915124711</c:v>
                </c:pt>
                <c:pt idx="37">
                  <c:v>0.38041958771009238</c:v>
                </c:pt>
                <c:pt idx="38">
                  <c:v>0.40243147010282476</c:v>
                </c:pt>
                <c:pt idx="39">
                  <c:v>0.42533403365030503</c:v>
                </c:pt>
                <c:pt idx="40">
                  <c:v>0.44913558883723109</c:v>
                </c:pt>
                <c:pt idx="41">
                  <c:v>0.47384242122425535</c:v>
                </c:pt>
                <c:pt idx="42">
                  <c:v>0.49945865492935582</c:v>
                </c:pt>
                <c:pt idx="43">
                  <c:v>0.5259861185228657</c:v>
                </c:pt>
                <c:pt idx="44">
                  <c:v>0.55342421421232391</c:v>
                </c:pt>
                <c:pt idx="45">
                  <c:v>0.58176979121923988</c:v>
                </c:pt>
                <c:pt idx="46">
                  <c:v>0.61101702427167381</c:v>
                </c:pt>
                <c:pt idx="47">
                  <c:v>0.64115729815158962</c:v>
                </c:pt>
                <c:pt idx="48">
                  <c:v>0.67217909924568831</c:v>
                </c:pt>
                <c:pt idx="49">
                  <c:v>0.70406791505138866</c:v>
                </c:pt>
                <c:pt idx="50">
                  <c:v>0.73680614258532184</c:v>
                </c:pt>
                <c:pt idx="51">
                  <c:v>0.77037300663117547</c:v>
                </c:pt>
                <c:pt idx="52">
                  <c:v>0.80474448874451954</c:v>
                </c:pt>
                <c:pt idx="53">
                  <c:v>0.83989326790676455</c:v>
                </c:pt>
                <c:pt idx="54">
                  <c:v>0.87578867368572688</c:v>
                </c:pt>
                <c:pt idx="55">
                  <c:v>0.91239665271920123</c:v>
                </c:pt>
                <c:pt idx="56">
                  <c:v>0.94967974928760746</c:v>
                </c:pt>
                <c:pt idx="57">
                  <c:v>0.98759710068472162</c:v>
                </c:pt>
                <c:pt idx="58">
                  <c:v>1.0261044480303938</c:v>
                </c:pt>
                <c:pt idx="59">
                  <c:v>1.0651541630961248</c:v>
                </c:pt>
                <c:pt idx="60">
                  <c:v>1.1046952916353658</c:v>
                </c:pt>
                <c:pt idx="61">
                  <c:v>1.1446736136230717</c:v>
                </c:pt>
                <c:pt idx="62">
                  <c:v>1.1850317207170331</c:v>
                </c:pt>
                <c:pt idx="63">
                  <c:v>1.2257091111539802</c:v>
                </c:pt>
                <c:pt idx="64">
                  <c:v>1.2666423021904047</c:v>
                </c:pt>
                <c:pt idx="65">
                  <c:v>1.3077649600888386</c:v>
                </c:pt>
                <c:pt idx="66">
                  <c:v>1.3490080475385131</c:v>
                </c:pt>
                <c:pt idx="67">
                  <c:v>1.3902999882839999</c:v>
                </c:pt>
                <c:pt idx="68">
                  <c:v>1.431566848617448</c:v>
                </c:pt>
                <c:pt idx="69">
                  <c:v>1.4727325352719713</c:v>
                </c:pt>
                <c:pt idx="70">
                  <c:v>1.5137190091337096</c:v>
                </c:pt>
                <c:pt idx="71">
                  <c:v>1.5544465140723809</c:v>
                </c:pt>
                <c:pt idx="72">
                  <c:v>1.5948338200722829</c:v>
                </c:pt>
                <c:pt idx="73">
                  <c:v>1.6347984797321991</c:v>
                </c:pt>
                <c:pt idx="74">
                  <c:v>1.6742570970911093</c:v>
                </c:pt>
                <c:pt idx="75">
                  <c:v>1.7131256076309591</c:v>
                </c:pt>
                <c:pt idx="76">
                  <c:v>1.7513195682071956</c:v>
                </c:pt>
                <c:pt idx="77">
                  <c:v>1.7887544555633508</c:v>
                </c:pt>
                <c:pt idx="78">
                  <c:v>1.8253459720002596</c:v>
                </c:pt>
                <c:pt idx="79">
                  <c:v>1.8610103566916192</c:v>
                </c:pt>
                <c:pt idx="80">
                  <c:v>1.8956647010695951</c:v>
                </c:pt>
                <c:pt idx="81">
                  <c:v>1.9292272666445287</c:v>
                </c:pt>
                <c:pt idx="82">
                  <c:v>1.9616178035754275</c:v>
                </c:pt>
                <c:pt idx="83">
                  <c:v>1.9927578682703555</c:v>
                </c:pt>
                <c:pt idx="84">
                  <c:v>2.0225711382712004</c:v>
                </c:pt>
                <c:pt idx="85">
                  <c:v>2.0509837226643968</c:v>
                </c:pt>
                <c:pt idx="86">
                  <c:v>2.0779244662585348</c:v>
                </c:pt>
                <c:pt idx="87">
                  <c:v>2.1033252457827447</c:v>
                </c:pt>
                <c:pt idx="88">
                  <c:v>2.1271212563844122</c:v>
                </c:pt>
                <c:pt idx="89">
                  <c:v>2.1492512867434406</c:v>
                </c:pt>
                <c:pt idx="90">
                  <c:v>2.1696579811704884</c:v>
                </c:pt>
                <c:pt idx="91">
                  <c:v>2.1882880871202968</c:v>
                </c:pt>
                <c:pt idx="92">
                  <c:v>2.2050926866260223</c:v>
                </c:pt>
                <c:pt idx="93">
                  <c:v>2.220027410247734</c:v>
                </c:pt>
                <c:pt idx="94">
                  <c:v>2.2330526322256881</c:v>
                </c:pt>
                <c:pt idx="95">
                  <c:v>2.2441336456373628</c:v>
                </c:pt>
                <c:pt idx="96">
                  <c:v>2.253240816474781</c:v>
                </c:pt>
                <c:pt idx="97">
                  <c:v>2.2603497156847614</c:v>
                </c:pt>
                <c:pt idx="98">
                  <c:v>2.2654412283488186</c:v>
                </c:pt>
                <c:pt idx="99">
                  <c:v>2.2685016393196951</c:v>
                </c:pt>
                <c:pt idx="100">
                  <c:v>2.269522694777637</c:v>
                </c:pt>
                <c:pt idx="101">
                  <c:v>2.2685016393196955</c:v>
                </c:pt>
                <c:pt idx="102">
                  <c:v>2.2654412283488203</c:v>
                </c:pt>
                <c:pt idx="103">
                  <c:v>2.2603497156847636</c:v>
                </c:pt>
                <c:pt idx="104">
                  <c:v>2.2532408164747841</c:v>
                </c:pt>
                <c:pt idx="105">
                  <c:v>2.2441336456373664</c:v>
                </c:pt>
                <c:pt idx="106">
                  <c:v>2.2330526322256921</c:v>
                </c:pt>
                <c:pt idx="107">
                  <c:v>2.2200274102477389</c:v>
                </c:pt>
                <c:pt idx="108">
                  <c:v>2.2050926866260276</c:v>
                </c:pt>
                <c:pt idx="109">
                  <c:v>2.1882880871202968</c:v>
                </c:pt>
                <c:pt idx="110">
                  <c:v>2.1696579811704946</c:v>
                </c:pt>
                <c:pt idx="111">
                  <c:v>2.1492512867434477</c:v>
                </c:pt>
                <c:pt idx="112">
                  <c:v>2.1271212563844197</c:v>
                </c:pt>
                <c:pt idx="113">
                  <c:v>2.1033252457827532</c:v>
                </c:pt>
                <c:pt idx="114">
                  <c:v>2.0779244662585437</c:v>
                </c:pt>
                <c:pt idx="115">
                  <c:v>2.0509837226644061</c:v>
                </c:pt>
                <c:pt idx="116">
                  <c:v>2.0225711382712102</c:v>
                </c:pt>
                <c:pt idx="117">
                  <c:v>1.9927578682703662</c:v>
                </c:pt>
                <c:pt idx="118">
                  <c:v>1.9616178035754381</c:v>
                </c:pt>
                <c:pt idx="119">
                  <c:v>1.9292272666445396</c:v>
                </c:pt>
                <c:pt idx="120">
                  <c:v>1.8956647010696068</c:v>
                </c:pt>
                <c:pt idx="121">
                  <c:v>1.8610103566916312</c:v>
                </c:pt>
                <c:pt idx="122">
                  <c:v>1.8253459720002716</c:v>
                </c:pt>
                <c:pt idx="123">
                  <c:v>1.7887544555633637</c:v>
                </c:pt>
                <c:pt idx="124">
                  <c:v>1.7513195682072085</c:v>
                </c:pt>
                <c:pt idx="125">
                  <c:v>1.7131256076309722</c:v>
                </c:pt>
                <c:pt idx="126">
                  <c:v>1.6742570970911224</c:v>
                </c:pt>
                <c:pt idx="127">
                  <c:v>1.6347984797322126</c:v>
                </c:pt>
                <c:pt idx="128">
                  <c:v>1.5948338200722965</c:v>
                </c:pt>
                <c:pt idx="129">
                  <c:v>1.5544465140723946</c:v>
                </c:pt>
                <c:pt idx="130">
                  <c:v>1.5137190091337236</c:v>
                </c:pt>
                <c:pt idx="131">
                  <c:v>1.4727325352719851</c:v>
                </c:pt>
                <c:pt idx="132">
                  <c:v>1.431566848617462</c:v>
                </c:pt>
                <c:pt idx="133">
                  <c:v>1.3902999882840139</c:v>
                </c:pt>
                <c:pt idx="134">
                  <c:v>1.3490080475385271</c:v>
                </c:pt>
                <c:pt idx="135">
                  <c:v>1.3077649600888521</c:v>
                </c:pt>
                <c:pt idx="136">
                  <c:v>1.2666423021904183</c:v>
                </c:pt>
                <c:pt idx="137">
                  <c:v>1.2257091111539944</c:v>
                </c:pt>
                <c:pt idx="138">
                  <c:v>1.1850317207170469</c:v>
                </c:pt>
                <c:pt idx="139">
                  <c:v>1.1446736136230853</c:v>
                </c:pt>
                <c:pt idx="140">
                  <c:v>1.1046952916353792</c:v>
                </c:pt>
                <c:pt idx="141">
                  <c:v>1.0651541630961383</c:v>
                </c:pt>
                <c:pt idx="142">
                  <c:v>1.0261044480304067</c:v>
                </c:pt>
                <c:pt idx="143">
                  <c:v>0.98759710068473427</c:v>
                </c:pt>
                <c:pt idx="144">
                  <c:v>0.94967974928761989</c:v>
                </c:pt>
                <c:pt idx="145">
                  <c:v>0.91239665271921389</c:v>
                </c:pt>
                <c:pt idx="146">
                  <c:v>0.87578867368573932</c:v>
                </c:pt>
                <c:pt idx="147">
                  <c:v>0.83989326790677654</c:v>
                </c:pt>
                <c:pt idx="148">
                  <c:v>0.80474448874453153</c:v>
                </c:pt>
                <c:pt idx="149">
                  <c:v>0.7703730066311868</c:v>
                </c:pt>
                <c:pt idx="150">
                  <c:v>0.73680614258533317</c:v>
                </c:pt>
                <c:pt idx="151">
                  <c:v>0.70406791505139954</c:v>
                </c:pt>
                <c:pt idx="152">
                  <c:v>0.67217909924569885</c:v>
                </c:pt>
                <c:pt idx="153">
                  <c:v>0.64115729815159983</c:v>
                </c:pt>
                <c:pt idx="154">
                  <c:v>0.6110170242716837</c:v>
                </c:pt>
                <c:pt idx="155">
                  <c:v>0.58176979121924977</c:v>
                </c:pt>
                <c:pt idx="156">
                  <c:v>0.55342421421232391</c:v>
                </c:pt>
                <c:pt idx="157">
                  <c:v>0.52598611852287491</c:v>
                </c:pt>
                <c:pt idx="158">
                  <c:v>0.49945865492936448</c:v>
                </c:pt>
                <c:pt idx="159">
                  <c:v>0.47384242122426384</c:v>
                </c:pt>
                <c:pt idx="160">
                  <c:v>0.44913558883723925</c:v>
                </c:pt>
                <c:pt idx="161">
                  <c:v>0.42533403365031286</c:v>
                </c:pt>
                <c:pt idx="162">
                  <c:v>0.40243147010283248</c:v>
                </c:pt>
                <c:pt idx="163">
                  <c:v>0.38041958771009954</c:v>
                </c:pt>
                <c:pt idx="164">
                  <c:v>0.35928818915125421</c:v>
                </c:pt>
                <c:pt idx="165">
                  <c:v>0.33902532911699529</c:v>
                </c:pt>
                <c:pt idx="166">
                  <c:v>0.3196174531474501</c:v>
                </c:pt>
                <c:pt idx="167">
                  <c:v>0.30104953573251847</c:v>
                </c:pt>
                <c:pt idx="168">
                  <c:v>0.28330521699262629</c:v>
                </c:pt>
                <c:pt idx="169">
                  <c:v>0.26636693730499311</c:v>
                </c:pt>
                <c:pt idx="170">
                  <c:v>0.25021606928968598</c:v>
                </c:pt>
                <c:pt idx="171">
                  <c:v>0.23483304662030868</c:v>
                </c:pt>
                <c:pt idx="172">
                  <c:v>0.22019748917499873</c:v>
                </c:pt>
                <c:pt idx="173">
                  <c:v>0.20628832409522024</c:v>
                </c:pt>
                <c:pt idx="174">
                  <c:v>0.193083902370872</c:v>
                </c:pt>
                <c:pt idx="175">
                  <c:v>0.18056211062137825</c:v>
                </c:pt>
                <c:pt idx="176">
                  <c:v>0.16870047779224939</c:v>
                </c:pt>
                <c:pt idx="177">
                  <c:v>0.1574762765354053</c:v>
                </c:pt>
                <c:pt idx="178">
                  <c:v>0.14686661908898649</c:v>
                </c:pt>
                <c:pt idx="179">
                  <c:v>0.13684854751764652</c:v>
                </c:pt>
                <c:pt idx="180">
                  <c:v>0.12739911821802838</c:v>
                </c:pt>
                <c:pt idx="181">
                  <c:v>0.11849548063522787</c:v>
                </c:pt>
                <c:pt idx="182">
                  <c:v>0.11011495017492273</c:v>
                </c:pt>
                <c:pt idx="183">
                  <c:v>0.10223507533225021</c:v>
                </c:pt>
                <c:pt idx="184">
                  <c:v>9.4833699092006368E-2</c:v>
                </c:pt>
                <c:pt idx="185">
                  <c:v>8.7889014685850933E-2</c:v>
                </c:pt>
                <c:pt idx="186">
                  <c:v>8.1379615820170809E-2</c:v>
                </c:pt>
                <c:pt idx="187">
                  <c:v>7.5284541513755091E-2</c:v>
                </c:pt>
                <c:pt idx="188">
                  <c:v>6.9583315706883336E-2</c:v>
                </c:pt>
                <c:pt idx="189">
                  <c:v>6.4255981823223382E-2</c:v>
                </c:pt>
                <c:pt idx="190">
                  <c:v>5.9283132483057235E-2</c:v>
                </c:pt>
                <c:pt idx="191">
                  <c:v>5.4645934580657286E-2</c:v>
                </c:pt>
                <c:pt idx="192">
                  <c:v>5.0326149950596276E-2</c:v>
                </c:pt>
                <c:pt idx="193">
                  <c:v>4.6306151857051753E-2</c:v>
                </c:pt>
                <c:pt idx="194">
                  <c:v>4.2568937547303447E-2</c:v>
                </c:pt>
                <c:pt idx="195">
                  <c:v>3.9098137115387933E-2</c:v>
                </c:pt>
                <c:pt idx="196">
                  <c:v>3.5878018924633333E-2</c:v>
                </c:pt>
                <c:pt idx="197">
                  <c:v>3.2893491838647086E-2</c:v>
                </c:pt>
                <c:pt idx="198">
                  <c:v>3.0130104509290528E-2</c:v>
                </c:pt>
                <c:pt idx="199">
                  <c:v>2.7574041967636076E-2</c:v>
                </c:pt>
                <c:pt idx="200">
                  <c:v>2.5212119759748242E-2</c:v>
                </c:pt>
              </c:numCache>
            </c:numRef>
          </c:yVal>
          <c:smooth val="1"/>
          <c:extLst>
            <c:ext xmlns:c16="http://schemas.microsoft.com/office/drawing/2014/chart" uri="{C3380CC4-5D6E-409C-BE32-E72D297353CC}">
              <c16:uniqueId val="{00000000-87D2-4475-A283-53AF51F1C3B1}"/>
            </c:ext>
          </c:extLst>
        </c:ser>
        <c:dLbls>
          <c:showLegendKey val="0"/>
          <c:showVal val="0"/>
          <c:showCatName val="0"/>
          <c:showSerName val="0"/>
          <c:showPercent val="0"/>
          <c:showBubbleSize val="0"/>
        </c:dLbls>
        <c:axId val="95880379"/>
        <c:axId val="16863856"/>
      </c:scatterChart>
      <c:valAx>
        <c:axId val="95880379"/>
        <c:scaling>
          <c:orientation val="minMax"/>
          <c:min val="9"/>
        </c:scaling>
        <c:delete val="0"/>
        <c:axPos val="b"/>
        <c:majorGridlines>
          <c:spPr>
            <a:ln w="6480">
              <a:solidFill>
                <a:srgbClr val="B7B7B7"/>
              </a:solidFill>
              <a:round/>
            </a:ln>
          </c:spPr>
        </c:majorGridlines>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6863856"/>
        <c:crosses val="autoZero"/>
        <c:crossBetween val="midCat"/>
      </c:valAx>
      <c:valAx>
        <c:axId val="16863856"/>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95880379"/>
        <c:crosses val="autoZero"/>
        <c:crossBetween val="midCat"/>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xbar Chart</a:t>
            </a:r>
          </a:p>
        </c:rich>
      </c:tx>
      <c:overlay val="0"/>
      <c:spPr>
        <a:noFill/>
        <a:ln w="0">
          <a:noFill/>
        </a:ln>
      </c:spPr>
    </c:title>
    <c:autoTitleDeleted val="0"/>
    <c:plotArea>
      <c:layout/>
      <c:lineChart>
        <c:grouping val="standard"/>
        <c:varyColors val="0"/>
        <c:ser>
          <c:idx val="0"/>
          <c:order val="0"/>
          <c:tx>
            <c:v>Rata-rata (xi bar)</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xbar-R'!$H$33:$H$57</c:f>
              <c:numCache>
                <c:formatCode>0.000</c:formatCode>
                <c:ptCount val="25"/>
                <c:pt idx="0">
                  <c:v>10.3856</c:v>
                </c:pt>
                <c:pt idx="1">
                  <c:v>10.423400000000001</c:v>
                </c:pt>
                <c:pt idx="2">
                  <c:v>10.499000000000001</c:v>
                </c:pt>
                <c:pt idx="3">
                  <c:v>10.430199999999999</c:v>
                </c:pt>
                <c:pt idx="4">
                  <c:v>10.499000000000001</c:v>
                </c:pt>
                <c:pt idx="5">
                  <c:v>10.459</c:v>
                </c:pt>
                <c:pt idx="6">
                  <c:v>10.452399999999999</c:v>
                </c:pt>
                <c:pt idx="7">
                  <c:v>10.438800000000001</c:v>
                </c:pt>
                <c:pt idx="8">
                  <c:v>10.438800000000001</c:v>
                </c:pt>
                <c:pt idx="9">
                  <c:v>10.401200000000001</c:v>
                </c:pt>
                <c:pt idx="10">
                  <c:v>10.432400000000001</c:v>
                </c:pt>
                <c:pt idx="11">
                  <c:v>10.519</c:v>
                </c:pt>
                <c:pt idx="12">
                  <c:v>10.374599999999999</c:v>
                </c:pt>
                <c:pt idx="13">
                  <c:v>10.527799999999999</c:v>
                </c:pt>
                <c:pt idx="14">
                  <c:v>10.45</c:v>
                </c:pt>
                <c:pt idx="15">
                  <c:v>10.5036</c:v>
                </c:pt>
                <c:pt idx="16">
                  <c:v>10.399199999999999</c:v>
                </c:pt>
                <c:pt idx="17">
                  <c:v>10.3256</c:v>
                </c:pt>
                <c:pt idx="18">
                  <c:v>10.559200000000001</c:v>
                </c:pt>
                <c:pt idx="19">
                  <c:v>10.3856</c:v>
                </c:pt>
                <c:pt idx="20">
                  <c:v>10.423400000000001</c:v>
                </c:pt>
                <c:pt idx="21">
                  <c:v>10.498999999999999</c:v>
                </c:pt>
                <c:pt idx="22">
                  <c:v>10.430200000000001</c:v>
                </c:pt>
                <c:pt idx="23">
                  <c:v>10.499000000000001</c:v>
                </c:pt>
                <c:pt idx="24">
                  <c:v>10.459</c:v>
                </c:pt>
              </c:numCache>
            </c:numRef>
          </c:val>
          <c:smooth val="0"/>
          <c:extLst>
            <c:ext xmlns:c16="http://schemas.microsoft.com/office/drawing/2014/chart" uri="{C3380CC4-5D6E-409C-BE32-E72D297353CC}">
              <c16:uniqueId val="{00000000-90CE-4C07-AE1A-8A18B100484C}"/>
            </c:ext>
          </c:extLst>
        </c:ser>
        <c:ser>
          <c:idx val="1"/>
          <c:order val="1"/>
          <c:tx>
            <c:v>GT xbar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xbar-R'!$M$33:$M$57</c:f>
              <c:numCache>
                <c:formatCode>0.000</c:formatCode>
                <c:ptCount val="25"/>
                <c:pt idx="0">
                  <c:v>10.61</c:v>
                </c:pt>
                <c:pt idx="1">
                  <c:v>10.61</c:v>
                </c:pt>
                <c:pt idx="2">
                  <c:v>10.61</c:v>
                </c:pt>
                <c:pt idx="3">
                  <c:v>10.61</c:v>
                </c:pt>
                <c:pt idx="4">
                  <c:v>10.61</c:v>
                </c:pt>
                <c:pt idx="5">
                  <c:v>10.61</c:v>
                </c:pt>
                <c:pt idx="6">
                  <c:v>10.61</c:v>
                </c:pt>
                <c:pt idx="7">
                  <c:v>10.61</c:v>
                </c:pt>
                <c:pt idx="8">
                  <c:v>10.61</c:v>
                </c:pt>
                <c:pt idx="9">
                  <c:v>10.61</c:v>
                </c:pt>
                <c:pt idx="10">
                  <c:v>10.61</c:v>
                </c:pt>
                <c:pt idx="11">
                  <c:v>10.61</c:v>
                </c:pt>
                <c:pt idx="12">
                  <c:v>10.61</c:v>
                </c:pt>
                <c:pt idx="13">
                  <c:v>10.61</c:v>
                </c:pt>
                <c:pt idx="14">
                  <c:v>10.61</c:v>
                </c:pt>
                <c:pt idx="15">
                  <c:v>10.61</c:v>
                </c:pt>
                <c:pt idx="16">
                  <c:v>10.61</c:v>
                </c:pt>
                <c:pt idx="17">
                  <c:v>10.61</c:v>
                </c:pt>
                <c:pt idx="18">
                  <c:v>10.61</c:v>
                </c:pt>
                <c:pt idx="19">
                  <c:v>10.61</c:v>
                </c:pt>
                <c:pt idx="20">
                  <c:v>10.61</c:v>
                </c:pt>
                <c:pt idx="21">
                  <c:v>10.61</c:v>
                </c:pt>
                <c:pt idx="22">
                  <c:v>10.61</c:v>
                </c:pt>
                <c:pt idx="23">
                  <c:v>10.61</c:v>
                </c:pt>
                <c:pt idx="24">
                  <c:v>10.61</c:v>
                </c:pt>
              </c:numCache>
            </c:numRef>
          </c:val>
          <c:smooth val="0"/>
          <c:extLst>
            <c:ext xmlns:c16="http://schemas.microsoft.com/office/drawing/2014/chart" uri="{C3380CC4-5D6E-409C-BE32-E72D297353CC}">
              <c16:uniqueId val="{00000001-90CE-4C07-AE1A-8A18B100484C}"/>
            </c:ext>
          </c:extLst>
        </c:ser>
        <c:ser>
          <c:idx val="2"/>
          <c:order val="2"/>
          <c:tx>
            <c:v>BKA xbar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xbar-R'!$N$33:$N$57</c:f>
              <c:numCache>
                <c:formatCode>0.000</c:formatCode>
                <c:ptCount val="25"/>
                <c:pt idx="0">
                  <c:v>10.599</c:v>
                </c:pt>
                <c:pt idx="1">
                  <c:v>10.599</c:v>
                </c:pt>
                <c:pt idx="2">
                  <c:v>10.599</c:v>
                </c:pt>
                <c:pt idx="3">
                  <c:v>10.599</c:v>
                </c:pt>
                <c:pt idx="4">
                  <c:v>10.599</c:v>
                </c:pt>
                <c:pt idx="5">
                  <c:v>10.599</c:v>
                </c:pt>
                <c:pt idx="6">
                  <c:v>10.599</c:v>
                </c:pt>
                <c:pt idx="7">
                  <c:v>10.599</c:v>
                </c:pt>
                <c:pt idx="8">
                  <c:v>10.599</c:v>
                </c:pt>
                <c:pt idx="9">
                  <c:v>10.599</c:v>
                </c:pt>
                <c:pt idx="10">
                  <c:v>10.599</c:v>
                </c:pt>
                <c:pt idx="11">
                  <c:v>10.599</c:v>
                </c:pt>
                <c:pt idx="12">
                  <c:v>10.599</c:v>
                </c:pt>
                <c:pt idx="13">
                  <c:v>10.599</c:v>
                </c:pt>
                <c:pt idx="14">
                  <c:v>10.599</c:v>
                </c:pt>
                <c:pt idx="15">
                  <c:v>10.599</c:v>
                </c:pt>
                <c:pt idx="16">
                  <c:v>10.599</c:v>
                </c:pt>
                <c:pt idx="17">
                  <c:v>10.599</c:v>
                </c:pt>
                <c:pt idx="18">
                  <c:v>10.599</c:v>
                </c:pt>
                <c:pt idx="19">
                  <c:v>10.599</c:v>
                </c:pt>
                <c:pt idx="20">
                  <c:v>10.599</c:v>
                </c:pt>
                <c:pt idx="21">
                  <c:v>10.599</c:v>
                </c:pt>
                <c:pt idx="22">
                  <c:v>10.599</c:v>
                </c:pt>
                <c:pt idx="23">
                  <c:v>10.599</c:v>
                </c:pt>
                <c:pt idx="24">
                  <c:v>10.599</c:v>
                </c:pt>
              </c:numCache>
            </c:numRef>
          </c:val>
          <c:smooth val="0"/>
          <c:extLst>
            <c:ext xmlns:c16="http://schemas.microsoft.com/office/drawing/2014/chart" uri="{C3380CC4-5D6E-409C-BE32-E72D297353CC}">
              <c16:uniqueId val="{00000002-90CE-4C07-AE1A-8A18B100484C}"/>
            </c:ext>
          </c:extLst>
        </c:ser>
        <c:ser>
          <c:idx val="3"/>
          <c:order val="3"/>
          <c:tx>
            <c:v>BKB xbar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xbar-R'!$O$33:$O$57</c:f>
              <c:numCache>
                <c:formatCode>0.000</c:formatCode>
                <c:ptCount val="25"/>
                <c:pt idx="0">
                  <c:v>10.288</c:v>
                </c:pt>
                <c:pt idx="1">
                  <c:v>10.288</c:v>
                </c:pt>
                <c:pt idx="2">
                  <c:v>10.288</c:v>
                </c:pt>
                <c:pt idx="3">
                  <c:v>10.288</c:v>
                </c:pt>
                <c:pt idx="4">
                  <c:v>10.288</c:v>
                </c:pt>
                <c:pt idx="5">
                  <c:v>10.288</c:v>
                </c:pt>
                <c:pt idx="6">
                  <c:v>10.288</c:v>
                </c:pt>
                <c:pt idx="7">
                  <c:v>10.288</c:v>
                </c:pt>
                <c:pt idx="8">
                  <c:v>10.288</c:v>
                </c:pt>
                <c:pt idx="9">
                  <c:v>10.288</c:v>
                </c:pt>
                <c:pt idx="10">
                  <c:v>10.288</c:v>
                </c:pt>
                <c:pt idx="11">
                  <c:v>10.288</c:v>
                </c:pt>
                <c:pt idx="12">
                  <c:v>10.288</c:v>
                </c:pt>
                <c:pt idx="13">
                  <c:v>10.288</c:v>
                </c:pt>
                <c:pt idx="14">
                  <c:v>10.288</c:v>
                </c:pt>
                <c:pt idx="15">
                  <c:v>10.288</c:v>
                </c:pt>
                <c:pt idx="16">
                  <c:v>10.288</c:v>
                </c:pt>
                <c:pt idx="17">
                  <c:v>10.288</c:v>
                </c:pt>
                <c:pt idx="18">
                  <c:v>10.288</c:v>
                </c:pt>
                <c:pt idx="19">
                  <c:v>10.288</c:v>
                </c:pt>
                <c:pt idx="20">
                  <c:v>10.288</c:v>
                </c:pt>
                <c:pt idx="21">
                  <c:v>10.288</c:v>
                </c:pt>
                <c:pt idx="22">
                  <c:v>10.288</c:v>
                </c:pt>
                <c:pt idx="23">
                  <c:v>10.288</c:v>
                </c:pt>
                <c:pt idx="24">
                  <c:v>10.288</c:v>
                </c:pt>
              </c:numCache>
            </c:numRef>
          </c:val>
          <c:smooth val="0"/>
          <c:extLst>
            <c:ext xmlns:c16="http://schemas.microsoft.com/office/drawing/2014/chart" uri="{C3380CC4-5D6E-409C-BE32-E72D297353CC}">
              <c16:uniqueId val="{00000003-90CE-4C07-AE1A-8A18B100484C}"/>
            </c:ext>
          </c:extLst>
        </c:ser>
        <c:dLbls>
          <c:showLegendKey val="0"/>
          <c:showVal val="0"/>
          <c:showCatName val="0"/>
          <c:showSerName val="0"/>
          <c:showPercent val="0"/>
          <c:showBubbleSize val="0"/>
        </c:dLbls>
        <c:hiLowLines>
          <c:spPr>
            <a:ln w="0">
              <a:noFill/>
            </a:ln>
          </c:spPr>
        </c:hiLowLines>
        <c:marker val="1"/>
        <c:smooth val="0"/>
        <c:axId val="64645352"/>
        <c:axId val="71979377"/>
      </c:lineChart>
      <c:catAx>
        <c:axId val="64645352"/>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1979377"/>
        <c:crosses val="autoZero"/>
        <c:auto val="1"/>
        <c:lblAlgn val="ctr"/>
        <c:lblOffset val="100"/>
        <c:noMultiLvlLbl val="0"/>
      </c:catAx>
      <c:valAx>
        <c:axId val="71979377"/>
        <c:scaling>
          <c:orientation val="minMax"/>
          <c:max val="12.5"/>
          <c:min val="11"/>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64645352"/>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R Chart</a:t>
            </a:r>
          </a:p>
        </c:rich>
      </c:tx>
      <c:overlay val="0"/>
      <c:spPr>
        <a:noFill/>
        <a:ln w="0">
          <a:noFill/>
        </a:ln>
      </c:spPr>
    </c:title>
    <c:autoTitleDeleted val="0"/>
    <c:plotArea>
      <c:layout/>
      <c:lineChart>
        <c:grouping val="standard"/>
        <c:varyColors val="0"/>
        <c:ser>
          <c:idx val="0"/>
          <c:order val="0"/>
          <c:tx>
            <c:v>Range (Ri)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xbar-R'!$I$33:$I$57</c:f>
              <c:numCache>
                <c:formatCode>0.000</c:formatCode>
                <c:ptCount val="25"/>
                <c:pt idx="0">
                  <c:v>0.14852000000000001</c:v>
                </c:pt>
                <c:pt idx="1">
                  <c:v>0.12869800000000001</c:v>
                </c:pt>
                <c:pt idx="2">
                  <c:v>0.12895200000000001</c:v>
                </c:pt>
                <c:pt idx="3">
                  <c:v>0.18320500000000001</c:v>
                </c:pt>
                <c:pt idx="4">
                  <c:v>0.14072100000000001</c:v>
                </c:pt>
                <c:pt idx="5">
                  <c:v>0.14313100000000001</c:v>
                </c:pt>
                <c:pt idx="6">
                  <c:v>0.33399999999999963</c:v>
                </c:pt>
                <c:pt idx="7">
                  <c:v>0.31099999999999994</c:v>
                </c:pt>
                <c:pt idx="8">
                  <c:v>0.29999999999999893</c:v>
                </c:pt>
                <c:pt idx="9">
                  <c:v>0.37799999999999834</c:v>
                </c:pt>
                <c:pt idx="10">
                  <c:v>0.32199999999999918</c:v>
                </c:pt>
                <c:pt idx="11">
                  <c:v>0.25500000000000078</c:v>
                </c:pt>
                <c:pt idx="12">
                  <c:v>0.22300000000000075</c:v>
                </c:pt>
                <c:pt idx="13">
                  <c:v>0.44500000000000028</c:v>
                </c:pt>
                <c:pt idx="14">
                  <c:v>0.34399999999999942</c:v>
                </c:pt>
                <c:pt idx="15">
                  <c:v>0.34500000000000064</c:v>
                </c:pt>
                <c:pt idx="16">
                  <c:v>0.2889999999999997</c:v>
                </c:pt>
                <c:pt idx="17">
                  <c:v>0.18900000000000006</c:v>
                </c:pt>
                <c:pt idx="18">
                  <c:v>0.27800000000000047</c:v>
                </c:pt>
                <c:pt idx="19">
                  <c:v>0.38899999999999935</c:v>
                </c:pt>
                <c:pt idx="20">
                  <c:v>0.33300000000000018</c:v>
                </c:pt>
                <c:pt idx="21">
                  <c:v>0.31099999999999994</c:v>
                </c:pt>
                <c:pt idx="22">
                  <c:v>0.45599999999999952</c:v>
                </c:pt>
                <c:pt idx="23">
                  <c:v>0.35599999999999987</c:v>
                </c:pt>
                <c:pt idx="24">
                  <c:v>0.37800000000000011</c:v>
                </c:pt>
              </c:numCache>
            </c:numRef>
          </c:val>
          <c:smooth val="0"/>
          <c:extLst>
            <c:ext xmlns:c16="http://schemas.microsoft.com/office/drawing/2014/chart" uri="{C3380CC4-5D6E-409C-BE32-E72D297353CC}">
              <c16:uniqueId val="{00000000-4C3B-4961-9D9A-701A47EECC84}"/>
            </c:ext>
          </c:extLst>
        </c:ser>
        <c:ser>
          <c:idx val="1"/>
          <c:order val="1"/>
          <c:tx>
            <c:v>GT 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xbar-R'!$J$33:$J$57</c:f>
              <c:numCache>
                <c:formatCode>0.000</c:formatCode>
                <c:ptCount val="25"/>
                <c:pt idx="0">
                  <c:v>0</c:v>
                </c:pt>
                <c:pt idx="1">
                  <c:v>0</c:v>
                </c:pt>
                <c:pt idx="2">
                  <c:v>0</c:v>
                </c:pt>
                <c:pt idx="3">
                  <c:v>0</c:v>
                </c:pt>
                <c:pt idx="4">
                  <c:v>0</c:v>
                </c:pt>
                <c:pt idx="5">
                  <c:v>0</c:v>
                </c:pt>
                <c:pt idx="6">
                  <c:v>10.455</c:v>
                </c:pt>
                <c:pt idx="7">
                  <c:v>10.455</c:v>
                </c:pt>
                <c:pt idx="8">
                  <c:v>10.455</c:v>
                </c:pt>
                <c:pt idx="9">
                  <c:v>10.455</c:v>
                </c:pt>
                <c:pt idx="10">
                  <c:v>10.455</c:v>
                </c:pt>
                <c:pt idx="11">
                  <c:v>10.455</c:v>
                </c:pt>
                <c:pt idx="12">
                  <c:v>10.455</c:v>
                </c:pt>
                <c:pt idx="13">
                  <c:v>10.455</c:v>
                </c:pt>
                <c:pt idx="14">
                  <c:v>10.455</c:v>
                </c:pt>
                <c:pt idx="15">
                  <c:v>10.455</c:v>
                </c:pt>
                <c:pt idx="16">
                  <c:v>10.455</c:v>
                </c:pt>
                <c:pt idx="17">
                  <c:v>10.455</c:v>
                </c:pt>
                <c:pt idx="18">
                  <c:v>10.455</c:v>
                </c:pt>
                <c:pt idx="19">
                  <c:v>10.455</c:v>
                </c:pt>
                <c:pt idx="20">
                  <c:v>10.455</c:v>
                </c:pt>
                <c:pt idx="21">
                  <c:v>10.455</c:v>
                </c:pt>
                <c:pt idx="22">
                  <c:v>10.455</c:v>
                </c:pt>
                <c:pt idx="23">
                  <c:v>10.455</c:v>
                </c:pt>
                <c:pt idx="24">
                  <c:v>10.455</c:v>
                </c:pt>
              </c:numCache>
            </c:numRef>
          </c:val>
          <c:smooth val="0"/>
          <c:extLst>
            <c:ext xmlns:c16="http://schemas.microsoft.com/office/drawing/2014/chart" uri="{C3380CC4-5D6E-409C-BE32-E72D297353CC}">
              <c16:uniqueId val="{00000001-4C3B-4961-9D9A-701A47EECC84}"/>
            </c:ext>
          </c:extLst>
        </c:ser>
        <c:ser>
          <c:idx val="2"/>
          <c:order val="2"/>
          <c:tx>
            <c:v>BKA 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xbar-R'!$K$33:$K$57</c:f>
              <c:numCache>
                <c:formatCode>0.000</c:formatCode>
                <c:ptCount val="25"/>
                <c:pt idx="0">
                  <c:v>0</c:v>
                </c:pt>
                <c:pt idx="1">
                  <c:v>0</c:v>
                </c:pt>
                <c:pt idx="2">
                  <c:v>0</c:v>
                </c:pt>
                <c:pt idx="3">
                  <c:v>0</c:v>
                </c:pt>
                <c:pt idx="4">
                  <c:v>0</c:v>
                </c:pt>
                <c:pt idx="5">
                  <c:v>0</c:v>
                </c:pt>
                <c:pt idx="6">
                  <c:v>10.677</c:v>
                </c:pt>
                <c:pt idx="7">
                  <c:v>10.677</c:v>
                </c:pt>
                <c:pt idx="8">
                  <c:v>10.677</c:v>
                </c:pt>
                <c:pt idx="9">
                  <c:v>10.677</c:v>
                </c:pt>
                <c:pt idx="10">
                  <c:v>10.677</c:v>
                </c:pt>
                <c:pt idx="11">
                  <c:v>10.677</c:v>
                </c:pt>
                <c:pt idx="12">
                  <c:v>10.677</c:v>
                </c:pt>
                <c:pt idx="13">
                  <c:v>10.677</c:v>
                </c:pt>
                <c:pt idx="14">
                  <c:v>10.677</c:v>
                </c:pt>
                <c:pt idx="15">
                  <c:v>10.677</c:v>
                </c:pt>
                <c:pt idx="16">
                  <c:v>10.677</c:v>
                </c:pt>
                <c:pt idx="17">
                  <c:v>10.677</c:v>
                </c:pt>
                <c:pt idx="18">
                  <c:v>10.677</c:v>
                </c:pt>
                <c:pt idx="19">
                  <c:v>10.677</c:v>
                </c:pt>
                <c:pt idx="20">
                  <c:v>10.677</c:v>
                </c:pt>
                <c:pt idx="21">
                  <c:v>10.677</c:v>
                </c:pt>
                <c:pt idx="22">
                  <c:v>10.677</c:v>
                </c:pt>
                <c:pt idx="23">
                  <c:v>10.677</c:v>
                </c:pt>
                <c:pt idx="24">
                  <c:v>10.677</c:v>
                </c:pt>
              </c:numCache>
            </c:numRef>
          </c:val>
          <c:smooth val="0"/>
          <c:extLst>
            <c:ext xmlns:c16="http://schemas.microsoft.com/office/drawing/2014/chart" uri="{C3380CC4-5D6E-409C-BE32-E72D297353CC}">
              <c16:uniqueId val="{00000002-4C3B-4961-9D9A-701A47EECC84}"/>
            </c:ext>
          </c:extLst>
        </c:ser>
        <c:ser>
          <c:idx val="3"/>
          <c:order val="3"/>
          <c:tx>
            <c:v>BKB 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'Implementasi xbar-R'!$L$33:$L$57</c:f>
              <c:numCache>
                <c:formatCode>0.000</c:formatCode>
                <c:ptCount val="25"/>
                <c:pt idx="0">
                  <c:v>10.443</c:v>
                </c:pt>
                <c:pt idx="1">
                  <c:v>10.443</c:v>
                </c:pt>
                <c:pt idx="2">
                  <c:v>10.443</c:v>
                </c:pt>
                <c:pt idx="3">
                  <c:v>10.443</c:v>
                </c:pt>
                <c:pt idx="4">
                  <c:v>10.443</c:v>
                </c:pt>
                <c:pt idx="5">
                  <c:v>10.443</c:v>
                </c:pt>
                <c:pt idx="6">
                  <c:v>10.443</c:v>
                </c:pt>
                <c:pt idx="7">
                  <c:v>10.443</c:v>
                </c:pt>
                <c:pt idx="8">
                  <c:v>10.443</c:v>
                </c:pt>
                <c:pt idx="9">
                  <c:v>10.443</c:v>
                </c:pt>
                <c:pt idx="10">
                  <c:v>10.443</c:v>
                </c:pt>
                <c:pt idx="11">
                  <c:v>10.443</c:v>
                </c:pt>
                <c:pt idx="12">
                  <c:v>10.443</c:v>
                </c:pt>
                <c:pt idx="13">
                  <c:v>10.443</c:v>
                </c:pt>
                <c:pt idx="14">
                  <c:v>10.443</c:v>
                </c:pt>
                <c:pt idx="15">
                  <c:v>10.443</c:v>
                </c:pt>
                <c:pt idx="16">
                  <c:v>10.443</c:v>
                </c:pt>
                <c:pt idx="17">
                  <c:v>10.443</c:v>
                </c:pt>
                <c:pt idx="18">
                  <c:v>10.443</c:v>
                </c:pt>
                <c:pt idx="19">
                  <c:v>10.443</c:v>
                </c:pt>
                <c:pt idx="20">
                  <c:v>10.443</c:v>
                </c:pt>
                <c:pt idx="21">
                  <c:v>10.443</c:v>
                </c:pt>
                <c:pt idx="22">
                  <c:v>10.443</c:v>
                </c:pt>
                <c:pt idx="23">
                  <c:v>10.443</c:v>
                </c:pt>
                <c:pt idx="24">
                  <c:v>10.443</c:v>
                </c:pt>
              </c:numCache>
            </c:numRef>
          </c:val>
          <c:smooth val="0"/>
          <c:extLst>
            <c:ext xmlns:c16="http://schemas.microsoft.com/office/drawing/2014/chart" uri="{C3380CC4-5D6E-409C-BE32-E72D297353CC}">
              <c16:uniqueId val="{00000003-4C3B-4961-9D9A-701A47EECC84}"/>
            </c:ext>
          </c:extLst>
        </c:ser>
        <c:dLbls>
          <c:showLegendKey val="0"/>
          <c:showVal val="0"/>
          <c:showCatName val="0"/>
          <c:showSerName val="0"/>
          <c:showPercent val="0"/>
          <c:showBubbleSize val="0"/>
        </c:dLbls>
        <c:hiLowLines>
          <c:spPr>
            <a:ln w="0">
              <a:noFill/>
            </a:ln>
          </c:spPr>
        </c:hiLowLines>
        <c:marker val="1"/>
        <c:smooth val="0"/>
        <c:axId val="99536686"/>
        <c:axId val="19850413"/>
      </c:lineChart>
      <c:catAx>
        <c:axId val="99536686"/>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9850413"/>
        <c:crosses val="autoZero"/>
        <c:auto val="1"/>
        <c:lblAlgn val="ctr"/>
        <c:lblOffset val="100"/>
        <c:noMultiLvlLbl val="0"/>
      </c:catAx>
      <c:valAx>
        <c:axId val="19850413"/>
        <c:scaling>
          <c:orientation val="minMax"/>
          <c:max val="2"/>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99536686"/>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ea typeface="Calibri"/>
              </a:defRPr>
            </a:pPr>
            <a:r>
              <a:rPr lang="en-US" sz="1400" b="0" strike="noStrike" spc="-1">
                <a:solidFill>
                  <a:srgbClr val="595959"/>
                </a:solidFill>
                <a:latin typeface="Calibri"/>
                <a:ea typeface="Calibri"/>
              </a:rPr>
              <a:t>X individual Chart</a:t>
            </a:r>
          </a:p>
        </c:rich>
      </c:tx>
      <c:overlay val="0"/>
      <c:spPr>
        <a:noFill/>
        <a:ln w="0">
          <a:noFill/>
        </a:ln>
      </c:spPr>
    </c:title>
    <c:autoTitleDeleted val="0"/>
    <c:plotArea>
      <c:layout/>
      <c:lineChart>
        <c:grouping val="standard"/>
        <c:varyColors val="0"/>
        <c:ser>
          <c:idx val="0"/>
          <c:order val="0"/>
          <c:tx>
            <c:strRef>
              <c:f>'Peta Kendali MR'!$D$41</c:f>
              <c:strCache>
                <c:ptCount val="1"/>
                <c:pt idx="0">
                  <c:v>x individual</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MR'!$D$42:$D$66</c:f>
              <c:numCache>
                <c:formatCode>0.000</c:formatCode>
                <c:ptCount val="25"/>
                <c:pt idx="0">
                  <c:v>3.766486</c:v>
                </c:pt>
                <c:pt idx="1">
                  <c:v>3.6070000000000002</c:v>
                </c:pt>
                <c:pt idx="2">
                  <c:v>3.1533440000000001</c:v>
                </c:pt>
                <c:pt idx="3">
                  <c:v>3.8022469999999999</c:v>
                </c:pt>
                <c:pt idx="4">
                  <c:v>3.8057880000000002</c:v>
                </c:pt>
                <c:pt idx="5">
                  <c:v>3.09673</c:v>
                </c:pt>
                <c:pt idx="6">
                  <c:v>3.309072</c:v>
                </c:pt>
                <c:pt idx="7">
                  <c:v>3.7744089999999999</c:v>
                </c:pt>
                <c:pt idx="8">
                  <c:v>3.6511429999999998</c:v>
                </c:pt>
                <c:pt idx="9">
                  <c:v>3.1736179999999998</c:v>
                </c:pt>
                <c:pt idx="10">
                  <c:v>3.3752300000000002</c:v>
                </c:pt>
                <c:pt idx="11">
                  <c:v>3.717438</c:v>
                </c:pt>
                <c:pt idx="12">
                  <c:v>3.5066220000000001</c:v>
                </c:pt>
                <c:pt idx="13">
                  <c:v>3.7445360000000001</c:v>
                </c:pt>
                <c:pt idx="14">
                  <c:v>3.0840299999999998</c:v>
                </c:pt>
                <c:pt idx="15">
                  <c:v>3.6532830000000001</c:v>
                </c:pt>
                <c:pt idx="16">
                  <c:v>3.3985720000000001</c:v>
                </c:pt>
                <c:pt idx="17">
                  <c:v>3.4784709999999999</c:v>
                </c:pt>
                <c:pt idx="18">
                  <c:v>3.4743629999999999</c:v>
                </c:pt>
                <c:pt idx="19">
                  <c:v>3.4005049999999999</c:v>
                </c:pt>
                <c:pt idx="20">
                  <c:v>3.4304239999999999</c:v>
                </c:pt>
                <c:pt idx="21">
                  <c:v>3.5846110000000002</c:v>
                </c:pt>
                <c:pt idx="22">
                  <c:v>3.6765189999999999</c:v>
                </c:pt>
                <c:pt idx="23">
                  <c:v>3.5462189999999998</c:v>
                </c:pt>
                <c:pt idx="24">
                  <c:v>3.2133600000000002</c:v>
                </c:pt>
              </c:numCache>
            </c:numRef>
          </c:val>
          <c:smooth val="0"/>
          <c:extLst>
            <c:ext xmlns:c16="http://schemas.microsoft.com/office/drawing/2014/chart" uri="{C3380CC4-5D6E-409C-BE32-E72D297353CC}">
              <c16:uniqueId val="{00000000-E0BB-4631-BDDD-7E297FDDE022}"/>
            </c:ext>
          </c:extLst>
        </c:ser>
        <c:ser>
          <c:idx val="1"/>
          <c:order val="1"/>
          <c:tx>
            <c:strRef>
              <c:f>'Peta Kendali MR'!$I$41</c:f>
              <c:strCache>
                <c:ptCount val="1"/>
                <c:pt idx="0">
                  <c:v>GT xindv</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MR'!$I$42:$I$66</c:f>
              <c:numCache>
                <c:formatCode>0.000</c:formatCode>
                <c:ptCount val="25"/>
                <c:pt idx="0">
                  <c:v>3.4969607999999992</c:v>
                </c:pt>
                <c:pt idx="1">
                  <c:v>3.4969607999999992</c:v>
                </c:pt>
                <c:pt idx="2">
                  <c:v>3.4969607999999992</c:v>
                </c:pt>
                <c:pt idx="3">
                  <c:v>3.4969607999999992</c:v>
                </c:pt>
                <c:pt idx="4">
                  <c:v>3.4969607999999992</c:v>
                </c:pt>
                <c:pt idx="5">
                  <c:v>3.4969607999999992</c:v>
                </c:pt>
                <c:pt idx="6">
                  <c:v>3.4969607999999992</c:v>
                </c:pt>
                <c:pt idx="7">
                  <c:v>3.4969607999999992</c:v>
                </c:pt>
                <c:pt idx="8">
                  <c:v>3.4969607999999992</c:v>
                </c:pt>
                <c:pt idx="9">
                  <c:v>3.4969607999999992</c:v>
                </c:pt>
                <c:pt idx="10">
                  <c:v>3.4969607999999992</c:v>
                </c:pt>
                <c:pt idx="11">
                  <c:v>3.4969607999999992</c:v>
                </c:pt>
                <c:pt idx="12">
                  <c:v>3.4969607999999992</c:v>
                </c:pt>
                <c:pt idx="13">
                  <c:v>3.4969607999999992</c:v>
                </c:pt>
                <c:pt idx="14">
                  <c:v>3.4969607999999992</c:v>
                </c:pt>
                <c:pt idx="15">
                  <c:v>3.4969607999999992</c:v>
                </c:pt>
                <c:pt idx="16">
                  <c:v>3.4969607999999992</c:v>
                </c:pt>
                <c:pt idx="17">
                  <c:v>3.4969607999999992</c:v>
                </c:pt>
                <c:pt idx="18">
                  <c:v>3.4969607999999992</c:v>
                </c:pt>
                <c:pt idx="19">
                  <c:v>3.4969607999999992</c:v>
                </c:pt>
                <c:pt idx="20">
                  <c:v>3.4969607999999992</c:v>
                </c:pt>
                <c:pt idx="21">
                  <c:v>3.4969607999999992</c:v>
                </c:pt>
                <c:pt idx="22">
                  <c:v>3.4969607999999992</c:v>
                </c:pt>
                <c:pt idx="23">
                  <c:v>3.4969607999999992</c:v>
                </c:pt>
                <c:pt idx="24">
                  <c:v>3.4969607999999992</c:v>
                </c:pt>
              </c:numCache>
            </c:numRef>
          </c:val>
          <c:smooth val="0"/>
          <c:extLst>
            <c:ext xmlns:c16="http://schemas.microsoft.com/office/drawing/2014/chart" uri="{C3380CC4-5D6E-409C-BE32-E72D297353CC}">
              <c16:uniqueId val="{00000001-E0BB-4631-BDDD-7E297FDDE022}"/>
            </c:ext>
          </c:extLst>
        </c:ser>
        <c:ser>
          <c:idx val="2"/>
          <c:order val="2"/>
          <c:tx>
            <c:strRef>
              <c:f>'Peta Kendali MR'!$J$41</c:f>
              <c:strCache>
                <c:ptCount val="1"/>
                <c:pt idx="0">
                  <c:v>BKA xindv</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MR'!$J$42:$J$66</c:f>
              <c:numCache>
                <c:formatCode>0.000</c:formatCode>
                <c:ptCount val="25"/>
                <c:pt idx="0">
                  <c:v>4.2313549710992904</c:v>
                </c:pt>
                <c:pt idx="1">
                  <c:v>4.2313549710992904</c:v>
                </c:pt>
                <c:pt idx="2">
                  <c:v>4.2313549710992904</c:v>
                </c:pt>
                <c:pt idx="3">
                  <c:v>4.2313549710992904</c:v>
                </c:pt>
                <c:pt idx="4">
                  <c:v>4.2313549710992904</c:v>
                </c:pt>
                <c:pt idx="5">
                  <c:v>4.2313549710992904</c:v>
                </c:pt>
                <c:pt idx="6">
                  <c:v>4.2313549710992904</c:v>
                </c:pt>
                <c:pt idx="7">
                  <c:v>4.2313549710992904</c:v>
                </c:pt>
                <c:pt idx="8">
                  <c:v>4.2313549710992904</c:v>
                </c:pt>
                <c:pt idx="9">
                  <c:v>4.2313549710992904</c:v>
                </c:pt>
                <c:pt idx="10">
                  <c:v>4.2313549710992904</c:v>
                </c:pt>
                <c:pt idx="11">
                  <c:v>4.2313549710992904</c:v>
                </c:pt>
                <c:pt idx="12">
                  <c:v>4.2313549710992904</c:v>
                </c:pt>
                <c:pt idx="13">
                  <c:v>4.2313549710992904</c:v>
                </c:pt>
                <c:pt idx="14">
                  <c:v>4.2313549710992904</c:v>
                </c:pt>
                <c:pt idx="15">
                  <c:v>4.2313549710992904</c:v>
                </c:pt>
                <c:pt idx="16">
                  <c:v>4.2313549710992904</c:v>
                </c:pt>
                <c:pt idx="17">
                  <c:v>4.2313549710992904</c:v>
                </c:pt>
                <c:pt idx="18">
                  <c:v>4.2313549710992904</c:v>
                </c:pt>
                <c:pt idx="19">
                  <c:v>4.2313549710992904</c:v>
                </c:pt>
                <c:pt idx="20">
                  <c:v>4.2313549710992904</c:v>
                </c:pt>
                <c:pt idx="21">
                  <c:v>4.2313549710992904</c:v>
                </c:pt>
                <c:pt idx="22">
                  <c:v>4.2313549710992904</c:v>
                </c:pt>
                <c:pt idx="23">
                  <c:v>4.2313549710992904</c:v>
                </c:pt>
                <c:pt idx="24">
                  <c:v>4.2313549710992904</c:v>
                </c:pt>
              </c:numCache>
            </c:numRef>
          </c:val>
          <c:smooth val="0"/>
          <c:extLst>
            <c:ext xmlns:c16="http://schemas.microsoft.com/office/drawing/2014/chart" uri="{C3380CC4-5D6E-409C-BE32-E72D297353CC}">
              <c16:uniqueId val="{00000002-E0BB-4631-BDDD-7E297FDDE022}"/>
            </c:ext>
          </c:extLst>
        </c:ser>
        <c:ser>
          <c:idx val="3"/>
          <c:order val="3"/>
          <c:tx>
            <c:strRef>
              <c:f>'Peta Kendali MR'!$K$41</c:f>
              <c:strCache>
                <c:ptCount val="1"/>
                <c:pt idx="0">
                  <c:v>BKB xindv</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MR'!$K$42:$K$66</c:f>
              <c:numCache>
                <c:formatCode>0.000</c:formatCode>
                <c:ptCount val="25"/>
                <c:pt idx="0">
                  <c:v>2.762566628900708</c:v>
                </c:pt>
                <c:pt idx="1">
                  <c:v>2.762566628900708</c:v>
                </c:pt>
                <c:pt idx="2">
                  <c:v>2.762566628900708</c:v>
                </c:pt>
                <c:pt idx="3">
                  <c:v>2.762566628900708</c:v>
                </c:pt>
                <c:pt idx="4">
                  <c:v>2.762566628900708</c:v>
                </c:pt>
                <c:pt idx="5">
                  <c:v>2.762566628900708</c:v>
                </c:pt>
                <c:pt idx="6">
                  <c:v>2.762566628900708</c:v>
                </c:pt>
                <c:pt idx="7">
                  <c:v>2.762566628900708</c:v>
                </c:pt>
                <c:pt idx="8">
                  <c:v>2.762566628900708</c:v>
                </c:pt>
                <c:pt idx="9">
                  <c:v>2.762566628900708</c:v>
                </c:pt>
                <c:pt idx="10">
                  <c:v>2.762566628900708</c:v>
                </c:pt>
                <c:pt idx="11">
                  <c:v>2.762566628900708</c:v>
                </c:pt>
                <c:pt idx="12">
                  <c:v>2.762566628900708</c:v>
                </c:pt>
                <c:pt idx="13">
                  <c:v>2.762566628900708</c:v>
                </c:pt>
                <c:pt idx="14">
                  <c:v>2.762566628900708</c:v>
                </c:pt>
                <c:pt idx="15">
                  <c:v>2.762566628900708</c:v>
                </c:pt>
                <c:pt idx="16">
                  <c:v>2.762566628900708</c:v>
                </c:pt>
                <c:pt idx="17">
                  <c:v>2.762566628900708</c:v>
                </c:pt>
                <c:pt idx="18">
                  <c:v>2.762566628900708</c:v>
                </c:pt>
                <c:pt idx="19">
                  <c:v>2.762566628900708</c:v>
                </c:pt>
                <c:pt idx="20">
                  <c:v>2.762566628900708</c:v>
                </c:pt>
                <c:pt idx="21">
                  <c:v>2.762566628900708</c:v>
                </c:pt>
                <c:pt idx="22">
                  <c:v>2.762566628900708</c:v>
                </c:pt>
                <c:pt idx="23">
                  <c:v>2.762566628900708</c:v>
                </c:pt>
                <c:pt idx="24">
                  <c:v>2.762566628900708</c:v>
                </c:pt>
              </c:numCache>
            </c:numRef>
          </c:val>
          <c:smooth val="0"/>
          <c:extLst>
            <c:ext xmlns:c16="http://schemas.microsoft.com/office/drawing/2014/chart" uri="{C3380CC4-5D6E-409C-BE32-E72D297353CC}">
              <c16:uniqueId val="{00000003-E0BB-4631-BDDD-7E297FDDE022}"/>
            </c:ext>
          </c:extLst>
        </c:ser>
        <c:ser>
          <c:idx val="4"/>
          <c:order val="4"/>
          <c:tx>
            <c:strRef>
              <c:f>'Peta Kendali MR'!$L$41</c:f>
              <c:strCache>
                <c:ptCount val="1"/>
                <c:pt idx="0">
                  <c:v>1/2 UCLx</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MR'!$L$42:$L$66</c:f>
              <c:numCache>
                <c:formatCode>0.000</c:formatCode>
                <c:ptCount val="25"/>
                <c:pt idx="0">
                  <c:v>3.8641578855496448</c:v>
                </c:pt>
                <c:pt idx="1">
                  <c:v>3.8641578855496448</c:v>
                </c:pt>
                <c:pt idx="2">
                  <c:v>3.8641578855496448</c:v>
                </c:pt>
                <c:pt idx="3">
                  <c:v>3.8641578855496448</c:v>
                </c:pt>
                <c:pt idx="4">
                  <c:v>3.8641578855496448</c:v>
                </c:pt>
                <c:pt idx="5">
                  <c:v>3.8641578855496448</c:v>
                </c:pt>
                <c:pt idx="6">
                  <c:v>3.8641578855496448</c:v>
                </c:pt>
                <c:pt idx="7">
                  <c:v>3.8641578855496448</c:v>
                </c:pt>
                <c:pt idx="8">
                  <c:v>3.8641578855496448</c:v>
                </c:pt>
                <c:pt idx="9">
                  <c:v>3.8641578855496448</c:v>
                </c:pt>
                <c:pt idx="10">
                  <c:v>3.8641578855496448</c:v>
                </c:pt>
                <c:pt idx="11">
                  <c:v>3.8641578855496448</c:v>
                </c:pt>
                <c:pt idx="12">
                  <c:v>3.8641578855496448</c:v>
                </c:pt>
                <c:pt idx="13">
                  <c:v>3.8641578855496448</c:v>
                </c:pt>
                <c:pt idx="14">
                  <c:v>3.8641578855496448</c:v>
                </c:pt>
                <c:pt idx="15">
                  <c:v>3.8641578855496448</c:v>
                </c:pt>
                <c:pt idx="16">
                  <c:v>3.8641578855496448</c:v>
                </c:pt>
                <c:pt idx="17">
                  <c:v>3.8641578855496448</c:v>
                </c:pt>
                <c:pt idx="18">
                  <c:v>3.8641578855496448</c:v>
                </c:pt>
                <c:pt idx="19">
                  <c:v>3.8641578855496448</c:v>
                </c:pt>
                <c:pt idx="20">
                  <c:v>3.8641578855496448</c:v>
                </c:pt>
                <c:pt idx="21">
                  <c:v>3.8641578855496448</c:v>
                </c:pt>
                <c:pt idx="22">
                  <c:v>3.8641578855496448</c:v>
                </c:pt>
                <c:pt idx="23">
                  <c:v>3.8641578855496448</c:v>
                </c:pt>
                <c:pt idx="24">
                  <c:v>3.8641578855496448</c:v>
                </c:pt>
              </c:numCache>
            </c:numRef>
          </c:val>
          <c:smooth val="0"/>
          <c:extLst>
            <c:ext xmlns:c16="http://schemas.microsoft.com/office/drawing/2014/chart" uri="{C3380CC4-5D6E-409C-BE32-E72D297353CC}">
              <c16:uniqueId val="{00000004-E0BB-4631-BDDD-7E297FDDE022}"/>
            </c:ext>
          </c:extLst>
        </c:ser>
        <c:ser>
          <c:idx val="5"/>
          <c:order val="5"/>
          <c:tx>
            <c:strRef>
              <c:f>'Peta Kendali MR'!$M$41</c:f>
              <c:strCache>
                <c:ptCount val="1"/>
                <c:pt idx="0">
                  <c:v>1/2 LCLx</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MR'!$M$42:$M$66</c:f>
              <c:numCache>
                <c:formatCode>0.000</c:formatCode>
                <c:ptCount val="25"/>
                <c:pt idx="0">
                  <c:v>3.1297637144503536</c:v>
                </c:pt>
                <c:pt idx="1">
                  <c:v>3.1297637144503536</c:v>
                </c:pt>
                <c:pt idx="2">
                  <c:v>3.1297637144503536</c:v>
                </c:pt>
                <c:pt idx="3">
                  <c:v>3.1297637144503536</c:v>
                </c:pt>
                <c:pt idx="4">
                  <c:v>3.1297637144503536</c:v>
                </c:pt>
                <c:pt idx="5">
                  <c:v>3.1297637144503536</c:v>
                </c:pt>
                <c:pt idx="6">
                  <c:v>3.1297637144503536</c:v>
                </c:pt>
                <c:pt idx="7">
                  <c:v>3.1297637144503536</c:v>
                </c:pt>
                <c:pt idx="8">
                  <c:v>3.1297637144503536</c:v>
                </c:pt>
                <c:pt idx="9">
                  <c:v>3.1297637144503536</c:v>
                </c:pt>
                <c:pt idx="10">
                  <c:v>3.1297637144503536</c:v>
                </c:pt>
                <c:pt idx="11">
                  <c:v>3.1297637144503536</c:v>
                </c:pt>
                <c:pt idx="12">
                  <c:v>3.1297637144503536</c:v>
                </c:pt>
                <c:pt idx="13">
                  <c:v>3.1297637144503536</c:v>
                </c:pt>
                <c:pt idx="14">
                  <c:v>3.1297637144503536</c:v>
                </c:pt>
                <c:pt idx="15">
                  <c:v>3.1297637144503536</c:v>
                </c:pt>
                <c:pt idx="16">
                  <c:v>3.1297637144503536</c:v>
                </c:pt>
                <c:pt idx="17">
                  <c:v>3.1297637144503536</c:v>
                </c:pt>
                <c:pt idx="18">
                  <c:v>3.1297637144503536</c:v>
                </c:pt>
                <c:pt idx="19">
                  <c:v>3.1297637144503536</c:v>
                </c:pt>
                <c:pt idx="20">
                  <c:v>3.1297637144503536</c:v>
                </c:pt>
                <c:pt idx="21">
                  <c:v>3.1297637144503536</c:v>
                </c:pt>
                <c:pt idx="22">
                  <c:v>3.1297637144503536</c:v>
                </c:pt>
                <c:pt idx="23">
                  <c:v>3.1297637144503536</c:v>
                </c:pt>
                <c:pt idx="24">
                  <c:v>3.1297637144503536</c:v>
                </c:pt>
              </c:numCache>
            </c:numRef>
          </c:val>
          <c:smooth val="0"/>
          <c:extLst>
            <c:ext xmlns:c16="http://schemas.microsoft.com/office/drawing/2014/chart" uri="{C3380CC4-5D6E-409C-BE32-E72D297353CC}">
              <c16:uniqueId val="{00000005-E0BB-4631-BDDD-7E297FDDE022}"/>
            </c:ext>
          </c:extLst>
        </c:ser>
        <c:dLbls>
          <c:showLegendKey val="0"/>
          <c:showVal val="0"/>
          <c:showCatName val="0"/>
          <c:showSerName val="0"/>
          <c:showPercent val="0"/>
          <c:showBubbleSize val="0"/>
        </c:dLbls>
        <c:hiLowLines>
          <c:spPr>
            <a:ln w="0">
              <a:noFill/>
            </a:ln>
          </c:spPr>
        </c:hiLowLines>
        <c:smooth val="0"/>
        <c:axId val="96433280"/>
        <c:axId val="11119789"/>
      </c:lineChart>
      <c:catAx>
        <c:axId val="9643328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n-US"/>
          </a:p>
        </c:txPr>
        <c:crossAx val="11119789"/>
        <c:crosses val="autoZero"/>
        <c:auto val="1"/>
        <c:lblAlgn val="ctr"/>
        <c:lblOffset val="100"/>
        <c:noMultiLvlLbl val="0"/>
      </c:catAx>
      <c:valAx>
        <c:axId val="11119789"/>
        <c:scaling>
          <c:orientation val="minMax"/>
        </c:scaling>
        <c:delete val="0"/>
        <c:axPos val="l"/>
        <c:majorGridlines>
          <c:spPr>
            <a:ln w="9360">
              <a:solidFill>
                <a:srgbClr val="D9D9D9"/>
              </a:solidFill>
              <a:round/>
            </a:ln>
          </c:spPr>
        </c:majorGridlines>
        <c:numFmt formatCode="0.000" sourceLinked="0"/>
        <c:majorTickMark val="none"/>
        <c:minorTickMark val="none"/>
        <c:tickLblPos val="nextTo"/>
        <c:spPr>
          <a:ln w="6480">
            <a:noFill/>
          </a:ln>
        </c:spPr>
        <c:txPr>
          <a:bodyPr/>
          <a:lstStyle/>
          <a:p>
            <a:pPr>
              <a:defRPr sz="900" b="0" strike="noStrike" spc="-1">
                <a:solidFill>
                  <a:srgbClr val="595959"/>
                </a:solidFill>
                <a:latin typeface="Calibri"/>
                <a:ea typeface="Calibri"/>
              </a:defRPr>
            </a:pPr>
            <a:endParaRPr lang="en-US"/>
          </a:p>
        </c:txPr>
        <c:crossAx val="9643328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MR Chart</a:t>
            </a:r>
          </a:p>
        </c:rich>
      </c:tx>
      <c:overlay val="0"/>
      <c:spPr>
        <a:noFill/>
        <a:ln w="0">
          <a:noFill/>
        </a:ln>
      </c:spPr>
    </c:title>
    <c:autoTitleDeleted val="0"/>
    <c:plotArea>
      <c:layout/>
      <c:lineChart>
        <c:grouping val="standard"/>
        <c:varyColors val="0"/>
        <c:ser>
          <c:idx val="0"/>
          <c:order val="0"/>
          <c:tx>
            <c:v>MR</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MR'!$E$42:$E$66</c:f>
              <c:numCache>
                <c:formatCode>0.000</c:formatCode>
                <c:ptCount val="25"/>
                <c:pt idx="1">
                  <c:v>0.15948599999999999</c:v>
                </c:pt>
                <c:pt idx="2">
                  <c:v>0.453656</c:v>
                </c:pt>
                <c:pt idx="3">
                  <c:v>0.64890400000000004</c:v>
                </c:pt>
                <c:pt idx="4">
                  <c:v>3.5409999999999999E-3</c:v>
                </c:pt>
                <c:pt idx="5">
                  <c:v>0.70905799999999997</c:v>
                </c:pt>
                <c:pt idx="6">
                  <c:v>0.212342</c:v>
                </c:pt>
                <c:pt idx="7">
                  <c:v>0.465337</c:v>
                </c:pt>
                <c:pt idx="8">
                  <c:v>0.123267</c:v>
                </c:pt>
                <c:pt idx="9">
                  <c:v>0.477524</c:v>
                </c:pt>
                <c:pt idx="10">
                  <c:v>0.20161100000000001</c:v>
                </c:pt>
                <c:pt idx="11">
                  <c:v>0.34220800000000001</c:v>
                </c:pt>
                <c:pt idx="12">
                  <c:v>0.210815</c:v>
                </c:pt>
                <c:pt idx="13">
                  <c:v>0.23791399999999999</c:v>
                </c:pt>
                <c:pt idx="14">
                  <c:v>0.66050600000000004</c:v>
                </c:pt>
                <c:pt idx="15">
                  <c:v>0.56925400000000004</c:v>
                </c:pt>
                <c:pt idx="16">
                  <c:v>0.25471199999999999</c:v>
                </c:pt>
                <c:pt idx="17">
                  <c:v>7.9899999999999999E-2</c:v>
                </c:pt>
                <c:pt idx="18">
                  <c:v>4.1079999999999997E-3</c:v>
                </c:pt>
                <c:pt idx="19">
                  <c:v>7.3857999999999993E-2</c:v>
                </c:pt>
                <c:pt idx="20">
                  <c:v>2.9918E-2</c:v>
                </c:pt>
                <c:pt idx="21">
                  <c:v>0.15418699999999999</c:v>
                </c:pt>
                <c:pt idx="22">
                  <c:v>9.1908000000000004E-2</c:v>
                </c:pt>
                <c:pt idx="23">
                  <c:v>0.1303</c:v>
                </c:pt>
                <c:pt idx="24">
                  <c:v>0.33285900000000002</c:v>
                </c:pt>
              </c:numCache>
            </c:numRef>
          </c:val>
          <c:smooth val="0"/>
          <c:extLst>
            <c:ext xmlns:c16="http://schemas.microsoft.com/office/drawing/2014/chart" uri="{C3380CC4-5D6E-409C-BE32-E72D297353CC}">
              <c16:uniqueId val="{00000000-8FA0-4A60-8370-A3DE01AE590C}"/>
            </c:ext>
          </c:extLst>
        </c:ser>
        <c:ser>
          <c:idx val="1"/>
          <c:order val="1"/>
          <c:tx>
            <c:v>GT MR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MR'!$F$42:$F$66</c:f>
              <c:numCache>
                <c:formatCode>0.000</c:formatCode>
                <c:ptCount val="25"/>
                <c:pt idx="0">
                  <c:v>0.27613220833333335</c:v>
                </c:pt>
                <c:pt idx="1">
                  <c:v>0.27613220833333335</c:v>
                </c:pt>
                <c:pt idx="2">
                  <c:v>0.27613220833333335</c:v>
                </c:pt>
                <c:pt idx="3">
                  <c:v>0.27613220833333335</c:v>
                </c:pt>
                <c:pt idx="4">
                  <c:v>0.27613220833333335</c:v>
                </c:pt>
                <c:pt idx="5">
                  <c:v>0.27613220833333335</c:v>
                </c:pt>
                <c:pt idx="6">
                  <c:v>0.27613220833333335</c:v>
                </c:pt>
                <c:pt idx="7">
                  <c:v>0.27613220833333335</c:v>
                </c:pt>
                <c:pt idx="8">
                  <c:v>0.27613220833333335</c:v>
                </c:pt>
                <c:pt idx="9">
                  <c:v>0.27613220833333335</c:v>
                </c:pt>
                <c:pt idx="10">
                  <c:v>0.27613220833333335</c:v>
                </c:pt>
                <c:pt idx="11">
                  <c:v>0.27613220833333335</c:v>
                </c:pt>
                <c:pt idx="12">
                  <c:v>0.27613220833333335</c:v>
                </c:pt>
                <c:pt idx="13">
                  <c:v>0.27613220833333335</c:v>
                </c:pt>
                <c:pt idx="14">
                  <c:v>0.27613220833333335</c:v>
                </c:pt>
                <c:pt idx="15">
                  <c:v>0.27613220833333335</c:v>
                </c:pt>
                <c:pt idx="16">
                  <c:v>0.27613220833333335</c:v>
                </c:pt>
                <c:pt idx="17">
                  <c:v>0.27613220833333335</c:v>
                </c:pt>
                <c:pt idx="18">
                  <c:v>0.27613220833333335</c:v>
                </c:pt>
                <c:pt idx="19">
                  <c:v>0.27613220833333335</c:v>
                </c:pt>
                <c:pt idx="20">
                  <c:v>0.27613220833333335</c:v>
                </c:pt>
                <c:pt idx="21">
                  <c:v>0.27613220833333335</c:v>
                </c:pt>
                <c:pt idx="22">
                  <c:v>0.27613220833333335</c:v>
                </c:pt>
                <c:pt idx="23">
                  <c:v>0.27613220833333335</c:v>
                </c:pt>
                <c:pt idx="24">
                  <c:v>0.27613220833333335</c:v>
                </c:pt>
              </c:numCache>
            </c:numRef>
          </c:val>
          <c:smooth val="0"/>
          <c:extLst>
            <c:ext xmlns:c16="http://schemas.microsoft.com/office/drawing/2014/chart" uri="{C3380CC4-5D6E-409C-BE32-E72D297353CC}">
              <c16:uniqueId val="{00000001-8FA0-4A60-8370-A3DE01AE590C}"/>
            </c:ext>
          </c:extLst>
        </c:ser>
        <c:ser>
          <c:idx val="2"/>
          <c:order val="2"/>
          <c:tx>
            <c:v>BKA MR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MR'!$G$42:$G$66</c:f>
              <c:numCache>
                <c:formatCode>0.000</c:formatCode>
                <c:ptCount val="25"/>
                <c:pt idx="0">
                  <c:v>0.90212392462500002</c:v>
                </c:pt>
                <c:pt idx="1">
                  <c:v>0.90212392462500002</c:v>
                </c:pt>
                <c:pt idx="2">
                  <c:v>0.90212392462500002</c:v>
                </c:pt>
                <c:pt idx="3">
                  <c:v>0.90212392462500002</c:v>
                </c:pt>
                <c:pt idx="4">
                  <c:v>0.90212392462500002</c:v>
                </c:pt>
                <c:pt idx="5">
                  <c:v>0.90212392462500002</c:v>
                </c:pt>
                <c:pt idx="6">
                  <c:v>0.90212392462500002</c:v>
                </c:pt>
                <c:pt idx="7">
                  <c:v>0.90212392462500002</c:v>
                </c:pt>
                <c:pt idx="8">
                  <c:v>0.90212392462500002</c:v>
                </c:pt>
                <c:pt idx="9">
                  <c:v>0.90212392462500002</c:v>
                </c:pt>
                <c:pt idx="10">
                  <c:v>0.90212392462500002</c:v>
                </c:pt>
                <c:pt idx="11">
                  <c:v>0.90212392462500002</c:v>
                </c:pt>
                <c:pt idx="12">
                  <c:v>0.90212392462500002</c:v>
                </c:pt>
                <c:pt idx="13">
                  <c:v>0.90212392462500002</c:v>
                </c:pt>
                <c:pt idx="14">
                  <c:v>0.90212392462500002</c:v>
                </c:pt>
                <c:pt idx="15">
                  <c:v>0.90212392462500002</c:v>
                </c:pt>
                <c:pt idx="16">
                  <c:v>0.90212392462500002</c:v>
                </c:pt>
                <c:pt idx="17">
                  <c:v>0.90212392462500002</c:v>
                </c:pt>
                <c:pt idx="18">
                  <c:v>0.90212392462500002</c:v>
                </c:pt>
                <c:pt idx="19">
                  <c:v>0.90212392462500002</c:v>
                </c:pt>
                <c:pt idx="20">
                  <c:v>0.90212392462500002</c:v>
                </c:pt>
                <c:pt idx="21">
                  <c:v>0.90212392462500002</c:v>
                </c:pt>
                <c:pt idx="22">
                  <c:v>0.90212392462500002</c:v>
                </c:pt>
                <c:pt idx="23">
                  <c:v>0.90212392462500002</c:v>
                </c:pt>
                <c:pt idx="24">
                  <c:v>0.90212392462500002</c:v>
                </c:pt>
              </c:numCache>
            </c:numRef>
          </c:val>
          <c:smooth val="0"/>
          <c:extLst>
            <c:ext xmlns:c16="http://schemas.microsoft.com/office/drawing/2014/chart" uri="{C3380CC4-5D6E-409C-BE32-E72D297353CC}">
              <c16:uniqueId val="{00000002-8FA0-4A60-8370-A3DE01AE590C}"/>
            </c:ext>
          </c:extLst>
        </c:ser>
        <c:ser>
          <c:idx val="3"/>
          <c:order val="3"/>
          <c:tx>
            <c:v>BKB MR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MR'!$H$42:$H$66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8FA0-4A60-8370-A3DE01AE590C}"/>
            </c:ext>
          </c:extLst>
        </c:ser>
        <c:dLbls>
          <c:showLegendKey val="0"/>
          <c:showVal val="0"/>
          <c:showCatName val="0"/>
          <c:showSerName val="0"/>
          <c:showPercent val="0"/>
          <c:showBubbleSize val="0"/>
        </c:dLbls>
        <c:hiLowLines>
          <c:spPr>
            <a:ln w="0">
              <a:noFill/>
            </a:ln>
          </c:spPr>
        </c:hiLowLines>
        <c:marker val="1"/>
        <c:smooth val="0"/>
        <c:axId val="42004863"/>
        <c:axId val="75870426"/>
      </c:lineChart>
      <c:catAx>
        <c:axId val="42004863"/>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5870426"/>
        <c:crosses val="autoZero"/>
        <c:auto val="1"/>
        <c:lblAlgn val="ctr"/>
        <c:lblOffset val="100"/>
        <c:noMultiLvlLbl val="0"/>
      </c:catAx>
      <c:valAx>
        <c:axId val="75870426"/>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42004863"/>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np Chart</a:t>
            </a:r>
          </a:p>
        </c:rich>
      </c:tx>
      <c:overlay val="0"/>
      <c:spPr>
        <a:noFill/>
        <a:ln w="0">
          <a:noFill/>
        </a:ln>
      </c:spPr>
    </c:title>
    <c:autoTitleDeleted val="0"/>
    <c:plotArea>
      <c:layout/>
      <c:lineChart>
        <c:grouping val="standard"/>
        <c:varyColors val="0"/>
        <c:ser>
          <c:idx val="0"/>
          <c:order val="0"/>
          <c:tx>
            <c:v>Jumlah Item Cacat (np)</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np'!$E$39:$E$63</c:f>
              <c:numCache>
                <c:formatCode>0.000</c:formatCode>
                <c:ptCount val="25"/>
                <c:pt idx="0">
                  <c:v>7</c:v>
                </c:pt>
                <c:pt idx="1">
                  <c:v>15</c:v>
                </c:pt>
                <c:pt idx="2">
                  <c:v>7</c:v>
                </c:pt>
                <c:pt idx="3">
                  <c:v>8</c:v>
                </c:pt>
                <c:pt idx="4">
                  <c:v>15</c:v>
                </c:pt>
                <c:pt idx="5">
                  <c:v>9</c:v>
                </c:pt>
                <c:pt idx="6">
                  <c:v>9</c:v>
                </c:pt>
                <c:pt idx="7">
                  <c:v>5</c:v>
                </c:pt>
                <c:pt idx="8">
                  <c:v>6</c:v>
                </c:pt>
                <c:pt idx="9">
                  <c:v>11</c:v>
                </c:pt>
                <c:pt idx="10">
                  <c:v>6</c:v>
                </c:pt>
                <c:pt idx="11">
                  <c:v>8</c:v>
                </c:pt>
                <c:pt idx="12">
                  <c:v>5</c:v>
                </c:pt>
                <c:pt idx="13">
                  <c:v>5</c:v>
                </c:pt>
                <c:pt idx="14">
                  <c:v>12</c:v>
                </c:pt>
                <c:pt idx="15">
                  <c:v>6</c:v>
                </c:pt>
                <c:pt idx="16">
                  <c:v>13</c:v>
                </c:pt>
                <c:pt idx="17">
                  <c:v>5</c:v>
                </c:pt>
                <c:pt idx="18">
                  <c:v>7</c:v>
                </c:pt>
                <c:pt idx="19">
                  <c:v>10</c:v>
                </c:pt>
                <c:pt idx="20">
                  <c:v>7</c:v>
                </c:pt>
                <c:pt idx="21">
                  <c:v>8</c:v>
                </c:pt>
                <c:pt idx="22">
                  <c:v>14</c:v>
                </c:pt>
                <c:pt idx="23">
                  <c:v>7</c:v>
                </c:pt>
                <c:pt idx="24">
                  <c:v>10</c:v>
                </c:pt>
              </c:numCache>
            </c:numRef>
          </c:val>
          <c:smooth val="0"/>
          <c:extLst>
            <c:ext xmlns:c16="http://schemas.microsoft.com/office/drawing/2014/chart" uri="{C3380CC4-5D6E-409C-BE32-E72D297353CC}">
              <c16:uniqueId val="{00000000-C1AB-4F7F-9E5E-2EC2B1688558}"/>
            </c:ext>
          </c:extLst>
        </c:ser>
        <c:ser>
          <c:idx val="1"/>
          <c:order val="1"/>
          <c:tx>
            <c:v>GT np</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np'!$I$39:$I$63</c:f>
              <c:numCache>
                <c:formatCode>0.000</c:formatCode>
                <c:ptCount val="25"/>
                <c:pt idx="0">
                  <c:v>8.6</c:v>
                </c:pt>
                <c:pt idx="1">
                  <c:v>8.6</c:v>
                </c:pt>
                <c:pt idx="2">
                  <c:v>8.6</c:v>
                </c:pt>
                <c:pt idx="3">
                  <c:v>8.6</c:v>
                </c:pt>
                <c:pt idx="4">
                  <c:v>8.6</c:v>
                </c:pt>
                <c:pt idx="5">
                  <c:v>8.6</c:v>
                </c:pt>
                <c:pt idx="6">
                  <c:v>8.6</c:v>
                </c:pt>
                <c:pt idx="7">
                  <c:v>8.6</c:v>
                </c:pt>
                <c:pt idx="8">
                  <c:v>8.6</c:v>
                </c:pt>
                <c:pt idx="9">
                  <c:v>8.6</c:v>
                </c:pt>
                <c:pt idx="10">
                  <c:v>8.6</c:v>
                </c:pt>
                <c:pt idx="11">
                  <c:v>8.6</c:v>
                </c:pt>
                <c:pt idx="12">
                  <c:v>8.6</c:v>
                </c:pt>
                <c:pt idx="13">
                  <c:v>8.6</c:v>
                </c:pt>
                <c:pt idx="14">
                  <c:v>8.6</c:v>
                </c:pt>
                <c:pt idx="15">
                  <c:v>8.6</c:v>
                </c:pt>
                <c:pt idx="16">
                  <c:v>8.6</c:v>
                </c:pt>
                <c:pt idx="17">
                  <c:v>8.6</c:v>
                </c:pt>
                <c:pt idx="18">
                  <c:v>8.6</c:v>
                </c:pt>
                <c:pt idx="19">
                  <c:v>8.6</c:v>
                </c:pt>
                <c:pt idx="20">
                  <c:v>8.6</c:v>
                </c:pt>
                <c:pt idx="21">
                  <c:v>8.6</c:v>
                </c:pt>
                <c:pt idx="22">
                  <c:v>8.6</c:v>
                </c:pt>
                <c:pt idx="23">
                  <c:v>8.6</c:v>
                </c:pt>
                <c:pt idx="24">
                  <c:v>8.6</c:v>
                </c:pt>
              </c:numCache>
            </c:numRef>
          </c:val>
          <c:smooth val="0"/>
          <c:extLst>
            <c:ext xmlns:c16="http://schemas.microsoft.com/office/drawing/2014/chart" uri="{C3380CC4-5D6E-409C-BE32-E72D297353CC}">
              <c16:uniqueId val="{00000001-C1AB-4F7F-9E5E-2EC2B1688558}"/>
            </c:ext>
          </c:extLst>
        </c:ser>
        <c:ser>
          <c:idx val="2"/>
          <c:order val="2"/>
          <c:tx>
            <c:v>BKA np</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np'!$J$39:$J$63</c:f>
              <c:numCache>
                <c:formatCode>0.000</c:formatCode>
                <c:ptCount val="25"/>
                <c:pt idx="0">
                  <c:v>16.605447999999999</c:v>
                </c:pt>
                <c:pt idx="1">
                  <c:v>16.605447999999999</c:v>
                </c:pt>
                <c:pt idx="2">
                  <c:v>16.605447999999999</c:v>
                </c:pt>
                <c:pt idx="3">
                  <c:v>16.605447999999999</c:v>
                </c:pt>
                <c:pt idx="4">
                  <c:v>16.605447999999999</c:v>
                </c:pt>
                <c:pt idx="5">
                  <c:v>16.605447999999999</c:v>
                </c:pt>
                <c:pt idx="6">
                  <c:v>16.605447999999999</c:v>
                </c:pt>
                <c:pt idx="7">
                  <c:v>16.605447999999999</c:v>
                </c:pt>
                <c:pt idx="8">
                  <c:v>16.605447999999999</c:v>
                </c:pt>
                <c:pt idx="9">
                  <c:v>16.605447999999999</c:v>
                </c:pt>
                <c:pt idx="10">
                  <c:v>16.605447999999999</c:v>
                </c:pt>
                <c:pt idx="11">
                  <c:v>16.605447999999999</c:v>
                </c:pt>
                <c:pt idx="12">
                  <c:v>16.605447999999999</c:v>
                </c:pt>
                <c:pt idx="13">
                  <c:v>16.605447999999999</c:v>
                </c:pt>
                <c:pt idx="14">
                  <c:v>16.605447999999999</c:v>
                </c:pt>
                <c:pt idx="15">
                  <c:v>16.605447999999999</c:v>
                </c:pt>
                <c:pt idx="16">
                  <c:v>16.605447999999999</c:v>
                </c:pt>
                <c:pt idx="17">
                  <c:v>16.605447999999999</c:v>
                </c:pt>
                <c:pt idx="18">
                  <c:v>16.605447999999999</c:v>
                </c:pt>
                <c:pt idx="19">
                  <c:v>16.605447999999999</c:v>
                </c:pt>
                <c:pt idx="20">
                  <c:v>16.605447999999999</c:v>
                </c:pt>
                <c:pt idx="21">
                  <c:v>16.605447999999999</c:v>
                </c:pt>
                <c:pt idx="22">
                  <c:v>16.605447999999999</c:v>
                </c:pt>
                <c:pt idx="23">
                  <c:v>16.605447999999999</c:v>
                </c:pt>
                <c:pt idx="24">
                  <c:v>16.605447999999999</c:v>
                </c:pt>
              </c:numCache>
            </c:numRef>
          </c:val>
          <c:smooth val="0"/>
          <c:extLst>
            <c:ext xmlns:c16="http://schemas.microsoft.com/office/drawing/2014/chart" uri="{C3380CC4-5D6E-409C-BE32-E72D297353CC}">
              <c16:uniqueId val="{00000002-C1AB-4F7F-9E5E-2EC2B1688558}"/>
            </c:ext>
          </c:extLst>
        </c:ser>
        <c:ser>
          <c:idx val="3"/>
          <c:order val="3"/>
          <c:tx>
            <c:v>BKB np</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np'!$K$39:$K$63</c:f>
              <c:numCache>
                <c:formatCode>0.000</c:formatCode>
                <c:ptCount val="25"/>
                <c:pt idx="0">
                  <c:v>0.59455199999999997</c:v>
                </c:pt>
                <c:pt idx="1">
                  <c:v>0.59455199999999997</c:v>
                </c:pt>
                <c:pt idx="2">
                  <c:v>0.59455199999999997</c:v>
                </c:pt>
                <c:pt idx="3">
                  <c:v>0.59455199999999997</c:v>
                </c:pt>
                <c:pt idx="4">
                  <c:v>0.59455199999999997</c:v>
                </c:pt>
                <c:pt idx="5">
                  <c:v>0.59455199999999997</c:v>
                </c:pt>
                <c:pt idx="6">
                  <c:v>0.59455199999999997</c:v>
                </c:pt>
                <c:pt idx="7">
                  <c:v>0.59455199999999997</c:v>
                </c:pt>
                <c:pt idx="8">
                  <c:v>0.59455199999999997</c:v>
                </c:pt>
                <c:pt idx="9">
                  <c:v>0.59455199999999997</c:v>
                </c:pt>
                <c:pt idx="10">
                  <c:v>0.59455199999999997</c:v>
                </c:pt>
                <c:pt idx="11">
                  <c:v>0.59455199999999997</c:v>
                </c:pt>
                <c:pt idx="12">
                  <c:v>0.59455199999999997</c:v>
                </c:pt>
                <c:pt idx="13">
                  <c:v>0.59455199999999997</c:v>
                </c:pt>
                <c:pt idx="14">
                  <c:v>0.59455199999999997</c:v>
                </c:pt>
                <c:pt idx="15">
                  <c:v>0.59455199999999997</c:v>
                </c:pt>
                <c:pt idx="16">
                  <c:v>0.59455199999999997</c:v>
                </c:pt>
                <c:pt idx="17">
                  <c:v>0.59455199999999997</c:v>
                </c:pt>
                <c:pt idx="18">
                  <c:v>0.59455199999999997</c:v>
                </c:pt>
                <c:pt idx="19">
                  <c:v>0.59455199999999997</c:v>
                </c:pt>
                <c:pt idx="20">
                  <c:v>0.59455199999999997</c:v>
                </c:pt>
                <c:pt idx="21">
                  <c:v>0.59455199999999997</c:v>
                </c:pt>
                <c:pt idx="22">
                  <c:v>0.59455199999999997</c:v>
                </c:pt>
                <c:pt idx="23">
                  <c:v>0.59455199999999997</c:v>
                </c:pt>
                <c:pt idx="24">
                  <c:v>0.59455199999999997</c:v>
                </c:pt>
              </c:numCache>
            </c:numRef>
          </c:val>
          <c:smooth val="0"/>
          <c:extLst>
            <c:ext xmlns:c16="http://schemas.microsoft.com/office/drawing/2014/chart" uri="{C3380CC4-5D6E-409C-BE32-E72D297353CC}">
              <c16:uniqueId val="{00000003-C1AB-4F7F-9E5E-2EC2B1688558}"/>
            </c:ext>
          </c:extLst>
        </c:ser>
        <c:dLbls>
          <c:showLegendKey val="0"/>
          <c:showVal val="0"/>
          <c:showCatName val="0"/>
          <c:showSerName val="0"/>
          <c:showPercent val="0"/>
          <c:showBubbleSize val="0"/>
        </c:dLbls>
        <c:hiLowLines>
          <c:spPr>
            <a:ln w="0">
              <a:noFill/>
            </a:ln>
          </c:spPr>
        </c:hiLowLines>
        <c:marker val="1"/>
        <c:smooth val="0"/>
        <c:axId val="75162696"/>
        <c:axId val="34409845"/>
      </c:lineChart>
      <c:catAx>
        <c:axId val="75162696"/>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34409845"/>
        <c:crosses val="autoZero"/>
        <c:auto val="1"/>
        <c:lblAlgn val="ctr"/>
        <c:lblOffset val="100"/>
        <c:noMultiLvlLbl val="0"/>
      </c:catAx>
      <c:valAx>
        <c:axId val="34409845"/>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5162696"/>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p Chart</a:t>
            </a:r>
          </a:p>
        </c:rich>
      </c:tx>
      <c:overlay val="0"/>
      <c:spPr>
        <a:noFill/>
        <a:ln w="0">
          <a:noFill/>
        </a:ln>
      </c:spPr>
    </c:title>
    <c:autoTitleDeleted val="0"/>
    <c:plotArea>
      <c:layout/>
      <c:lineChart>
        <c:grouping val="standard"/>
        <c:varyColors val="0"/>
        <c:ser>
          <c:idx val="0"/>
          <c:order val="0"/>
          <c:tx>
            <c:v>Fraksi Item Cacat (p)</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np'!$D$39:$D$63</c:f>
              <c:numCache>
                <c:formatCode>0.000</c:formatCode>
                <c:ptCount val="25"/>
                <c:pt idx="0">
                  <c:v>0.14000000000000001</c:v>
                </c:pt>
                <c:pt idx="1">
                  <c:v>0.3</c:v>
                </c:pt>
                <c:pt idx="2">
                  <c:v>0.14000000000000001</c:v>
                </c:pt>
                <c:pt idx="3">
                  <c:v>0.16</c:v>
                </c:pt>
                <c:pt idx="4">
                  <c:v>0.3</c:v>
                </c:pt>
                <c:pt idx="5">
                  <c:v>0.18</c:v>
                </c:pt>
                <c:pt idx="6">
                  <c:v>0.18</c:v>
                </c:pt>
                <c:pt idx="7">
                  <c:v>0.1</c:v>
                </c:pt>
                <c:pt idx="8">
                  <c:v>0.12</c:v>
                </c:pt>
                <c:pt idx="9">
                  <c:v>0.22</c:v>
                </c:pt>
                <c:pt idx="10">
                  <c:v>0.12</c:v>
                </c:pt>
                <c:pt idx="11">
                  <c:v>0.16</c:v>
                </c:pt>
                <c:pt idx="12">
                  <c:v>0.1</c:v>
                </c:pt>
                <c:pt idx="13">
                  <c:v>0.1</c:v>
                </c:pt>
                <c:pt idx="14">
                  <c:v>0.24</c:v>
                </c:pt>
                <c:pt idx="15">
                  <c:v>0.12</c:v>
                </c:pt>
                <c:pt idx="16">
                  <c:v>0.26</c:v>
                </c:pt>
                <c:pt idx="17">
                  <c:v>0.1</c:v>
                </c:pt>
                <c:pt idx="18">
                  <c:v>0.14000000000000001</c:v>
                </c:pt>
                <c:pt idx="19">
                  <c:v>0.2</c:v>
                </c:pt>
                <c:pt idx="20">
                  <c:v>0.14000000000000001</c:v>
                </c:pt>
                <c:pt idx="21">
                  <c:v>0.16</c:v>
                </c:pt>
                <c:pt idx="22">
                  <c:v>0.28000000000000003</c:v>
                </c:pt>
                <c:pt idx="23">
                  <c:v>0.14000000000000001</c:v>
                </c:pt>
                <c:pt idx="24">
                  <c:v>0.2</c:v>
                </c:pt>
              </c:numCache>
            </c:numRef>
          </c:val>
          <c:smooth val="0"/>
          <c:extLst>
            <c:ext xmlns:c16="http://schemas.microsoft.com/office/drawing/2014/chart" uri="{C3380CC4-5D6E-409C-BE32-E72D297353CC}">
              <c16:uniqueId val="{00000000-C7F2-4D41-B857-87E651B7BF9A}"/>
            </c:ext>
          </c:extLst>
        </c:ser>
        <c:ser>
          <c:idx val="1"/>
          <c:order val="1"/>
          <c:tx>
            <c:v>GT p</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np'!$F$39:$F$63</c:f>
              <c:numCache>
                <c:formatCode>0.000</c:formatCode>
                <c:ptCount val="25"/>
                <c:pt idx="0">
                  <c:v>0.17199999999999999</c:v>
                </c:pt>
                <c:pt idx="1">
                  <c:v>0.17199999999999999</c:v>
                </c:pt>
                <c:pt idx="2">
                  <c:v>0.17199999999999999</c:v>
                </c:pt>
                <c:pt idx="3">
                  <c:v>0.17199999999999999</c:v>
                </c:pt>
                <c:pt idx="4">
                  <c:v>0.17199999999999999</c:v>
                </c:pt>
                <c:pt idx="5">
                  <c:v>0.17199999999999999</c:v>
                </c:pt>
                <c:pt idx="6">
                  <c:v>0.17199999999999999</c:v>
                </c:pt>
                <c:pt idx="7">
                  <c:v>0.17199999999999999</c:v>
                </c:pt>
                <c:pt idx="8">
                  <c:v>0.17199999999999999</c:v>
                </c:pt>
                <c:pt idx="9">
                  <c:v>0.17199999999999999</c:v>
                </c:pt>
                <c:pt idx="10">
                  <c:v>0.17199999999999999</c:v>
                </c:pt>
                <c:pt idx="11">
                  <c:v>0.17199999999999999</c:v>
                </c:pt>
                <c:pt idx="12">
                  <c:v>0.17199999999999999</c:v>
                </c:pt>
                <c:pt idx="13">
                  <c:v>0.17199999999999999</c:v>
                </c:pt>
                <c:pt idx="14">
                  <c:v>0.17199999999999999</c:v>
                </c:pt>
                <c:pt idx="15">
                  <c:v>0.17199999999999999</c:v>
                </c:pt>
                <c:pt idx="16">
                  <c:v>0.17199999999999999</c:v>
                </c:pt>
                <c:pt idx="17">
                  <c:v>0.17199999999999999</c:v>
                </c:pt>
                <c:pt idx="18">
                  <c:v>0.17199999999999999</c:v>
                </c:pt>
                <c:pt idx="19">
                  <c:v>0.17199999999999999</c:v>
                </c:pt>
                <c:pt idx="20">
                  <c:v>0.17199999999999999</c:v>
                </c:pt>
                <c:pt idx="21">
                  <c:v>0.17199999999999999</c:v>
                </c:pt>
                <c:pt idx="22">
                  <c:v>0.17199999999999999</c:v>
                </c:pt>
                <c:pt idx="23">
                  <c:v>0.17199999999999999</c:v>
                </c:pt>
                <c:pt idx="24">
                  <c:v>0.17199999999999999</c:v>
                </c:pt>
              </c:numCache>
            </c:numRef>
          </c:val>
          <c:smooth val="0"/>
          <c:extLst>
            <c:ext xmlns:c16="http://schemas.microsoft.com/office/drawing/2014/chart" uri="{C3380CC4-5D6E-409C-BE32-E72D297353CC}">
              <c16:uniqueId val="{00000001-C7F2-4D41-B857-87E651B7BF9A}"/>
            </c:ext>
          </c:extLst>
        </c:ser>
        <c:ser>
          <c:idx val="2"/>
          <c:order val="2"/>
          <c:tx>
            <c:v>BKA p</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np'!$G$39:$G$63</c:f>
              <c:numCache>
                <c:formatCode>0.000</c:formatCode>
                <c:ptCount val="25"/>
                <c:pt idx="0">
                  <c:v>0.33210899999999999</c:v>
                </c:pt>
                <c:pt idx="1">
                  <c:v>0.33210899999999999</c:v>
                </c:pt>
                <c:pt idx="2">
                  <c:v>0.33210899999999999</c:v>
                </c:pt>
                <c:pt idx="3">
                  <c:v>0.33210899999999999</c:v>
                </c:pt>
                <c:pt idx="4">
                  <c:v>0.33210899999999999</c:v>
                </c:pt>
                <c:pt idx="5">
                  <c:v>0.33210899999999999</c:v>
                </c:pt>
                <c:pt idx="6">
                  <c:v>0.33210899999999999</c:v>
                </c:pt>
                <c:pt idx="7">
                  <c:v>0.33210899999999999</c:v>
                </c:pt>
                <c:pt idx="8">
                  <c:v>0.33210899999999999</c:v>
                </c:pt>
                <c:pt idx="9">
                  <c:v>0.33210899999999999</c:v>
                </c:pt>
                <c:pt idx="10">
                  <c:v>0.33210899999999999</c:v>
                </c:pt>
                <c:pt idx="11">
                  <c:v>0.33210899999999999</c:v>
                </c:pt>
                <c:pt idx="12">
                  <c:v>0.33210899999999999</c:v>
                </c:pt>
                <c:pt idx="13">
                  <c:v>0.33210899999999999</c:v>
                </c:pt>
                <c:pt idx="14">
                  <c:v>0.33210899999999999</c:v>
                </c:pt>
                <c:pt idx="15">
                  <c:v>0.33210899999999999</c:v>
                </c:pt>
                <c:pt idx="16">
                  <c:v>0.33210899999999999</c:v>
                </c:pt>
                <c:pt idx="17">
                  <c:v>0.33210899999999999</c:v>
                </c:pt>
                <c:pt idx="18">
                  <c:v>0.33210899999999999</c:v>
                </c:pt>
                <c:pt idx="19">
                  <c:v>0.33210899999999999</c:v>
                </c:pt>
                <c:pt idx="20">
                  <c:v>0.33210899999999999</c:v>
                </c:pt>
                <c:pt idx="21">
                  <c:v>0.33210899999999999</c:v>
                </c:pt>
                <c:pt idx="22">
                  <c:v>0.33210899999999999</c:v>
                </c:pt>
                <c:pt idx="23">
                  <c:v>0.33210899999999999</c:v>
                </c:pt>
                <c:pt idx="24">
                  <c:v>0.33210899999999999</c:v>
                </c:pt>
              </c:numCache>
            </c:numRef>
          </c:val>
          <c:smooth val="0"/>
          <c:extLst>
            <c:ext xmlns:c16="http://schemas.microsoft.com/office/drawing/2014/chart" uri="{C3380CC4-5D6E-409C-BE32-E72D297353CC}">
              <c16:uniqueId val="{00000002-C7F2-4D41-B857-87E651B7BF9A}"/>
            </c:ext>
          </c:extLst>
        </c:ser>
        <c:ser>
          <c:idx val="3"/>
          <c:order val="3"/>
          <c:tx>
            <c:v>BKB p</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p dan np'!$H$39:$H$63</c:f>
              <c:numCache>
                <c:formatCode>0.000</c:formatCode>
                <c:ptCount val="25"/>
                <c:pt idx="0">
                  <c:v>1.1891000000000001E-2</c:v>
                </c:pt>
                <c:pt idx="1">
                  <c:v>1.1891000000000001E-2</c:v>
                </c:pt>
                <c:pt idx="2">
                  <c:v>1.1891000000000001E-2</c:v>
                </c:pt>
                <c:pt idx="3">
                  <c:v>1.1891000000000001E-2</c:v>
                </c:pt>
                <c:pt idx="4">
                  <c:v>1.1891000000000001E-2</c:v>
                </c:pt>
                <c:pt idx="5">
                  <c:v>1.1891000000000001E-2</c:v>
                </c:pt>
                <c:pt idx="6">
                  <c:v>1.1891000000000001E-2</c:v>
                </c:pt>
                <c:pt idx="7">
                  <c:v>1.1891000000000001E-2</c:v>
                </c:pt>
                <c:pt idx="8">
                  <c:v>1.1891000000000001E-2</c:v>
                </c:pt>
                <c:pt idx="9">
                  <c:v>1.1891000000000001E-2</c:v>
                </c:pt>
                <c:pt idx="10">
                  <c:v>1.1891000000000001E-2</c:v>
                </c:pt>
                <c:pt idx="11">
                  <c:v>1.1891000000000001E-2</c:v>
                </c:pt>
                <c:pt idx="12">
                  <c:v>1.1891000000000001E-2</c:v>
                </c:pt>
                <c:pt idx="13">
                  <c:v>1.1891000000000001E-2</c:v>
                </c:pt>
                <c:pt idx="14">
                  <c:v>1.1891000000000001E-2</c:v>
                </c:pt>
                <c:pt idx="15">
                  <c:v>1.1891000000000001E-2</c:v>
                </c:pt>
                <c:pt idx="16">
                  <c:v>1.1891000000000001E-2</c:v>
                </c:pt>
                <c:pt idx="17">
                  <c:v>1.1891000000000001E-2</c:v>
                </c:pt>
                <c:pt idx="18">
                  <c:v>1.1891000000000001E-2</c:v>
                </c:pt>
                <c:pt idx="19">
                  <c:v>1.1891000000000001E-2</c:v>
                </c:pt>
                <c:pt idx="20">
                  <c:v>1.1891000000000001E-2</c:v>
                </c:pt>
                <c:pt idx="21">
                  <c:v>1.1891000000000001E-2</c:v>
                </c:pt>
                <c:pt idx="22">
                  <c:v>1.1891000000000001E-2</c:v>
                </c:pt>
                <c:pt idx="23">
                  <c:v>1.1891000000000001E-2</c:v>
                </c:pt>
                <c:pt idx="24">
                  <c:v>1.1891000000000001E-2</c:v>
                </c:pt>
              </c:numCache>
            </c:numRef>
          </c:val>
          <c:smooth val="0"/>
          <c:extLst>
            <c:ext xmlns:c16="http://schemas.microsoft.com/office/drawing/2014/chart" uri="{C3380CC4-5D6E-409C-BE32-E72D297353CC}">
              <c16:uniqueId val="{00000003-C7F2-4D41-B857-87E651B7BF9A}"/>
            </c:ext>
          </c:extLst>
        </c:ser>
        <c:dLbls>
          <c:showLegendKey val="0"/>
          <c:showVal val="0"/>
          <c:showCatName val="0"/>
          <c:showSerName val="0"/>
          <c:showPercent val="0"/>
          <c:showBubbleSize val="0"/>
        </c:dLbls>
        <c:hiLowLines>
          <c:spPr>
            <a:ln w="0">
              <a:noFill/>
            </a:ln>
          </c:spPr>
        </c:hiLowLines>
        <c:marker val="1"/>
        <c:smooth val="0"/>
        <c:axId val="85474932"/>
        <c:axId val="20457407"/>
      </c:lineChart>
      <c:catAx>
        <c:axId val="85474932"/>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20457407"/>
        <c:crosses val="autoZero"/>
        <c:auto val="1"/>
        <c:lblAlgn val="ctr"/>
        <c:lblOffset val="100"/>
        <c:noMultiLvlLbl val="0"/>
      </c:catAx>
      <c:valAx>
        <c:axId val="20457407"/>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85474932"/>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c Chart</a:t>
            </a:r>
          </a:p>
        </c:rich>
      </c:tx>
      <c:overlay val="0"/>
      <c:spPr>
        <a:noFill/>
        <a:ln w="0">
          <a:noFill/>
        </a:ln>
      </c:spPr>
    </c:title>
    <c:autoTitleDeleted val="0"/>
    <c:plotArea>
      <c:layout/>
      <c:lineChart>
        <c:grouping val="standard"/>
        <c:varyColors val="0"/>
        <c:ser>
          <c:idx val="0"/>
          <c:order val="0"/>
          <c:tx>
            <c:v>Jumlah Cacat (c)</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c'!$C$36:$C$60</c:f>
              <c:numCache>
                <c:formatCode>0</c:formatCode>
                <c:ptCount val="25"/>
                <c:pt idx="0">
                  <c:v>5</c:v>
                </c:pt>
                <c:pt idx="1">
                  <c:v>6</c:v>
                </c:pt>
                <c:pt idx="2">
                  <c:v>10</c:v>
                </c:pt>
                <c:pt idx="3">
                  <c:v>8</c:v>
                </c:pt>
                <c:pt idx="4">
                  <c:v>8</c:v>
                </c:pt>
                <c:pt idx="5">
                  <c:v>5</c:v>
                </c:pt>
                <c:pt idx="6">
                  <c:v>7</c:v>
                </c:pt>
                <c:pt idx="7">
                  <c:v>12</c:v>
                </c:pt>
                <c:pt idx="8">
                  <c:v>8</c:v>
                </c:pt>
                <c:pt idx="9">
                  <c:v>7</c:v>
                </c:pt>
                <c:pt idx="10">
                  <c:v>5</c:v>
                </c:pt>
                <c:pt idx="11">
                  <c:v>15</c:v>
                </c:pt>
                <c:pt idx="12">
                  <c:v>5</c:v>
                </c:pt>
                <c:pt idx="13">
                  <c:v>14</c:v>
                </c:pt>
                <c:pt idx="14">
                  <c:v>11</c:v>
                </c:pt>
                <c:pt idx="15">
                  <c:v>11</c:v>
                </c:pt>
                <c:pt idx="16">
                  <c:v>5</c:v>
                </c:pt>
                <c:pt idx="17">
                  <c:v>7</c:v>
                </c:pt>
                <c:pt idx="18">
                  <c:v>15</c:v>
                </c:pt>
                <c:pt idx="19">
                  <c:v>5</c:v>
                </c:pt>
                <c:pt idx="20">
                  <c:v>6</c:v>
                </c:pt>
                <c:pt idx="21">
                  <c:v>15</c:v>
                </c:pt>
                <c:pt idx="22">
                  <c:v>6</c:v>
                </c:pt>
                <c:pt idx="23">
                  <c:v>12</c:v>
                </c:pt>
                <c:pt idx="24">
                  <c:v>8</c:v>
                </c:pt>
              </c:numCache>
            </c:numRef>
          </c:val>
          <c:smooth val="0"/>
          <c:extLst>
            <c:ext xmlns:c16="http://schemas.microsoft.com/office/drawing/2014/chart" uri="{C3380CC4-5D6E-409C-BE32-E72D297353CC}">
              <c16:uniqueId val="{00000000-6A6C-42C5-BDC5-A733A4C8E42B}"/>
            </c:ext>
          </c:extLst>
        </c:ser>
        <c:ser>
          <c:idx val="1"/>
          <c:order val="1"/>
          <c:tx>
            <c:v>GT c</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c'!$D$36:$D$60</c:f>
              <c:numCache>
                <c:formatCode>0.000</c:formatCode>
                <c:ptCount val="25"/>
                <c:pt idx="0">
                  <c:v>8.64</c:v>
                </c:pt>
                <c:pt idx="1">
                  <c:v>8.64</c:v>
                </c:pt>
                <c:pt idx="2">
                  <c:v>8.64</c:v>
                </c:pt>
                <c:pt idx="3">
                  <c:v>8.64</c:v>
                </c:pt>
                <c:pt idx="4">
                  <c:v>8.64</c:v>
                </c:pt>
                <c:pt idx="5">
                  <c:v>8.64</c:v>
                </c:pt>
                <c:pt idx="6">
                  <c:v>8.64</c:v>
                </c:pt>
                <c:pt idx="7">
                  <c:v>8.64</c:v>
                </c:pt>
                <c:pt idx="8">
                  <c:v>8.64</c:v>
                </c:pt>
                <c:pt idx="9">
                  <c:v>8.64</c:v>
                </c:pt>
                <c:pt idx="10">
                  <c:v>8.64</c:v>
                </c:pt>
                <c:pt idx="11">
                  <c:v>8.64</c:v>
                </c:pt>
                <c:pt idx="12">
                  <c:v>8.64</c:v>
                </c:pt>
                <c:pt idx="13">
                  <c:v>8.64</c:v>
                </c:pt>
                <c:pt idx="14">
                  <c:v>8.64</c:v>
                </c:pt>
                <c:pt idx="15">
                  <c:v>8.64</c:v>
                </c:pt>
                <c:pt idx="16">
                  <c:v>8.64</c:v>
                </c:pt>
                <c:pt idx="17">
                  <c:v>8.64</c:v>
                </c:pt>
                <c:pt idx="18">
                  <c:v>8.64</c:v>
                </c:pt>
                <c:pt idx="19">
                  <c:v>8.64</c:v>
                </c:pt>
                <c:pt idx="20">
                  <c:v>8.64</c:v>
                </c:pt>
                <c:pt idx="21">
                  <c:v>8.64</c:v>
                </c:pt>
                <c:pt idx="22">
                  <c:v>8.64</c:v>
                </c:pt>
                <c:pt idx="23">
                  <c:v>8.64</c:v>
                </c:pt>
                <c:pt idx="24">
                  <c:v>8.64</c:v>
                </c:pt>
              </c:numCache>
            </c:numRef>
          </c:val>
          <c:smooth val="0"/>
          <c:extLst>
            <c:ext xmlns:c16="http://schemas.microsoft.com/office/drawing/2014/chart" uri="{C3380CC4-5D6E-409C-BE32-E72D297353CC}">
              <c16:uniqueId val="{00000001-6A6C-42C5-BDC5-A733A4C8E42B}"/>
            </c:ext>
          </c:extLst>
        </c:ser>
        <c:ser>
          <c:idx val="2"/>
          <c:order val="2"/>
          <c:tx>
            <c:v>BKA c</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c'!$E$36:$E$60</c:f>
              <c:numCache>
                <c:formatCode>0.000</c:formatCode>
                <c:ptCount val="25"/>
                <c:pt idx="0">
                  <c:v>17.458162999999999</c:v>
                </c:pt>
                <c:pt idx="1">
                  <c:v>17.458162999999999</c:v>
                </c:pt>
                <c:pt idx="2">
                  <c:v>17.458162999999999</c:v>
                </c:pt>
                <c:pt idx="3">
                  <c:v>17.458162999999999</c:v>
                </c:pt>
                <c:pt idx="4">
                  <c:v>17.458162999999999</c:v>
                </c:pt>
                <c:pt idx="5">
                  <c:v>17.458162999999999</c:v>
                </c:pt>
                <c:pt idx="6">
                  <c:v>17.458162999999999</c:v>
                </c:pt>
                <c:pt idx="7">
                  <c:v>17.458162999999999</c:v>
                </c:pt>
                <c:pt idx="8">
                  <c:v>17.458162999999999</c:v>
                </c:pt>
                <c:pt idx="9">
                  <c:v>17.458162999999999</c:v>
                </c:pt>
                <c:pt idx="10">
                  <c:v>17.458162999999999</c:v>
                </c:pt>
                <c:pt idx="11">
                  <c:v>17.458162999999999</c:v>
                </c:pt>
                <c:pt idx="12">
                  <c:v>17.458162999999999</c:v>
                </c:pt>
                <c:pt idx="13">
                  <c:v>17.458162999999999</c:v>
                </c:pt>
                <c:pt idx="14">
                  <c:v>17.458162999999999</c:v>
                </c:pt>
                <c:pt idx="15">
                  <c:v>17.458162999999999</c:v>
                </c:pt>
                <c:pt idx="16">
                  <c:v>17.458162999999999</c:v>
                </c:pt>
                <c:pt idx="17">
                  <c:v>17.458162999999999</c:v>
                </c:pt>
                <c:pt idx="18">
                  <c:v>17.458162999999999</c:v>
                </c:pt>
                <c:pt idx="19">
                  <c:v>17.458162999999999</c:v>
                </c:pt>
                <c:pt idx="20">
                  <c:v>17.458162999999999</c:v>
                </c:pt>
                <c:pt idx="21">
                  <c:v>17.458162999999999</c:v>
                </c:pt>
                <c:pt idx="22">
                  <c:v>17.458162999999999</c:v>
                </c:pt>
                <c:pt idx="23">
                  <c:v>17.458162999999999</c:v>
                </c:pt>
                <c:pt idx="24">
                  <c:v>17.458162999999999</c:v>
                </c:pt>
              </c:numCache>
            </c:numRef>
          </c:val>
          <c:smooth val="0"/>
          <c:extLst>
            <c:ext xmlns:c16="http://schemas.microsoft.com/office/drawing/2014/chart" uri="{C3380CC4-5D6E-409C-BE32-E72D297353CC}">
              <c16:uniqueId val="{00000002-6A6C-42C5-BDC5-A733A4C8E42B}"/>
            </c:ext>
          </c:extLst>
        </c:ser>
        <c:ser>
          <c:idx val="3"/>
          <c:order val="3"/>
          <c:tx>
            <c:v>BKB c</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c'!$F$36:$F$60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6A6C-42C5-BDC5-A733A4C8E42B}"/>
            </c:ext>
          </c:extLst>
        </c:ser>
        <c:dLbls>
          <c:showLegendKey val="0"/>
          <c:showVal val="0"/>
          <c:showCatName val="0"/>
          <c:showSerName val="0"/>
          <c:showPercent val="0"/>
          <c:showBubbleSize val="0"/>
        </c:dLbls>
        <c:hiLowLines>
          <c:spPr>
            <a:ln w="0">
              <a:noFill/>
            </a:ln>
          </c:spPr>
        </c:hiLowLines>
        <c:marker val="1"/>
        <c:smooth val="0"/>
        <c:axId val="76172719"/>
        <c:axId val="19639783"/>
      </c:lineChart>
      <c:catAx>
        <c:axId val="76172719"/>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9639783"/>
        <c:crosses val="autoZero"/>
        <c:auto val="1"/>
        <c:lblAlgn val="ctr"/>
        <c:lblOffset val="100"/>
        <c:noMultiLvlLbl val="0"/>
      </c:catAx>
      <c:valAx>
        <c:axId val="19639783"/>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6172719"/>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u Chart</a:t>
            </a:r>
          </a:p>
        </c:rich>
      </c:tx>
      <c:overlay val="0"/>
      <c:spPr>
        <a:noFill/>
        <a:ln w="0">
          <a:noFill/>
        </a:ln>
      </c:spPr>
    </c:title>
    <c:autoTitleDeleted val="0"/>
    <c:plotArea>
      <c:layout/>
      <c:lineChart>
        <c:grouping val="standard"/>
        <c:varyColors val="0"/>
        <c:ser>
          <c:idx val="0"/>
          <c:order val="0"/>
          <c:tx>
            <c:v>Jumlah Cacat/unit (u)</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u'!$D$36:$D$60</c:f>
              <c:numCache>
                <c:formatCode>0.000</c:formatCode>
                <c:ptCount val="25"/>
                <c:pt idx="0">
                  <c:v>0.12</c:v>
                </c:pt>
                <c:pt idx="1">
                  <c:v>7.0000000000000007E-2</c:v>
                </c:pt>
                <c:pt idx="2">
                  <c:v>0.05</c:v>
                </c:pt>
                <c:pt idx="3">
                  <c:v>0.12</c:v>
                </c:pt>
                <c:pt idx="4">
                  <c:v>0.04</c:v>
                </c:pt>
                <c:pt idx="5">
                  <c:v>0.03</c:v>
                </c:pt>
                <c:pt idx="6">
                  <c:v>0.12</c:v>
                </c:pt>
                <c:pt idx="7">
                  <c:v>0.12</c:v>
                </c:pt>
                <c:pt idx="8">
                  <c:v>0.12</c:v>
                </c:pt>
                <c:pt idx="9">
                  <c:v>0.05</c:v>
                </c:pt>
                <c:pt idx="10">
                  <c:v>0.04</c:v>
                </c:pt>
                <c:pt idx="11">
                  <c:v>7.0000000000000007E-2</c:v>
                </c:pt>
                <c:pt idx="12">
                  <c:v>0.09</c:v>
                </c:pt>
                <c:pt idx="13">
                  <c:v>0.12</c:v>
                </c:pt>
                <c:pt idx="14">
                  <c:v>7.0000000000000007E-2</c:v>
                </c:pt>
                <c:pt idx="15">
                  <c:v>0.11</c:v>
                </c:pt>
                <c:pt idx="16">
                  <c:v>0.08</c:v>
                </c:pt>
                <c:pt idx="17">
                  <c:v>0.05</c:v>
                </c:pt>
                <c:pt idx="18">
                  <c:v>0.12</c:v>
                </c:pt>
                <c:pt idx="19">
                  <c:v>0.11</c:v>
                </c:pt>
                <c:pt idx="20">
                  <c:v>7.0000000000000007E-2</c:v>
                </c:pt>
                <c:pt idx="21">
                  <c:v>0.14000000000000001</c:v>
                </c:pt>
                <c:pt idx="22">
                  <c:v>0.08</c:v>
                </c:pt>
                <c:pt idx="23">
                  <c:v>0.12</c:v>
                </c:pt>
                <c:pt idx="24">
                  <c:v>0.15</c:v>
                </c:pt>
              </c:numCache>
            </c:numRef>
          </c:val>
          <c:smooth val="0"/>
          <c:extLst>
            <c:ext xmlns:c16="http://schemas.microsoft.com/office/drawing/2014/chart" uri="{C3380CC4-5D6E-409C-BE32-E72D297353CC}">
              <c16:uniqueId val="{00000000-BC45-415A-8318-6C83B2ED7365}"/>
            </c:ext>
          </c:extLst>
        </c:ser>
        <c:ser>
          <c:idx val="1"/>
          <c:order val="1"/>
          <c:tx>
            <c:v>GT u</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u'!$E$36:$E$60</c:f>
              <c:numCache>
                <c:formatCode>0.000</c:formatCode>
                <c:ptCount val="25"/>
                <c:pt idx="0">
                  <c:v>9.0399999999999994E-2</c:v>
                </c:pt>
                <c:pt idx="1">
                  <c:v>9.0399999999999994E-2</c:v>
                </c:pt>
                <c:pt idx="2">
                  <c:v>9.0399999999999994E-2</c:v>
                </c:pt>
                <c:pt idx="3">
                  <c:v>9.0399999999999994E-2</c:v>
                </c:pt>
                <c:pt idx="4">
                  <c:v>9.0399999999999994E-2</c:v>
                </c:pt>
                <c:pt idx="5">
                  <c:v>9.0399999999999994E-2</c:v>
                </c:pt>
                <c:pt idx="6">
                  <c:v>9.0399999999999994E-2</c:v>
                </c:pt>
                <c:pt idx="7">
                  <c:v>9.0399999999999994E-2</c:v>
                </c:pt>
                <c:pt idx="8">
                  <c:v>9.0399999999999994E-2</c:v>
                </c:pt>
                <c:pt idx="9">
                  <c:v>9.0399999999999994E-2</c:v>
                </c:pt>
                <c:pt idx="10">
                  <c:v>9.0399999999999994E-2</c:v>
                </c:pt>
                <c:pt idx="11">
                  <c:v>9.0399999999999994E-2</c:v>
                </c:pt>
                <c:pt idx="12">
                  <c:v>9.0399999999999994E-2</c:v>
                </c:pt>
                <c:pt idx="13">
                  <c:v>9.0399999999999994E-2</c:v>
                </c:pt>
                <c:pt idx="14">
                  <c:v>9.0399999999999994E-2</c:v>
                </c:pt>
                <c:pt idx="15">
                  <c:v>9.0399999999999994E-2</c:v>
                </c:pt>
                <c:pt idx="16">
                  <c:v>9.0399999999999994E-2</c:v>
                </c:pt>
                <c:pt idx="17">
                  <c:v>9.0399999999999994E-2</c:v>
                </c:pt>
                <c:pt idx="18">
                  <c:v>9.0399999999999994E-2</c:v>
                </c:pt>
                <c:pt idx="19">
                  <c:v>9.0399999999999994E-2</c:v>
                </c:pt>
                <c:pt idx="20">
                  <c:v>9.0399999999999994E-2</c:v>
                </c:pt>
                <c:pt idx="21">
                  <c:v>9.0399999999999994E-2</c:v>
                </c:pt>
                <c:pt idx="22">
                  <c:v>9.0399999999999994E-2</c:v>
                </c:pt>
                <c:pt idx="23">
                  <c:v>9.0399999999999994E-2</c:v>
                </c:pt>
                <c:pt idx="24">
                  <c:v>9.0399999999999994E-2</c:v>
                </c:pt>
              </c:numCache>
            </c:numRef>
          </c:val>
          <c:smooth val="0"/>
          <c:extLst>
            <c:ext xmlns:c16="http://schemas.microsoft.com/office/drawing/2014/chart" uri="{C3380CC4-5D6E-409C-BE32-E72D297353CC}">
              <c16:uniqueId val="{00000001-BC45-415A-8318-6C83B2ED7365}"/>
            </c:ext>
          </c:extLst>
        </c:ser>
        <c:ser>
          <c:idx val="2"/>
          <c:order val="2"/>
          <c:tx>
            <c:v>BKA u</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u'!$F$36:$F$60</c:f>
              <c:numCache>
                <c:formatCode>0.000</c:formatCode>
                <c:ptCount val="25"/>
                <c:pt idx="0">
                  <c:v>0.18060000000000001</c:v>
                </c:pt>
                <c:pt idx="1">
                  <c:v>0.18060000000000001</c:v>
                </c:pt>
                <c:pt idx="2">
                  <c:v>0.18060000000000001</c:v>
                </c:pt>
                <c:pt idx="3">
                  <c:v>0.18060000000000001</c:v>
                </c:pt>
                <c:pt idx="4">
                  <c:v>0.18060000000000001</c:v>
                </c:pt>
                <c:pt idx="5">
                  <c:v>0.18060000000000001</c:v>
                </c:pt>
                <c:pt idx="6">
                  <c:v>0.18060000000000001</c:v>
                </c:pt>
                <c:pt idx="7">
                  <c:v>0.18060000000000001</c:v>
                </c:pt>
                <c:pt idx="8">
                  <c:v>0.18060000000000001</c:v>
                </c:pt>
                <c:pt idx="9">
                  <c:v>0.18060000000000001</c:v>
                </c:pt>
                <c:pt idx="10">
                  <c:v>0.18060000000000001</c:v>
                </c:pt>
                <c:pt idx="11">
                  <c:v>0.18060000000000001</c:v>
                </c:pt>
                <c:pt idx="12">
                  <c:v>0.18060000000000001</c:v>
                </c:pt>
                <c:pt idx="13">
                  <c:v>0.18060000000000001</c:v>
                </c:pt>
                <c:pt idx="14">
                  <c:v>0.18060000000000001</c:v>
                </c:pt>
                <c:pt idx="15">
                  <c:v>0.18060000000000001</c:v>
                </c:pt>
                <c:pt idx="16">
                  <c:v>0.18060000000000001</c:v>
                </c:pt>
                <c:pt idx="17">
                  <c:v>0.18060000000000001</c:v>
                </c:pt>
                <c:pt idx="18">
                  <c:v>0.18060000000000001</c:v>
                </c:pt>
                <c:pt idx="19">
                  <c:v>0.18060000000000001</c:v>
                </c:pt>
                <c:pt idx="20">
                  <c:v>0.18060000000000001</c:v>
                </c:pt>
                <c:pt idx="21">
                  <c:v>0.18060000000000001</c:v>
                </c:pt>
                <c:pt idx="22">
                  <c:v>0.18060000000000001</c:v>
                </c:pt>
                <c:pt idx="23">
                  <c:v>0.18060000000000001</c:v>
                </c:pt>
                <c:pt idx="24">
                  <c:v>0.18060000000000001</c:v>
                </c:pt>
              </c:numCache>
            </c:numRef>
          </c:val>
          <c:smooth val="0"/>
          <c:extLst>
            <c:ext xmlns:c16="http://schemas.microsoft.com/office/drawing/2014/chart" uri="{C3380CC4-5D6E-409C-BE32-E72D297353CC}">
              <c16:uniqueId val="{00000002-BC45-415A-8318-6C83B2ED7365}"/>
            </c:ext>
          </c:extLst>
        </c:ser>
        <c:ser>
          <c:idx val="3"/>
          <c:order val="3"/>
          <c:tx>
            <c:v>BKB u</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u'!$G$36:$G$60</c:f>
              <c:numCache>
                <c:formatCode>0.000</c:formatCode>
                <c:ptCount val="25"/>
                <c:pt idx="0">
                  <c:v>2.0000000000000001E-4</c:v>
                </c:pt>
                <c:pt idx="1">
                  <c:v>2.0000000000000001E-4</c:v>
                </c:pt>
                <c:pt idx="2">
                  <c:v>2.0000000000000001E-4</c:v>
                </c:pt>
                <c:pt idx="3">
                  <c:v>2.0000000000000001E-4</c:v>
                </c:pt>
                <c:pt idx="4">
                  <c:v>2.0000000000000001E-4</c:v>
                </c:pt>
                <c:pt idx="5">
                  <c:v>2.0000000000000001E-4</c:v>
                </c:pt>
                <c:pt idx="6">
                  <c:v>2.0000000000000001E-4</c:v>
                </c:pt>
                <c:pt idx="7">
                  <c:v>2.0000000000000001E-4</c:v>
                </c:pt>
                <c:pt idx="8">
                  <c:v>2.0000000000000001E-4</c:v>
                </c:pt>
                <c:pt idx="9">
                  <c:v>2.0000000000000001E-4</c:v>
                </c:pt>
                <c:pt idx="10">
                  <c:v>2.0000000000000001E-4</c:v>
                </c:pt>
                <c:pt idx="11">
                  <c:v>2.0000000000000001E-4</c:v>
                </c:pt>
                <c:pt idx="12">
                  <c:v>2.0000000000000001E-4</c:v>
                </c:pt>
                <c:pt idx="13">
                  <c:v>2.0000000000000001E-4</c:v>
                </c:pt>
                <c:pt idx="14">
                  <c:v>2.0000000000000001E-4</c:v>
                </c:pt>
                <c:pt idx="15">
                  <c:v>2.0000000000000001E-4</c:v>
                </c:pt>
                <c:pt idx="16">
                  <c:v>2.0000000000000001E-4</c:v>
                </c:pt>
                <c:pt idx="17">
                  <c:v>2.0000000000000001E-4</c:v>
                </c:pt>
                <c:pt idx="18">
                  <c:v>2.0000000000000001E-4</c:v>
                </c:pt>
                <c:pt idx="19">
                  <c:v>2.0000000000000001E-4</c:v>
                </c:pt>
                <c:pt idx="20">
                  <c:v>2.0000000000000001E-4</c:v>
                </c:pt>
                <c:pt idx="21">
                  <c:v>2.0000000000000001E-4</c:v>
                </c:pt>
                <c:pt idx="22">
                  <c:v>2.0000000000000001E-4</c:v>
                </c:pt>
                <c:pt idx="23">
                  <c:v>2.0000000000000001E-4</c:v>
                </c:pt>
                <c:pt idx="24">
                  <c:v>2.0000000000000001E-4</c:v>
                </c:pt>
              </c:numCache>
            </c:numRef>
          </c:val>
          <c:smooth val="0"/>
          <c:extLst>
            <c:ext xmlns:c16="http://schemas.microsoft.com/office/drawing/2014/chart" uri="{C3380CC4-5D6E-409C-BE32-E72D297353CC}">
              <c16:uniqueId val="{00000003-BC45-415A-8318-6C83B2ED7365}"/>
            </c:ext>
          </c:extLst>
        </c:ser>
        <c:dLbls>
          <c:showLegendKey val="0"/>
          <c:showVal val="0"/>
          <c:showCatName val="0"/>
          <c:showSerName val="0"/>
          <c:showPercent val="0"/>
          <c:showBubbleSize val="0"/>
        </c:dLbls>
        <c:hiLowLines>
          <c:spPr>
            <a:ln w="0">
              <a:noFill/>
            </a:ln>
          </c:spPr>
        </c:hiLowLines>
        <c:marker val="1"/>
        <c:smooth val="0"/>
        <c:axId val="62984363"/>
        <c:axId val="26777197"/>
      </c:lineChart>
      <c:catAx>
        <c:axId val="62984363"/>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26777197"/>
        <c:crosses val="autoZero"/>
        <c:auto val="1"/>
        <c:lblAlgn val="ctr"/>
        <c:lblOffset val="100"/>
        <c:noMultiLvlLbl val="0"/>
      </c:catAx>
      <c:valAx>
        <c:axId val="26777197"/>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62984363"/>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cusum Chart</a:t>
            </a:r>
          </a:p>
        </c:rich>
      </c:tx>
      <c:overlay val="0"/>
      <c:spPr>
        <a:noFill/>
        <a:ln w="0">
          <a:noFill/>
        </a:ln>
      </c:spPr>
    </c:title>
    <c:autoTitleDeleted val="0"/>
    <c:plotArea>
      <c:layout>
        <c:manualLayout>
          <c:xMode val="edge"/>
          <c:yMode val="edge"/>
          <c:x val="7.2611782289201704E-2"/>
          <c:y val="0.16829942225571501"/>
          <c:w val="0.89525470170631505"/>
          <c:h val="0.694423511680482"/>
        </c:manualLayout>
      </c:layout>
      <c:lineChart>
        <c:grouping val="standard"/>
        <c:varyColors val="0"/>
        <c:ser>
          <c:idx val="0"/>
          <c:order val="0"/>
          <c:tx>
            <c:v>H</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cusum'!$K$28:$K$57</c:f>
              <c:numCache>
                <c:formatCode>0.000</c:formatCode>
                <c:ptCount val="3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numCache>
            </c:numRef>
          </c:val>
          <c:smooth val="0"/>
          <c:extLst>
            <c:ext xmlns:c16="http://schemas.microsoft.com/office/drawing/2014/chart" uri="{C3380CC4-5D6E-409C-BE32-E72D297353CC}">
              <c16:uniqueId val="{00000000-5825-4745-B0F3-87C79E931DDC}"/>
            </c:ext>
          </c:extLst>
        </c:ser>
        <c:ser>
          <c:idx val="1"/>
          <c:order val="1"/>
          <c:tx>
            <c:v>-H</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cusum'!$L$28:$L$57</c:f>
              <c:numCache>
                <c:formatCode>0.000</c:formatCode>
                <c:ptCount val="3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numCache>
            </c:numRef>
          </c:val>
          <c:smooth val="0"/>
          <c:extLst>
            <c:ext xmlns:c16="http://schemas.microsoft.com/office/drawing/2014/chart" uri="{C3380CC4-5D6E-409C-BE32-E72D297353CC}">
              <c16:uniqueId val="{00000001-5825-4745-B0F3-87C79E931DDC}"/>
            </c:ext>
          </c:extLst>
        </c:ser>
        <c:ser>
          <c:idx val="2"/>
          <c:order val="2"/>
          <c:tx>
            <c:v>Ci+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cusum'!$E$28:$E$57</c:f>
              <c:numCache>
                <c:formatCode>0.000</c:formatCode>
                <c:ptCount val="30"/>
                <c:pt idx="0">
                  <c:v>0</c:v>
                </c:pt>
                <c:pt idx="1">
                  <c:v>0</c:v>
                </c:pt>
                <c:pt idx="2">
                  <c:v>0</c:v>
                </c:pt>
                <c:pt idx="3">
                  <c:v>0</c:v>
                </c:pt>
                <c:pt idx="4">
                  <c:v>0.15</c:v>
                </c:pt>
                <c:pt idx="5">
                  <c:v>0</c:v>
                </c:pt>
                <c:pt idx="6">
                  <c:v>0.15</c:v>
                </c:pt>
                <c:pt idx="7">
                  <c:v>0.3</c:v>
                </c:pt>
                <c:pt idx="8">
                  <c:v>0.15</c:v>
                </c:pt>
                <c:pt idx="9">
                  <c:v>0</c:v>
                </c:pt>
                <c:pt idx="10">
                  <c:v>0</c:v>
                </c:pt>
                <c:pt idx="11">
                  <c:v>0</c:v>
                </c:pt>
                <c:pt idx="12">
                  <c:v>0.25</c:v>
                </c:pt>
                <c:pt idx="13">
                  <c:v>0.4</c:v>
                </c:pt>
                <c:pt idx="14">
                  <c:v>0.15</c:v>
                </c:pt>
                <c:pt idx="15">
                  <c:v>0.2</c:v>
                </c:pt>
                <c:pt idx="16">
                  <c:v>0</c:v>
                </c:pt>
                <c:pt idx="17">
                  <c:v>0</c:v>
                </c:pt>
                <c:pt idx="18">
                  <c:v>0.15</c:v>
                </c:pt>
                <c:pt idx="19">
                  <c:v>0.1</c:v>
                </c:pt>
                <c:pt idx="20">
                  <c:v>0.15</c:v>
                </c:pt>
                <c:pt idx="21">
                  <c:v>0</c:v>
                </c:pt>
                <c:pt idx="22">
                  <c:v>0.05</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5825-4745-B0F3-87C79E931DDC}"/>
            </c:ext>
          </c:extLst>
        </c:ser>
        <c:ser>
          <c:idx val="3"/>
          <c:order val="3"/>
          <c:tx>
            <c:v>-Ci-</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cusum'!$J$28:$J$57</c:f>
              <c:numCache>
                <c:formatCode>0.000</c:formatCode>
                <c:ptCount val="30"/>
                <c:pt idx="0">
                  <c:v>-0.15</c:v>
                </c:pt>
                <c:pt idx="1">
                  <c:v>-0.2</c:v>
                </c:pt>
                <c:pt idx="2">
                  <c:v>-0.15</c:v>
                </c:pt>
                <c:pt idx="3">
                  <c:v>-0.2</c:v>
                </c:pt>
                <c:pt idx="4">
                  <c:v>0</c:v>
                </c:pt>
                <c:pt idx="5">
                  <c:v>-0.15</c:v>
                </c:pt>
                <c:pt idx="6">
                  <c:v>0</c:v>
                </c:pt>
                <c:pt idx="7">
                  <c:v>0</c:v>
                </c:pt>
                <c:pt idx="8">
                  <c:v>-0.05</c:v>
                </c:pt>
                <c:pt idx="9">
                  <c:v>-0.2</c:v>
                </c:pt>
                <c:pt idx="10">
                  <c:v>-0.35</c:v>
                </c:pt>
                <c:pt idx="11">
                  <c:v>-0.3</c:v>
                </c:pt>
                <c:pt idx="12">
                  <c:v>0</c:v>
                </c:pt>
                <c:pt idx="13">
                  <c:v>0</c:v>
                </c:pt>
                <c:pt idx="14">
                  <c:v>-0.15</c:v>
                </c:pt>
                <c:pt idx="15">
                  <c:v>0</c:v>
                </c:pt>
                <c:pt idx="16">
                  <c:v>-0.25</c:v>
                </c:pt>
                <c:pt idx="17">
                  <c:v>-0.3</c:v>
                </c:pt>
                <c:pt idx="18">
                  <c:v>-0.05</c:v>
                </c:pt>
                <c:pt idx="19">
                  <c:v>0</c:v>
                </c:pt>
                <c:pt idx="20">
                  <c:v>0</c:v>
                </c:pt>
                <c:pt idx="21">
                  <c:v>-0.25</c:v>
                </c:pt>
                <c:pt idx="22">
                  <c:v>-0.1</c:v>
                </c:pt>
                <c:pt idx="23">
                  <c:v>-0.05</c:v>
                </c:pt>
                <c:pt idx="24">
                  <c:v>-0.1</c:v>
                </c:pt>
                <c:pt idx="25">
                  <c:v>-0.15</c:v>
                </c:pt>
                <c:pt idx="26">
                  <c:v>-0.4</c:v>
                </c:pt>
                <c:pt idx="27">
                  <c:v>-0.75</c:v>
                </c:pt>
                <c:pt idx="28">
                  <c:v>-0.8</c:v>
                </c:pt>
                <c:pt idx="29">
                  <c:v>-1.05</c:v>
                </c:pt>
              </c:numCache>
            </c:numRef>
          </c:val>
          <c:smooth val="0"/>
          <c:extLst>
            <c:ext xmlns:c16="http://schemas.microsoft.com/office/drawing/2014/chart" uri="{C3380CC4-5D6E-409C-BE32-E72D297353CC}">
              <c16:uniqueId val="{00000003-5825-4745-B0F3-87C79E931DDC}"/>
            </c:ext>
          </c:extLst>
        </c:ser>
        <c:dLbls>
          <c:showLegendKey val="0"/>
          <c:showVal val="0"/>
          <c:showCatName val="0"/>
          <c:showSerName val="0"/>
          <c:showPercent val="0"/>
          <c:showBubbleSize val="0"/>
        </c:dLbls>
        <c:hiLowLines>
          <c:spPr>
            <a:ln w="0">
              <a:noFill/>
            </a:ln>
          </c:spPr>
        </c:hiLowLines>
        <c:marker val="1"/>
        <c:smooth val="0"/>
        <c:axId val="99395376"/>
        <c:axId val="68885290"/>
      </c:lineChart>
      <c:catAx>
        <c:axId val="99395376"/>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68885290"/>
        <c:crosses val="autoZero"/>
        <c:auto val="1"/>
        <c:lblAlgn val="ctr"/>
        <c:lblOffset val="100"/>
        <c:noMultiLvlLbl val="0"/>
      </c:catAx>
      <c:valAx>
        <c:axId val="68885290"/>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99395376"/>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EWMA Chart</a:t>
            </a:r>
          </a:p>
        </c:rich>
      </c:tx>
      <c:overlay val="0"/>
      <c:spPr>
        <a:noFill/>
        <a:ln w="0">
          <a:noFill/>
        </a:ln>
      </c:spPr>
    </c:title>
    <c:autoTitleDeleted val="0"/>
    <c:plotArea>
      <c:layout/>
      <c:lineChart>
        <c:grouping val="standard"/>
        <c:varyColors val="0"/>
        <c:ser>
          <c:idx val="0"/>
          <c:order val="0"/>
          <c:tx>
            <c:v>BKA</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EWMA'!$E$30:$E$59</c:f>
              <c:numCache>
                <c:formatCode>0.000</c:formatCode>
                <c:ptCount val="30"/>
                <c:pt idx="0">
                  <c:v>1.0026999999999999</c:v>
                </c:pt>
                <c:pt idx="1">
                  <c:v>1.003799332704568</c:v>
                </c:pt>
                <c:pt idx="2">
                  <c:v>1.0046300835751529</c:v>
                </c:pt>
                <c:pt idx="3">
                  <c:v>1.0053198744535969</c:v>
                </c:pt>
                <c:pt idx="4">
                  <c:v>1.0059184350148003</c:v>
                </c:pt>
                <c:pt idx="5">
                  <c:v>1.0064514198709453</c:v>
                </c:pt>
                <c:pt idx="6">
                  <c:v>1.006934159218394</c:v>
                </c:pt>
                <c:pt idx="7">
                  <c:v>1.007376701230301</c:v>
                </c:pt>
                <c:pt idx="8">
                  <c:v>1.0077860675692165</c:v>
                </c:pt>
                <c:pt idx="9">
                  <c:v>1.0081674018826905</c:v>
                </c:pt>
                <c:pt idx="10">
                  <c:v>1.0085246111400146</c:v>
                </c:pt>
                <c:pt idx="11">
                  <c:v>1.0088607495216939</c:v>
                </c:pt>
                <c:pt idx="12">
                  <c:v>1.0091782610407791</c:v>
                </c:pt>
                <c:pt idx="13">
                  <c:v>1.0094791397429095</c:v>
                </c:pt>
                <c:pt idx="14">
                  <c:v>1.0097650393685493</c:v>
                </c:pt>
                <c:pt idx="15">
                  <c:v>1.0100373507257303</c:v>
                </c:pt>
                <c:pt idx="16">
                  <c:v>1.0102972577048674</c:v>
                </c:pt>
                <c:pt idx="17">
                  <c:v>1.010545778741623</c:v>
                </c:pt>
                <c:pt idx="18">
                  <c:v>1.0107837981076635</c:v>
                </c:pt>
                <c:pt idx="19">
                  <c:v>1.0110120899299122</c:v>
                </c:pt>
                <c:pt idx="20">
                  <c:v>1.0112313369081534</c:v>
                </c:pt>
                <c:pt idx="21">
                  <c:v>1.0114421450988191</c:v>
                </c:pt>
                <c:pt idx="22">
                  <c:v>1.011645055733728</c:v>
                </c:pt>
                <c:pt idx="23">
                  <c:v>1.0118405547721845</c:v>
                </c:pt>
                <c:pt idx="24">
                  <c:v>1.0120290806980654</c:v>
                </c:pt>
                <c:pt idx="25">
                  <c:v>1.0122110309421442</c:v>
                </c:pt>
                <c:pt idx="26">
                  <c:v>1.0123867672160363</c:v>
                </c:pt>
                <c:pt idx="27">
                  <c:v>1.0125566199760601</c:v>
                </c:pt>
                <c:pt idx="28">
                  <c:v>1.0127208921852695</c:v>
                </c:pt>
                <c:pt idx="29">
                  <c:v>1.0128798625046722</c:v>
                </c:pt>
              </c:numCache>
            </c:numRef>
          </c:val>
          <c:smooth val="0"/>
          <c:extLst>
            <c:ext xmlns:c16="http://schemas.microsoft.com/office/drawing/2014/chart" uri="{C3380CC4-5D6E-409C-BE32-E72D297353CC}">
              <c16:uniqueId val="{00000000-6752-41D7-8011-2AEDA3052D4A}"/>
            </c:ext>
          </c:extLst>
        </c:ser>
        <c:ser>
          <c:idx val="1"/>
          <c:order val="1"/>
          <c:tx>
            <c:v>BKB</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EWMA'!$F$30:$F$59</c:f>
              <c:numCache>
                <c:formatCode>0.000</c:formatCode>
                <c:ptCount val="30"/>
                <c:pt idx="0">
                  <c:v>0.99729999999999996</c:v>
                </c:pt>
                <c:pt idx="1">
                  <c:v>0.996200667295432</c:v>
                </c:pt>
                <c:pt idx="2">
                  <c:v>0.99536991642484718</c:v>
                </c:pt>
                <c:pt idx="3">
                  <c:v>0.99468012554640306</c:v>
                </c:pt>
                <c:pt idx="4">
                  <c:v>0.99408156498519984</c:v>
                </c:pt>
                <c:pt idx="5">
                  <c:v>0.99354858012905478</c:v>
                </c:pt>
                <c:pt idx="6">
                  <c:v>0.99306584078160609</c:v>
                </c:pt>
                <c:pt idx="7">
                  <c:v>0.99262329876969901</c:v>
                </c:pt>
                <c:pt idx="8">
                  <c:v>0.99221393243078349</c:v>
                </c:pt>
                <c:pt idx="9">
                  <c:v>0.99183259811730951</c:v>
                </c:pt>
                <c:pt idx="10">
                  <c:v>0.99147538885998543</c:v>
                </c:pt>
                <c:pt idx="11">
                  <c:v>0.99113925047830609</c:v>
                </c:pt>
                <c:pt idx="12">
                  <c:v>0.99082173895922088</c:v>
                </c:pt>
                <c:pt idx="13">
                  <c:v>0.99052086025709063</c:v>
                </c:pt>
                <c:pt idx="14">
                  <c:v>0.99023496063145067</c:v>
                </c:pt>
                <c:pt idx="15">
                  <c:v>0.98996264927426969</c:v>
                </c:pt>
                <c:pt idx="16">
                  <c:v>0.98970274229513255</c:v>
                </c:pt>
                <c:pt idx="17">
                  <c:v>0.98945422125837701</c:v>
                </c:pt>
                <c:pt idx="18">
                  <c:v>0.98921620189233639</c:v>
                </c:pt>
                <c:pt idx="19">
                  <c:v>0.98898791007008779</c:v>
                </c:pt>
                <c:pt idx="20">
                  <c:v>0.98876866309184663</c:v>
                </c:pt>
                <c:pt idx="21">
                  <c:v>0.98855785490118075</c:v>
                </c:pt>
                <c:pt idx="22">
                  <c:v>0.98835494426627202</c:v>
                </c:pt>
                <c:pt idx="23">
                  <c:v>0.98815944522781551</c:v>
                </c:pt>
                <c:pt idx="24">
                  <c:v>0.98797091930193459</c:v>
                </c:pt>
                <c:pt idx="25">
                  <c:v>0.98778896905785574</c:v>
                </c:pt>
                <c:pt idx="26">
                  <c:v>0.98761323278396373</c:v>
                </c:pt>
                <c:pt idx="27">
                  <c:v>0.98744338002393994</c:v>
                </c:pt>
                <c:pt idx="28">
                  <c:v>0.98727910781473049</c:v>
                </c:pt>
                <c:pt idx="29">
                  <c:v>0.98712013749532768</c:v>
                </c:pt>
              </c:numCache>
            </c:numRef>
          </c:val>
          <c:smooth val="0"/>
          <c:extLst>
            <c:ext xmlns:c16="http://schemas.microsoft.com/office/drawing/2014/chart" uri="{C3380CC4-5D6E-409C-BE32-E72D297353CC}">
              <c16:uniqueId val="{00000001-6752-41D7-8011-2AEDA3052D4A}"/>
            </c:ext>
          </c:extLst>
        </c:ser>
        <c:ser>
          <c:idx val="2"/>
          <c:order val="2"/>
          <c:tx>
            <c:v>EWMA, zi</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EWMA'!$D$30:$D$59</c:f>
              <c:numCache>
                <c:formatCode>0.000</c:formatCode>
                <c:ptCount val="30"/>
                <c:pt idx="0">
                  <c:v>0.998</c:v>
                </c:pt>
                <c:pt idx="1">
                  <c:v>0.99702000000000002</c:v>
                </c:pt>
                <c:pt idx="2">
                  <c:v>0.99704999999999999</c:v>
                </c:pt>
                <c:pt idx="3">
                  <c:v>0.99607900000000005</c:v>
                </c:pt>
                <c:pt idx="4">
                  <c:v>0.99811899999999998</c:v>
                </c:pt>
                <c:pt idx="5">
                  <c:v>0.99613700000000005</c:v>
                </c:pt>
                <c:pt idx="6">
                  <c:v>0.99817599999999995</c:v>
                </c:pt>
                <c:pt idx="7">
                  <c:v>1.000194</c:v>
                </c:pt>
                <c:pt idx="8">
                  <c:v>0.99919199999999997</c:v>
                </c:pt>
                <c:pt idx="9">
                  <c:v>0.99719999999999998</c:v>
                </c:pt>
                <c:pt idx="10">
                  <c:v>0.995228</c:v>
                </c:pt>
                <c:pt idx="11">
                  <c:v>0.99527600000000005</c:v>
                </c:pt>
                <c:pt idx="12">
                  <c:v>0.99832299999999996</c:v>
                </c:pt>
                <c:pt idx="13">
                  <c:v>1.00034</c:v>
                </c:pt>
                <c:pt idx="14">
                  <c:v>0.99833700000000003</c:v>
                </c:pt>
                <c:pt idx="15">
                  <c:v>0.99935300000000005</c:v>
                </c:pt>
                <c:pt idx="16">
                  <c:v>0.99636000000000002</c:v>
                </c:pt>
                <c:pt idx="17">
                  <c:v>0.99539599999999995</c:v>
                </c:pt>
                <c:pt idx="18">
                  <c:v>0.99744200000000005</c:v>
                </c:pt>
                <c:pt idx="19">
                  <c:v>0.99746800000000002</c:v>
                </c:pt>
                <c:pt idx="20">
                  <c:v>0.99849299999999996</c:v>
                </c:pt>
                <c:pt idx="21">
                  <c:v>0.99550799999999995</c:v>
                </c:pt>
                <c:pt idx="22">
                  <c:v>0.99655300000000002</c:v>
                </c:pt>
                <c:pt idx="23">
                  <c:v>0.99658800000000003</c:v>
                </c:pt>
                <c:pt idx="24">
                  <c:v>0.99562200000000001</c:v>
                </c:pt>
                <c:pt idx="25">
                  <c:v>0.99466500000000002</c:v>
                </c:pt>
                <c:pt idx="26">
                  <c:v>0.99171900000000002</c:v>
                </c:pt>
                <c:pt idx="27">
                  <c:v>0.98780199999999996</c:v>
                </c:pt>
                <c:pt idx="28">
                  <c:v>0.98692400000000002</c:v>
                </c:pt>
                <c:pt idx="29">
                  <c:v>0.98405399999999998</c:v>
                </c:pt>
              </c:numCache>
            </c:numRef>
          </c:val>
          <c:smooth val="0"/>
          <c:extLst>
            <c:ext xmlns:c16="http://schemas.microsoft.com/office/drawing/2014/chart" uri="{C3380CC4-5D6E-409C-BE32-E72D297353CC}">
              <c16:uniqueId val="{00000002-6752-41D7-8011-2AEDA3052D4A}"/>
            </c:ext>
          </c:extLst>
        </c:ser>
        <c:dLbls>
          <c:showLegendKey val="0"/>
          <c:showVal val="0"/>
          <c:showCatName val="0"/>
          <c:showSerName val="0"/>
          <c:showPercent val="0"/>
          <c:showBubbleSize val="0"/>
        </c:dLbls>
        <c:hiLowLines>
          <c:spPr>
            <a:ln w="0">
              <a:noFill/>
            </a:ln>
          </c:spPr>
        </c:hiLowLines>
        <c:marker val="1"/>
        <c:smooth val="0"/>
        <c:axId val="37539572"/>
        <c:axId val="52470623"/>
      </c:lineChart>
      <c:catAx>
        <c:axId val="37539572"/>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52470623"/>
        <c:crosses val="autoZero"/>
        <c:auto val="1"/>
        <c:lblAlgn val="ctr"/>
        <c:lblOffset val="100"/>
        <c:noMultiLvlLbl val="0"/>
      </c:catAx>
      <c:valAx>
        <c:axId val="52470623"/>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37539572"/>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xbar Chart</a:t>
            </a:r>
          </a:p>
        </c:rich>
      </c:tx>
      <c:overlay val="0"/>
      <c:spPr>
        <a:noFill/>
        <a:ln w="0">
          <a:noFill/>
        </a:ln>
      </c:spPr>
    </c:title>
    <c:autoTitleDeleted val="0"/>
    <c:plotArea>
      <c:layout/>
      <c:lineChart>
        <c:grouping val="standard"/>
        <c:varyColors val="0"/>
        <c:ser>
          <c:idx val="0"/>
          <c:order val="0"/>
          <c:tx>
            <c:v>xbar standardized</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SPR'!$K$43:$K$62</c:f>
              <c:numCache>
                <c:formatCode>0.00</c:formatCode>
                <c:ptCount val="20"/>
                <c:pt idx="0">
                  <c:v>-0.41666700000000001</c:v>
                </c:pt>
                <c:pt idx="1">
                  <c:v>-0.13888900000000001</c:v>
                </c:pt>
                <c:pt idx="2">
                  <c:v>-0.27777800000000002</c:v>
                </c:pt>
                <c:pt idx="3">
                  <c:v>0.13888900000000001</c:v>
                </c:pt>
                <c:pt idx="4">
                  <c:v>-0.13888900000000001</c:v>
                </c:pt>
                <c:pt idx="5">
                  <c:v>0.20833299999999999</c:v>
                </c:pt>
                <c:pt idx="6">
                  <c:v>0.20833299999999999</c:v>
                </c:pt>
                <c:pt idx="7">
                  <c:v>-0.41666700000000001</c:v>
                </c:pt>
                <c:pt idx="8">
                  <c:v>0.20833299999999999</c:v>
                </c:pt>
                <c:pt idx="9">
                  <c:v>0.20833299999999999</c:v>
                </c:pt>
                <c:pt idx="10">
                  <c:v>0.16666700000000001</c:v>
                </c:pt>
                <c:pt idx="11">
                  <c:v>0</c:v>
                </c:pt>
                <c:pt idx="12">
                  <c:v>0.33333299999999999</c:v>
                </c:pt>
                <c:pt idx="13">
                  <c:v>0</c:v>
                </c:pt>
                <c:pt idx="14">
                  <c:v>-0.5</c:v>
                </c:pt>
                <c:pt idx="15">
                  <c:v>-0.20833299999999999</c:v>
                </c:pt>
                <c:pt idx="16">
                  <c:v>0.83333299999999999</c:v>
                </c:pt>
                <c:pt idx="17">
                  <c:v>-0.625</c:v>
                </c:pt>
                <c:pt idx="18">
                  <c:v>0</c:v>
                </c:pt>
                <c:pt idx="19">
                  <c:v>0.20833299999999999</c:v>
                </c:pt>
              </c:numCache>
            </c:numRef>
          </c:val>
          <c:smooth val="0"/>
          <c:extLst>
            <c:ext xmlns:c16="http://schemas.microsoft.com/office/drawing/2014/chart" uri="{C3380CC4-5D6E-409C-BE32-E72D297353CC}">
              <c16:uniqueId val="{00000000-1F3C-4151-B086-806A06810F21}"/>
            </c:ext>
          </c:extLst>
        </c:ser>
        <c:ser>
          <c:idx val="1"/>
          <c:order val="1"/>
          <c:tx>
            <c:v>GT xbar</c:v>
          </c:tx>
          <c:spPr>
            <a:ln w="28440">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SPR'!$P$43:$P$62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1F3C-4151-B086-806A06810F21}"/>
            </c:ext>
          </c:extLst>
        </c:ser>
        <c:ser>
          <c:idx val="2"/>
          <c:order val="2"/>
          <c:tx>
            <c:v>BKA xbar</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SPR'!$Q$43:$Q$62</c:f>
              <c:numCache>
                <c:formatCode>0.000</c:formatCode>
                <c:ptCount val="20"/>
                <c:pt idx="0">
                  <c:v>1.0229999999999999</c:v>
                </c:pt>
                <c:pt idx="1">
                  <c:v>1.0229999999999999</c:v>
                </c:pt>
                <c:pt idx="2">
                  <c:v>1.0229999999999999</c:v>
                </c:pt>
                <c:pt idx="3">
                  <c:v>1.0229999999999999</c:v>
                </c:pt>
                <c:pt idx="4">
                  <c:v>1.0229999999999999</c:v>
                </c:pt>
                <c:pt idx="5">
                  <c:v>1.0229999999999999</c:v>
                </c:pt>
                <c:pt idx="6">
                  <c:v>1.0229999999999999</c:v>
                </c:pt>
                <c:pt idx="7">
                  <c:v>1.0229999999999999</c:v>
                </c:pt>
                <c:pt idx="8">
                  <c:v>1.0229999999999999</c:v>
                </c:pt>
                <c:pt idx="9">
                  <c:v>1.0229999999999999</c:v>
                </c:pt>
                <c:pt idx="10">
                  <c:v>1.0229999999999999</c:v>
                </c:pt>
                <c:pt idx="11">
                  <c:v>1.0229999999999999</c:v>
                </c:pt>
                <c:pt idx="12">
                  <c:v>1.0229999999999999</c:v>
                </c:pt>
                <c:pt idx="13">
                  <c:v>1.0229999999999999</c:v>
                </c:pt>
                <c:pt idx="14">
                  <c:v>1.0229999999999999</c:v>
                </c:pt>
                <c:pt idx="15">
                  <c:v>1.0229999999999999</c:v>
                </c:pt>
                <c:pt idx="16">
                  <c:v>1.0229999999999999</c:v>
                </c:pt>
                <c:pt idx="17">
                  <c:v>1.0229999999999999</c:v>
                </c:pt>
                <c:pt idx="18">
                  <c:v>1.0229999999999999</c:v>
                </c:pt>
                <c:pt idx="19">
                  <c:v>1.0229999999999999</c:v>
                </c:pt>
              </c:numCache>
            </c:numRef>
          </c:val>
          <c:smooth val="0"/>
          <c:extLst>
            <c:ext xmlns:c16="http://schemas.microsoft.com/office/drawing/2014/chart" uri="{C3380CC4-5D6E-409C-BE32-E72D297353CC}">
              <c16:uniqueId val="{00000002-1F3C-4151-B086-806A06810F21}"/>
            </c:ext>
          </c:extLst>
        </c:ser>
        <c:ser>
          <c:idx val="3"/>
          <c:order val="3"/>
          <c:tx>
            <c:v>BKB xbar</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SPR'!$R$43:$R$62</c:f>
              <c:numCache>
                <c:formatCode>0.000</c:formatCode>
                <c:ptCount val="20"/>
                <c:pt idx="0">
                  <c:v>-1.0229999999999999</c:v>
                </c:pt>
                <c:pt idx="1">
                  <c:v>-1.0229999999999999</c:v>
                </c:pt>
                <c:pt idx="2">
                  <c:v>-1.0229999999999999</c:v>
                </c:pt>
                <c:pt idx="3">
                  <c:v>-1.0229999999999999</c:v>
                </c:pt>
                <c:pt idx="4">
                  <c:v>-1.0229999999999999</c:v>
                </c:pt>
                <c:pt idx="5">
                  <c:v>-1.0229999999999999</c:v>
                </c:pt>
                <c:pt idx="6">
                  <c:v>-1.0229999999999999</c:v>
                </c:pt>
                <c:pt idx="7">
                  <c:v>-1.0229999999999999</c:v>
                </c:pt>
                <c:pt idx="8">
                  <c:v>-1.0229999999999999</c:v>
                </c:pt>
                <c:pt idx="9">
                  <c:v>-1.0229999999999999</c:v>
                </c:pt>
                <c:pt idx="10">
                  <c:v>-1.0229999999999999</c:v>
                </c:pt>
                <c:pt idx="11">
                  <c:v>-1.0229999999999999</c:v>
                </c:pt>
                <c:pt idx="12">
                  <c:v>-1.0229999999999999</c:v>
                </c:pt>
                <c:pt idx="13">
                  <c:v>-1.0229999999999999</c:v>
                </c:pt>
                <c:pt idx="14">
                  <c:v>-1.0229999999999999</c:v>
                </c:pt>
                <c:pt idx="15">
                  <c:v>-1.0229999999999999</c:v>
                </c:pt>
                <c:pt idx="16">
                  <c:v>-1.0229999999999999</c:v>
                </c:pt>
                <c:pt idx="17">
                  <c:v>-1.0229999999999999</c:v>
                </c:pt>
                <c:pt idx="18">
                  <c:v>-1.0229999999999999</c:v>
                </c:pt>
                <c:pt idx="19">
                  <c:v>-1.0229999999999999</c:v>
                </c:pt>
              </c:numCache>
            </c:numRef>
          </c:val>
          <c:smooth val="0"/>
          <c:extLst>
            <c:ext xmlns:c16="http://schemas.microsoft.com/office/drawing/2014/chart" uri="{C3380CC4-5D6E-409C-BE32-E72D297353CC}">
              <c16:uniqueId val="{00000003-1F3C-4151-B086-806A06810F21}"/>
            </c:ext>
          </c:extLst>
        </c:ser>
        <c:dLbls>
          <c:showLegendKey val="0"/>
          <c:showVal val="0"/>
          <c:showCatName val="0"/>
          <c:showSerName val="0"/>
          <c:showPercent val="0"/>
          <c:showBubbleSize val="0"/>
        </c:dLbls>
        <c:hiLowLines>
          <c:spPr>
            <a:ln w="0">
              <a:noFill/>
            </a:ln>
          </c:spPr>
        </c:hiLowLines>
        <c:marker val="1"/>
        <c:smooth val="0"/>
        <c:axId val="19711244"/>
        <c:axId val="57858912"/>
      </c:lineChart>
      <c:catAx>
        <c:axId val="19711244"/>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57858912"/>
        <c:crosses val="autoZero"/>
        <c:auto val="1"/>
        <c:lblAlgn val="ctr"/>
        <c:lblOffset val="100"/>
        <c:noMultiLvlLbl val="0"/>
      </c:catAx>
      <c:valAx>
        <c:axId val="57858912"/>
        <c:scaling>
          <c:orientation val="minMax"/>
          <c:max val="1.1000000000000001"/>
          <c:min val="-1.1000000000000001"/>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9711244"/>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R Chart</a:t>
            </a:r>
          </a:p>
        </c:rich>
      </c:tx>
      <c:overlay val="0"/>
      <c:spPr>
        <a:noFill/>
        <a:ln w="0">
          <a:noFill/>
        </a:ln>
      </c:spPr>
    </c:title>
    <c:autoTitleDeleted val="0"/>
    <c:plotArea>
      <c:layout/>
      <c:lineChart>
        <c:grouping val="standard"/>
        <c:varyColors val="0"/>
        <c:ser>
          <c:idx val="0"/>
          <c:order val="0"/>
          <c:tx>
            <c:v>R standardized</c:v>
          </c:tx>
          <c:spPr>
            <a:ln w="28440">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SPR'!$L$43:$L$62</c:f>
              <c:numCache>
                <c:formatCode>0.00</c:formatCode>
                <c:ptCount val="20"/>
                <c:pt idx="0">
                  <c:v>1.6666669999999999</c:v>
                </c:pt>
                <c:pt idx="1">
                  <c:v>0.83333299999999999</c:v>
                </c:pt>
                <c:pt idx="2">
                  <c:v>1.25</c:v>
                </c:pt>
                <c:pt idx="3">
                  <c:v>0.83333299999999999</c:v>
                </c:pt>
                <c:pt idx="4">
                  <c:v>0.41666700000000001</c:v>
                </c:pt>
                <c:pt idx="5">
                  <c:v>0.625</c:v>
                </c:pt>
                <c:pt idx="6">
                  <c:v>0.625</c:v>
                </c:pt>
                <c:pt idx="7">
                  <c:v>0.625</c:v>
                </c:pt>
                <c:pt idx="8">
                  <c:v>1.25</c:v>
                </c:pt>
                <c:pt idx="9">
                  <c:v>1.875</c:v>
                </c:pt>
                <c:pt idx="10">
                  <c:v>1</c:v>
                </c:pt>
                <c:pt idx="11">
                  <c:v>1</c:v>
                </c:pt>
                <c:pt idx="12">
                  <c:v>1</c:v>
                </c:pt>
                <c:pt idx="13">
                  <c:v>1</c:v>
                </c:pt>
                <c:pt idx="14">
                  <c:v>1</c:v>
                </c:pt>
                <c:pt idx="15">
                  <c:v>1.25</c:v>
                </c:pt>
                <c:pt idx="16">
                  <c:v>0.625</c:v>
                </c:pt>
                <c:pt idx="17">
                  <c:v>1.25</c:v>
                </c:pt>
                <c:pt idx="18">
                  <c:v>1.25</c:v>
                </c:pt>
                <c:pt idx="19">
                  <c:v>0.625</c:v>
                </c:pt>
              </c:numCache>
            </c:numRef>
          </c:val>
          <c:smooth val="0"/>
          <c:extLst>
            <c:ext xmlns:c16="http://schemas.microsoft.com/office/drawing/2014/chart" uri="{C3380CC4-5D6E-409C-BE32-E72D297353CC}">
              <c16:uniqueId val="{00000000-A922-47C6-AF66-86CA83EA14E2}"/>
            </c:ext>
          </c:extLst>
        </c:ser>
        <c:ser>
          <c:idx val="1"/>
          <c:order val="1"/>
          <c:tx>
            <c:v>GT R</c:v>
          </c:tx>
          <c:spPr>
            <a:ln w="2844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SPR'!$M$43:$M$62</c:f>
              <c:numCache>
                <c:formatCode>0.000</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smooth val="0"/>
          <c:extLst>
            <c:ext xmlns:c16="http://schemas.microsoft.com/office/drawing/2014/chart" uri="{C3380CC4-5D6E-409C-BE32-E72D297353CC}">
              <c16:uniqueId val="{00000001-A922-47C6-AF66-86CA83EA14E2}"/>
            </c:ext>
          </c:extLst>
        </c:ser>
        <c:ser>
          <c:idx val="2"/>
          <c:order val="2"/>
          <c:tx>
            <c:v>BKA R</c:v>
          </c:tx>
          <c:spPr>
            <a:ln w="28440">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SPR'!$N$43:$N$62</c:f>
              <c:numCache>
                <c:formatCode>0.000</c:formatCode>
                <c:ptCount val="20"/>
                <c:pt idx="0">
                  <c:v>2.5739999999999998</c:v>
                </c:pt>
                <c:pt idx="1">
                  <c:v>2.5739999999999998</c:v>
                </c:pt>
                <c:pt idx="2">
                  <c:v>2.5739999999999998</c:v>
                </c:pt>
                <c:pt idx="3">
                  <c:v>2.5739999999999998</c:v>
                </c:pt>
                <c:pt idx="4">
                  <c:v>2.5739999999999998</c:v>
                </c:pt>
                <c:pt idx="5">
                  <c:v>2.5739999999999998</c:v>
                </c:pt>
                <c:pt idx="6">
                  <c:v>2.5739999999999998</c:v>
                </c:pt>
                <c:pt idx="7">
                  <c:v>2.5739999999999998</c:v>
                </c:pt>
                <c:pt idx="8">
                  <c:v>2.5739999999999998</c:v>
                </c:pt>
                <c:pt idx="9">
                  <c:v>2.5739999999999998</c:v>
                </c:pt>
                <c:pt idx="10">
                  <c:v>2.5739999999999998</c:v>
                </c:pt>
                <c:pt idx="11">
                  <c:v>2.5739999999999998</c:v>
                </c:pt>
                <c:pt idx="12">
                  <c:v>2.5739999999999998</c:v>
                </c:pt>
                <c:pt idx="13">
                  <c:v>2.5739999999999998</c:v>
                </c:pt>
                <c:pt idx="14">
                  <c:v>2.5739999999999998</c:v>
                </c:pt>
                <c:pt idx="15">
                  <c:v>2.5739999999999998</c:v>
                </c:pt>
                <c:pt idx="16">
                  <c:v>2.5739999999999998</c:v>
                </c:pt>
                <c:pt idx="17">
                  <c:v>2.5739999999999998</c:v>
                </c:pt>
                <c:pt idx="18">
                  <c:v>2.5739999999999998</c:v>
                </c:pt>
                <c:pt idx="19">
                  <c:v>2.5739999999999998</c:v>
                </c:pt>
              </c:numCache>
            </c:numRef>
          </c:val>
          <c:smooth val="0"/>
          <c:extLst>
            <c:ext xmlns:c16="http://schemas.microsoft.com/office/drawing/2014/chart" uri="{C3380CC4-5D6E-409C-BE32-E72D297353CC}">
              <c16:uniqueId val="{00000002-A922-47C6-AF66-86CA83EA14E2}"/>
            </c:ext>
          </c:extLst>
        </c:ser>
        <c:ser>
          <c:idx val="3"/>
          <c:order val="3"/>
          <c:tx>
            <c:v>BKB R</c:v>
          </c:tx>
          <c:spPr>
            <a:ln w="28440">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xbar-R SPR'!$O$43:$O$62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A922-47C6-AF66-86CA83EA14E2}"/>
            </c:ext>
          </c:extLst>
        </c:ser>
        <c:dLbls>
          <c:showLegendKey val="0"/>
          <c:showVal val="0"/>
          <c:showCatName val="0"/>
          <c:showSerName val="0"/>
          <c:showPercent val="0"/>
          <c:showBubbleSize val="0"/>
        </c:dLbls>
        <c:hiLowLines>
          <c:spPr>
            <a:ln w="0">
              <a:noFill/>
            </a:ln>
          </c:spPr>
        </c:hiLowLines>
        <c:smooth val="0"/>
        <c:axId val="71335562"/>
        <c:axId val="62219293"/>
      </c:lineChart>
      <c:catAx>
        <c:axId val="71335562"/>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62219293"/>
        <c:crosses val="autoZero"/>
        <c:auto val="1"/>
        <c:lblAlgn val="ctr"/>
        <c:lblOffset val="100"/>
        <c:noMultiLvlLbl val="0"/>
      </c:catAx>
      <c:valAx>
        <c:axId val="62219293"/>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71335562"/>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id-ID" sz="1400" b="0" strike="noStrike" spc="-1">
                <a:solidFill>
                  <a:srgbClr val="757575"/>
                </a:solidFill>
                <a:latin typeface="Calibri"/>
                <a:ea typeface="Calibri"/>
              </a:defRPr>
            </a:pPr>
            <a:r>
              <a:rPr lang="id-ID" sz="1400" b="0" strike="noStrike" spc="-1">
                <a:solidFill>
                  <a:srgbClr val="757575"/>
                </a:solidFill>
                <a:latin typeface="Calibri"/>
                <a:ea typeface="Calibri"/>
              </a:rPr>
              <a:t>Hotelling T^2 Chart</a:t>
            </a:r>
          </a:p>
        </c:rich>
      </c:tx>
      <c:overlay val="0"/>
      <c:spPr>
        <a:noFill/>
        <a:ln w="0">
          <a:noFill/>
        </a:ln>
      </c:spPr>
    </c:title>
    <c:autoTitleDeleted val="0"/>
    <c:plotArea>
      <c:layout/>
      <c:lineChart>
        <c:grouping val="standard"/>
        <c:varyColors val="0"/>
        <c:ser>
          <c:idx val="0"/>
          <c:order val="0"/>
          <c:tx>
            <c:v>BKA</c:v>
          </c:tx>
          <c:spPr>
            <a:ln w="28440">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T^2'!$R$37:$R$56</c:f>
              <c:numCache>
                <c:formatCode>0.000</c:formatCode>
                <c:ptCount val="20"/>
                <c:pt idx="0">
                  <c:v>12.654193883629651</c:v>
                </c:pt>
                <c:pt idx="1">
                  <c:v>12.654193883629651</c:v>
                </c:pt>
                <c:pt idx="2">
                  <c:v>12.654193883629651</c:v>
                </c:pt>
                <c:pt idx="3">
                  <c:v>12.654193883629651</c:v>
                </c:pt>
                <c:pt idx="4">
                  <c:v>12.654193883629651</c:v>
                </c:pt>
                <c:pt idx="5">
                  <c:v>12.654193883629651</c:v>
                </c:pt>
                <c:pt idx="6">
                  <c:v>12.654193883629651</c:v>
                </c:pt>
                <c:pt idx="7">
                  <c:v>12.654193883629651</c:v>
                </c:pt>
                <c:pt idx="8">
                  <c:v>12.654193883629651</c:v>
                </c:pt>
                <c:pt idx="9">
                  <c:v>12.654193883629651</c:v>
                </c:pt>
                <c:pt idx="10">
                  <c:v>12.654193883629651</c:v>
                </c:pt>
                <c:pt idx="11">
                  <c:v>12.654193883629651</c:v>
                </c:pt>
                <c:pt idx="12">
                  <c:v>12.654193883629651</c:v>
                </c:pt>
                <c:pt idx="13">
                  <c:v>12.654193883629651</c:v>
                </c:pt>
                <c:pt idx="14">
                  <c:v>12.654193883629651</c:v>
                </c:pt>
                <c:pt idx="15">
                  <c:v>12.654193883629651</c:v>
                </c:pt>
                <c:pt idx="16">
                  <c:v>12.654193883629651</c:v>
                </c:pt>
                <c:pt idx="17">
                  <c:v>12.654193883629651</c:v>
                </c:pt>
                <c:pt idx="18">
                  <c:v>12.654193883629651</c:v>
                </c:pt>
                <c:pt idx="19">
                  <c:v>12.654193883629651</c:v>
                </c:pt>
              </c:numCache>
            </c:numRef>
          </c:val>
          <c:smooth val="0"/>
          <c:extLst>
            <c:ext xmlns:c16="http://schemas.microsoft.com/office/drawing/2014/chart" uri="{C3380CC4-5D6E-409C-BE32-E72D297353CC}">
              <c16:uniqueId val="{00000000-B135-49FE-B6ED-ED6A247ACCF8}"/>
            </c:ext>
          </c:extLst>
        </c:ser>
        <c:ser>
          <c:idx val="1"/>
          <c:order val="1"/>
          <c:tx>
            <c:v>BKB</c:v>
          </c:tx>
          <c:spPr>
            <a:ln w="28440">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T^2'!$S$37:$S$56</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B135-49FE-B6ED-ED6A247ACCF8}"/>
            </c:ext>
          </c:extLst>
        </c:ser>
        <c:ser>
          <c:idx val="2"/>
          <c:order val="2"/>
          <c:tx>
            <c:v>Nilai T^2</c:v>
          </c:tx>
          <c:spPr>
            <a:ln w="28440">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'Peta Kendali T^2'!$Q$37:$Q$56</c:f>
              <c:numCache>
                <c:formatCode>0.000</c:formatCode>
                <c:ptCount val="20"/>
                <c:pt idx="0">
                  <c:v>1.7842844201938268</c:v>
                </c:pt>
                <c:pt idx="1">
                  <c:v>0.75159461395101146</c:v>
                </c:pt>
                <c:pt idx="2">
                  <c:v>0.98940313498096544</c:v>
                </c:pt>
                <c:pt idx="3">
                  <c:v>0.15684443697547173</c:v>
                </c:pt>
                <c:pt idx="4">
                  <c:v>2.0803553280655644</c:v>
                </c:pt>
                <c:pt idx="5">
                  <c:v>0.10184212209857618</c:v>
                </c:pt>
                <c:pt idx="6">
                  <c:v>0.58163235116890233</c:v>
                </c:pt>
                <c:pt idx="7">
                  <c:v>1.6932318093815266</c:v>
                </c:pt>
                <c:pt idx="8">
                  <c:v>0.21035955674558884</c:v>
                </c:pt>
                <c:pt idx="9">
                  <c:v>0.16953949882544794</c:v>
                </c:pt>
                <c:pt idx="10">
                  <c:v>3.1104896521995107</c:v>
                </c:pt>
                <c:pt idx="11">
                  <c:v>0.49680244463747048</c:v>
                </c:pt>
                <c:pt idx="12">
                  <c:v>1.4701909798253971</c:v>
                </c:pt>
                <c:pt idx="13">
                  <c:v>1.7283500321880485</c:v>
                </c:pt>
                <c:pt idx="14">
                  <c:v>2.1285918510800372</c:v>
                </c:pt>
                <c:pt idx="15">
                  <c:v>0.40483329597444534</c:v>
                </c:pt>
                <c:pt idx="16">
                  <c:v>0.7308264811827655</c:v>
                </c:pt>
                <c:pt idx="17">
                  <c:v>0.88360050040126759</c:v>
                </c:pt>
                <c:pt idx="18">
                  <c:v>0.24471899727638172</c:v>
                </c:pt>
                <c:pt idx="19">
                  <c:v>1.4152414163459992</c:v>
                </c:pt>
              </c:numCache>
            </c:numRef>
          </c:val>
          <c:smooth val="0"/>
          <c:extLst>
            <c:ext xmlns:c16="http://schemas.microsoft.com/office/drawing/2014/chart" uri="{C3380CC4-5D6E-409C-BE32-E72D297353CC}">
              <c16:uniqueId val="{00000002-B135-49FE-B6ED-ED6A247ACCF8}"/>
            </c:ext>
          </c:extLst>
        </c:ser>
        <c:dLbls>
          <c:showLegendKey val="0"/>
          <c:showVal val="0"/>
          <c:showCatName val="0"/>
          <c:showSerName val="0"/>
          <c:showPercent val="0"/>
          <c:showBubbleSize val="0"/>
        </c:dLbls>
        <c:hiLowLines>
          <c:spPr>
            <a:ln w="0">
              <a:noFill/>
            </a:ln>
          </c:spPr>
        </c:hiLowLines>
        <c:marker val="1"/>
        <c:smooth val="0"/>
        <c:axId val="15854777"/>
        <c:axId val="89831117"/>
      </c:lineChart>
      <c:catAx>
        <c:axId val="15854777"/>
        <c:scaling>
          <c:orientation val="minMax"/>
        </c:scaling>
        <c:delete val="0"/>
        <c:axPos val="b"/>
        <c:title>
          <c:tx>
            <c:rich>
              <a:bodyPr rot="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89831117"/>
        <c:crosses val="autoZero"/>
        <c:auto val="1"/>
        <c:lblAlgn val="ctr"/>
        <c:lblOffset val="100"/>
        <c:noMultiLvlLbl val="0"/>
      </c:catAx>
      <c:valAx>
        <c:axId val="89831117"/>
        <c:scaling>
          <c:orientation val="minMax"/>
        </c:scaling>
        <c:delete val="0"/>
        <c:axPos val="l"/>
        <c:majorGridlines>
          <c:spPr>
            <a:ln w="6480">
              <a:solidFill>
                <a:srgbClr val="B7B7B7"/>
              </a:solidFill>
              <a:round/>
            </a:ln>
          </c:spPr>
        </c:majorGridlines>
        <c:title>
          <c:tx>
            <c:rich>
              <a:bodyPr rot="-5400000"/>
              <a:lstStyle/>
              <a:p>
                <a:pPr>
                  <a:defRPr sz="1000" b="0" strike="noStrike" spc="-1">
                    <a:solidFill>
                      <a:srgbClr val="000000"/>
                    </a:solidFill>
                    <a:latin typeface="Calibri"/>
                    <a:ea typeface="Calibri"/>
                  </a:defRPr>
                </a:pPr>
                <a:r>
                  <a:rPr lang="en-ID" sz="1000" b="0" strike="noStrike" spc="-1">
                    <a:solidFill>
                      <a:srgbClr val="000000"/>
                    </a:solidFill>
                    <a:latin typeface="Calibri"/>
                    <a:ea typeface="Calibri"/>
                  </a:rPr>
                  <a:t>None</a:t>
                </a:r>
              </a:p>
            </c:rich>
          </c:tx>
          <c:overlay val="0"/>
          <c:spPr>
            <a:noFill/>
            <a:ln w="0">
              <a:noFill/>
            </a:ln>
          </c:spPr>
        </c:title>
        <c:numFmt formatCode="0.000" sourceLinked="0"/>
        <c:majorTickMark val="none"/>
        <c:minorTickMark val="none"/>
        <c:tickLblPos val="nextTo"/>
        <c:spPr>
          <a:ln w="6480">
            <a:solidFill>
              <a:srgbClr val="8B8B8B"/>
            </a:solidFill>
            <a:round/>
          </a:ln>
        </c:spPr>
        <c:txPr>
          <a:bodyPr/>
          <a:lstStyle/>
          <a:p>
            <a:pPr>
              <a:defRPr sz="900" b="0" strike="noStrike" spc="-1">
                <a:solidFill>
                  <a:srgbClr val="000000"/>
                </a:solidFill>
                <a:latin typeface="Calibri"/>
                <a:ea typeface="Calibri"/>
              </a:defRPr>
            </a:pPr>
            <a:endParaRPr lang="en-US"/>
          </a:p>
        </c:txPr>
        <c:crossAx val="15854777"/>
        <c:crosses val="autoZero"/>
        <c:crossBetween val="between"/>
      </c:valAx>
      <c:spPr>
        <a:noFill/>
        <a:ln w="0">
          <a:noFill/>
        </a:ln>
      </c:spPr>
    </c:plotArea>
    <c:legend>
      <c:legendPos val="b"/>
      <c:overlay val="0"/>
      <c:spPr>
        <a:noFill/>
        <a:ln w="0">
          <a:noFill/>
        </a:ln>
      </c:spPr>
      <c:txPr>
        <a:bodyPr/>
        <a:lstStyle/>
        <a:p>
          <a:pPr>
            <a:defRPr sz="900" b="0" strike="noStrike" spc="-1">
              <a:solidFill>
                <a:srgbClr val="1A1A1A"/>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chart" Target="../charts/chart11.xml"/><Relationship Id="rId5" Type="http://schemas.openxmlformats.org/officeDocument/2006/relationships/image" Target="../media/image8.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chart" Target="../charts/chart20.xml"/><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image" Target="../media/image27.png"/><Relationship Id="rId4"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5</xdr:col>
      <xdr:colOff>241920</xdr:colOff>
      <xdr:row>1</xdr:row>
      <xdr:rowOff>143280</xdr:rowOff>
    </xdr:from>
    <xdr:to>
      <xdr:col>5</xdr:col>
      <xdr:colOff>3041280</xdr:colOff>
      <xdr:row>4</xdr:row>
      <xdr:rowOff>437400</xdr:rowOff>
    </xdr:to>
    <xdr:pic>
      <xdr:nvPicPr>
        <xdr:cNvPr id="2" name="image2.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3924800" y="324360"/>
          <a:ext cx="2799360" cy="2541960"/>
        </a:xfrm>
        <a:prstGeom prst="rect">
          <a:avLst/>
        </a:prstGeom>
        <a:ln w="0">
          <a:noFill/>
        </a:ln>
      </xdr:spPr>
    </xdr:pic>
    <xdr:clientData/>
  </xdr:twoCellAnchor>
  <xdr:twoCellAnchor editAs="oneCell">
    <xdr:from>
      <xdr:col>5</xdr:col>
      <xdr:colOff>76320</xdr:colOff>
      <xdr:row>5</xdr:row>
      <xdr:rowOff>162000</xdr:rowOff>
    </xdr:from>
    <xdr:to>
      <xdr:col>5</xdr:col>
      <xdr:colOff>3066120</xdr:colOff>
      <xdr:row>7</xdr:row>
      <xdr:rowOff>513360</xdr:rowOff>
    </xdr:to>
    <xdr:pic>
      <xdr:nvPicPr>
        <xdr:cNvPr id="3" name="image3.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3759200" y="3038400"/>
          <a:ext cx="2989800" cy="1827720"/>
        </a:xfrm>
        <a:prstGeom prst="rect">
          <a:avLst/>
        </a:prstGeom>
        <a:ln w="0">
          <a:noFill/>
        </a:ln>
      </xdr:spPr>
    </xdr:pic>
    <xdr:clientData/>
  </xdr:twoCellAnchor>
  <xdr:twoCellAnchor editAs="oneCell">
    <xdr:from>
      <xdr:col>5</xdr:col>
      <xdr:colOff>1515600</xdr:colOff>
      <xdr:row>10</xdr:row>
      <xdr:rowOff>130680</xdr:rowOff>
    </xdr:from>
    <xdr:to>
      <xdr:col>5</xdr:col>
      <xdr:colOff>1670400</xdr:colOff>
      <xdr:row>24</xdr:row>
      <xdr:rowOff>90720</xdr:rowOff>
    </xdr:to>
    <xdr:pic>
      <xdr:nvPicPr>
        <xdr:cNvPr id="4" name="image1.pn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15198480" y="5978880"/>
          <a:ext cx="154800" cy="2493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809640</xdr:colOff>
      <xdr:row>9</xdr:row>
      <xdr:rowOff>95400</xdr:rowOff>
    </xdr:from>
    <xdr:to>
      <xdr:col>14</xdr:col>
      <xdr:colOff>498600</xdr:colOff>
      <xdr:row>25</xdr:row>
      <xdr:rowOff>65520</xdr:rowOff>
    </xdr:to>
    <xdr:graphicFrame macro="">
      <xdr:nvGraphicFramePr>
        <xdr:cNvPr id="3" name="Chart 1">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9</xdr:row>
      <xdr:rowOff>104760</xdr:rowOff>
    </xdr:from>
    <xdr:to>
      <xdr:col>7</xdr:col>
      <xdr:colOff>465120</xdr:colOff>
      <xdr:row>25</xdr:row>
      <xdr:rowOff>74880</xdr:rowOff>
    </xdr:to>
    <xdr:graphicFrame macro="">
      <xdr:nvGraphicFramePr>
        <xdr:cNvPr id="4" name="Chart 2">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0</xdr:colOff>
      <xdr:row>9</xdr:row>
      <xdr:rowOff>95400</xdr:rowOff>
    </xdr:from>
    <xdr:to>
      <xdr:col>29</xdr:col>
      <xdr:colOff>612360</xdr:colOff>
      <xdr:row>25</xdr:row>
      <xdr:rowOff>65520</xdr:rowOff>
    </xdr:to>
    <xdr:graphicFrame macro="">
      <xdr:nvGraphicFramePr>
        <xdr:cNvPr id="5" name="Chart 3">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28440</xdr:colOff>
      <xdr:row>9</xdr:row>
      <xdr:rowOff>104760</xdr:rowOff>
    </xdr:from>
    <xdr:to>
      <xdr:col>22</xdr:col>
      <xdr:colOff>497880</xdr:colOff>
      <xdr:row>25</xdr:row>
      <xdr:rowOff>74880</xdr:rowOff>
    </xdr:to>
    <xdr:graphicFrame macro="">
      <xdr:nvGraphicFramePr>
        <xdr:cNvPr id="6" name="Chart 4">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553320</xdr:colOff>
      <xdr:row>29</xdr:row>
      <xdr:rowOff>16200</xdr:rowOff>
    </xdr:from>
    <xdr:to>
      <xdr:col>10</xdr:col>
      <xdr:colOff>677520</xdr:colOff>
      <xdr:row>37</xdr:row>
      <xdr:rowOff>43920</xdr:rowOff>
    </xdr:to>
    <xdr:pic>
      <xdr:nvPicPr>
        <xdr:cNvPr id="7" name="image4.png">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5"/>
        <a:stretch/>
      </xdr:blipFill>
      <xdr:spPr>
        <a:xfrm>
          <a:off x="7297200" y="5264640"/>
          <a:ext cx="1875240" cy="1475280"/>
        </a:xfrm>
        <a:prstGeom prst="rect">
          <a:avLst/>
        </a:prstGeom>
        <a:ln w="0">
          <a:noFill/>
        </a:ln>
      </xdr:spPr>
    </xdr:pic>
    <xdr:clientData/>
  </xdr:twoCellAnchor>
  <xdr:twoCellAnchor editAs="oneCell">
    <xdr:from>
      <xdr:col>5</xdr:col>
      <xdr:colOff>66600</xdr:colOff>
      <xdr:row>28</xdr:row>
      <xdr:rowOff>95400</xdr:rowOff>
    </xdr:from>
    <xdr:to>
      <xdr:col>7</xdr:col>
      <xdr:colOff>504720</xdr:colOff>
      <xdr:row>37</xdr:row>
      <xdr:rowOff>37440</xdr:rowOff>
    </xdr:to>
    <xdr:pic>
      <xdr:nvPicPr>
        <xdr:cNvPr id="8" name="image5.png">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6"/>
        <a:stretch/>
      </xdr:blipFill>
      <xdr:spPr>
        <a:xfrm>
          <a:off x="4183200" y="5162760"/>
          <a:ext cx="2189520" cy="1570680"/>
        </a:xfrm>
        <a:prstGeom prst="rect">
          <a:avLst/>
        </a:prstGeom>
        <a:ln w="0">
          <a:noFill/>
        </a:ln>
      </xdr:spPr>
    </xdr:pic>
    <xdr:clientData/>
  </xdr:twoCellAnchor>
  <xdr:twoCellAnchor editAs="oneCell">
    <xdr:from>
      <xdr:col>23</xdr:col>
      <xdr:colOff>485640</xdr:colOff>
      <xdr:row>29</xdr:row>
      <xdr:rowOff>82440</xdr:rowOff>
    </xdr:from>
    <xdr:to>
      <xdr:col>25</xdr:col>
      <xdr:colOff>609480</xdr:colOff>
      <xdr:row>37</xdr:row>
      <xdr:rowOff>110160</xdr:rowOff>
    </xdr:to>
    <xdr:pic>
      <xdr:nvPicPr>
        <xdr:cNvPr id="9" name="image4.png">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5"/>
        <a:stretch/>
      </xdr:blipFill>
      <xdr:spPr>
        <a:xfrm>
          <a:off x="20374560" y="5330880"/>
          <a:ext cx="1875240" cy="1475280"/>
        </a:xfrm>
        <a:prstGeom prst="rect">
          <a:avLst/>
        </a:prstGeom>
        <a:ln w="0">
          <a:noFill/>
        </a:ln>
      </xdr:spPr>
    </xdr:pic>
    <xdr:clientData/>
  </xdr:twoCellAnchor>
  <xdr:twoCellAnchor editAs="oneCell">
    <xdr:from>
      <xdr:col>20</xdr:col>
      <xdr:colOff>384480</xdr:colOff>
      <xdr:row>28</xdr:row>
      <xdr:rowOff>137520</xdr:rowOff>
    </xdr:from>
    <xdr:to>
      <xdr:col>22</xdr:col>
      <xdr:colOff>822960</xdr:colOff>
      <xdr:row>37</xdr:row>
      <xdr:rowOff>79560</xdr:rowOff>
    </xdr:to>
    <xdr:pic>
      <xdr:nvPicPr>
        <xdr:cNvPr id="10" name="image5.png">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6"/>
        <a:stretch/>
      </xdr:blipFill>
      <xdr:spPr>
        <a:xfrm>
          <a:off x="17646480" y="5204880"/>
          <a:ext cx="2189520" cy="1570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809640</xdr:colOff>
      <xdr:row>9</xdr:row>
      <xdr:rowOff>95400</xdr:rowOff>
    </xdr:from>
    <xdr:to>
      <xdr:col>14</xdr:col>
      <xdr:colOff>498600</xdr:colOff>
      <xdr:row>25</xdr:row>
      <xdr:rowOff>65520</xdr:rowOff>
    </xdr:to>
    <xdr:graphicFrame macro="">
      <xdr:nvGraphicFramePr>
        <xdr:cNvPr id="11" name="Chart 1">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9</xdr:row>
      <xdr:rowOff>104760</xdr:rowOff>
    </xdr:from>
    <xdr:to>
      <xdr:col>7</xdr:col>
      <xdr:colOff>465120</xdr:colOff>
      <xdr:row>25</xdr:row>
      <xdr:rowOff>74880</xdr:rowOff>
    </xdr:to>
    <xdr:graphicFrame macro="">
      <xdr:nvGraphicFramePr>
        <xdr:cNvPr id="12" name="Chart 2">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66600</xdr:colOff>
      <xdr:row>9</xdr:row>
      <xdr:rowOff>133200</xdr:rowOff>
    </xdr:from>
    <xdr:to>
      <xdr:col>23</xdr:col>
      <xdr:colOff>576720</xdr:colOff>
      <xdr:row>25</xdr:row>
      <xdr:rowOff>27000</xdr:rowOff>
    </xdr:to>
    <xdr:graphicFrame macro="">
      <xdr:nvGraphicFramePr>
        <xdr:cNvPr id="13" name="Chart 3">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809640</xdr:colOff>
      <xdr:row>9</xdr:row>
      <xdr:rowOff>104760</xdr:rowOff>
    </xdr:from>
    <xdr:to>
      <xdr:col>31</xdr:col>
      <xdr:colOff>168120</xdr:colOff>
      <xdr:row>25</xdr:row>
      <xdr:rowOff>74880</xdr:rowOff>
    </xdr:to>
    <xdr:graphicFrame macro="">
      <xdr:nvGraphicFramePr>
        <xdr:cNvPr id="14" name="Chart 4">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638280</xdr:colOff>
      <xdr:row>29</xdr:row>
      <xdr:rowOff>85680</xdr:rowOff>
    </xdr:from>
    <xdr:to>
      <xdr:col>7</xdr:col>
      <xdr:colOff>200880</xdr:colOff>
      <xdr:row>37</xdr:row>
      <xdr:rowOff>132480</xdr:rowOff>
    </xdr:to>
    <xdr:pic>
      <xdr:nvPicPr>
        <xdr:cNvPr id="15" name="image7.png">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5"/>
        <a:stretch/>
      </xdr:blipFill>
      <xdr:spPr>
        <a:xfrm>
          <a:off x="3879360" y="5334120"/>
          <a:ext cx="2189520" cy="1494360"/>
        </a:xfrm>
        <a:prstGeom prst="rect">
          <a:avLst/>
        </a:prstGeom>
        <a:ln w="0">
          <a:noFill/>
        </a:ln>
      </xdr:spPr>
    </xdr:pic>
    <xdr:clientData/>
  </xdr:twoCellAnchor>
  <xdr:twoCellAnchor editAs="oneCell">
    <xdr:from>
      <xdr:col>8</xdr:col>
      <xdr:colOff>647640</xdr:colOff>
      <xdr:row>28</xdr:row>
      <xdr:rowOff>142920</xdr:rowOff>
    </xdr:from>
    <xdr:to>
      <xdr:col>10</xdr:col>
      <xdr:colOff>591120</xdr:colOff>
      <xdr:row>37</xdr:row>
      <xdr:rowOff>84960</xdr:rowOff>
    </xdr:to>
    <xdr:pic>
      <xdr:nvPicPr>
        <xdr:cNvPr id="16" name="image6.png">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6"/>
        <a:stretch/>
      </xdr:blipFill>
      <xdr:spPr>
        <a:xfrm>
          <a:off x="7391520" y="5210280"/>
          <a:ext cx="1694520" cy="1570680"/>
        </a:xfrm>
        <a:prstGeom prst="rect">
          <a:avLst/>
        </a:prstGeom>
        <a:ln w="0">
          <a:noFill/>
        </a:ln>
      </xdr:spPr>
    </xdr:pic>
    <xdr:clientData/>
  </xdr:twoCellAnchor>
  <xdr:twoCellAnchor editAs="oneCell">
    <xdr:from>
      <xdr:col>21</xdr:col>
      <xdr:colOff>398520</xdr:colOff>
      <xdr:row>29</xdr:row>
      <xdr:rowOff>23400</xdr:rowOff>
    </xdr:from>
    <xdr:to>
      <xdr:col>23</xdr:col>
      <xdr:colOff>816480</xdr:colOff>
      <xdr:row>37</xdr:row>
      <xdr:rowOff>70200</xdr:rowOff>
    </xdr:to>
    <xdr:pic>
      <xdr:nvPicPr>
        <xdr:cNvPr id="17" name="image7.png">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5"/>
        <a:stretch/>
      </xdr:blipFill>
      <xdr:spPr>
        <a:xfrm>
          <a:off x="18586800" y="5271840"/>
          <a:ext cx="2189520" cy="1494360"/>
        </a:xfrm>
        <a:prstGeom prst="rect">
          <a:avLst/>
        </a:prstGeom>
        <a:ln w="0">
          <a:noFill/>
        </a:ln>
      </xdr:spPr>
    </xdr:pic>
    <xdr:clientData/>
  </xdr:twoCellAnchor>
  <xdr:twoCellAnchor editAs="oneCell">
    <xdr:from>
      <xdr:col>24</xdr:col>
      <xdr:colOff>445320</xdr:colOff>
      <xdr:row>29</xdr:row>
      <xdr:rowOff>0</xdr:rowOff>
    </xdr:from>
    <xdr:to>
      <xdr:col>26</xdr:col>
      <xdr:colOff>368280</xdr:colOff>
      <xdr:row>37</xdr:row>
      <xdr:rowOff>123120</xdr:rowOff>
    </xdr:to>
    <xdr:pic>
      <xdr:nvPicPr>
        <xdr:cNvPr id="18" name="image6.png">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6"/>
        <a:stretch/>
      </xdr:blipFill>
      <xdr:spPr>
        <a:xfrm>
          <a:off x="21291120" y="5248440"/>
          <a:ext cx="1694520" cy="1570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38160</xdr:colOff>
      <xdr:row>11</xdr:row>
      <xdr:rowOff>0</xdr:rowOff>
    </xdr:from>
    <xdr:to>
      <xdr:col>11</xdr:col>
      <xdr:colOff>180000</xdr:colOff>
      <xdr:row>25</xdr:row>
      <xdr:rowOff>75240</xdr:rowOff>
    </xdr:to>
    <xdr:graphicFrame macro="">
      <xdr:nvGraphicFramePr>
        <xdr:cNvPr id="19" name="Chart 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38160</xdr:colOff>
      <xdr:row>28</xdr:row>
      <xdr:rowOff>57240</xdr:rowOff>
    </xdr:from>
    <xdr:to>
      <xdr:col>11</xdr:col>
      <xdr:colOff>180000</xdr:colOff>
      <xdr:row>42</xdr:row>
      <xdr:rowOff>132480</xdr:rowOff>
    </xdr:to>
    <xdr:graphicFrame macro="">
      <xdr:nvGraphicFramePr>
        <xdr:cNvPr id="20" name="Chart 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76320</xdr:colOff>
      <xdr:row>5</xdr:row>
      <xdr:rowOff>47520</xdr:rowOff>
    </xdr:from>
    <xdr:to>
      <xdr:col>4</xdr:col>
      <xdr:colOff>780120</xdr:colOff>
      <xdr:row>8</xdr:row>
      <xdr:rowOff>84600</xdr:rowOff>
    </xdr:to>
    <xdr:pic>
      <xdr:nvPicPr>
        <xdr:cNvPr id="21" name="image10.png">
          <a:extLst>
            <a:ext uri="{FF2B5EF4-FFF2-40B4-BE49-F238E27FC236}">
              <a16:creationId xmlns:a16="http://schemas.microsoft.com/office/drawing/2014/main" id="{00000000-0008-0000-0800-000015000000}"/>
            </a:ext>
          </a:extLst>
        </xdr:cNvPr>
        <xdr:cNvPicPr/>
      </xdr:nvPicPr>
      <xdr:blipFill>
        <a:blip xmlns:r="http://schemas.openxmlformats.org/officeDocument/2006/relationships" r:embed="rId3"/>
        <a:stretch/>
      </xdr:blipFill>
      <xdr:spPr>
        <a:xfrm>
          <a:off x="3317400" y="952560"/>
          <a:ext cx="703800" cy="579960"/>
        </a:xfrm>
        <a:prstGeom prst="rect">
          <a:avLst/>
        </a:prstGeom>
        <a:ln w="0">
          <a:noFill/>
        </a:ln>
      </xdr:spPr>
    </xdr:pic>
    <xdr:clientData/>
  </xdr:twoCellAnchor>
  <xdr:twoCellAnchor editAs="oneCell">
    <xdr:from>
      <xdr:col>5</xdr:col>
      <xdr:colOff>181080</xdr:colOff>
      <xdr:row>2</xdr:row>
      <xdr:rowOff>85680</xdr:rowOff>
    </xdr:from>
    <xdr:to>
      <xdr:col>7</xdr:col>
      <xdr:colOff>493920</xdr:colOff>
      <xdr:row>4</xdr:row>
      <xdr:rowOff>36720</xdr:rowOff>
    </xdr:to>
    <xdr:pic>
      <xdr:nvPicPr>
        <xdr:cNvPr id="22" name="image8.png">
          <a:extLst>
            <a:ext uri="{FF2B5EF4-FFF2-40B4-BE49-F238E27FC236}">
              <a16:creationId xmlns:a16="http://schemas.microsoft.com/office/drawing/2014/main" id="{00000000-0008-0000-0800-000016000000}"/>
            </a:ext>
          </a:extLst>
        </xdr:cNvPr>
        <xdr:cNvPicPr/>
      </xdr:nvPicPr>
      <xdr:blipFill>
        <a:blip xmlns:r="http://schemas.openxmlformats.org/officeDocument/2006/relationships" r:embed="rId4"/>
        <a:stretch/>
      </xdr:blipFill>
      <xdr:spPr>
        <a:xfrm>
          <a:off x="4297680" y="447480"/>
          <a:ext cx="2084760" cy="313200"/>
        </a:xfrm>
        <a:prstGeom prst="rect">
          <a:avLst/>
        </a:prstGeom>
        <a:ln w="0">
          <a:noFill/>
        </a:ln>
      </xdr:spPr>
    </xdr:pic>
    <xdr:clientData/>
  </xdr:twoCellAnchor>
  <xdr:twoCellAnchor editAs="oneCell">
    <xdr:from>
      <xdr:col>5</xdr:col>
      <xdr:colOff>723960</xdr:colOff>
      <xdr:row>4</xdr:row>
      <xdr:rowOff>85680</xdr:rowOff>
    </xdr:from>
    <xdr:to>
      <xdr:col>6</xdr:col>
      <xdr:colOff>798840</xdr:colOff>
      <xdr:row>7</xdr:row>
      <xdr:rowOff>37080</xdr:rowOff>
    </xdr:to>
    <xdr:pic>
      <xdr:nvPicPr>
        <xdr:cNvPr id="23" name="image9.png">
          <a:extLst>
            <a:ext uri="{FF2B5EF4-FFF2-40B4-BE49-F238E27FC236}">
              <a16:creationId xmlns:a16="http://schemas.microsoft.com/office/drawing/2014/main" id="{00000000-0008-0000-0800-000017000000}"/>
            </a:ext>
          </a:extLst>
        </xdr:cNvPr>
        <xdr:cNvPicPr/>
      </xdr:nvPicPr>
      <xdr:blipFill>
        <a:blip xmlns:r="http://schemas.openxmlformats.org/officeDocument/2006/relationships" r:embed="rId5"/>
        <a:stretch/>
      </xdr:blipFill>
      <xdr:spPr>
        <a:xfrm>
          <a:off x="4840560" y="809640"/>
          <a:ext cx="960840" cy="4942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835920</xdr:colOff>
      <xdr:row>3</xdr:row>
      <xdr:rowOff>41040</xdr:rowOff>
    </xdr:from>
    <xdr:to>
      <xdr:col>7</xdr:col>
      <xdr:colOff>11880</xdr:colOff>
      <xdr:row>16</xdr:row>
      <xdr:rowOff>178200</xdr:rowOff>
    </xdr:to>
    <xdr:graphicFrame macro="">
      <xdr:nvGraphicFramePr>
        <xdr:cNvPr id="24" name="Chart 1">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387360</xdr:colOff>
      <xdr:row>22</xdr:row>
      <xdr:rowOff>109800</xdr:rowOff>
    </xdr:from>
    <xdr:to>
      <xdr:col>5</xdr:col>
      <xdr:colOff>597600</xdr:colOff>
      <xdr:row>25</xdr:row>
      <xdr:rowOff>80280</xdr:rowOff>
    </xdr:to>
    <xdr:pic>
      <xdr:nvPicPr>
        <xdr:cNvPr id="25" name="image11.png">
          <a:extLst>
            <a:ext uri="{FF2B5EF4-FFF2-40B4-BE49-F238E27FC236}">
              <a16:creationId xmlns:a16="http://schemas.microsoft.com/office/drawing/2014/main" id="{00000000-0008-0000-0900-000019000000}"/>
            </a:ext>
          </a:extLst>
        </xdr:cNvPr>
        <xdr:cNvPicPr/>
      </xdr:nvPicPr>
      <xdr:blipFill>
        <a:blip xmlns:r="http://schemas.openxmlformats.org/officeDocument/2006/relationships" r:embed="rId2"/>
        <a:srcRect l="7959"/>
        <a:stretch/>
      </xdr:blipFill>
      <xdr:spPr>
        <a:xfrm>
          <a:off x="3628440" y="4091400"/>
          <a:ext cx="1085760" cy="513360"/>
        </a:xfrm>
        <a:prstGeom prst="rect">
          <a:avLst/>
        </a:prstGeom>
        <a:ln w="0">
          <a:noFill/>
        </a:ln>
      </xdr:spPr>
    </xdr:pic>
    <xdr:clientData/>
  </xdr:twoCellAnchor>
  <xdr:twoCellAnchor editAs="oneCell">
    <xdr:from>
      <xdr:col>4</xdr:col>
      <xdr:colOff>387360</xdr:colOff>
      <xdr:row>25</xdr:row>
      <xdr:rowOff>158760</xdr:rowOff>
    </xdr:from>
    <xdr:to>
      <xdr:col>5</xdr:col>
      <xdr:colOff>819360</xdr:colOff>
      <xdr:row>31</xdr:row>
      <xdr:rowOff>138600</xdr:rowOff>
    </xdr:to>
    <xdr:pic>
      <xdr:nvPicPr>
        <xdr:cNvPr id="26" name="image12.png">
          <a:extLst>
            <a:ext uri="{FF2B5EF4-FFF2-40B4-BE49-F238E27FC236}">
              <a16:creationId xmlns:a16="http://schemas.microsoft.com/office/drawing/2014/main" id="{00000000-0008-0000-0900-00001A000000}"/>
            </a:ext>
          </a:extLst>
        </xdr:cNvPr>
        <xdr:cNvPicPr/>
      </xdr:nvPicPr>
      <xdr:blipFill>
        <a:blip xmlns:r="http://schemas.openxmlformats.org/officeDocument/2006/relationships" r:embed="rId3"/>
        <a:srcRect l="5249"/>
        <a:stretch/>
      </xdr:blipFill>
      <xdr:spPr>
        <a:xfrm>
          <a:off x="3628440" y="4683240"/>
          <a:ext cx="1307520" cy="1065600"/>
        </a:xfrm>
        <a:prstGeom prst="rect">
          <a:avLst/>
        </a:prstGeom>
        <a:ln w="0">
          <a:noFill/>
        </a:ln>
      </xdr:spPr>
    </xdr:pic>
    <xdr:clientData/>
  </xdr:twoCellAnchor>
  <xdr:twoCellAnchor editAs="oneCell">
    <xdr:from>
      <xdr:col>4</xdr:col>
      <xdr:colOff>387360</xdr:colOff>
      <xdr:row>32</xdr:row>
      <xdr:rowOff>59040</xdr:rowOff>
    </xdr:from>
    <xdr:to>
      <xdr:col>6</xdr:col>
      <xdr:colOff>559080</xdr:colOff>
      <xdr:row>33</xdr:row>
      <xdr:rowOff>153360</xdr:rowOff>
    </xdr:to>
    <xdr:pic>
      <xdr:nvPicPr>
        <xdr:cNvPr id="27" name="image13.png">
          <a:extLst>
            <a:ext uri="{FF2B5EF4-FFF2-40B4-BE49-F238E27FC236}">
              <a16:creationId xmlns:a16="http://schemas.microsoft.com/office/drawing/2014/main" id="{00000000-0008-0000-0900-00001B000000}"/>
            </a:ext>
          </a:extLst>
        </xdr:cNvPr>
        <xdr:cNvPicPr/>
      </xdr:nvPicPr>
      <xdr:blipFill>
        <a:blip xmlns:r="http://schemas.openxmlformats.org/officeDocument/2006/relationships" r:embed="rId4"/>
        <a:stretch/>
      </xdr:blipFill>
      <xdr:spPr>
        <a:xfrm>
          <a:off x="3628440" y="5850360"/>
          <a:ext cx="1923120" cy="275040"/>
        </a:xfrm>
        <a:prstGeom prst="rect">
          <a:avLst/>
        </a:prstGeom>
        <a:ln w="0">
          <a:noFill/>
        </a:ln>
      </xdr:spPr>
    </xdr:pic>
    <xdr:clientData/>
  </xdr:twoCellAnchor>
  <xdr:twoCellAnchor editAs="oneCell">
    <xdr:from>
      <xdr:col>4</xdr:col>
      <xdr:colOff>387360</xdr:colOff>
      <xdr:row>20</xdr:row>
      <xdr:rowOff>32040</xdr:rowOff>
    </xdr:from>
    <xdr:to>
      <xdr:col>5</xdr:col>
      <xdr:colOff>52560</xdr:colOff>
      <xdr:row>22</xdr:row>
      <xdr:rowOff>36720</xdr:rowOff>
    </xdr:to>
    <xdr:pic>
      <xdr:nvPicPr>
        <xdr:cNvPr id="28" name="image10.png">
          <a:extLst>
            <a:ext uri="{FF2B5EF4-FFF2-40B4-BE49-F238E27FC236}">
              <a16:creationId xmlns:a16="http://schemas.microsoft.com/office/drawing/2014/main" id="{00000000-0008-0000-0900-00001C000000}"/>
            </a:ext>
          </a:extLst>
        </xdr:cNvPr>
        <xdr:cNvPicPr/>
      </xdr:nvPicPr>
      <xdr:blipFill>
        <a:blip xmlns:r="http://schemas.openxmlformats.org/officeDocument/2006/relationships" r:embed="rId5"/>
        <a:srcRect l="19867" t="23730" b="9665"/>
        <a:stretch/>
      </xdr:blipFill>
      <xdr:spPr>
        <a:xfrm>
          <a:off x="3628440" y="3651480"/>
          <a:ext cx="540720" cy="3668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809640</xdr:colOff>
      <xdr:row>3</xdr:row>
      <xdr:rowOff>95400</xdr:rowOff>
    </xdr:from>
    <xdr:to>
      <xdr:col>14</xdr:col>
      <xdr:colOff>498600</xdr:colOff>
      <xdr:row>19</xdr:row>
      <xdr:rowOff>44280</xdr:rowOff>
    </xdr:to>
    <xdr:graphicFrame macro="">
      <xdr:nvGraphicFramePr>
        <xdr:cNvPr id="29" name="Chart 1">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3</xdr:row>
      <xdr:rowOff>104760</xdr:rowOff>
    </xdr:from>
    <xdr:to>
      <xdr:col>7</xdr:col>
      <xdr:colOff>465120</xdr:colOff>
      <xdr:row>19</xdr:row>
      <xdr:rowOff>53640</xdr:rowOff>
    </xdr:to>
    <xdr:graphicFrame macro="">
      <xdr:nvGraphicFramePr>
        <xdr:cNvPr id="30" name="Chart 2">
          <a:extLst>
            <a:ext uri="{FF2B5EF4-FFF2-40B4-BE49-F238E27FC236}">
              <a16:creationId xmlns:a16="http://schemas.microsoft.com/office/drawing/2014/main" id="{00000000-0008-0000-0A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79200</xdr:colOff>
      <xdr:row>10</xdr:row>
      <xdr:rowOff>61560</xdr:rowOff>
    </xdr:from>
    <xdr:to>
      <xdr:col>10</xdr:col>
      <xdr:colOff>704160</xdr:colOff>
      <xdr:row>25</xdr:row>
      <xdr:rowOff>145080</xdr:rowOff>
    </xdr:to>
    <xdr:graphicFrame macro="">
      <xdr:nvGraphicFramePr>
        <xdr:cNvPr id="31" name="Chart 1">
          <a:extLst>
            <a:ext uri="{FF2B5EF4-FFF2-40B4-BE49-F238E27FC236}">
              <a16:creationId xmlns:a16="http://schemas.microsoft.com/office/drawing/2014/main" id="{00000000-0008-0000-0B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9</xdr:row>
      <xdr:rowOff>104760</xdr:rowOff>
    </xdr:from>
    <xdr:to>
      <xdr:col>5</xdr:col>
      <xdr:colOff>559080</xdr:colOff>
      <xdr:row>25</xdr:row>
      <xdr:rowOff>74880</xdr:rowOff>
    </xdr:to>
    <xdr:graphicFrame macro="">
      <xdr:nvGraphicFramePr>
        <xdr:cNvPr id="32" name="Chart 2">
          <a:extLst>
            <a:ext uri="{FF2B5EF4-FFF2-40B4-BE49-F238E27FC236}">
              <a16:creationId xmlns:a16="http://schemas.microsoft.com/office/drawing/2014/main" id="{00000000-0008-0000-0B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257040</xdr:colOff>
      <xdr:row>28</xdr:row>
      <xdr:rowOff>85680</xdr:rowOff>
    </xdr:from>
    <xdr:to>
      <xdr:col>6</xdr:col>
      <xdr:colOff>247680</xdr:colOff>
      <xdr:row>37</xdr:row>
      <xdr:rowOff>141840</xdr:rowOff>
    </xdr:to>
    <xdr:pic>
      <xdr:nvPicPr>
        <xdr:cNvPr id="33" name="image14.png">
          <a:extLst>
            <a:ext uri="{FF2B5EF4-FFF2-40B4-BE49-F238E27FC236}">
              <a16:creationId xmlns:a16="http://schemas.microsoft.com/office/drawing/2014/main" id="{00000000-0008-0000-0B00-000021000000}"/>
            </a:ext>
          </a:extLst>
        </xdr:cNvPr>
        <xdr:cNvPicPr/>
      </xdr:nvPicPr>
      <xdr:blipFill>
        <a:blip xmlns:r="http://schemas.openxmlformats.org/officeDocument/2006/relationships" r:embed="rId3"/>
        <a:stretch/>
      </xdr:blipFill>
      <xdr:spPr>
        <a:xfrm>
          <a:off x="3498120" y="5153040"/>
          <a:ext cx="1742040" cy="1684800"/>
        </a:xfrm>
        <a:prstGeom prst="rect">
          <a:avLst/>
        </a:prstGeom>
        <a:ln w="0">
          <a:noFill/>
        </a:ln>
      </xdr:spPr>
    </xdr:pic>
    <xdr:clientData/>
  </xdr:twoCellAnchor>
  <xdr:twoCellAnchor editAs="oneCell">
    <xdr:from>
      <xdr:col>6</xdr:col>
      <xdr:colOff>752400</xdr:colOff>
      <xdr:row>29</xdr:row>
      <xdr:rowOff>133200</xdr:rowOff>
    </xdr:from>
    <xdr:to>
      <xdr:col>8</xdr:col>
      <xdr:colOff>438120</xdr:colOff>
      <xdr:row>36</xdr:row>
      <xdr:rowOff>17640</xdr:rowOff>
    </xdr:to>
    <xdr:pic>
      <xdr:nvPicPr>
        <xdr:cNvPr id="34" name="image15.png">
          <a:extLst>
            <a:ext uri="{FF2B5EF4-FFF2-40B4-BE49-F238E27FC236}">
              <a16:creationId xmlns:a16="http://schemas.microsoft.com/office/drawing/2014/main" id="{00000000-0008-0000-0B00-000022000000}"/>
            </a:ext>
          </a:extLst>
        </xdr:cNvPr>
        <xdr:cNvPicPr/>
      </xdr:nvPicPr>
      <xdr:blipFill>
        <a:blip xmlns:r="http://schemas.openxmlformats.org/officeDocument/2006/relationships" r:embed="rId4"/>
        <a:stretch/>
      </xdr:blipFill>
      <xdr:spPr>
        <a:xfrm>
          <a:off x="5744880" y="5381640"/>
          <a:ext cx="1437120" cy="11512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809640</xdr:colOff>
      <xdr:row>9</xdr:row>
      <xdr:rowOff>95400</xdr:rowOff>
    </xdr:from>
    <xdr:to>
      <xdr:col>10</xdr:col>
      <xdr:colOff>592560</xdr:colOff>
      <xdr:row>25</xdr:row>
      <xdr:rowOff>65520</xdr:rowOff>
    </xdr:to>
    <xdr:graphicFrame macro="">
      <xdr:nvGraphicFramePr>
        <xdr:cNvPr id="35" name="Chart 1">
          <a:extLst>
            <a:ext uri="{FF2B5EF4-FFF2-40B4-BE49-F238E27FC236}">
              <a16:creationId xmlns:a16="http://schemas.microsoft.com/office/drawing/2014/main" id="{00000000-0008-0000-0C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9</xdr:row>
      <xdr:rowOff>104760</xdr:rowOff>
    </xdr:from>
    <xdr:to>
      <xdr:col>5</xdr:col>
      <xdr:colOff>559080</xdr:colOff>
      <xdr:row>25</xdr:row>
      <xdr:rowOff>74880</xdr:rowOff>
    </xdr:to>
    <xdr:graphicFrame macro="">
      <xdr:nvGraphicFramePr>
        <xdr:cNvPr id="36" name="Chart 2">
          <a:extLst>
            <a:ext uri="{FF2B5EF4-FFF2-40B4-BE49-F238E27FC236}">
              <a16:creationId xmlns:a16="http://schemas.microsoft.com/office/drawing/2014/main" id="{00000000-0008-0000-0C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504720</xdr:colOff>
      <xdr:row>26</xdr:row>
      <xdr:rowOff>162000</xdr:rowOff>
    </xdr:from>
    <xdr:to>
      <xdr:col>9</xdr:col>
      <xdr:colOff>703800</xdr:colOff>
      <xdr:row>35</xdr:row>
      <xdr:rowOff>132480</xdr:rowOff>
    </xdr:to>
    <xdr:pic>
      <xdr:nvPicPr>
        <xdr:cNvPr id="37" name="Picture 1">
          <a:extLst>
            <a:ext uri="{FF2B5EF4-FFF2-40B4-BE49-F238E27FC236}">
              <a16:creationId xmlns:a16="http://schemas.microsoft.com/office/drawing/2014/main" id="{00000000-0008-0000-0C00-000025000000}"/>
            </a:ext>
          </a:extLst>
        </xdr:cNvPr>
        <xdr:cNvPicPr/>
      </xdr:nvPicPr>
      <xdr:blipFill>
        <a:blip xmlns:r="http://schemas.openxmlformats.org/officeDocument/2006/relationships" r:embed="rId3"/>
        <a:stretch/>
      </xdr:blipFill>
      <xdr:spPr>
        <a:xfrm>
          <a:off x="6372720" y="4867200"/>
          <a:ext cx="1950480" cy="1599480"/>
        </a:xfrm>
        <a:prstGeom prst="rect">
          <a:avLst/>
        </a:prstGeom>
        <a:ln w="0">
          <a:noFill/>
        </a:ln>
      </xdr:spPr>
    </xdr:pic>
    <xdr:clientData/>
  </xdr:twoCellAnchor>
  <xdr:twoCellAnchor editAs="oneCell">
    <xdr:from>
      <xdr:col>4</xdr:col>
      <xdr:colOff>337680</xdr:colOff>
      <xdr:row>28</xdr:row>
      <xdr:rowOff>61560</xdr:rowOff>
    </xdr:from>
    <xdr:to>
      <xdr:col>7</xdr:col>
      <xdr:colOff>220320</xdr:colOff>
      <xdr:row>35</xdr:row>
      <xdr:rowOff>82800</xdr:rowOff>
    </xdr:to>
    <xdr:pic>
      <xdr:nvPicPr>
        <xdr:cNvPr id="38" name="image16.png">
          <a:extLst>
            <a:ext uri="{FF2B5EF4-FFF2-40B4-BE49-F238E27FC236}">
              <a16:creationId xmlns:a16="http://schemas.microsoft.com/office/drawing/2014/main" id="{00000000-0008-0000-0C00-000026000000}"/>
            </a:ext>
          </a:extLst>
        </xdr:cNvPr>
        <xdr:cNvPicPr/>
      </xdr:nvPicPr>
      <xdr:blipFill>
        <a:blip xmlns:r="http://schemas.openxmlformats.org/officeDocument/2006/relationships" r:embed="rId4"/>
        <a:stretch/>
      </xdr:blipFill>
      <xdr:spPr>
        <a:xfrm>
          <a:off x="3578760" y="5128920"/>
          <a:ext cx="2509560" cy="12880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552600</xdr:colOff>
      <xdr:row>9</xdr:row>
      <xdr:rowOff>104760</xdr:rowOff>
    </xdr:from>
    <xdr:to>
      <xdr:col>5</xdr:col>
      <xdr:colOff>559080</xdr:colOff>
      <xdr:row>25</xdr:row>
      <xdr:rowOff>74880</xdr:rowOff>
    </xdr:to>
    <xdr:graphicFrame macro="">
      <xdr:nvGraphicFramePr>
        <xdr:cNvPr id="39" name="Chart 1">
          <a:extLst>
            <a:ext uri="{FF2B5EF4-FFF2-40B4-BE49-F238E27FC236}">
              <a16:creationId xmlns:a16="http://schemas.microsoft.com/office/drawing/2014/main" id="{00000000-0008-0000-0D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162000</xdr:colOff>
      <xdr:row>28</xdr:row>
      <xdr:rowOff>104760</xdr:rowOff>
    </xdr:from>
    <xdr:to>
      <xdr:col>5</xdr:col>
      <xdr:colOff>447480</xdr:colOff>
      <xdr:row>33</xdr:row>
      <xdr:rowOff>18000</xdr:rowOff>
    </xdr:to>
    <xdr:pic>
      <xdr:nvPicPr>
        <xdr:cNvPr id="40" name="image18.png">
          <a:extLst>
            <a:ext uri="{FF2B5EF4-FFF2-40B4-BE49-F238E27FC236}">
              <a16:creationId xmlns:a16="http://schemas.microsoft.com/office/drawing/2014/main" id="{00000000-0008-0000-0D00-000028000000}"/>
            </a:ext>
          </a:extLst>
        </xdr:cNvPr>
        <xdr:cNvPicPr/>
      </xdr:nvPicPr>
      <xdr:blipFill>
        <a:blip xmlns:r="http://schemas.openxmlformats.org/officeDocument/2006/relationships" r:embed="rId2"/>
        <a:stretch/>
      </xdr:blipFill>
      <xdr:spPr>
        <a:xfrm>
          <a:off x="3403080" y="5172120"/>
          <a:ext cx="1161000" cy="81792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419040</xdr:colOff>
      <xdr:row>9</xdr:row>
      <xdr:rowOff>152280</xdr:rowOff>
    </xdr:from>
    <xdr:to>
      <xdr:col>6</xdr:col>
      <xdr:colOff>416520</xdr:colOff>
      <xdr:row>25</xdr:row>
      <xdr:rowOff>122400</xdr:rowOff>
    </xdr:to>
    <xdr:graphicFrame macro="">
      <xdr:nvGraphicFramePr>
        <xdr:cNvPr id="41" name="Chart 1">
          <a:extLst>
            <a:ext uri="{FF2B5EF4-FFF2-40B4-BE49-F238E27FC236}">
              <a16:creationId xmlns:a16="http://schemas.microsoft.com/office/drawing/2014/main" id="{00000000-0008-0000-0E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486000</xdr:colOff>
      <xdr:row>28</xdr:row>
      <xdr:rowOff>60120</xdr:rowOff>
    </xdr:from>
    <xdr:to>
      <xdr:col>5</xdr:col>
      <xdr:colOff>293400</xdr:colOff>
      <xdr:row>32</xdr:row>
      <xdr:rowOff>127080</xdr:rowOff>
    </xdr:to>
    <xdr:pic>
      <xdr:nvPicPr>
        <xdr:cNvPr id="42" name="image19.png">
          <a:extLst>
            <a:ext uri="{FF2B5EF4-FFF2-40B4-BE49-F238E27FC236}">
              <a16:creationId xmlns:a16="http://schemas.microsoft.com/office/drawing/2014/main" id="{00000000-0008-0000-0E00-00002A000000}"/>
            </a:ext>
          </a:extLst>
        </xdr:cNvPr>
        <xdr:cNvPicPr/>
      </xdr:nvPicPr>
      <xdr:blipFill>
        <a:blip xmlns:r="http://schemas.openxmlformats.org/officeDocument/2006/relationships" r:embed="rId2"/>
        <a:srcRect t="4877" b="4828"/>
        <a:stretch/>
      </xdr:blipFill>
      <xdr:spPr>
        <a:xfrm>
          <a:off x="3727080" y="5127480"/>
          <a:ext cx="682920" cy="7909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552600</xdr:colOff>
      <xdr:row>2</xdr:row>
      <xdr:rowOff>104760</xdr:rowOff>
    </xdr:from>
    <xdr:to>
      <xdr:col>7</xdr:col>
      <xdr:colOff>162720</xdr:colOff>
      <xdr:row>18</xdr:row>
      <xdr:rowOff>74880</xdr:rowOff>
    </xdr:to>
    <xdr:graphicFrame macro="">
      <xdr:nvGraphicFramePr>
        <xdr:cNvPr id="43" name="Chart 1">
          <a:extLst>
            <a:ext uri="{FF2B5EF4-FFF2-40B4-BE49-F238E27FC236}">
              <a16:creationId xmlns:a16="http://schemas.microsoft.com/office/drawing/2014/main" id="{00000000-0008-0000-0F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128160</xdr:colOff>
      <xdr:row>27</xdr:row>
      <xdr:rowOff>103680</xdr:rowOff>
    </xdr:from>
    <xdr:to>
      <xdr:col>14</xdr:col>
      <xdr:colOff>415080</xdr:colOff>
      <xdr:row>30</xdr:row>
      <xdr:rowOff>121680</xdr:rowOff>
    </xdr:to>
    <xdr:pic>
      <xdr:nvPicPr>
        <xdr:cNvPr id="44" name="image21.png">
          <a:extLst>
            <a:ext uri="{FF2B5EF4-FFF2-40B4-BE49-F238E27FC236}">
              <a16:creationId xmlns:a16="http://schemas.microsoft.com/office/drawing/2014/main" id="{00000000-0008-0000-0F00-00002C000000}"/>
            </a:ext>
          </a:extLst>
        </xdr:cNvPr>
        <xdr:cNvPicPr/>
      </xdr:nvPicPr>
      <xdr:blipFill>
        <a:blip xmlns:r="http://schemas.openxmlformats.org/officeDocument/2006/relationships" r:embed="rId2"/>
        <a:srcRect l="3812" r="1775"/>
        <a:stretch/>
      </xdr:blipFill>
      <xdr:spPr>
        <a:xfrm>
          <a:off x="9469080" y="4989960"/>
          <a:ext cx="2058480" cy="560880"/>
        </a:xfrm>
        <a:prstGeom prst="rect">
          <a:avLst/>
        </a:prstGeom>
        <a:ln w="0">
          <a:noFill/>
        </a:ln>
      </xdr:spPr>
    </xdr:pic>
    <xdr:clientData/>
  </xdr:twoCellAnchor>
  <xdr:twoCellAnchor editAs="oneCell">
    <xdr:from>
      <xdr:col>12</xdr:col>
      <xdr:colOff>128160</xdr:colOff>
      <xdr:row>31</xdr:row>
      <xdr:rowOff>93960</xdr:rowOff>
    </xdr:from>
    <xdr:to>
      <xdr:col>14</xdr:col>
      <xdr:colOff>92160</xdr:colOff>
      <xdr:row>35</xdr:row>
      <xdr:rowOff>121320</xdr:rowOff>
    </xdr:to>
    <xdr:pic>
      <xdr:nvPicPr>
        <xdr:cNvPr id="45" name="image22.png">
          <a:extLst>
            <a:ext uri="{FF2B5EF4-FFF2-40B4-BE49-F238E27FC236}">
              <a16:creationId xmlns:a16="http://schemas.microsoft.com/office/drawing/2014/main" id="{00000000-0008-0000-0F00-00002D000000}"/>
            </a:ext>
          </a:extLst>
        </xdr:cNvPr>
        <xdr:cNvPicPr/>
      </xdr:nvPicPr>
      <xdr:blipFill>
        <a:blip xmlns:r="http://schemas.openxmlformats.org/officeDocument/2006/relationships" r:embed="rId3"/>
        <a:srcRect l="6503"/>
        <a:stretch/>
      </xdr:blipFill>
      <xdr:spPr>
        <a:xfrm>
          <a:off x="9469080" y="5704200"/>
          <a:ext cx="1735560" cy="751320"/>
        </a:xfrm>
        <a:prstGeom prst="rect">
          <a:avLst/>
        </a:prstGeom>
        <a:ln w="0">
          <a:noFill/>
        </a:ln>
      </xdr:spPr>
    </xdr:pic>
    <xdr:clientData/>
  </xdr:twoCellAnchor>
  <xdr:twoCellAnchor editAs="oneCell">
    <xdr:from>
      <xdr:col>12</xdr:col>
      <xdr:colOff>128160</xdr:colOff>
      <xdr:row>36</xdr:row>
      <xdr:rowOff>143640</xdr:rowOff>
    </xdr:from>
    <xdr:to>
      <xdr:col>14</xdr:col>
      <xdr:colOff>337320</xdr:colOff>
      <xdr:row>41</xdr:row>
      <xdr:rowOff>95040</xdr:rowOff>
    </xdr:to>
    <xdr:pic>
      <xdr:nvPicPr>
        <xdr:cNvPr id="46" name="image20.png">
          <a:extLst>
            <a:ext uri="{FF2B5EF4-FFF2-40B4-BE49-F238E27FC236}">
              <a16:creationId xmlns:a16="http://schemas.microsoft.com/office/drawing/2014/main" id="{00000000-0008-0000-0F00-00002E000000}"/>
            </a:ext>
          </a:extLst>
        </xdr:cNvPr>
        <xdr:cNvPicPr/>
      </xdr:nvPicPr>
      <xdr:blipFill>
        <a:blip xmlns:r="http://schemas.openxmlformats.org/officeDocument/2006/relationships" r:embed="rId4"/>
        <a:srcRect l="2760"/>
        <a:stretch/>
      </xdr:blipFill>
      <xdr:spPr>
        <a:xfrm>
          <a:off x="9469080" y="6658920"/>
          <a:ext cx="1980720" cy="8560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1800</xdr:colOff>
      <xdr:row>2</xdr:row>
      <xdr:rowOff>104760</xdr:rowOff>
    </xdr:from>
    <xdr:to>
      <xdr:col>5</xdr:col>
      <xdr:colOff>767520</xdr:colOff>
      <xdr:row>17</xdr:row>
      <xdr:rowOff>172080</xdr:rowOff>
    </xdr:to>
    <xdr:graphicFrame macro="">
      <xdr:nvGraphicFramePr>
        <xdr:cNvPr id="47" name="Chart 1">
          <a:extLst>
            <a:ext uri="{FF2B5EF4-FFF2-40B4-BE49-F238E27FC236}">
              <a16:creationId xmlns:a16="http://schemas.microsoft.com/office/drawing/2014/main" id="{00000000-0008-0000-10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147240</xdr:colOff>
      <xdr:row>36</xdr:row>
      <xdr:rowOff>41040</xdr:rowOff>
    </xdr:from>
    <xdr:to>
      <xdr:col>10</xdr:col>
      <xdr:colOff>690480</xdr:colOff>
      <xdr:row>51</xdr:row>
      <xdr:rowOff>18720</xdr:rowOff>
    </xdr:to>
    <xdr:pic>
      <xdr:nvPicPr>
        <xdr:cNvPr id="48" name="image23.png">
          <a:extLst>
            <a:ext uri="{FF2B5EF4-FFF2-40B4-BE49-F238E27FC236}">
              <a16:creationId xmlns:a16="http://schemas.microsoft.com/office/drawing/2014/main" id="{00000000-0008-0000-1000-000030000000}"/>
            </a:ext>
          </a:extLst>
        </xdr:cNvPr>
        <xdr:cNvPicPr/>
      </xdr:nvPicPr>
      <xdr:blipFill>
        <a:blip xmlns:r="http://schemas.openxmlformats.org/officeDocument/2006/relationships" r:embed="rId2"/>
        <a:srcRect l="5011"/>
        <a:stretch/>
      </xdr:blipFill>
      <xdr:spPr>
        <a:xfrm>
          <a:off x="6025320" y="6556320"/>
          <a:ext cx="3200760" cy="2692080"/>
        </a:xfrm>
        <a:prstGeom prst="rect">
          <a:avLst/>
        </a:prstGeom>
        <a:ln w="0">
          <a:noFill/>
        </a:ln>
      </xdr:spPr>
    </xdr:pic>
    <xdr:clientData/>
  </xdr:twoCellAnchor>
  <xdr:twoCellAnchor editAs="oneCell">
    <xdr:from>
      <xdr:col>7</xdr:col>
      <xdr:colOff>108720</xdr:colOff>
      <xdr:row>31</xdr:row>
      <xdr:rowOff>34560</xdr:rowOff>
    </xdr:from>
    <xdr:to>
      <xdr:col>10</xdr:col>
      <xdr:colOff>493200</xdr:colOff>
      <xdr:row>34</xdr:row>
      <xdr:rowOff>64440</xdr:rowOff>
    </xdr:to>
    <xdr:pic>
      <xdr:nvPicPr>
        <xdr:cNvPr id="49" name="image24.png">
          <a:extLst>
            <a:ext uri="{FF2B5EF4-FFF2-40B4-BE49-F238E27FC236}">
              <a16:creationId xmlns:a16="http://schemas.microsoft.com/office/drawing/2014/main" id="{00000000-0008-0000-1000-000031000000}"/>
            </a:ext>
          </a:extLst>
        </xdr:cNvPr>
        <xdr:cNvPicPr/>
      </xdr:nvPicPr>
      <xdr:blipFill>
        <a:blip xmlns:r="http://schemas.openxmlformats.org/officeDocument/2006/relationships" r:embed="rId3"/>
        <a:stretch/>
      </xdr:blipFill>
      <xdr:spPr>
        <a:xfrm>
          <a:off x="5986800" y="5644800"/>
          <a:ext cx="3042000" cy="57276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366840</xdr:colOff>
      <xdr:row>2</xdr:row>
      <xdr:rowOff>104760</xdr:rowOff>
    </xdr:from>
    <xdr:to>
      <xdr:col>17</xdr:col>
      <xdr:colOff>450720</xdr:colOff>
      <xdr:row>17</xdr:row>
      <xdr:rowOff>120600</xdr:rowOff>
    </xdr:to>
    <xdr:graphicFrame macro="">
      <xdr:nvGraphicFramePr>
        <xdr:cNvPr id="50" name="Chart 1">
          <a:extLst>
            <a:ext uri="{FF2B5EF4-FFF2-40B4-BE49-F238E27FC236}">
              <a16:creationId xmlns:a16="http://schemas.microsoft.com/office/drawing/2014/main" id="{00000000-0008-0000-11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19080</xdr:colOff>
      <xdr:row>2</xdr:row>
      <xdr:rowOff>104760</xdr:rowOff>
    </xdr:from>
    <xdr:to>
      <xdr:col>8</xdr:col>
      <xdr:colOff>797760</xdr:colOff>
      <xdr:row>17</xdr:row>
      <xdr:rowOff>120600</xdr:rowOff>
    </xdr:to>
    <xdr:graphicFrame macro="">
      <xdr:nvGraphicFramePr>
        <xdr:cNvPr id="51" name="Chart 2">
          <a:extLst>
            <a:ext uri="{FF2B5EF4-FFF2-40B4-BE49-F238E27FC236}">
              <a16:creationId xmlns:a16="http://schemas.microsoft.com/office/drawing/2014/main" id="{00000000-0008-0000-11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629280</xdr:colOff>
      <xdr:row>22</xdr:row>
      <xdr:rowOff>0</xdr:rowOff>
    </xdr:from>
    <xdr:to>
      <xdr:col>6</xdr:col>
      <xdr:colOff>734400</xdr:colOff>
      <xdr:row>26</xdr:row>
      <xdr:rowOff>132480</xdr:rowOff>
    </xdr:to>
    <xdr:pic>
      <xdr:nvPicPr>
        <xdr:cNvPr id="52" name="image25.png">
          <a:extLst>
            <a:ext uri="{FF2B5EF4-FFF2-40B4-BE49-F238E27FC236}">
              <a16:creationId xmlns:a16="http://schemas.microsoft.com/office/drawing/2014/main" id="{00000000-0008-0000-1100-000034000000}"/>
            </a:ext>
          </a:extLst>
        </xdr:cNvPr>
        <xdr:cNvPicPr/>
      </xdr:nvPicPr>
      <xdr:blipFill>
        <a:blip xmlns:r="http://schemas.openxmlformats.org/officeDocument/2006/relationships" r:embed="rId3"/>
        <a:srcRect l="11895"/>
        <a:stretch/>
      </xdr:blipFill>
      <xdr:spPr>
        <a:xfrm>
          <a:off x="4745880" y="3981600"/>
          <a:ext cx="981000" cy="856080"/>
        </a:xfrm>
        <a:prstGeom prst="rect">
          <a:avLst/>
        </a:prstGeom>
        <a:ln w="0">
          <a:noFill/>
        </a:ln>
      </xdr:spPr>
    </xdr:pic>
    <xdr:clientData/>
  </xdr:twoCellAnchor>
  <xdr:twoCellAnchor editAs="oneCell">
    <xdr:from>
      <xdr:col>5</xdr:col>
      <xdr:colOff>629280</xdr:colOff>
      <xdr:row>27</xdr:row>
      <xdr:rowOff>124560</xdr:rowOff>
    </xdr:from>
    <xdr:to>
      <xdr:col>7</xdr:col>
      <xdr:colOff>494640</xdr:colOff>
      <xdr:row>33</xdr:row>
      <xdr:rowOff>152280</xdr:rowOff>
    </xdr:to>
    <xdr:pic>
      <xdr:nvPicPr>
        <xdr:cNvPr id="53" name="image27.png">
          <a:extLst>
            <a:ext uri="{FF2B5EF4-FFF2-40B4-BE49-F238E27FC236}">
              <a16:creationId xmlns:a16="http://schemas.microsoft.com/office/drawing/2014/main" id="{00000000-0008-0000-1100-000035000000}"/>
            </a:ext>
          </a:extLst>
        </xdr:cNvPr>
        <xdr:cNvPicPr/>
      </xdr:nvPicPr>
      <xdr:blipFill>
        <a:blip xmlns:r="http://schemas.openxmlformats.org/officeDocument/2006/relationships" r:embed="rId4"/>
        <a:srcRect l="13338"/>
        <a:stretch/>
      </xdr:blipFill>
      <xdr:spPr>
        <a:xfrm>
          <a:off x="4745880" y="5010840"/>
          <a:ext cx="1616760" cy="1113480"/>
        </a:xfrm>
        <a:prstGeom prst="rect">
          <a:avLst/>
        </a:prstGeom>
        <a:ln w="0">
          <a:noFill/>
        </a:ln>
      </xdr:spPr>
    </xdr:pic>
    <xdr:clientData/>
  </xdr:twoCellAnchor>
  <xdr:twoCellAnchor editAs="oneCell">
    <xdr:from>
      <xdr:col>5</xdr:col>
      <xdr:colOff>629280</xdr:colOff>
      <xdr:row>34</xdr:row>
      <xdr:rowOff>165600</xdr:rowOff>
    </xdr:from>
    <xdr:to>
      <xdr:col>13</xdr:col>
      <xdr:colOff>42480</xdr:colOff>
      <xdr:row>39</xdr:row>
      <xdr:rowOff>30960</xdr:rowOff>
    </xdr:to>
    <xdr:pic>
      <xdr:nvPicPr>
        <xdr:cNvPr id="54" name="image26.png">
          <a:extLst>
            <a:ext uri="{FF2B5EF4-FFF2-40B4-BE49-F238E27FC236}">
              <a16:creationId xmlns:a16="http://schemas.microsoft.com/office/drawing/2014/main" id="{00000000-0008-0000-1100-000036000000}"/>
            </a:ext>
          </a:extLst>
        </xdr:cNvPr>
        <xdr:cNvPicPr/>
      </xdr:nvPicPr>
      <xdr:blipFill>
        <a:blip xmlns:r="http://schemas.openxmlformats.org/officeDocument/2006/relationships" r:embed="rId5"/>
        <a:stretch/>
      </xdr:blipFill>
      <xdr:spPr>
        <a:xfrm>
          <a:off x="4745880" y="6318720"/>
          <a:ext cx="6418800" cy="7704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47520</xdr:colOff>
      <xdr:row>2</xdr:row>
      <xdr:rowOff>76320</xdr:rowOff>
    </xdr:from>
    <xdr:to>
      <xdr:col>18</xdr:col>
      <xdr:colOff>460800</xdr:colOff>
      <xdr:row>18</xdr:row>
      <xdr:rowOff>46440</xdr:rowOff>
    </xdr:to>
    <xdr:graphicFrame macro="">
      <xdr:nvGraphicFramePr>
        <xdr:cNvPr id="55" name="Chart 1">
          <a:extLst>
            <a:ext uri="{FF2B5EF4-FFF2-40B4-BE49-F238E27FC236}">
              <a16:creationId xmlns:a16="http://schemas.microsoft.com/office/drawing/2014/main" id="{00000000-0008-0000-12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295200</xdr:colOff>
      <xdr:row>22</xdr:row>
      <xdr:rowOff>9360</xdr:rowOff>
    </xdr:from>
    <xdr:to>
      <xdr:col>18</xdr:col>
      <xdr:colOff>674640</xdr:colOff>
      <xdr:row>24</xdr:row>
      <xdr:rowOff>142200</xdr:rowOff>
    </xdr:to>
    <xdr:pic>
      <xdr:nvPicPr>
        <xdr:cNvPr id="56" name="image29.png">
          <a:extLst>
            <a:ext uri="{FF2B5EF4-FFF2-40B4-BE49-F238E27FC236}">
              <a16:creationId xmlns:a16="http://schemas.microsoft.com/office/drawing/2014/main" id="{00000000-0008-0000-1200-000038000000}"/>
            </a:ext>
          </a:extLst>
        </xdr:cNvPr>
        <xdr:cNvPicPr/>
      </xdr:nvPicPr>
      <xdr:blipFill>
        <a:blip xmlns:r="http://schemas.openxmlformats.org/officeDocument/2006/relationships" r:embed="rId2"/>
        <a:stretch/>
      </xdr:blipFill>
      <xdr:spPr>
        <a:xfrm>
          <a:off x="11508840" y="3990960"/>
          <a:ext cx="4757760" cy="494640"/>
        </a:xfrm>
        <a:prstGeom prst="rect">
          <a:avLst/>
        </a:prstGeom>
        <a:ln w="0">
          <a:noFill/>
        </a:ln>
      </xdr:spPr>
    </xdr:pic>
    <xdr:clientData/>
  </xdr:twoCellAnchor>
  <xdr:twoCellAnchor editAs="oneCell">
    <xdr:from>
      <xdr:col>13</xdr:col>
      <xdr:colOff>295200</xdr:colOff>
      <xdr:row>25</xdr:row>
      <xdr:rowOff>127800</xdr:rowOff>
    </xdr:from>
    <xdr:to>
      <xdr:col>16</xdr:col>
      <xdr:colOff>791640</xdr:colOff>
      <xdr:row>31</xdr:row>
      <xdr:rowOff>64440</xdr:rowOff>
    </xdr:to>
    <xdr:pic>
      <xdr:nvPicPr>
        <xdr:cNvPr id="57" name="image28.png">
          <a:extLst>
            <a:ext uri="{FF2B5EF4-FFF2-40B4-BE49-F238E27FC236}">
              <a16:creationId xmlns:a16="http://schemas.microsoft.com/office/drawing/2014/main" id="{00000000-0008-0000-1200-000039000000}"/>
            </a:ext>
          </a:extLst>
        </xdr:cNvPr>
        <xdr:cNvPicPr/>
      </xdr:nvPicPr>
      <xdr:blipFill>
        <a:blip xmlns:r="http://schemas.openxmlformats.org/officeDocument/2006/relationships" r:embed="rId3"/>
        <a:srcRect l="4280"/>
        <a:stretch/>
      </xdr:blipFill>
      <xdr:spPr>
        <a:xfrm>
          <a:off x="11508840" y="4652280"/>
          <a:ext cx="3123360" cy="102240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showGridLines="0" zoomScaleNormal="100" workbookViewId="0">
      <selection activeCell="D21" sqref="D21"/>
    </sheetView>
  </sheetViews>
  <sheetFormatPr defaultColWidth="14.453125" defaultRowHeight="14.5" x14ac:dyDescent="0.35"/>
  <cols>
    <col min="1" max="9" width="8.7265625" customWidth="1"/>
    <col min="10" max="12" width="11.453125" customWidth="1"/>
    <col min="13" max="26" width="8.7265625" customWidth="1"/>
  </cols>
  <sheetData>
    <row r="1" spans="1:26" ht="14.25" customHeight="1" x14ac:dyDescent="0.35">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4.25" customHeight="1" x14ac:dyDescent="0.3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4.25" customHeight="1" x14ac:dyDescent="0.3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ht="14.25" customHeight="1" x14ac:dyDescent="0.35">
      <c r="A4" s="15"/>
      <c r="B4" s="15"/>
      <c r="C4" s="15"/>
      <c r="D4" s="7"/>
      <c r="E4" s="7"/>
      <c r="F4" s="7"/>
      <c r="G4" s="7"/>
      <c r="H4" s="7"/>
      <c r="I4" s="7"/>
      <c r="J4" s="7"/>
      <c r="K4" s="7"/>
      <c r="L4" s="7"/>
      <c r="M4" s="7"/>
      <c r="N4" s="7"/>
      <c r="O4" s="7"/>
      <c r="P4" s="7"/>
      <c r="Q4" s="7"/>
      <c r="R4" s="7"/>
      <c r="S4" s="15"/>
      <c r="T4" s="15"/>
      <c r="U4" s="15"/>
      <c r="V4" s="15"/>
      <c r="W4" s="15"/>
      <c r="X4" s="15"/>
      <c r="Y4" s="15"/>
      <c r="Z4" s="15"/>
    </row>
    <row r="5" spans="1:26" ht="14.25" customHeight="1" x14ac:dyDescent="0.35">
      <c r="A5" s="15"/>
      <c r="B5" s="15"/>
      <c r="C5" s="15"/>
      <c r="D5" s="7"/>
      <c r="E5" s="7"/>
      <c r="F5" s="7"/>
      <c r="G5" s="7"/>
      <c r="H5" s="7"/>
      <c r="I5" s="7"/>
      <c r="J5" s="7"/>
      <c r="K5" s="7"/>
      <c r="L5" s="7"/>
      <c r="M5" s="7"/>
      <c r="N5" s="7"/>
      <c r="O5" s="7"/>
      <c r="P5" s="7"/>
      <c r="Q5" s="7"/>
      <c r="R5" s="7"/>
      <c r="S5" s="15"/>
      <c r="T5" s="15"/>
      <c r="U5" s="15"/>
      <c r="V5" s="15"/>
      <c r="W5" s="15"/>
      <c r="X5" s="15"/>
      <c r="Y5" s="15"/>
      <c r="Z5" s="15"/>
    </row>
    <row r="6" spans="1:26" ht="40.5" customHeight="1" x14ac:dyDescent="0.45">
      <c r="A6" s="15"/>
      <c r="B6" s="15"/>
      <c r="C6" s="15"/>
      <c r="D6" s="6" t="s">
        <v>0</v>
      </c>
      <c r="E6" s="6"/>
      <c r="F6" s="6"/>
      <c r="G6" s="6"/>
      <c r="H6" s="6"/>
      <c r="I6" s="6"/>
      <c r="J6" s="6"/>
      <c r="K6" s="6"/>
      <c r="L6" s="6"/>
      <c r="M6" s="6"/>
      <c r="N6" s="6"/>
      <c r="O6" s="6"/>
      <c r="P6" s="6"/>
      <c r="Q6" s="6"/>
      <c r="R6" s="6"/>
      <c r="S6" s="15"/>
      <c r="T6" s="15"/>
      <c r="U6" s="15"/>
      <c r="V6" s="15"/>
      <c r="W6" s="15"/>
      <c r="X6" s="15"/>
      <c r="Y6" s="15"/>
      <c r="Z6" s="15"/>
    </row>
    <row r="7" spans="1:26" ht="45" customHeight="1" x14ac:dyDescent="0.45">
      <c r="A7" s="15"/>
      <c r="B7" s="15"/>
      <c r="C7" s="15"/>
      <c r="D7" s="6" t="s">
        <v>1</v>
      </c>
      <c r="E7" s="6"/>
      <c r="F7" s="6"/>
      <c r="G7" s="6"/>
      <c r="H7" s="6"/>
      <c r="I7" s="6"/>
      <c r="J7" s="6"/>
      <c r="K7" s="6"/>
      <c r="L7" s="6"/>
      <c r="M7" s="6"/>
      <c r="N7" s="6"/>
      <c r="O7" s="6"/>
      <c r="P7" s="6"/>
      <c r="Q7" s="6"/>
      <c r="R7" s="6"/>
      <c r="S7" s="15"/>
      <c r="T7" s="15"/>
      <c r="U7" s="15"/>
      <c r="V7" s="15"/>
      <c r="W7" s="15"/>
      <c r="X7" s="15"/>
      <c r="Y7" s="15"/>
      <c r="Z7" s="15"/>
    </row>
    <row r="8" spans="1:26" ht="14.25" customHeight="1" x14ac:dyDescent="0.35">
      <c r="A8" s="15"/>
      <c r="B8" s="15"/>
      <c r="C8" s="15"/>
      <c r="D8" s="5"/>
      <c r="E8" s="5"/>
      <c r="F8" s="5"/>
      <c r="G8" s="5"/>
      <c r="H8" s="5"/>
      <c r="I8" s="5"/>
      <c r="J8" s="5"/>
      <c r="K8" s="5"/>
      <c r="L8" s="5"/>
      <c r="M8" s="5"/>
      <c r="N8" s="5"/>
      <c r="O8" s="5"/>
      <c r="P8" s="5"/>
      <c r="Q8" s="5"/>
      <c r="R8" s="5"/>
      <c r="S8" s="15"/>
      <c r="T8" s="15"/>
      <c r="U8" s="15"/>
      <c r="V8" s="15"/>
      <c r="W8" s="15"/>
      <c r="X8" s="15"/>
      <c r="Y8" s="15"/>
      <c r="Z8" s="15"/>
    </row>
    <row r="9" spans="1:26" ht="14.25" customHeight="1" x14ac:dyDescent="0.35">
      <c r="A9" s="15"/>
      <c r="B9" s="15"/>
      <c r="C9" s="15"/>
      <c r="D9" s="5"/>
      <c r="E9" s="5"/>
      <c r="F9" s="5"/>
      <c r="G9" s="5"/>
      <c r="H9" s="5"/>
      <c r="I9" s="5"/>
      <c r="J9" s="5"/>
      <c r="K9" s="5"/>
      <c r="L9" s="5"/>
      <c r="M9" s="5"/>
      <c r="N9" s="5"/>
      <c r="O9" s="5"/>
      <c r="P9" s="5"/>
      <c r="Q9" s="5"/>
      <c r="R9" s="5"/>
      <c r="S9" s="15"/>
      <c r="T9" s="15"/>
      <c r="U9" s="15"/>
      <c r="V9" s="15"/>
      <c r="W9" s="15"/>
      <c r="X9" s="15"/>
      <c r="Y9" s="15"/>
      <c r="Z9" s="15"/>
    </row>
    <row r="10" spans="1:26" ht="14.25" customHeight="1" x14ac:dyDescent="0.35">
      <c r="A10" s="15"/>
      <c r="B10" s="15"/>
      <c r="C10" s="15"/>
      <c r="D10" s="5"/>
      <c r="E10" s="5"/>
      <c r="F10" s="5"/>
      <c r="G10" s="5"/>
      <c r="H10" s="5"/>
      <c r="I10" s="5"/>
      <c r="J10" s="5"/>
      <c r="K10" s="5"/>
      <c r="L10" s="5"/>
      <c r="M10" s="5"/>
      <c r="N10" s="5"/>
      <c r="O10" s="5"/>
      <c r="P10" s="5"/>
      <c r="Q10" s="5"/>
      <c r="R10" s="5"/>
      <c r="S10" s="15"/>
      <c r="T10" s="15"/>
      <c r="U10" s="15"/>
      <c r="V10" s="15"/>
      <c r="W10" s="15"/>
      <c r="X10" s="15"/>
      <c r="Y10" s="15"/>
      <c r="Z10" s="15"/>
    </row>
    <row r="11" spans="1:26" ht="14.25" customHeight="1" x14ac:dyDescent="0.35">
      <c r="A11" s="15"/>
      <c r="B11" s="15"/>
      <c r="C11" s="15"/>
      <c r="D11" s="15"/>
      <c r="E11" s="15"/>
      <c r="F11" s="15"/>
      <c r="G11" s="15"/>
      <c r="H11" s="16"/>
      <c r="I11" s="16"/>
      <c r="J11" s="16"/>
      <c r="K11" s="16"/>
      <c r="L11" s="16"/>
      <c r="M11" s="16"/>
      <c r="N11" s="16"/>
      <c r="O11" s="15"/>
      <c r="P11" s="15"/>
      <c r="Q11" s="15"/>
      <c r="R11" s="15"/>
      <c r="S11" s="15"/>
      <c r="T11" s="15"/>
      <c r="U11" s="15"/>
      <c r="V11" s="15"/>
      <c r="W11" s="15"/>
      <c r="X11" s="15"/>
      <c r="Y11" s="15"/>
      <c r="Z11" s="15"/>
    </row>
    <row r="12" spans="1:26" ht="14.25" customHeight="1" x14ac:dyDescent="0.35">
      <c r="A12" s="15"/>
      <c r="B12" s="15"/>
      <c r="C12" s="15"/>
      <c r="D12" s="15"/>
      <c r="E12" s="15"/>
      <c r="F12" s="15"/>
      <c r="G12" s="15"/>
      <c r="H12" s="16"/>
      <c r="I12" s="16"/>
      <c r="J12" s="16"/>
      <c r="K12" s="16"/>
      <c r="L12" s="16"/>
      <c r="M12" s="16"/>
      <c r="N12" s="16"/>
      <c r="O12" s="15"/>
      <c r="P12" s="15"/>
      <c r="Q12" s="15"/>
      <c r="R12" s="15"/>
      <c r="S12" s="15"/>
      <c r="T12" s="15"/>
      <c r="U12" s="15"/>
      <c r="V12" s="15"/>
      <c r="W12" s="15"/>
      <c r="X12" s="15"/>
      <c r="Y12" s="15"/>
      <c r="Z12" s="15"/>
    </row>
    <row r="13" spans="1:26" ht="14.25" customHeight="1" x14ac:dyDescent="0.35">
      <c r="A13" s="15"/>
      <c r="B13" s="15"/>
      <c r="C13" s="15"/>
      <c r="D13" s="15"/>
      <c r="E13" s="15"/>
      <c r="F13" s="15"/>
      <c r="G13" s="17"/>
      <c r="H13" s="17"/>
      <c r="I13" s="17"/>
      <c r="J13" s="17"/>
      <c r="K13" s="18" t="s">
        <v>2</v>
      </c>
      <c r="L13" s="15"/>
      <c r="M13" s="19"/>
      <c r="N13" s="16"/>
      <c r="O13" s="15"/>
      <c r="P13" s="15"/>
      <c r="Q13" s="15"/>
      <c r="R13" s="15"/>
      <c r="S13" s="15"/>
      <c r="T13" s="15"/>
      <c r="U13" s="15"/>
      <c r="V13" s="15"/>
      <c r="W13" s="15"/>
      <c r="X13" s="15"/>
      <c r="Y13" s="15"/>
      <c r="Z13" s="15"/>
    </row>
    <row r="14" spans="1:26" ht="25.5" customHeight="1" x14ac:dyDescent="0.35">
      <c r="A14" s="15"/>
      <c r="B14" s="15"/>
      <c r="C14" s="15"/>
      <c r="D14" s="15"/>
      <c r="E14" s="15"/>
      <c r="F14" s="15"/>
      <c r="G14" s="15"/>
      <c r="H14" s="15"/>
      <c r="I14" s="4" t="s">
        <v>3</v>
      </c>
      <c r="J14" s="4"/>
      <c r="K14" s="4"/>
      <c r="L14" s="4"/>
      <c r="M14" s="4"/>
      <c r="N14" s="15"/>
      <c r="O14" s="15"/>
      <c r="P14" s="15"/>
      <c r="Q14" s="15"/>
      <c r="R14" s="15"/>
      <c r="S14" s="15"/>
      <c r="T14" s="15"/>
      <c r="U14" s="15"/>
      <c r="V14" s="15"/>
      <c r="W14" s="15"/>
      <c r="X14" s="15"/>
      <c r="Y14" s="15"/>
      <c r="Z14" s="15"/>
    </row>
    <row r="15" spans="1:26" ht="17.25" customHeight="1" x14ac:dyDescent="0.35">
      <c r="A15" s="15"/>
      <c r="B15" s="15"/>
      <c r="C15" s="15"/>
      <c r="D15" s="15"/>
      <c r="E15" s="15"/>
      <c r="F15" s="15"/>
      <c r="G15" s="15"/>
      <c r="H15" s="15"/>
      <c r="I15" s="4"/>
      <c r="J15" s="4"/>
      <c r="K15" s="4"/>
      <c r="L15" s="4"/>
      <c r="M15" s="4"/>
      <c r="N15" s="15"/>
      <c r="O15" s="15"/>
      <c r="P15" s="15"/>
      <c r="Q15" s="15"/>
      <c r="R15" s="15"/>
      <c r="S15" s="15"/>
      <c r="T15" s="15"/>
      <c r="U15" s="15"/>
      <c r="V15" s="15"/>
      <c r="W15" s="15"/>
      <c r="X15" s="15"/>
      <c r="Y15" s="15"/>
      <c r="Z15" s="15"/>
    </row>
    <row r="16" spans="1:26" ht="14.25" customHeight="1" x14ac:dyDescent="0.35">
      <c r="A16" s="15"/>
      <c r="B16" s="15"/>
      <c r="C16" s="15"/>
      <c r="D16" s="15"/>
      <c r="E16" s="15"/>
      <c r="F16" s="15"/>
      <c r="G16" s="15"/>
      <c r="H16" s="15"/>
      <c r="I16" s="4"/>
      <c r="J16" s="4"/>
      <c r="K16" s="4"/>
      <c r="L16" s="4"/>
      <c r="M16" s="4"/>
      <c r="N16" s="15"/>
      <c r="O16" s="15"/>
      <c r="P16" s="15"/>
      <c r="Q16" s="15"/>
      <c r="R16" s="15"/>
      <c r="S16" s="15"/>
      <c r="T16" s="15"/>
      <c r="U16" s="15"/>
      <c r="V16" s="15"/>
      <c r="W16" s="15"/>
      <c r="X16" s="15"/>
      <c r="Y16" s="15"/>
      <c r="Z16" s="15"/>
    </row>
    <row r="17" spans="1:26" ht="14.25" customHeight="1" x14ac:dyDescent="0.35">
      <c r="A17" s="15"/>
      <c r="B17" s="15"/>
      <c r="C17" s="15"/>
      <c r="D17" s="20"/>
      <c r="E17" s="20"/>
      <c r="F17" s="20"/>
      <c r="G17" s="20"/>
      <c r="H17" s="20"/>
      <c r="I17" s="20"/>
      <c r="J17" s="20"/>
      <c r="K17" s="20"/>
      <c r="L17" s="20"/>
      <c r="M17" s="20"/>
      <c r="N17" s="20"/>
      <c r="O17" s="20"/>
      <c r="P17" s="20"/>
      <c r="Q17" s="20"/>
      <c r="R17" s="20"/>
      <c r="S17" s="15"/>
      <c r="T17" s="15"/>
      <c r="U17" s="15"/>
      <c r="V17" s="15"/>
      <c r="W17" s="15"/>
      <c r="X17" s="15"/>
      <c r="Y17" s="15"/>
      <c r="Z17" s="15"/>
    </row>
    <row r="18" spans="1:26" ht="14.25" customHeight="1" x14ac:dyDescent="0.35">
      <c r="A18" s="15"/>
      <c r="B18" s="15"/>
      <c r="C18" s="15"/>
      <c r="D18" s="3"/>
      <c r="E18" s="3"/>
      <c r="F18" s="3"/>
      <c r="G18" s="3"/>
      <c r="H18" s="3"/>
      <c r="I18" s="3"/>
      <c r="J18" s="3"/>
      <c r="K18" s="3"/>
      <c r="L18" s="3"/>
      <c r="M18" s="3"/>
      <c r="N18" s="3"/>
      <c r="O18" s="3"/>
      <c r="P18" s="3"/>
      <c r="Q18" s="3"/>
      <c r="R18" s="3"/>
      <c r="S18" s="15"/>
      <c r="T18" s="15"/>
      <c r="U18" s="15"/>
      <c r="V18" s="15"/>
      <c r="W18" s="15"/>
      <c r="X18" s="15"/>
      <c r="Y18" s="15"/>
      <c r="Z18" s="15"/>
    </row>
    <row r="19" spans="1:26" ht="14.25" customHeight="1" x14ac:dyDescent="0.35">
      <c r="A19" s="15"/>
      <c r="B19" s="15"/>
      <c r="C19" s="15"/>
      <c r="D19" s="2" t="s">
        <v>4</v>
      </c>
      <c r="E19" s="2"/>
      <c r="F19" s="2"/>
      <c r="G19" s="2"/>
      <c r="H19" s="2"/>
      <c r="I19" s="2"/>
      <c r="J19" s="2"/>
      <c r="K19" s="2"/>
      <c r="L19" s="2"/>
      <c r="M19" s="2"/>
      <c r="N19" s="2"/>
      <c r="O19" s="2"/>
      <c r="P19" s="2"/>
      <c r="Q19" s="2"/>
      <c r="R19" s="2"/>
      <c r="S19" s="15"/>
      <c r="T19" s="15"/>
      <c r="U19" s="15"/>
      <c r="V19" s="15"/>
      <c r="W19" s="15"/>
      <c r="X19" s="15"/>
      <c r="Y19" s="15"/>
      <c r="Z19" s="15"/>
    </row>
    <row r="20" spans="1:26" ht="14.25" customHeight="1" x14ac:dyDescent="0.35">
      <c r="A20" s="15"/>
      <c r="B20" s="15"/>
      <c r="C20" s="15"/>
      <c r="D20" s="2" t="s">
        <v>5</v>
      </c>
      <c r="E20" s="2"/>
      <c r="F20" s="2"/>
      <c r="G20" s="2"/>
      <c r="H20" s="2"/>
      <c r="I20" s="2"/>
      <c r="J20" s="2"/>
      <c r="K20" s="2"/>
      <c r="L20" s="2"/>
      <c r="M20" s="2"/>
      <c r="N20" s="2"/>
      <c r="O20" s="2"/>
      <c r="P20" s="2"/>
      <c r="Q20" s="2"/>
      <c r="R20" s="2"/>
      <c r="S20" s="15"/>
      <c r="T20" s="15"/>
      <c r="U20" s="15"/>
      <c r="V20" s="15"/>
      <c r="W20" s="15"/>
      <c r="X20" s="15"/>
      <c r="Y20" s="15"/>
      <c r="Z20" s="15"/>
    </row>
    <row r="21" spans="1:26" ht="14.25" customHeight="1" x14ac:dyDescent="0.35">
      <c r="A21" s="15"/>
      <c r="B21" s="15"/>
      <c r="C21" s="15"/>
      <c r="D21" s="2" t="s">
        <v>6</v>
      </c>
      <c r="E21" s="2"/>
      <c r="F21" s="2"/>
      <c r="G21" s="2"/>
      <c r="H21" s="2"/>
      <c r="I21" s="2"/>
      <c r="J21" s="2"/>
      <c r="K21" s="2"/>
      <c r="L21" s="2"/>
      <c r="M21" s="2"/>
      <c r="N21" s="2"/>
      <c r="O21" s="2"/>
      <c r="P21" s="2"/>
      <c r="Q21" s="2"/>
      <c r="R21" s="2"/>
      <c r="S21" s="15"/>
      <c r="T21" s="15"/>
      <c r="U21" s="15"/>
      <c r="V21" s="15"/>
      <c r="W21" s="15"/>
      <c r="X21" s="15"/>
      <c r="Y21" s="15"/>
      <c r="Z21" s="15"/>
    </row>
    <row r="22" spans="1:26" ht="14.25" customHeight="1" x14ac:dyDescent="0.35">
      <c r="A22" s="15"/>
      <c r="B22" s="15"/>
      <c r="C22" s="15"/>
      <c r="D22" s="2">
        <v>2025</v>
      </c>
      <c r="E22" s="2"/>
      <c r="F22" s="2"/>
      <c r="G22" s="2"/>
      <c r="H22" s="2"/>
      <c r="I22" s="2"/>
      <c r="J22" s="2"/>
      <c r="K22" s="2"/>
      <c r="L22" s="2"/>
      <c r="M22" s="2"/>
      <c r="N22" s="2"/>
      <c r="O22" s="2"/>
      <c r="P22" s="2"/>
      <c r="Q22" s="2"/>
      <c r="R22" s="2"/>
      <c r="S22" s="15"/>
      <c r="T22" s="15"/>
      <c r="U22" s="15"/>
      <c r="V22" s="15"/>
      <c r="W22" s="15"/>
      <c r="X22" s="15"/>
      <c r="Y22" s="15"/>
      <c r="Z22" s="15"/>
    </row>
    <row r="23" spans="1:26" ht="14.25" customHeight="1" x14ac:dyDescent="0.35">
      <c r="A23" s="15"/>
      <c r="B23" s="15"/>
      <c r="C23" s="15"/>
      <c r="D23" s="1"/>
      <c r="E23" s="1"/>
      <c r="F23" s="1"/>
      <c r="G23" s="1"/>
      <c r="H23" s="1"/>
      <c r="I23" s="1"/>
      <c r="J23" s="1"/>
      <c r="K23" s="1"/>
      <c r="L23" s="1"/>
      <c r="M23" s="1"/>
      <c r="N23" s="1"/>
      <c r="O23" s="1"/>
      <c r="P23" s="1"/>
      <c r="Q23" s="1"/>
      <c r="R23" s="1"/>
      <c r="S23" s="15"/>
      <c r="T23" s="15"/>
      <c r="U23" s="15"/>
      <c r="V23" s="15"/>
      <c r="W23" s="15"/>
      <c r="X23" s="15"/>
      <c r="Y23" s="15"/>
      <c r="Z23" s="15"/>
    </row>
    <row r="24" spans="1:26" ht="14.25" customHeight="1"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4.25" customHeight="1"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4.25" customHeight="1"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4.25" customHeight="1"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4.25" customHeight="1"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4.25" customHeight="1"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4.25" customHeight="1"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4.25" customHeight="1"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4.25" customHeight="1"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4.25" customHeight="1"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4.25" customHeight="1"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4.25" customHeight="1"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4.25" customHeight="1"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4.25" customHeight="1"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4.25" customHeight="1"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4.25" customHeight="1"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4.25" customHeight="1"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4.25" customHeight="1"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4.25" customHeight="1"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4.25" customHeight="1"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25" customHeight="1"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25" customHeight="1"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25" customHeight="1"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25" customHeight="1"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4.25" customHeight="1"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4.25" customHeight="1"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4.25" customHeight="1"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4.25" customHeight="1"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4.25" customHeight="1"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4.25" customHeight="1"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4.25" customHeight="1"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4.25" customHeight="1"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4.25" customHeight="1"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4.25" customHeight="1"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25" customHeight="1"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4.25" customHeight="1"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4.25" customHeight="1"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4.25" customHeight="1"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4.25" customHeight="1"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4.25" customHeight="1"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4.25" customHeight="1"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4.25" customHeight="1"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4.25" customHeight="1"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4.25" customHeight="1"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25" customHeight="1"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25" customHeight="1" x14ac:dyDescent="0.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4.25" customHeight="1" x14ac:dyDescent="0.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4.25" customHeight="1" x14ac:dyDescent="0.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4.25" customHeight="1" x14ac:dyDescent="0.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4.25" customHeight="1" x14ac:dyDescent="0.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4.25" customHeight="1"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4.25" customHeight="1"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4.25" customHeight="1"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4.25" customHeight="1"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4.25" customHeight="1"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25" customHeight="1"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4.25" customHeight="1"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4.25" customHeight="1"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4.25" customHeight="1"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25" customHeight="1"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4.25" customHeight="1"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4.25" customHeight="1"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4.25" customHeight="1"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4.25" customHeight="1"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4.25" customHeight="1"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4.25" customHeight="1"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4.25" customHeight="1"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4.25" customHeight="1"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4.25" customHeight="1"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25" customHeight="1"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25" customHeight="1"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4.25" customHeight="1"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25" customHeight="1"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4.25" customHeight="1"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4.25" customHeight="1"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4.25" customHeight="1"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25" customHeight="1"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25" customHeight="1" x14ac:dyDescent="0.35">
      <c r="A101" s="15"/>
      <c r="B101" s="15"/>
      <c r="C101" s="15"/>
      <c r="D101" s="15"/>
      <c r="E101" s="15"/>
      <c r="F101" s="15"/>
      <c r="G101" s="15"/>
      <c r="H101" s="15"/>
      <c r="I101" s="15"/>
      <c r="J101" s="15"/>
      <c r="K101" s="15"/>
      <c r="L101" s="15"/>
      <c r="M101" s="15"/>
      <c r="N101" s="15"/>
      <c r="O101" s="15"/>
      <c r="P101" s="15"/>
      <c r="Q101" s="15"/>
      <c r="R101" s="15"/>
      <c r="S101" s="15"/>
      <c r="T101" s="15"/>
      <c r="U101" s="15"/>
    </row>
    <row r="102" spans="1:26" ht="14.25" customHeight="1" x14ac:dyDescent="0.35">
      <c r="A102" s="15"/>
      <c r="B102" s="15"/>
      <c r="C102" s="15"/>
      <c r="D102" s="15"/>
      <c r="E102" s="15"/>
      <c r="F102" s="15"/>
      <c r="G102" s="15"/>
      <c r="H102" s="15"/>
      <c r="I102" s="15"/>
      <c r="J102" s="15"/>
      <c r="K102" s="15"/>
      <c r="L102" s="15"/>
      <c r="M102" s="15"/>
      <c r="N102" s="15"/>
      <c r="O102" s="15"/>
      <c r="P102" s="15"/>
      <c r="Q102" s="15"/>
      <c r="R102" s="15"/>
      <c r="S102" s="15"/>
      <c r="T102" s="15"/>
      <c r="U102" s="15"/>
    </row>
    <row r="103" spans="1:26" ht="14.25" customHeight="1" x14ac:dyDescent="0.35">
      <c r="A103" s="15"/>
      <c r="B103" s="15"/>
      <c r="C103" s="15"/>
      <c r="D103" s="15"/>
      <c r="E103" s="15"/>
      <c r="F103" s="15"/>
      <c r="G103" s="15"/>
      <c r="H103" s="15"/>
      <c r="I103" s="15"/>
      <c r="J103" s="15"/>
      <c r="K103" s="15"/>
      <c r="L103" s="15"/>
      <c r="M103" s="15"/>
      <c r="N103" s="15"/>
      <c r="O103" s="15"/>
      <c r="P103" s="15"/>
      <c r="Q103" s="15"/>
      <c r="R103" s="15"/>
      <c r="S103" s="15"/>
      <c r="T103" s="15"/>
      <c r="U103" s="15"/>
    </row>
    <row r="104" spans="1:26" ht="14.25" customHeight="1" x14ac:dyDescent="0.35">
      <c r="A104" s="15"/>
      <c r="B104" s="15"/>
      <c r="C104" s="15"/>
      <c r="D104" s="15"/>
      <c r="E104" s="15"/>
      <c r="F104" s="15"/>
      <c r="G104" s="15"/>
      <c r="H104" s="15"/>
      <c r="I104" s="15"/>
      <c r="J104" s="15"/>
      <c r="K104" s="15"/>
      <c r="L104" s="15"/>
      <c r="M104" s="15"/>
      <c r="N104" s="15"/>
      <c r="O104" s="15"/>
      <c r="P104" s="15"/>
      <c r="Q104" s="15"/>
      <c r="R104" s="15"/>
      <c r="S104" s="15"/>
      <c r="T104" s="15"/>
      <c r="U104" s="15"/>
    </row>
    <row r="105" spans="1:26" ht="14.25" customHeight="1" x14ac:dyDescent="0.35">
      <c r="A105" s="15"/>
      <c r="B105" s="15"/>
      <c r="C105" s="15"/>
      <c r="D105" s="15"/>
      <c r="E105" s="15"/>
      <c r="F105" s="15"/>
      <c r="G105" s="15"/>
      <c r="H105" s="15"/>
      <c r="I105" s="15"/>
      <c r="J105" s="15"/>
      <c r="K105" s="15"/>
      <c r="L105" s="15"/>
      <c r="M105" s="15"/>
      <c r="N105" s="15"/>
      <c r="O105" s="15"/>
      <c r="P105" s="15"/>
      <c r="Q105" s="15"/>
      <c r="R105" s="15"/>
      <c r="S105" s="15"/>
      <c r="T105" s="15"/>
      <c r="U105" s="15"/>
    </row>
    <row r="106" spans="1:26" ht="14.25" customHeight="1" x14ac:dyDescent="0.35">
      <c r="A106" s="15"/>
      <c r="B106" s="15"/>
      <c r="C106" s="15"/>
      <c r="D106" s="15"/>
      <c r="E106" s="15"/>
      <c r="F106" s="15"/>
      <c r="G106" s="15"/>
      <c r="H106" s="15"/>
      <c r="I106" s="15"/>
      <c r="J106" s="15"/>
      <c r="K106" s="15"/>
      <c r="L106" s="15"/>
      <c r="M106" s="15"/>
      <c r="N106" s="15"/>
      <c r="O106" s="15"/>
      <c r="P106" s="15"/>
      <c r="Q106" s="15"/>
      <c r="R106" s="15"/>
      <c r="S106" s="15"/>
      <c r="T106" s="15"/>
      <c r="U106" s="15"/>
    </row>
    <row r="107" spans="1:26" ht="14.25" customHeight="1" x14ac:dyDescent="0.35">
      <c r="A107" s="15"/>
      <c r="B107" s="15"/>
      <c r="C107" s="15"/>
      <c r="D107" s="15"/>
      <c r="E107" s="15"/>
      <c r="F107" s="15"/>
      <c r="G107" s="15"/>
      <c r="H107" s="15"/>
      <c r="I107" s="15"/>
      <c r="J107" s="15"/>
      <c r="K107" s="15"/>
      <c r="L107" s="15"/>
      <c r="M107" s="15"/>
      <c r="N107" s="15"/>
      <c r="O107" s="15"/>
      <c r="P107" s="15"/>
      <c r="Q107" s="15"/>
      <c r="R107" s="15"/>
      <c r="S107" s="15"/>
      <c r="T107" s="15"/>
      <c r="U107" s="15"/>
    </row>
    <row r="108" spans="1:26" ht="14.25" customHeight="1" x14ac:dyDescent="0.35">
      <c r="A108" s="15"/>
      <c r="B108" s="15"/>
      <c r="C108" s="15"/>
      <c r="D108" s="15"/>
      <c r="E108" s="15"/>
      <c r="F108" s="15"/>
      <c r="G108" s="15"/>
      <c r="H108" s="15"/>
      <c r="I108" s="15"/>
      <c r="J108" s="15"/>
      <c r="K108" s="15"/>
      <c r="L108" s="15"/>
      <c r="M108" s="15"/>
      <c r="N108" s="15"/>
      <c r="O108" s="15"/>
      <c r="P108" s="15"/>
      <c r="Q108" s="15"/>
      <c r="R108" s="15"/>
      <c r="S108" s="15"/>
      <c r="T108" s="15"/>
      <c r="U108" s="15"/>
    </row>
    <row r="109" spans="1:26" ht="14.25" customHeight="1" x14ac:dyDescent="0.35">
      <c r="A109" s="15"/>
      <c r="B109" s="15"/>
      <c r="C109" s="15"/>
      <c r="D109" s="15"/>
      <c r="E109" s="15"/>
      <c r="F109" s="15"/>
      <c r="G109" s="15"/>
      <c r="H109" s="15"/>
      <c r="I109" s="15"/>
      <c r="J109" s="15"/>
      <c r="K109" s="15"/>
      <c r="L109" s="15"/>
      <c r="M109" s="15"/>
      <c r="N109" s="15"/>
      <c r="O109" s="15"/>
      <c r="P109" s="15"/>
      <c r="Q109" s="15"/>
      <c r="R109" s="15"/>
      <c r="S109" s="15"/>
      <c r="T109" s="15"/>
      <c r="U109" s="15"/>
    </row>
    <row r="110" spans="1:26" ht="14.25" customHeight="1" x14ac:dyDescent="0.35">
      <c r="A110" s="15"/>
      <c r="B110" s="15"/>
      <c r="C110" s="15"/>
      <c r="D110" s="15"/>
      <c r="E110" s="15"/>
      <c r="F110" s="15"/>
      <c r="G110" s="15"/>
      <c r="H110" s="15"/>
      <c r="I110" s="15"/>
      <c r="J110" s="15"/>
      <c r="K110" s="15"/>
      <c r="L110" s="15"/>
      <c r="M110" s="15"/>
      <c r="N110" s="15"/>
      <c r="O110" s="15"/>
      <c r="P110" s="15"/>
      <c r="Q110" s="15"/>
      <c r="R110" s="15"/>
      <c r="S110" s="15"/>
      <c r="T110" s="15"/>
      <c r="U110" s="15"/>
    </row>
    <row r="111" spans="1:26" ht="14.25" customHeight="1" x14ac:dyDescent="0.35">
      <c r="A111" s="15"/>
      <c r="B111" s="15"/>
      <c r="C111" s="15"/>
      <c r="D111" s="15"/>
      <c r="E111" s="15"/>
      <c r="F111" s="15"/>
      <c r="G111" s="15"/>
      <c r="H111" s="15"/>
      <c r="I111" s="15"/>
      <c r="J111" s="15"/>
      <c r="K111" s="15"/>
      <c r="L111" s="15"/>
      <c r="M111" s="15"/>
      <c r="N111" s="15"/>
      <c r="O111" s="15"/>
      <c r="P111" s="15"/>
      <c r="Q111" s="15"/>
      <c r="R111" s="15"/>
      <c r="S111" s="15"/>
      <c r="T111" s="15"/>
      <c r="U111" s="15"/>
    </row>
    <row r="112" spans="1:26" ht="14.25" customHeight="1" x14ac:dyDescent="0.35">
      <c r="A112" s="15"/>
      <c r="B112" s="15"/>
      <c r="C112" s="15"/>
      <c r="D112" s="15"/>
      <c r="E112" s="15"/>
      <c r="F112" s="15"/>
      <c r="G112" s="15"/>
      <c r="H112" s="15"/>
      <c r="I112" s="15"/>
      <c r="J112" s="15"/>
      <c r="K112" s="15"/>
      <c r="L112" s="15"/>
      <c r="M112" s="15"/>
      <c r="N112" s="15"/>
      <c r="O112" s="15"/>
      <c r="P112" s="15"/>
      <c r="Q112" s="15"/>
      <c r="R112" s="15"/>
      <c r="S112" s="15"/>
      <c r="T112" s="15"/>
      <c r="U112" s="15"/>
    </row>
    <row r="113" spans="1:21" ht="14.25" customHeight="1" x14ac:dyDescent="0.35">
      <c r="A113" s="15"/>
      <c r="B113" s="15"/>
      <c r="C113" s="15"/>
      <c r="D113" s="15"/>
      <c r="E113" s="15"/>
      <c r="F113" s="15"/>
      <c r="G113" s="15"/>
      <c r="H113" s="15"/>
      <c r="I113" s="15"/>
      <c r="J113" s="15"/>
      <c r="K113" s="15"/>
      <c r="L113" s="15"/>
      <c r="M113" s="15"/>
      <c r="N113" s="15"/>
      <c r="O113" s="15"/>
      <c r="P113" s="15"/>
      <c r="Q113" s="15"/>
      <c r="R113" s="15"/>
      <c r="S113" s="15"/>
      <c r="T113" s="15"/>
      <c r="U113" s="15"/>
    </row>
    <row r="114" spans="1:21" ht="14.25" customHeight="1" x14ac:dyDescent="0.35">
      <c r="A114" s="15"/>
      <c r="B114" s="15"/>
      <c r="C114" s="15"/>
      <c r="D114" s="15"/>
      <c r="E114" s="15"/>
      <c r="F114" s="15"/>
      <c r="G114" s="15"/>
      <c r="H114" s="15"/>
      <c r="I114" s="15"/>
      <c r="J114" s="15"/>
      <c r="K114" s="15"/>
      <c r="L114" s="15"/>
      <c r="M114" s="15"/>
      <c r="N114" s="15"/>
      <c r="O114" s="15"/>
      <c r="P114" s="15"/>
      <c r="Q114" s="15"/>
      <c r="R114" s="15"/>
      <c r="S114" s="15"/>
      <c r="T114" s="15"/>
      <c r="U114" s="15"/>
    </row>
    <row r="115" spans="1:21" ht="14.25" customHeight="1" x14ac:dyDescent="0.35">
      <c r="A115" s="15"/>
      <c r="B115" s="15"/>
      <c r="C115" s="15"/>
      <c r="D115" s="15"/>
      <c r="E115" s="15"/>
      <c r="F115" s="15"/>
      <c r="G115" s="15"/>
      <c r="H115" s="15"/>
      <c r="I115" s="15"/>
      <c r="J115" s="15"/>
      <c r="K115" s="15"/>
      <c r="L115" s="15"/>
      <c r="M115" s="15"/>
      <c r="N115" s="15"/>
      <c r="O115" s="15"/>
      <c r="P115" s="15"/>
      <c r="Q115" s="15"/>
      <c r="R115" s="15"/>
      <c r="S115" s="15"/>
      <c r="T115" s="15"/>
      <c r="U115" s="15"/>
    </row>
    <row r="116" spans="1:21" ht="14.25" customHeight="1" x14ac:dyDescent="0.35">
      <c r="A116" s="15"/>
      <c r="B116" s="15"/>
      <c r="C116" s="15"/>
      <c r="D116" s="15"/>
      <c r="E116" s="15"/>
      <c r="F116" s="15"/>
      <c r="G116" s="15"/>
      <c r="H116" s="15"/>
      <c r="I116" s="15"/>
      <c r="J116" s="15"/>
      <c r="K116" s="15"/>
      <c r="L116" s="15"/>
      <c r="M116" s="15"/>
      <c r="N116" s="15"/>
      <c r="O116" s="15"/>
      <c r="P116" s="15"/>
      <c r="Q116" s="15"/>
      <c r="R116" s="15"/>
      <c r="S116" s="15"/>
      <c r="T116" s="15"/>
      <c r="U116" s="15"/>
    </row>
    <row r="117" spans="1:21" ht="14.25" customHeight="1" x14ac:dyDescent="0.35">
      <c r="A117" s="15"/>
      <c r="B117" s="15"/>
      <c r="C117" s="15"/>
      <c r="D117" s="15"/>
      <c r="E117" s="15"/>
      <c r="F117" s="15"/>
      <c r="G117" s="15"/>
      <c r="H117" s="15"/>
      <c r="I117" s="15"/>
      <c r="J117" s="15"/>
      <c r="K117" s="15"/>
      <c r="L117" s="15"/>
      <c r="M117" s="15"/>
      <c r="N117" s="15"/>
      <c r="O117" s="15"/>
      <c r="P117" s="15"/>
      <c r="Q117" s="15"/>
      <c r="R117" s="15"/>
      <c r="S117" s="15"/>
      <c r="T117" s="15"/>
      <c r="U117" s="15"/>
    </row>
    <row r="118" spans="1:21" ht="14.25" customHeight="1" x14ac:dyDescent="0.35">
      <c r="A118" s="15"/>
      <c r="B118" s="15"/>
      <c r="C118" s="15"/>
      <c r="D118" s="15"/>
      <c r="E118" s="15"/>
      <c r="F118" s="15"/>
      <c r="G118" s="15"/>
      <c r="H118" s="15"/>
      <c r="I118" s="15"/>
      <c r="J118" s="15"/>
      <c r="K118" s="15"/>
      <c r="L118" s="15"/>
      <c r="M118" s="15"/>
      <c r="N118" s="15"/>
      <c r="O118" s="15"/>
      <c r="P118" s="15"/>
      <c r="Q118" s="15"/>
      <c r="R118" s="15"/>
      <c r="S118" s="15"/>
      <c r="T118" s="15"/>
      <c r="U118" s="15"/>
    </row>
    <row r="119" spans="1:21" ht="14.25" customHeight="1" x14ac:dyDescent="0.35">
      <c r="A119" s="15"/>
      <c r="B119" s="15"/>
      <c r="C119" s="15"/>
      <c r="D119" s="15"/>
      <c r="E119" s="15"/>
      <c r="F119" s="15"/>
      <c r="G119" s="15"/>
      <c r="H119" s="15"/>
      <c r="I119" s="15"/>
      <c r="J119" s="15"/>
      <c r="K119" s="15"/>
      <c r="L119" s="15"/>
      <c r="M119" s="15"/>
      <c r="N119" s="15"/>
      <c r="O119" s="15"/>
      <c r="P119" s="15"/>
      <c r="Q119" s="15"/>
      <c r="R119" s="15"/>
      <c r="S119" s="15"/>
      <c r="T119" s="15"/>
      <c r="U119" s="15"/>
    </row>
    <row r="120" spans="1:21" ht="14.25" customHeight="1" x14ac:dyDescent="0.35">
      <c r="A120" s="15"/>
      <c r="B120" s="15"/>
      <c r="C120" s="15"/>
      <c r="D120" s="15"/>
      <c r="E120" s="15"/>
      <c r="F120" s="15"/>
      <c r="G120" s="15"/>
      <c r="H120" s="15"/>
      <c r="I120" s="15"/>
      <c r="J120" s="15"/>
      <c r="K120" s="15"/>
      <c r="L120" s="15"/>
      <c r="M120" s="15"/>
      <c r="N120" s="15"/>
      <c r="O120" s="15"/>
      <c r="P120" s="15"/>
      <c r="Q120" s="15"/>
      <c r="R120" s="15"/>
      <c r="S120" s="15"/>
      <c r="T120" s="15"/>
      <c r="U120" s="15"/>
    </row>
    <row r="121" spans="1:21" ht="14.25" customHeight="1" x14ac:dyDescent="0.35">
      <c r="A121" s="15"/>
      <c r="B121" s="15"/>
      <c r="C121" s="15"/>
      <c r="D121" s="15"/>
      <c r="E121" s="15"/>
      <c r="F121" s="15"/>
      <c r="G121" s="15"/>
      <c r="H121" s="15"/>
      <c r="I121" s="15"/>
      <c r="J121" s="15"/>
      <c r="K121" s="15"/>
      <c r="L121" s="15"/>
      <c r="M121" s="15"/>
      <c r="N121" s="15"/>
      <c r="O121" s="15"/>
      <c r="P121" s="15"/>
      <c r="Q121" s="15"/>
      <c r="R121" s="15"/>
      <c r="S121" s="15"/>
      <c r="T121" s="15"/>
      <c r="U121" s="15"/>
    </row>
    <row r="122" spans="1:21" ht="14.25" customHeight="1" x14ac:dyDescent="0.35">
      <c r="A122" s="15"/>
      <c r="B122" s="15"/>
      <c r="C122" s="15"/>
      <c r="D122" s="15"/>
      <c r="E122" s="15"/>
      <c r="F122" s="15"/>
      <c r="G122" s="15"/>
      <c r="H122" s="15"/>
      <c r="I122" s="15"/>
      <c r="J122" s="15"/>
      <c r="K122" s="15"/>
      <c r="L122" s="15"/>
      <c r="M122" s="15"/>
      <c r="N122" s="15"/>
      <c r="O122" s="15"/>
      <c r="P122" s="15"/>
      <c r="Q122" s="15"/>
      <c r="R122" s="15"/>
      <c r="S122" s="15"/>
      <c r="T122" s="15"/>
      <c r="U122" s="15"/>
    </row>
    <row r="123" spans="1:21" ht="14.25" customHeight="1" x14ac:dyDescent="0.35">
      <c r="A123" s="15"/>
      <c r="B123" s="15"/>
      <c r="C123" s="15"/>
      <c r="D123" s="15"/>
      <c r="E123" s="15"/>
      <c r="F123" s="15"/>
      <c r="G123" s="15"/>
      <c r="H123" s="15"/>
      <c r="I123" s="15"/>
      <c r="J123" s="15"/>
      <c r="K123" s="15"/>
      <c r="L123" s="15"/>
      <c r="M123" s="15"/>
      <c r="N123" s="15"/>
      <c r="O123" s="15"/>
      <c r="P123" s="15"/>
      <c r="Q123" s="15"/>
      <c r="R123" s="15"/>
      <c r="S123" s="15"/>
      <c r="T123" s="15"/>
      <c r="U123" s="15"/>
    </row>
    <row r="124" spans="1:21" ht="14.25" customHeight="1" x14ac:dyDescent="0.35">
      <c r="A124" s="15"/>
      <c r="B124" s="15"/>
      <c r="C124" s="15"/>
      <c r="D124" s="15"/>
      <c r="E124" s="15"/>
      <c r="F124" s="15"/>
      <c r="G124" s="15"/>
      <c r="H124" s="15"/>
      <c r="I124" s="15"/>
      <c r="J124" s="15"/>
      <c r="K124" s="15"/>
      <c r="L124" s="15"/>
      <c r="M124" s="15"/>
      <c r="N124" s="15"/>
      <c r="O124" s="15"/>
      <c r="P124" s="15"/>
      <c r="Q124" s="15"/>
      <c r="R124" s="15"/>
      <c r="S124" s="15"/>
      <c r="T124" s="15"/>
      <c r="U124" s="15"/>
    </row>
    <row r="125" spans="1:21" ht="14.25" customHeight="1" x14ac:dyDescent="0.35">
      <c r="A125" s="15"/>
      <c r="B125" s="15"/>
      <c r="C125" s="15"/>
      <c r="D125" s="15"/>
      <c r="E125" s="15"/>
      <c r="F125" s="15"/>
      <c r="G125" s="15"/>
      <c r="H125" s="15"/>
      <c r="I125" s="15"/>
      <c r="J125" s="15"/>
      <c r="K125" s="15"/>
      <c r="L125" s="15"/>
      <c r="M125" s="15"/>
      <c r="N125" s="15"/>
      <c r="O125" s="15"/>
      <c r="P125" s="15"/>
      <c r="Q125" s="15"/>
      <c r="R125" s="15"/>
      <c r="S125" s="15"/>
      <c r="T125" s="15"/>
      <c r="U125" s="15"/>
    </row>
    <row r="126" spans="1:21" ht="14.25" customHeight="1" x14ac:dyDescent="0.35">
      <c r="A126" s="15"/>
      <c r="B126" s="15"/>
      <c r="C126" s="15"/>
      <c r="D126" s="15"/>
      <c r="E126" s="15"/>
      <c r="F126" s="15"/>
      <c r="G126" s="15"/>
      <c r="H126" s="15"/>
      <c r="I126" s="15"/>
      <c r="J126" s="15"/>
      <c r="K126" s="15"/>
      <c r="L126" s="15"/>
      <c r="M126" s="15"/>
      <c r="N126" s="15"/>
      <c r="O126" s="15"/>
      <c r="P126" s="15"/>
      <c r="Q126" s="15"/>
      <c r="R126" s="15"/>
      <c r="S126" s="15"/>
      <c r="T126" s="15"/>
      <c r="U126" s="15"/>
    </row>
    <row r="127" spans="1:21" ht="14.25" customHeight="1" x14ac:dyDescent="0.35">
      <c r="A127" s="15"/>
      <c r="B127" s="15"/>
      <c r="C127" s="15"/>
      <c r="D127" s="15"/>
      <c r="E127" s="15"/>
      <c r="F127" s="15"/>
      <c r="G127" s="15"/>
      <c r="H127" s="15"/>
      <c r="I127" s="15"/>
      <c r="J127" s="15"/>
      <c r="K127" s="15"/>
      <c r="L127" s="15"/>
      <c r="M127" s="15"/>
      <c r="N127" s="15"/>
      <c r="O127" s="15"/>
      <c r="P127" s="15"/>
      <c r="Q127" s="15"/>
      <c r="R127" s="15"/>
      <c r="S127" s="15"/>
      <c r="T127" s="15"/>
      <c r="U127" s="15"/>
    </row>
    <row r="128" spans="1:21" ht="14.25" customHeight="1" x14ac:dyDescent="0.35">
      <c r="A128" s="15"/>
      <c r="B128" s="15"/>
      <c r="C128" s="15"/>
      <c r="D128" s="15"/>
      <c r="E128" s="15"/>
      <c r="F128" s="15"/>
      <c r="G128" s="15"/>
      <c r="H128" s="15"/>
      <c r="I128" s="15"/>
      <c r="J128" s="15"/>
      <c r="K128" s="15"/>
      <c r="L128" s="15"/>
      <c r="M128" s="15"/>
      <c r="N128" s="15"/>
      <c r="O128" s="15"/>
      <c r="P128" s="15"/>
      <c r="Q128" s="15"/>
      <c r="R128" s="15"/>
      <c r="S128" s="15"/>
      <c r="T128" s="15"/>
      <c r="U128" s="15"/>
    </row>
    <row r="129" spans="1:21" ht="14.25" customHeight="1" x14ac:dyDescent="0.35">
      <c r="A129" s="15"/>
      <c r="B129" s="15"/>
      <c r="C129" s="15"/>
      <c r="D129" s="15"/>
      <c r="E129" s="15"/>
      <c r="F129" s="15"/>
      <c r="G129" s="15"/>
      <c r="H129" s="15"/>
      <c r="I129" s="15"/>
      <c r="J129" s="15"/>
      <c r="K129" s="15"/>
      <c r="L129" s="15"/>
      <c r="M129" s="15"/>
      <c r="N129" s="15"/>
      <c r="O129" s="15"/>
      <c r="P129" s="15"/>
      <c r="Q129" s="15"/>
      <c r="R129" s="15"/>
      <c r="S129" s="15"/>
      <c r="T129" s="15"/>
      <c r="U129" s="15"/>
    </row>
    <row r="130" spans="1:21" ht="14.25" customHeight="1" x14ac:dyDescent="0.35">
      <c r="A130" s="15"/>
      <c r="B130" s="15"/>
      <c r="C130" s="15"/>
      <c r="D130" s="15"/>
      <c r="E130" s="15"/>
      <c r="F130" s="15"/>
      <c r="G130" s="15"/>
      <c r="H130" s="15"/>
      <c r="I130" s="15"/>
      <c r="J130" s="15"/>
      <c r="K130" s="15"/>
      <c r="L130" s="15"/>
      <c r="M130" s="15"/>
      <c r="N130" s="15"/>
      <c r="O130" s="15"/>
      <c r="P130" s="15"/>
      <c r="Q130" s="15"/>
      <c r="R130" s="15"/>
      <c r="S130" s="15"/>
      <c r="T130" s="15"/>
      <c r="U130" s="15"/>
    </row>
    <row r="131" spans="1:21" ht="14.25" customHeight="1" x14ac:dyDescent="0.35">
      <c r="A131" s="15"/>
      <c r="B131" s="15"/>
      <c r="C131" s="15"/>
      <c r="D131" s="15"/>
      <c r="E131" s="15"/>
      <c r="F131" s="15"/>
      <c r="G131" s="15"/>
      <c r="H131" s="15"/>
      <c r="I131" s="15"/>
      <c r="J131" s="15"/>
      <c r="K131" s="15"/>
      <c r="L131" s="15"/>
      <c r="M131" s="15"/>
      <c r="N131" s="15"/>
      <c r="O131" s="15"/>
      <c r="P131" s="15"/>
      <c r="Q131" s="15"/>
      <c r="R131" s="15"/>
      <c r="S131" s="15"/>
      <c r="T131" s="15"/>
      <c r="U131" s="15"/>
    </row>
    <row r="132" spans="1:21" ht="14.25" customHeight="1" x14ac:dyDescent="0.35">
      <c r="A132" s="15"/>
      <c r="B132" s="15"/>
      <c r="C132" s="15"/>
      <c r="D132" s="15"/>
      <c r="E132" s="15"/>
      <c r="F132" s="15"/>
      <c r="G132" s="15"/>
      <c r="H132" s="15"/>
      <c r="I132" s="15"/>
      <c r="J132" s="15"/>
      <c r="K132" s="15"/>
      <c r="L132" s="15"/>
      <c r="M132" s="15"/>
      <c r="N132" s="15"/>
      <c r="O132" s="15"/>
      <c r="P132" s="15"/>
      <c r="Q132" s="15"/>
      <c r="R132" s="15"/>
      <c r="S132" s="15"/>
      <c r="T132" s="15"/>
      <c r="U132" s="15"/>
    </row>
    <row r="133" spans="1:21" ht="14.25" customHeight="1" x14ac:dyDescent="0.35">
      <c r="A133" s="15"/>
      <c r="B133" s="15"/>
      <c r="C133" s="15"/>
      <c r="D133" s="15"/>
      <c r="E133" s="15"/>
      <c r="F133" s="15"/>
      <c r="G133" s="15"/>
      <c r="H133" s="15"/>
      <c r="I133" s="15"/>
      <c r="J133" s="15"/>
      <c r="K133" s="15"/>
      <c r="L133" s="15"/>
      <c r="M133" s="15"/>
      <c r="N133" s="15"/>
      <c r="O133" s="15"/>
      <c r="P133" s="15"/>
      <c r="Q133" s="15"/>
      <c r="R133" s="15"/>
      <c r="S133" s="15"/>
      <c r="T133" s="15"/>
      <c r="U133" s="15"/>
    </row>
    <row r="134" spans="1:21" ht="14.25" customHeight="1" x14ac:dyDescent="0.35">
      <c r="A134" s="15"/>
      <c r="B134" s="15"/>
      <c r="C134" s="15"/>
      <c r="D134" s="15"/>
      <c r="E134" s="15"/>
      <c r="F134" s="15"/>
      <c r="G134" s="15"/>
      <c r="H134" s="15"/>
      <c r="I134" s="15"/>
      <c r="J134" s="15"/>
      <c r="K134" s="15"/>
      <c r="L134" s="15"/>
      <c r="M134" s="15"/>
      <c r="N134" s="15"/>
      <c r="O134" s="15"/>
      <c r="P134" s="15"/>
      <c r="Q134" s="15"/>
      <c r="R134" s="15"/>
      <c r="S134" s="15"/>
      <c r="T134" s="15"/>
      <c r="U134" s="15"/>
    </row>
    <row r="135" spans="1:21" ht="14.25" customHeight="1" x14ac:dyDescent="0.35">
      <c r="A135" s="15"/>
      <c r="B135" s="15"/>
      <c r="C135" s="15"/>
      <c r="D135" s="15"/>
      <c r="E135" s="15"/>
      <c r="F135" s="15"/>
      <c r="G135" s="15"/>
      <c r="H135" s="15"/>
      <c r="I135" s="15"/>
      <c r="J135" s="15"/>
      <c r="K135" s="15"/>
      <c r="L135" s="15"/>
      <c r="M135" s="15"/>
      <c r="N135" s="15"/>
      <c r="O135" s="15"/>
      <c r="P135" s="15"/>
      <c r="Q135" s="15"/>
      <c r="R135" s="15"/>
      <c r="S135" s="15"/>
      <c r="T135" s="15"/>
      <c r="U135" s="15"/>
    </row>
    <row r="136" spans="1:21" ht="14.25" customHeight="1" x14ac:dyDescent="0.35">
      <c r="A136" s="15"/>
      <c r="B136" s="15"/>
      <c r="C136" s="15"/>
      <c r="D136" s="15"/>
      <c r="E136" s="15"/>
      <c r="F136" s="15"/>
      <c r="G136" s="15"/>
      <c r="H136" s="15"/>
      <c r="I136" s="15"/>
      <c r="J136" s="15"/>
      <c r="K136" s="15"/>
      <c r="L136" s="15"/>
      <c r="M136" s="15"/>
      <c r="N136" s="15"/>
      <c r="O136" s="15"/>
      <c r="P136" s="15"/>
      <c r="Q136" s="15"/>
      <c r="R136" s="15"/>
      <c r="S136" s="15"/>
      <c r="T136" s="15"/>
      <c r="U136" s="15"/>
    </row>
    <row r="137" spans="1:21" ht="14.25" customHeight="1" x14ac:dyDescent="0.35">
      <c r="A137" s="15"/>
      <c r="B137" s="15"/>
      <c r="C137" s="15"/>
      <c r="D137" s="15"/>
      <c r="E137" s="15"/>
      <c r="F137" s="15"/>
      <c r="G137" s="15"/>
      <c r="H137" s="15"/>
      <c r="I137" s="15"/>
      <c r="J137" s="15"/>
      <c r="K137" s="15"/>
      <c r="L137" s="15"/>
      <c r="M137" s="15"/>
      <c r="N137" s="15"/>
      <c r="O137" s="15"/>
      <c r="P137" s="15"/>
      <c r="Q137" s="15"/>
      <c r="R137" s="15"/>
      <c r="S137" s="15"/>
      <c r="T137" s="15"/>
      <c r="U137" s="15"/>
    </row>
    <row r="138" spans="1:21" ht="14.25" customHeight="1" x14ac:dyDescent="0.35">
      <c r="A138" s="15"/>
      <c r="B138" s="15"/>
      <c r="C138" s="15"/>
      <c r="D138" s="15"/>
      <c r="E138" s="15"/>
      <c r="F138" s="15"/>
      <c r="G138" s="15"/>
      <c r="H138" s="15"/>
      <c r="I138" s="15"/>
      <c r="J138" s="15"/>
      <c r="K138" s="15"/>
      <c r="L138" s="15"/>
      <c r="M138" s="15"/>
      <c r="N138" s="15"/>
      <c r="O138" s="15"/>
      <c r="P138" s="15"/>
      <c r="Q138" s="15"/>
      <c r="R138" s="15"/>
      <c r="S138" s="15"/>
      <c r="T138" s="15"/>
      <c r="U138" s="15"/>
    </row>
    <row r="139" spans="1:21" ht="14.25" customHeight="1" x14ac:dyDescent="0.35">
      <c r="A139" s="15"/>
      <c r="B139" s="15"/>
      <c r="C139" s="15"/>
      <c r="D139" s="15"/>
      <c r="E139" s="15"/>
      <c r="F139" s="15"/>
      <c r="G139" s="15"/>
      <c r="H139" s="15"/>
      <c r="I139" s="15"/>
      <c r="J139" s="15"/>
      <c r="K139" s="15"/>
      <c r="L139" s="15"/>
      <c r="M139" s="15"/>
      <c r="N139" s="15"/>
      <c r="O139" s="15"/>
      <c r="P139" s="15"/>
      <c r="Q139" s="15"/>
      <c r="R139" s="15"/>
      <c r="S139" s="15"/>
      <c r="T139" s="15"/>
      <c r="U139" s="15"/>
    </row>
    <row r="140" spans="1:21" ht="14.25" customHeight="1" x14ac:dyDescent="0.35">
      <c r="A140" s="15"/>
      <c r="B140" s="15"/>
      <c r="C140" s="15"/>
      <c r="D140" s="15"/>
      <c r="E140" s="15"/>
      <c r="F140" s="15"/>
      <c r="G140" s="15"/>
      <c r="H140" s="15"/>
      <c r="I140" s="15"/>
      <c r="J140" s="15"/>
      <c r="K140" s="15"/>
      <c r="L140" s="15"/>
      <c r="M140" s="15"/>
      <c r="N140" s="15"/>
      <c r="O140" s="15"/>
      <c r="P140" s="15"/>
      <c r="Q140" s="15"/>
      <c r="R140" s="15"/>
      <c r="S140" s="15"/>
      <c r="T140" s="15"/>
      <c r="U140" s="15"/>
    </row>
    <row r="141" spans="1:21" ht="14.25" customHeight="1" x14ac:dyDescent="0.35">
      <c r="A141" s="15"/>
      <c r="B141" s="15"/>
      <c r="C141" s="15"/>
      <c r="D141" s="15"/>
      <c r="E141" s="15"/>
      <c r="F141" s="15"/>
      <c r="G141" s="15"/>
      <c r="H141" s="15"/>
      <c r="I141" s="15"/>
      <c r="J141" s="15"/>
      <c r="K141" s="15"/>
      <c r="L141" s="15"/>
      <c r="M141" s="15"/>
      <c r="N141" s="15"/>
      <c r="O141" s="15"/>
      <c r="P141" s="15"/>
      <c r="Q141" s="15"/>
      <c r="R141" s="15"/>
      <c r="S141" s="15"/>
      <c r="T141" s="15"/>
      <c r="U141" s="15"/>
    </row>
    <row r="142" spans="1:21" ht="14.25" customHeight="1" x14ac:dyDescent="0.35">
      <c r="A142" s="15"/>
      <c r="B142" s="15"/>
      <c r="C142" s="15"/>
      <c r="D142" s="15"/>
      <c r="E142" s="15"/>
      <c r="F142" s="15"/>
      <c r="G142" s="15"/>
      <c r="H142" s="15"/>
      <c r="I142" s="15"/>
      <c r="J142" s="15"/>
      <c r="K142" s="15"/>
      <c r="L142" s="15"/>
      <c r="M142" s="15"/>
      <c r="N142" s="15"/>
      <c r="O142" s="15"/>
      <c r="P142" s="15"/>
      <c r="Q142" s="15"/>
      <c r="R142" s="15"/>
      <c r="S142" s="15"/>
      <c r="T142" s="15"/>
      <c r="U142" s="15"/>
    </row>
    <row r="143" spans="1:21" ht="14.25" customHeight="1" x14ac:dyDescent="0.35">
      <c r="A143" s="15"/>
      <c r="B143" s="15"/>
      <c r="C143" s="15"/>
      <c r="D143" s="15"/>
      <c r="E143" s="15"/>
      <c r="F143" s="15"/>
      <c r="G143" s="15"/>
      <c r="H143" s="15"/>
      <c r="I143" s="15"/>
      <c r="J143" s="15"/>
      <c r="K143" s="15"/>
      <c r="L143" s="15"/>
      <c r="M143" s="15"/>
      <c r="N143" s="15"/>
      <c r="O143" s="15"/>
      <c r="P143" s="15"/>
      <c r="Q143" s="15"/>
      <c r="R143" s="15"/>
      <c r="S143" s="15"/>
      <c r="T143" s="15"/>
      <c r="U143" s="15"/>
    </row>
    <row r="144" spans="1:21" ht="14.25" customHeight="1" x14ac:dyDescent="0.35">
      <c r="A144" s="15"/>
      <c r="B144" s="15"/>
      <c r="C144" s="15"/>
      <c r="D144" s="15"/>
      <c r="E144" s="15"/>
      <c r="F144" s="15"/>
      <c r="G144" s="15"/>
      <c r="H144" s="15"/>
      <c r="I144" s="15"/>
      <c r="J144" s="15"/>
      <c r="K144" s="15"/>
      <c r="L144" s="15"/>
      <c r="M144" s="15"/>
      <c r="N144" s="15"/>
      <c r="O144" s="15"/>
      <c r="P144" s="15"/>
      <c r="Q144" s="15"/>
      <c r="R144" s="15"/>
      <c r="S144" s="15"/>
      <c r="T144" s="15"/>
      <c r="U144" s="15"/>
    </row>
    <row r="145" spans="1:21" ht="14.25" customHeight="1" x14ac:dyDescent="0.35">
      <c r="A145" s="15"/>
      <c r="B145" s="15"/>
      <c r="C145" s="15"/>
      <c r="D145" s="15"/>
      <c r="E145" s="15"/>
      <c r="F145" s="15"/>
      <c r="G145" s="15"/>
      <c r="H145" s="15"/>
      <c r="I145" s="15"/>
      <c r="J145" s="15"/>
      <c r="K145" s="15"/>
      <c r="L145" s="15"/>
      <c r="M145" s="15"/>
      <c r="N145" s="15"/>
      <c r="O145" s="15"/>
      <c r="P145" s="15"/>
      <c r="Q145" s="15"/>
      <c r="R145" s="15"/>
      <c r="S145" s="15"/>
      <c r="T145" s="15"/>
      <c r="U145" s="15"/>
    </row>
    <row r="146" spans="1:21" ht="14.25" customHeight="1" x14ac:dyDescent="0.35">
      <c r="A146" s="15"/>
      <c r="B146" s="15"/>
      <c r="C146" s="15"/>
      <c r="D146" s="15"/>
      <c r="E146" s="15"/>
      <c r="F146" s="15"/>
      <c r="G146" s="15"/>
      <c r="H146" s="15"/>
      <c r="I146" s="15"/>
      <c r="J146" s="15"/>
      <c r="K146" s="15"/>
      <c r="L146" s="15"/>
      <c r="M146" s="15"/>
      <c r="N146" s="15"/>
      <c r="O146" s="15"/>
      <c r="P146" s="15"/>
      <c r="Q146" s="15"/>
      <c r="R146" s="15"/>
      <c r="S146" s="15"/>
      <c r="T146" s="15"/>
      <c r="U146" s="15"/>
    </row>
    <row r="147" spans="1:21" ht="14.25" customHeight="1" x14ac:dyDescent="0.35">
      <c r="A147" s="15"/>
      <c r="B147" s="15"/>
      <c r="C147" s="15"/>
      <c r="D147" s="15"/>
      <c r="E147" s="15"/>
      <c r="F147" s="15"/>
      <c r="G147" s="15"/>
      <c r="H147" s="15"/>
      <c r="I147" s="15"/>
      <c r="J147" s="15"/>
      <c r="K147" s="15"/>
      <c r="L147" s="15"/>
      <c r="M147" s="15"/>
      <c r="N147" s="15"/>
      <c r="O147" s="15"/>
      <c r="P147" s="15"/>
      <c r="Q147" s="15"/>
      <c r="R147" s="15"/>
      <c r="S147" s="15"/>
      <c r="T147" s="15"/>
      <c r="U147" s="15"/>
    </row>
    <row r="148" spans="1:21" ht="14.25" customHeight="1" x14ac:dyDescent="0.35">
      <c r="A148" s="15"/>
      <c r="B148" s="15"/>
      <c r="C148" s="15"/>
      <c r="D148" s="15"/>
      <c r="E148" s="15"/>
      <c r="F148" s="15"/>
      <c r="G148" s="15"/>
      <c r="H148" s="15"/>
      <c r="I148" s="15"/>
      <c r="J148" s="15"/>
      <c r="K148" s="15"/>
      <c r="L148" s="15"/>
      <c r="M148" s="15"/>
      <c r="N148" s="15"/>
      <c r="O148" s="15"/>
      <c r="P148" s="15"/>
      <c r="Q148" s="15"/>
      <c r="R148" s="15"/>
      <c r="S148" s="15"/>
      <c r="T148" s="15"/>
      <c r="U148" s="15"/>
    </row>
    <row r="149" spans="1:21" ht="14.25" customHeight="1" x14ac:dyDescent="0.35">
      <c r="A149" s="15"/>
      <c r="B149" s="15"/>
      <c r="C149" s="15"/>
      <c r="D149" s="15"/>
      <c r="E149" s="15"/>
      <c r="F149" s="15"/>
      <c r="G149" s="15"/>
      <c r="H149" s="15"/>
      <c r="I149" s="15"/>
      <c r="J149" s="15"/>
      <c r="K149" s="15"/>
      <c r="L149" s="15"/>
      <c r="M149" s="15"/>
      <c r="N149" s="15"/>
      <c r="O149" s="15"/>
      <c r="P149" s="15"/>
      <c r="Q149" s="15"/>
      <c r="R149" s="15"/>
      <c r="S149" s="15"/>
      <c r="T149" s="15"/>
      <c r="U149" s="15"/>
    </row>
    <row r="150" spans="1:21" ht="14.25" customHeight="1" x14ac:dyDescent="0.35">
      <c r="A150" s="15"/>
      <c r="B150" s="15"/>
      <c r="C150" s="15"/>
      <c r="D150" s="15"/>
      <c r="E150" s="15"/>
      <c r="F150" s="15"/>
      <c r="G150" s="15"/>
      <c r="H150" s="15"/>
      <c r="I150" s="15"/>
      <c r="J150" s="15"/>
      <c r="K150" s="15"/>
      <c r="L150" s="15"/>
      <c r="M150" s="15"/>
      <c r="N150" s="15"/>
      <c r="O150" s="15"/>
      <c r="P150" s="15"/>
      <c r="Q150" s="15"/>
      <c r="R150" s="15"/>
      <c r="S150" s="15"/>
      <c r="T150" s="15"/>
      <c r="U150" s="15"/>
    </row>
    <row r="151" spans="1:21" ht="14.25" customHeight="1" x14ac:dyDescent="0.35">
      <c r="A151" s="15"/>
      <c r="B151" s="15"/>
      <c r="C151" s="15"/>
      <c r="D151" s="15"/>
      <c r="E151" s="15"/>
      <c r="F151" s="15"/>
      <c r="G151" s="15"/>
      <c r="H151" s="15"/>
      <c r="I151" s="15"/>
      <c r="J151" s="15"/>
      <c r="K151" s="15"/>
      <c r="L151" s="15"/>
      <c r="M151" s="15"/>
      <c r="N151" s="15"/>
      <c r="O151" s="15"/>
      <c r="P151" s="15"/>
      <c r="Q151" s="15"/>
      <c r="R151" s="15"/>
      <c r="S151" s="15"/>
      <c r="T151" s="15"/>
      <c r="U151" s="15"/>
    </row>
    <row r="152" spans="1:21" ht="14.25" customHeight="1" x14ac:dyDescent="0.35">
      <c r="A152" s="15"/>
      <c r="B152" s="15"/>
      <c r="C152" s="15"/>
      <c r="D152" s="15"/>
      <c r="E152" s="15"/>
      <c r="F152" s="15"/>
      <c r="G152" s="15"/>
      <c r="H152" s="15"/>
      <c r="I152" s="15"/>
      <c r="J152" s="15"/>
      <c r="K152" s="15"/>
      <c r="L152" s="15"/>
      <c r="M152" s="15"/>
      <c r="N152" s="15"/>
      <c r="O152" s="15"/>
      <c r="P152" s="15"/>
      <c r="Q152" s="15"/>
      <c r="R152" s="15"/>
      <c r="S152" s="15"/>
      <c r="T152" s="15"/>
      <c r="U152" s="15"/>
    </row>
    <row r="153" spans="1:21" ht="14.25" customHeight="1" x14ac:dyDescent="0.35">
      <c r="A153" s="15"/>
      <c r="B153" s="15"/>
      <c r="C153" s="15"/>
      <c r="D153" s="15"/>
      <c r="E153" s="15"/>
      <c r="F153" s="15"/>
      <c r="G153" s="15"/>
      <c r="H153" s="15"/>
      <c r="I153" s="15"/>
      <c r="J153" s="15"/>
      <c r="K153" s="15"/>
      <c r="L153" s="15"/>
      <c r="M153" s="15"/>
      <c r="N153" s="15"/>
      <c r="O153" s="15"/>
      <c r="P153" s="15"/>
      <c r="Q153" s="15"/>
      <c r="R153" s="15"/>
      <c r="S153" s="15"/>
      <c r="T153" s="15"/>
      <c r="U153" s="15"/>
    </row>
    <row r="154" spans="1:21" ht="14.25" customHeight="1" x14ac:dyDescent="0.35">
      <c r="A154" s="15"/>
      <c r="B154" s="15"/>
      <c r="C154" s="15"/>
      <c r="D154" s="15"/>
      <c r="E154" s="15"/>
      <c r="F154" s="15"/>
      <c r="G154" s="15"/>
      <c r="H154" s="15"/>
      <c r="I154" s="15"/>
      <c r="J154" s="15"/>
      <c r="K154" s="15"/>
      <c r="L154" s="15"/>
      <c r="M154" s="15"/>
      <c r="N154" s="15"/>
      <c r="O154" s="15"/>
      <c r="P154" s="15"/>
      <c r="Q154" s="15"/>
      <c r="R154" s="15"/>
      <c r="S154" s="15"/>
      <c r="T154" s="15"/>
      <c r="U154" s="15"/>
    </row>
    <row r="155" spans="1:21" ht="14.25" customHeight="1" x14ac:dyDescent="0.35">
      <c r="A155" s="15"/>
      <c r="B155" s="15"/>
      <c r="C155" s="15"/>
      <c r="D155" s="15"/>
      <c r="E155" s="15"/>
      <c r="F155" s="15"/>
      <c r="G155" s="15"/>
      <c r="H155" s="15"/>
      <c r="I155" s="15"/>
      <c r="J155" s="15"/>
      <c r="K155" s="15"/>
      <c r="L155" s="15"/>
      <c r="M155" s="15"/>
      <c r="N155" s="15"/>
      <c r="O155" s="15"/>
      <c r="P155" s="15"/>
      <c r="Q155" s="15"/>
      <c r="R155" s="15"/>
      <c r="S155" s="15"/>
      <c r="T155" s="15"/>
      <c r="U155" s="15"/>
    </row>
    <row r="156" spans="1:21" ht="14.25" customHeight="1" x14ac:dyDescent="0.35">
      <c r="A156" s="15"/>
      <c r="B156" s="15"/>
      <c r="C156" s="15"/>
      <c r="D156" s="15"/>
      <c r="E156" s="15"/>
      <c r="F156" s="15"/>
      <c r="G156" s="15"/>
      <c r="H156" s="15"/>
      <c r="I156" s="15"/>
      <c r="J156" s="15"/>
      <c r="K156" s="15"/>
      <c r="L156" s="15"/>
      <c r="M156" s="15"/>
      <c r="N156" s="15"/>
      <c r="O156" s="15"/>
      <c r="P156" s="15"/>
      <c r="Q156" s="15"/>
      <c r="R156" s="15"/>
      <c r="S156" s="15"/>
      <c r="T156" s="15"/>
      <c r="U156" s="15"/>
    </row>
    <row r="157" spans="1:21" ht="14.25" customHeight="1" x14ac:dyDescent="0.35">
      <c r="A157" s="15"/>
      <c r="B157" s="15"/>
      <c r="C157" s="15"/>
      <c r="D157" s="15"/>
      <c r="E157" s="15"/>
      <c r="F157" s="15"/>
      <c r="G157" s="15"/>
      <c r="H157" s="15"/>
      <c r="I157" s="15"/>
      <c r="J157" s="15"/>
      <c r="K157" s="15"/>
      <c r="L157" s="15"/>
      <c r="M157" s="15"/>
      <c r="N157" s="15"/>
      <c r="O157" s="15"/>
      <c r="P157" s="15"/>
      <c r="Q157" s="15"/>
      <c r="R157" s="15"/>
      <c r="S157" s="15"/>
      <c r="T157" s="15"/>
      <c r="U157" s="15"/>
    </row>
    <row r="158" spans="1:21" ht="14.25" customHeight="1" x14ac:dyDescent="0.35">
      <c r="A158" s="15"/>
      <c r="B158" s="15"/>
      <c r="C158" s="15"/>
      <c r="D158" s="15"/>
      <c r="E158" s="15"/>
      <c r="F158" s="15"/>
      <c r="G158" s="15"/>
      <c r="H158" s="15"/>
      <c r="I158" s="15"/>
      <c r="J158" s="15"/>
      <c r="K158" s="15"/>
      <c r="L158" s="15"/>
      <c r="M158" s="15"/>
      <c r="N158" s="15"/>
      <c r="O158" s="15"/>
      <c r="P158" s="15"/>
      <c r="Q158" s="15"/>
      <c r="R158" s="15"/>
      <c r="S158" s="15"/>
      <c r="T158" s="15"/>
      <c r="U158" s="15"/>
    </row>
    <row r="159" spans="1:21" ht="14.25" customHeight="1" x14ac:dyDescent="0.35">
      <c r="A159" s="15"/>
      <c r="B159" s="15"/>
      <c r="C159" s="15"/>
      <c r="D159" s="15"/>
      <c r="E159" s="15"/>
      <c r="F159" s="15"/>
      <c r="G159" s="15"/>
      <c r="H159" s="15"/>
      <c r="I159" s="15"/>
      <c r="J159" s="15"/>
      <c r="K159" s="15"/>
      <c r="L159" s="15"/>
      <c r="M159" s="15"/>
      <c r="N159" s="15"/>
      <c r="O159" s="15"/>
      <c r="P159" s="15"/>
      <c r="Q159" s="15"/>
      <c r="R159" s="15"/>
      <c r="S159" s="15"/>
      <c r="T159" s="15"/>
      <c r="U159" s="15"/>
    </row>
    <row r="160" spans="1:21" ht="14.25" customHeight="1" x14ac:dyDescent="0.35">
      <c r="A160" s="15"/>
      <c r="B160" s="15"/>
      <c r="C160" s="15"/>
      <c r="D160" s="15"/>
      <c r="E160" s="15"/>
      <c r="F160" s="15"/>
      <c r="G160" s="15"/>
      <c r="H160" s="15"/>
      <c r="I160" s="15"/>
      <c r="J160" s="15"/>
      <c r="K160" s="15"/>
      <c r="L160" s="15"/>
      <c r="M160" s="15"/>
      <c r="N160" s="15"/>
      <c r="O160" s="15"/>
      <c r="P160" s="15"/>
      <c r="Q160" s="15"/>
      <c r="R160" s="15"/>
      <c r="S160" s="15"/>
      <c r="T160" s="15"/>
      <c r="U160" s="15"/>
    </row>
    <row r="161" spans="1:21" ht="14.25" customHeight="1" x14ac:dyDescent="0.35">
      <c r="A161" s="15"/>
      <c r="B161" s="15"/>
      <c r="C161" s="15"/>
      <c r="D161" s="15"/>
      <c r="E161" s="15"/>
      <c r="F161" s="15"/>
      <c r="G161" s="15"/>
      <c r="H161" s="15"/>
      <c r="I161" s="15"/>
      <c r="J161" s="15"/>
      <c r="K161" s="15"/>
      <c r="L161" s="15"/>
      <c r="M161" s="15"/>
      <c r="N161" s="15"/>
      <c r="O161" s="15"/>
      <c r="P161" s="15"/>
      <c r="Q161" s="15"/>
      <c r="R161" s="15"/>
      <c r="S161" s="15"/>
      <c r="T161" s="15"/>
      <c r="U161" s="15"/>
    </row>
    <row r="162" spans="1:21" ht="14.25" customHeight="1" x14ac:dyDescent="0.35">
      <c r="A162" s="15"/>
      <c r="B162" s="15"/>
      <c r="C162" s="15"/>
      <c r="D162" s="15"/>
      <c r="E162" s="15"/>
      <c r="F162" s="15"/>
      <c r="G162" s="15"/>
      <c r="H162" s="15"/>
      <c r="I162" s="15"/>
      <c r="J162" s="15"/>
      <c r="K162" s="15"/>
      <c r="L162" s="15"/>
      <c r="M162" s="15"/>
      <c r="N162" s="15"/>
      <c r="O162" s="15"/>
      <c r="P162" s="15"/>
      <c r="Q162" s="15"/>
      <c r="R162" s="15"/>
      <c r="S162" s="15"/>
      <c r="T162" s="15"/>
      <c r="U162" s="15"/>
    </row>
    <row r="163" spans="1:21" ht="14.25" customHeight="1" x14ac:dyDescent="0.35">
      <c r="A163" s="15"/>
      <c r="B163" s="15"/>
      <c r="C163" s="15"/>
      <c r="D163" s="15"/>
      <c r="E163" s="15"/>
      <c r="F163" s="15"/>
      <c r="G163" s="15"/>
      <c r="H163" s="15"/>
      <c r="I163" s="15"/>
      <c r="J163" s="15"/>
      <c r="K163" s="15"/>
      <c r="L163" s="15"/>
      <c r="M163" s="15"/>
      <c r="N163" s="15"/>
      <c r="O163" s="15"/>
      <c r="P163" s="15"/>
      <c r="Q163" s="15"/>
      <c r="R163" s="15"/>
      <c r="S163" s="15"/>
      <c r="T163" s="15"/>
      <c r="U163" s="15"/>
    </row>
    <row r="164" spans="1:21" ht="14.25" customHeight="1" x14ac:dyDescent="0.35">
      <c r="A164" s="15"/>
      <c r="B164" s="15"/>
      <c r="C164" s="15"/>
      <c r="D164" s="15"/>
      <c r="E164" s="15"/>
      <c r="F164" s="15"/>
      <c r="G164" s="15"/>
      <c r="H164" s="15"/>
      <c r="I164" s="15"/>
      <c r="J164" s="15"/>
      <c r="K164" s="15"/>
      <c r="L164" s="15"/>
      <c r="M164" s="15"/>
      <c r="N164" s="15"/>
      <c r="O164" s="15"/>
      <c r="P164" s="15"/>
      <c r="Q164" s="15"/>
      <c r="R164" s="15"/>
      <c r="S164" s="15"/>
      <c r="T164" s="15"/>
      <c r="U164" s="15"/>
    </row>
    <row r="165" spans="1:21" ht="14.25" customHeight="1" x14ac:dyDescent="0.35">
      <c r="A165" s="15"/>
      <c r="B165" s="15"/>
      <c r="C165" s="15"/>
      <c r="D165" s="15"/>
      <c r="E165" s="15"/>
      <c r="F165" s="15"/>
      <c r="G165" s="15"/>
      <c r="H165" s="15"/>
      <c r="I165" s="15"/>
      <c r="J165" s="15"/>
      <c r="K165" s="15"/>
      <c r="L165" s="15"/>
      <c r="M165" s="15"/>
      <c r="N165" s="15"/>
      <c r="O165" s="15"/>
      <c r="P165" s="15"/>
      <c r="Q165" s="15"/>
      <c r="R165" s="15"/>
      <c r="S165" s="15"/>
      <c r="T165" s="15"/>
      <c r="U165" s="15"/>
    </row>
    <row r="166" spans="1:21" ht="14.25" customHeight="1" x14ac:dyDescent="0.35">
      <c r="A166" s="15"/>
      <c r="B166" s="15"/>
      <c r="C166" s="15"/>
      <c r="D166" s="15"/>
      <c r="E166" s="15"/>
      <c r="F166" s="15"/>
      <c r="G166" s="15"/>
      <c r="H166" s="15"/>
      <c r="I166" s="15"/>
      <c r="J166" s="15"/>
      <c r="K166" s="15"/>
      <c r="L166" s="15"/>
      <c r="M166" s="15"/>
      <c r="N166" s="15"/>
      <c r="O166" s="15"/>
      <c r="P166" s="15"/>
      <c r="Q166" s="15"/>
      <c r="R166" s="15"/>
      <c r="S166" s="15"/>
      <c r="T166" s="15"/>
      <c r="U166" s="15"/>
    </row>
    <row r="167" spans="1:21" ht="14.25" customHeight="1" x14ac:dyDescent="0.35">
      <c r="A167" s="15"/>
      <c r="B167" s="15"/>
      <c r="C167" s="15"/>
      <c r="D167" s="15"/>
      <c r="E167" s="15"/>
      <c r="F167" s="15"/>
      <c r="G167" s="15"/>
      <c r="H167" s="15"/>
      <c r="I167" s="15"/>
      <c r="J167" s="15"/>
      <c r="K167" s="15"/>
      <c r="L167" s="15"/>
      <c r="M167" s="15"/>
      <c r="N167" s="15"/>
      <c r="O167" s="15"/>
      <c r="P167" s="15"/>
      <c r="Q167" s="15"/>
      <c r="R167" s="15"/>
      <c r="S167" s="15"/>
      <c r="T167" s="15"/>
      <c r="U167" s="15"/>
    </row>
    <row r="168" spans="1:21" ht="14.25" customHeight="1" x14ac:dyDescent="0.35">
      <c r="A168" s="15"/>
      <c r="B168" s="15"/>
      <c r="C168" s="15"/>
      <c r="D168" s="15"/>
      <c r="E168" s="15"/>
      <c r="F168" s="15"/>
      <c r="G168" s="15"/>
      <c r="H168" s="15"/>
      <c r="I168" s="15"/>
      <c r="J168" s="15"/>
      <c r="K168" s="15"/>
      <c r="L168" s="15"/>
      <c r="M168" s="15"/>
      <c r="N168" s="15"/>
      <c r="O168" s="15"/>
      <c r="P168" s="15"/>
      <c r="Q168" s="15"/>
      <c r="R168" s="15"/>
      <c r="S168" s="15"/>
      <c r="T168" s="15"/>
      <c r="U168" s="15"/>
    </row>
    <row r="169" spans="1:21" ht="14.25" customHeight="1" x14ac:dyDescent="0.35">
      <c r="A169" s="15"/>
      <c r="B169" s="15"/>
      <c r="C169" s="15"/>
      <c r="D169" s="15"/>
      <c r="E169" s="15"/>
      <c r="F169" s="15"/>
      <c r="G169" s="15"/>
      <c r="H169" s="15"/>
      <c r="I169" s="15"/>
      <c r="J169" s="15"/>
      <c r="K169" s="15"/>
      <c r="L169" s="15"/>
      <c r="M169" s="15"/>
      <c r="N169" s="15"/>
      <c r="O169" s="15"/>
      <c r="P169" s="15"/>
      <c r="Q169" s="15"/>
      <c r="R169" s="15"/>
      <c r="S169" s="15"/>
      <c r="T169" s="15"/>
      <c r="U169" s="15"/>
    </row>
    <row r="170" spans="1:21" ht="14.25" customHeight="1" x14ac:dyDescent="0.35">
      <c r="A170" s="15"/>
      <c r="B170" s="15"/>
      <c r="C170" s="15"/>
      <c r="D170" s="15"/>
      <c r="E170" s="15"/>
      <c r="F170" s="15"/>
      <c r="G170" s="15"/>
      <c r="H170" s="15"/>
      <c r="I170" s="15"/>
      <c r="J170" s="15"/>
      <c r="K170" s="15"/>
      <c r="L170" s="15"/>
      <c r="M170" s="15"/>
      <c r="N170" s="15"/>
      <c r="O170" s="15"/>
      <c r="P170" s="15"/>
      <c r="Q170" s="15"/>
      <c r="R170" s="15"/>
      <c r="S170" s="15"/>
      <c r="T170" s="15"/>
      <c r="U170" s="15"/>
    </row>
    <row r="171" spans="1:21" ht="14.25" customHeight="1" x14ac:dyDescent="0.35">
      <c r="A171" s="15"/>
      <c r="B171" s="15"/>
      <c r="C171" s="15"/>
      <c r="D171" s="15"/>
      <c r="E171" s="15"/>
      <c r="F171" s="15"/>
      <c r="G171" s="15"/>
      <c r="H171" s="15"/>
      <c r="I171" s="15"/>
      <c r="J171" s="15"/>
      <c r="K171" s="15"/>
      <c r="L171" s="15"/>
      <c r="M171" s="15"/>
      <c r="N171" s="15"/>
      <c r="O171" s="15"/>
      <c r="P171" s="15"/>
      <c r="Q171" s="15"/>
      <c r="R171" s="15"/>
      <c r="S171" s="15"/>
      <c r="T171" s="15"/>
      <c r="U171" s="15"/>
    </row>
    <row r="172" spans="1:21" ht="14.25" customHeight="1" x14ac:dyDescent="0.35">
      <c r="A172" s="15"/>
      <c r="B172" s="15"/>
      <c r="C172" s="15"/>
      <c r="D172" s="15"/>
      <c r="E172" s="15"/>
      <c r="F172" s="15"/>
      <c r="G172" s="15"/>
      <c r="H172" s="15"/>
      <c r="I172" s="15"/>
      <c r="J172" s="15"/>
      <c r="K172" s="15"/>
      <c r="L172" s="15"/>
      <c r="M172" s="15"/>
      <c r="N172" s="15"/>
      <c r="O172" s="15"/>
      <c r="P172" s="15"/>
      <c r="Q172" s="15"/>
      <c r="R172" s="15"/>
      <c r="S172" s="15"/>
      <c r="T172" s="15"/>
      <c r="U172" s="15"/>
    </row>
    <row r="173" spans="1:21" ht="14.25" customHeight="1" x14ac:dyDescent="0.35">
      <c r="A173" s="15"/>
      <c r="B173" s="15"/>
      <c r="C173" s="15"/>
      <c r="D173" s="15"/>
      <c r="E173" s="15"/>
      <c r="F173" s="15"/>
      <c r="G173" s="15"/>
      <c r="H173" s="15"/>
      <c r="I173" s="15"/>
      <c r="J173" s="15"/>
      <c r="K173" s="15"/>
      <c r="L173" s="15"/>
      <c r="M173" s="15"/>
      <c r="N173" s="15"/>
      <c r="O173" s="15"/>
      <c r="P173" s="15"/>
      <c r="Q173" s="15"/>
      <c r="R173" s="15"/>
      <c r="S173" s="15"/>
      <c r="T173" s="15"/>
      <c r="U173" s="15"/>
    </row>
    <row r="174" spans="1:21" ht="14.25" customHeight="1" x14ac:dyDescent="0.35">
      <c r="A174" s="15"/>
      <c r="B174" s="15"/>
      <c r="C174" s="15"/>
      <c r="D174" s="15"/>
      <c r="E174" s="15"/>
      <c r="F174" s="15"/>
      <c r="G174" s="15"/>
      <c r="H174" s="15"/>
      <c r="I174" s="15"/>
      <c r="J174" s="15"/>
      <c r="K174" s="15"/>
      <c r="L174" s="15"/>
      <c r="M174" s="15"/>
      <c r="N174" s="15"/>
      <c r="O174" s="15"/>
      <c r="P174" s="15"/>
      <c r="Q174" s="15"/>
      <c r="R174" s="15"/>
      <c r="S174" s="15"/>
      <c r="T174" s="15"/>
      <c r="U174" s="15"/>
    </row>
    <row r="175" spans="1:21" ht="14.25" customHeight="1" x14ac:dyDescent="0.35">
      <c r="A175" s="15"/>
      <c r="B175" s="15"/>
      <c r="C175" s="15"/>
      <c r="D175" s="15"/>
      <c r="E175" s="15"/>
      <c r="F175" s="15"/>
      <c r="G175" s="15"/>
      <c r="H175" s="15"/>
      <c r="I175" s="15"/>
      <c r="J175" s="15"/>
      <c r="K175" s="15"/>
      <c r="L175" s="15"/>
      <c r="M175" s="15"/>
      <c r="N175" s="15"/>
      <c r="O175" s="15"/>
      <c r="P175" s="15"/>
      <c r="Q175" s="15"/>
      <c r="R175" s="15"/>
      <c r="S175" s="15"/>
      <c r="T175" s="15"/>
      <c r="U175" s="15"/>
    </row>
    <row r="176" spans="1:21" ht="14.25" customHeight="1" x14ac:dyDescent="0.35">
      <c r="A176" s="15"/>
      <c r="B176" s="15"/>
      <c r="C176" s="15"/>
      <c r="D176" s="15"/>
      <c r="E176" s="15"/>
      <c r="F176" s="15"/>
      <c r="G176" s="15"/>
      <c r="H176" s="15"/>
      <c r="I176" s="15"/>
      <c r="J176" s="15"/>
      <c r="K176" s="15"/>
      <c r="L176" s="15"/>
      <c r="M176" s="15"/>
      <c r="N176" s="15"/>
      <c r="O176" s="15"/>
      <c r="P176" s="15"/>
      <c r="Q176" s="15"/>
      <c r="R176" s="15"/>
      <c r="S176" s="15"/>
      <c r="T176" s="15"/>
      <c r="U176" s="15"/>
    </row>
    <row r="177" spans="1:21" ht="14.25" customHeight="1" x14ac:dyDescent="0.35">
      <c r="A177" s="15"/>
      <c r="B177" s="15"/>
      <c r="C177" s="15"/>
      <c r="D177" s="15"/>
      <c r="E177" s="15"/>
      <c r="F177" s="15"/>
      <c r="G177" s="15"/>
      <c r="H177" s="15"/>
      <c r="I177" s="15"/>
      <c r="J177" s="15"/>
      <c r="K177" s="15"/>
      <c r="L177" s="15"/>
      <c r="M177" s="15"/>
      <c r="N177" s="15"/>
      <c r="O177" s="15"/>
      <c r="P177" s="15"/>
      <c r="Q177" s="15"/>
      <c r="R177" s="15"/>
      <c r="S177" s="15"/>
      <c r="T177" s="15"/>
      <c r="U177" s="15"/>
    </row>
    <row r="178" spans="1:21" ht="14.25" customHeight="1" x14ac:dyDescent="0.35">
      <c r="A178" s="15"/>
      <c r="B178" s="15"/>
      <c r="C178" s="15"/>
      <c r="D178" s="15"/>
      <c r="E178" s="15"/>
      <c r="F178" s="15"/>
      <c r="G178" s="15"/>
      <c r="H178" s="15"/>
      <c r="I178" s="15"/>
      <c r="J178" s="15"/>
      <c r="K178" s="15"/>
      <c r="L178" s="15"/>
      <c r="M178" s="15"/>
      <c r="N178" s="15"/>
      <c r="O178" s="15"/>
      <c r="P178" s="15"/>
      <c r="Q178" s="15"/>
      <c r="R178" s="15"/>
      <c r="S178" s="15"/>
      <c r="T178" s="15"/>
      <c r="U178" s="15"/>
    </row>
    <row r="179" spans="1:21" ht="14.25" customHeight="1" x14ac:dyDescent="0.35">
      <c r="A179" s="15"/>
      <c r="B179" s="15"/>
      <c r="C179" s="15"/>
      <c r="D179" s="15"/>
      <c r="E179" s="15"/>
      <c r="F179" s="15"/>
      <c r="G179" s="15"/>
      <c r="H179" s="15"/>
      <c r="I179" s="15"/>
      <c r="J179" s="15"/>
      <c r="K179" s="15"/>
      <c r="L179" s="15"/>
      <c r="M179" s="15"/>
      <c r="N179" s="15"/>
      <c r="O179" s="15"/>
      <c r="P179" s="15"/>
      <c r="Q179" s="15"/>
      <c r="R179" s="15"/>
      <c r="S179" s="15"/>
      <c r="T179" s="15"/>
      <c r="U179" s="15"/>
    </row>
    <row r="180" spans="1:21" ht="14.25" customHeight="1" x14ac:dyDescent="0.35">
      <c r="A180" s="15"/>
      <c r="B180" s="15"/>
      <c r="C180" s="15"/>
      <c r="D180" s="15"/>
      <c r="E180" s="15"/>
      <c r="F180" s="15"/>
      <c r="G180" s="15"/>
      <c r="H180" s="15"/>
      <c r="I180" s="15"/>
      <c r="J180" s="15"/>
      <c r="K180" s="15"/>
      <c r="L180" s="15"/>
      <c r="M180" s="15"/>
      <c r="N180" s="15"/>
      <c r="O180" s="15"/>
      <c r="P180" s="15"/>
      <c r="Q180" s="15"/>
      <c r="R180" s="15"/>
      <c r="S180" s="15"/>
      <c r="T180" s="15"/>
      <c r="U180" s="15"/>
    </row>
    <row r="181" spans="1:21" ht="14.25" customHeight="1" x14ac:dyDescent="0.35">
      <c r="A181" s="15"/>
      <c r="B181" s="15"/>
      <c r="C181" s="15"/>
      <c r="D181" s="15"/>
      <c r="E181" s="15"/>
      <c r="F181" s="15"/>
      <c r="G181" s="15"/>
      <c r="H181" s="15"/>
      <c r="I181" s="15"/>
      <c r="J181" s="15"/>
      <c r="K181" s="15"/>
      <c r="L181" s="15"/>
      <c r="M181" s="15"/>
      <c r="N181" s="15"/>
      <c r="O181" s="15"/>
      <c r="P181" s="15"/>
      <c r="Q181" s="15"/>
      <c r="R181" s="15"/>
      <c r="S181" s="15"/>
      <c r="T181" s="15"/>
      <c r="U181" s="15"/>
    </row>
    <row r="182" spans="1:21" ht="14.25" customHeight="1" x14ac:dyDescent="0.35">
      <c r="A182" s="15"/>
      <c r="B182" s="15"/>
      <c r="C182" s="15"/>
      <c r="D182" s="15"/>
      <c r="E182" s="15"/>
      <c r="F182" s="15"/>
      <c r="G182" s="15"/>
      <c r="H182" s="15"/>
      <c r="I182" s="15"/>
      <c r="J182" s="15"/>
      <c r="K182" s="15"/>
      <c r="L182" s="15"/>
      <c r="M182" s="15"/>
      <c r="N182" s="15"/>
      <c r="O182" s="15"/>
      <c r="P182" s="15"/>
      <c r="Q182" s="15"/>
      <c r="R182" s="15"/>
      <c r="S182" s="15"/>
      <c r="T182" s="15"/>
      <c r="U182" s="15"/>
    </row>
    <row r="183" spans="1:21" ht="14.25" customHeight="1" x14ac:dyDescent="0.35">
      <c r="A183" s="15"/>
      <c r="B183" s="15"/>
      <c r="C183" s="15"/>
      <c r="D183" s="15"/>
      <c r="E183" s="15"/>
      <c r="F183" s="15"/>
      <c r="G183" s="15"/>
      <c r="H183" s="15"/>
      <c r="I183" s="15"/>
      <c r="J183" s="15"/>
      <c r="K183" s="15"/>
      <c r="L183" s="15"/>
      <c r="M183" s="15"/>
      <c r="N183" s="15"/>
      <c r="O183" s="15"/>
      <c r="P183" s="15"/>
      <c r="Q183" s="15"/>
      <c r="R183" s="15"/>
      <c r="S183" s="15"/>
      <c r="T183" s="15"/>
      <c r="U183" s="15"/>
    </row>
    <row r="184" spans="1:21" ht="14.25" customHeight="1" x14ac:dyDescent="0.35">
      <c r="A184" s="15"/>
      <c r="B184" s="15"/>
      <c r="C184" s="15"/>
      <c r="D184" s="15"/>
      <c r="E184" s="15"/>
      <c r="F184" s="15"/>
      <c r="G184" s="15"/>
      <c r="H184" s="15"/>
      <c r="I184" s="15"/>
      <c r="J184" s="15"/>
      <c r="K184" s="15"/>
      <c r="L184" s="15"/>
      <c r="M184" s="15"/>
      <c r="N184" s="15"/>
      <c r="O184" s="15"/>
      <c r="P184" s="15"/>
      <c r="Q184" s="15"/>
      <c r="R184" s="15"/>
      <c r="S184" s="15"/>
      <c r="T184" s="15"/>
      <c r="U184" s="15"/>
    </row>
    <row r="185" spans="1:21" ht="14.25" customHeight="1" x14ac:dyDescent="0.35">
      <c r="A185" s="15"/>
      <c r="B185" s="15"/>
      <c r="C185" s="15"/>
      <c r="D185" s="15"/>
      <c r="E185" s="15"/>
      <c r="F185" s="15"/>
      <c r="G185" s="15"/>
      <c r="H185" s="15"/>
      <c r="I185" s="15"/>
      <c r="J185" s="15"/>
      <c r="K185" s="15"/>
      <c r="L185" s="15"/>
      <c r="M185" s="15"/>
      <c r="N185" s="15"/>
      <c r="O185" s="15"/>
      <c r="P185" s="15"/>
      <c r="Q185" s="15"/>
      <c r="R185" s="15"/>
      <c r="S185" s="15"/>
      <c r="T185" s="15"/>
      <c r="U185" s="15"/>
    </row>
    <row r="186" spans="1:21" ht="14.25" customHeight="1" x14ac:dyDescent="0.35">
      <c r="A186" s="15"/>
      <c r="B186" s="15"/>
      <c r="C186" s="15"/>
      <c r="D186" s="15"/>
      <c r="E186" s="15"/>
      <c r="F186" s="15"/>
      <c r="G186" s="15"/>
      <c r="H186" s="15"/>
      <c r="I186" s="15"/>
      <c r="J186" s="15"/>
      <c r="K186" s="15"/>
      <c r="L186" s="15"/>
      <c r="M186" s="15"/>
      <c r="N186" s="15"/>
      <c r="O186" s="15"/>
      <c r="P186" s="15"/>
      <c r="Q186" s="15"/>
      <c r="R186" s="15"/>
      <c r="S186" s="15"/>
      <c r="T186" s="15"/>
      <c r="U186" s="15"/>
    </row>
    <row r="187" spans="1:21" ht="14.25" customHeight="1" x14ac:dyDescent="0.35">
      <c r="A187" s="15"/>
      <c r="B187" s="15"/>
      <c r="C187" s="15"/>
      <c r="D187" s="15"/>
      <c r="E187" s="15"/>
      <c r="F187" s="15"/>
      <c r="G187" s="15"/>
      <c r="H187" s="15"/>
      <c r="I187" s="15"/>
      <c r="J187" s="15"/>
      <c r="K187" s="15"/>
      <c r="L187" s="15"/>
      <c r="M187" s="15"/>
      <c r="N187" s="15"/>
      <c r="O187" s="15"/>
      <c r="P187" s="15"/>
      <c r="Q187" s="15"/>
      <c r="R187" s="15"/>
      <c r="S187" s="15"/>
      <c r="T187" s="15"/>
      <c r="U187" s="15"/>
    </row>
    <row r="188" spans="1:21" ht="14.25" customHeight="1" x14ac:dyDescent="0.35">
      <c r="A188" s="15"/>
      <c r="B188" s="15"/>
      <c r="C188" s="15"/>
      <c r="D188" s="15"/>
      <c r="E188" s="15"/>
      <c r="F188" s="15"/>
      <c r="G188" s="15"/>
      <c r="H188" s="15"/>
      <c r="I188" s="15"/>
      <c r="J188" s="15"/>
      <c r="K188" s="15"/>
      <c r="L188" s="15"/>
      <c r="M188" s="15"/>
      <c r="N188" s="15"/>
      <c r="O188" s="15"/>
      <c r="P188" s="15"/>
      <c r="Q188" s="15"/>
      <c r="R188" s="15"/>
      <c r="S188" s="15"/>
      <c r="T188" s="15"/>
      <c r="U188" s="15"/>
    </row>
    <row r="189" spans="1:21" ht="14.25" customHeight="1" x14ac:dyDescent="0.35">
      <c r="A189" s="15"/>
      <c r="B189" s="15"/>
      <c r="C189" s="15"/>
      <c r="D189" s="15"/>
      <c r="E189" s="15"/>
      <c r="F189" s="15"/>
      <c r="G189" s="15"/>
      <c r="H189" s="15"/>
      <c r="I189" s="15"/>
      <c r="J189" s="15"/>
      <c r="K189" s="15"/>
      <c r="L189" s="15"/>
      <c r="M189" s="15"/>
      <c r="N189" s="15"/>
      <c r="O189" s="15"/>
      <c r="P189" s="15"/>
      <c r="Q189" s="15"/>
      <c r="R189" s="15"/>
      <c r="S189" s="15"/>
      <c r="T189" s="15"/>
      <c r="U189" s="15"/>
    </row>
    <row r="190" spans="1:21" ht="14.25" customHeight="1" x14ac:dyDescent="0.35">
      <c r="A190" s="15"/>
      <c r="B190" s="15"/>
      <c r="C190" s="15"/>
      <c r="D190" s="15"/>
      <c r="E190" s="15"/>
      <c r="F190" s="15"/>
      <c r="G190" s="15"/>
      <c r="H190" s="15"/>
      <c r="I190" s="15"/>
      <c r="J190" s="15"/>
      <c r="K190" s="15"/>
      <c r="L190" s="15"/>
      <c r="M190" s="15"/>
      <c r="N190" s="15"/>
      <c r="O190" s="15"/>
      <c r="P190" s="15"/>
      <c r="Q190" s="15"/>
      <c r="R190" s="15"/>
      <c r="S190" s="15"/>
      <c r="T190" s="15"/>
      <c r="U190" s="15"/>
    </row>
    <row r="191" spans="1:21" ht="14.25" customHeight="1" x14ac:dyDescent="0.35">
      <c r="A191" s="15"/>
      <c r="B191" s="15"/>
      <c r="C191" s="15"/>
      <c r="D191" s="15"/>
      <c r="E191" s="15"/>
      <c r="F191" s="15"/>
      <c r="G191" s="15"/>
      <c r="H191" s="15"/>
      <c r="I191" s="15"/>
      <c r="J191" s="15"/>
      <c r="K191" s="15"/>
      <c r="L191" s="15"/>
      <c r="M191" s="15"/>
      <c r="N191" s="15"/>
      <c r="O191" s="15"/>
      <c r="P191" s="15"/>
      <c r="Q191" s="15"/>
      <c r="R191" s="15"/>
      <c r="S191" s="15"/>
      <c r="T191" s="15"/>
      <c r="U191" s="15"/>
    </row>
    <row r="192" spans="1:21" ht="14.25" customHeight="1" x14ac:dyDescent="0.35">
      <c r="A192" s="15"/>
      <c r="B192" s="15"/>
      <c r="C192" s="15"/>
      <c r="D192" s="15"/>
      <c r="E192" s="15"/>
      <c r="F192" s="15"/>
      <c r="G192" s="15"/>
      <c r="H192" s="15"/>
      <c r="I192" s="15"/>
      <c r="J192" s="15"/>
      <c r="K192" s="15"/>
      <c r="L192" s="15"/>
      <c r="M192" s="15"/>
      <c r="N192" s="15"/>
      <c r="O192" s="15"/>
      <c r="P192" s="15"/>
      <c r="Q192" s="15"/>
      <c r="R192" s="15"/>
      <c r="S192" s="15"/>
      <c r="T192" s="15"/>
      <c r="U192" s="15"/>
    </row>
    <row r="193" spans="1:21" ht="14.25" customHeight="1" x14ac:dyDescent="0.35">
      <c r="A193" s="15"/>
      <c r="B193" s="15"/>
      <c r="C193" s="15"/>
      <c r="D193" s="15"/>
      <c r="E193" s="15"/>
      <c r="F193" s="15"/>
      <c r="G193" s="15"/>
      <c r="H193" s="15"/>
      <c r="I193" s="15"/>
      <c r="J193" s="15"/>
      <c r="K193" s="15"/>
      <c r="L193" s="15"/>
      <c r="M193" s="15"/>
      <c r="N193" s="15"/>
      <c r="O193" s="15"/>
      <c r="P193" s="15"/>
      <c r="Q193" s="15"/>
      <c r="R193" s="15"/>
      <c r="S193" s="15"/>
      <c r="T193" s="15"/>
      <c r="U193" s="15"/>
    </row>
    <row r="194" spans="1:21" ht="14.25" customHeight="1" x14ac:dyDescent="0.35">
      <c r="A194" s="15"/>
      <c r="B194" s="15"/>
      <c r="C194" s="15"/>
      <c r="D194" s="15"/>
      <c r="E194" s="15"/>
      <c r="F194" s="15"/>
      <c r="G194" s="15"/>
      <c r="H194" s="15"/>
      <c r="I194" s="15"/>
      <c r="J194" s="15"/>
      <c r="K194" s="15"/>
      <c r="L194" s="15"/>
      <c r="M194" s="15"/>
      <c r="N194" s="15"/>
      <c r="O194" s="15"/>
      <c r="P194" s="15"/>
      <c r="Q194" s="15"/>
      <c r="R194" s="15"/>
      <c r="S194" s="15"/>
      <c r="T194" s="15"/>
      <c r="U194" s="15"/>
    </row>
    <row r="195" spans="1:21" ht="14.25" customHeight="1" x14ac:dyDescent="0.35">
      <c r="A195" s="15"/>
      <c r="B195" s="15"/>
      <c r="C195" s="15"/>
      <c r="D195" s="15"/>
      <c r="E195" s="15"/>
      <c r="F195" s="15"/>
      <c r="G195" s="15"/>
      <c r="H195" s="15"/>
      <c r="I195" s="15"/>
      <c r="J195" s="15"/>
      <c r="K195" s="15"/>
      <c r="L195" s="15"/>
      <c r="M195" s="15"/>
      <c r="N195" s="15"/>
      <c r="O195" s="15"/>
      <c r="P195" s="15"/>
      <c r="Q195" s="15"/>
      <c r="R195" s="15"/>
      <c r="S195" s="15"/>
      <c r="T195" s="15"/>
      <c r="U195" s="15"/>
    </row>
    <row r="196" spans="1:21" ht="14.25" customHeight="1" x14ac:dyDescent="0.35">
      <c r="A196" s="15"/>
      <c r="B196" s="15"/>
      <c r="C196" s="15"/>
      <c r="D196" s="15"/>
      <c r="E196" s="15"/>
      <c r="F196" s="15"/>
      <c r="G196" s="15"/>
      <c r="H196" s="15"/>
      <c r="I196" s="15"/>
      <c r="J196" s="15"/>
      <c r="K196" s="15"/>
      <c r="L196" s="15"/>
      <c r="M196" s="15"/>
      <c r="N196" s="15"/>
      <c r="O196" s="15"/>
      <c r="P196" s="15"/>
      <c r="Q196" s="15"/>
      <c r="R196" s="15"/>
      <c r="S196" s="15"/>
      <c r="T196" s="15"/>
      <c r="U196" s="15"/>
    </row>
    <row r="197" spans="1:21" ht="14.25" customHeight="1" x14ac:dyDescent="0.35">
      <c r="A197" s="15"/>
      <c r="B197" s="15"/>
      <c r="C197" s="15"/>
      <c r="D197" s="15"/>
      <c r="E197" s="15"/>
      <c r="F197" s="15"/>
      <c r="G197" s="15"/>
      <c r="H197" s="15"/>
      <c r="I197" s="15"/>
      <c r="J197" s="15"/>
      <c r="K197" s="15"/>
      <c r="L197" s="15"/>
      <c r="M197" s="15"/>
      <c r="N197" s="15"/>
      <c r="O197" s="15"/>
      <c r="P197" s="15"/>
      <c r="Q197" s="15"/>
      <c r="R197" s="15"/>
      <c r="S197" s="15"/>
      <c r="T197" s="15"/>
      <c r="U197" s="15"/>
    </row>
    <row r="198" spans="1:21" ht="14.25" customHeight="1" x14ac:dyDescent="0.35">
      <c r="A198" s="15"/>
      <c r="B198" s="15"/>
      <c r="C198" s="15"/>
      <c r="D198" s="15"/>
      <c r="E198" s="15"/>
      <c r="F198" s="15"/>
      <c r="G198" s="15"/>
      <c r="H198" s="15"/>
      <c r="I198" s="15"/>
      <c r="J198" s="15"/>
      <c r="K198" s="15"/>
      <c r="L198" s="15"/>
      <c r="M198" s="15"/>
      <c r="N198" s="15"/>
      <c r="O198" s="15"/>
      <c r="P198" s="15"/>
      <c r="Q198" s="15"/>
      <c r="R198" s="15"/>
      <c r="S198" s="15"/>
      <c r="T198" s="15"/>
      <c r="U198" s="15"/>
    </row>
    <row r="199" spans="1:21" ht="14.25" customHeight="1" x14ac:dyDescent="0.35">
      <c r="A199" s="15"/>
      <c r="B199" s="15"/>
      <c r="C199" s="15"/>
      <c r="D199" s="15"/>
      <c r="E199" s="15"/>
      <c r="F199" s="15"/>
      <c r="G199" s="15"/>
      <c r="H199" s="15"/>
      <c r="I199" s="15"/>
      <c r="J199" s="15"/>
      <c r="K199" s="15"/>
      <c r="L199" s="15"/>
      <c r="M199" s="15"/>
      <c r="N199" s="15"/>
      <c r="O199" s="15"/>
      <c r="P199" s="15"/>
      <c r="Q199" s="15"/>
      <c r="R199" s="15"/>
      <c r="S199" s="15"/>
      <c r="T199" s="15"/>
      <c r="U199" s="15"/>
    </row>
    <row r="200" spans="1:21" ht="14.25" customHeight="1" x14ac:dyDescent="0.35">
      <c r="A200" s="15"/>
      <c r="B200" s="15"/>
      <c r="C200" s="15"/>
      <c r="D200" s="15"/>
      <c r="E200" s="15"/>
      <c r="F200" s="15"/>
      <c r="G200" s="15"/>
      <c r="H200" s="15"/>
      <c r="I200" s="15"/>
      <c r="J200" s="15"/>
      <c r="K200" s="15"/>
      <c r="L200" s="15"/>
      <c r="M200" s="15"/>
      <c r="N200" s="15"/>
      <c r="O200" s="15"/>
      <c r="P200" s="15"/>
      <c r="Q200" s="15"/>
      <c r="R200" s="15"/>
      <c r="S200" s="15"/>
      <c r="T200" s="15"/>
      <c r="U200" s="15"/>
    </row>
    <row r="201" spans="1:21" ht="14.25" customHeight="1" x14ac:dyDescent="0.35">
      <c r="A201" s="15"/>
      <c r="B201" s="15"/>
      <c r="C201" s="15"/>
      <c r="D201" s="15"/>
      <c r="E201" s="15"/>
      <c r="F201" s="15"/>
      <c r="G201" s="15"/>
      <c r="H201" s="15"/>
      <c r="I201" s="15"/>
      <c r="J201" s="15"/>
      <c r="K201" s="15"/>
      <c r="L201" s="15"/>
      <c r="M201" s="15"/>
      <c r="N201" s="15"/>
      <c r="O201" s="15"/>
      <c r="P201" s="15"/>
      <c r="Q201" s="15"/>
      <c r="R201" s="15"/>
      <c r="S201" s="15"/>
      <c r="T201" s="15"/>
      <c r="U201" s="15"/>
    </row>
    <row r="202" spans="1:21" ht="14.25" customHeight="1" x14ac:dyDescent="0.35">
      <c r="A202" s="15"/>
      <c r="B202" s="15"/>
      <c r="C202" s="15"/>
      <c r="D202" s="15"/>
      <c r="E202" s="15"/>
      <c r="F202" s="15"/>
      <c r="G202" s="15"/>
      <c r="H202" s="15"/>
      <c r="I202" s="15"/>
      <c r="J202" s="15"/>
      <c r="K202" s="15"/>
      <c r="L202" s="15"/>
      <c r="M202" s="15"/>
      <c r="N202" s="15"/>
      <c r="O202" s="15"/>
      <c r="P202" s="15"/>
      <c r="Q202" s="15"/>
      <c r="R202" s="15"/>
      <c r="S202" s="15"/>
      <c r="T202" s="15"/>
      <c r="U202" s="15"/>
    </row>
    <row r="203" spans="1:21" ht="14.25" customHeight="1" x14ac:dyDescent="0.35">
      <c r="A203" s="15"/>
      <c r="B203" s="15"/>
      <c r="C203" s="15"/>
      <c r="D203" s="15"/>
      <c r="E203" s="15"/>
      <c r="F203" s="15"/>
      <c r="G203" s="15"/>
      <c r="H203" s="15"/>
      <c r="I203" s="15"/>
      <c r="J203" s="15"/>
      <c r="K203" s="15"/>
      <c r="L203" s="15"/>
      <c r="M203" s="15"/>
      <c r="N203" s="15"/>
      <c r="O203" s="15"/>
      <c r="P203" s="15"/>
      <c r="Q203" s="15"/>
      <c r="R203" s="15"/>
      <c r="S203" s="15"/>
      <c r="T203" s="15"/>
      <c r="U203" s="15"/>
    </row>
    <row r="204" spans="1:21" ht="14.25" customHeight="1" x14ac:dyDescent="0.35">
      <c r="A204" s="15"/>
      <c r="B204" s="15"/>
      <c r="C204" s="15"/>
      <c r="D204" s="15"/>
      <c r="E204" s="15"/>
      <c r="F204" s="15"/>
      <c r="G204" s="15"/>
      <c r="H204" s="15"/>
      <c r="I204" s="15"/>
      <c r="J204" s="15"/>
      <c r="K204" s="15"/>
      <c r="L204" s="15"/>
      <c r="M204" s="15"/>
      <c r="N204" s="15"/>
      <c r="O204" s="15"/>
      <c r="P204" s="15"/>
      <c r="Q204" s="15"/>
      <c r="R204" s="15"/>
      <c r="S204" s="15"/>
      <c r="T204" s="15"/>
      <c r="U204" s="15"/>
    </row>
    <row r="205" spans="1:21" ht="14.25" customHeight="1" x14ac:dyDescent="0.35">
      <c r="A205" s="15"/>
      <c r="B205" s="15"/>
      <c r="C205" s="15"/>
      <c r="D205" s="15"/>
      <c r="E205" s="15"/>
      <c r="F205" s="15"/>
      <c r="G205" s="15"/>
      <c r="H205" s="15"/>
      <c r="I205" s="15"/>
      <c r="J205" s="15"/>
      <c r="K205" s="15"/>
      <c r="L205" s="15"/>
      <c r="M205" s="15"/>
      <c r="N205" s="15"/>
      <c r="O205" s="15"/>
      <c r="P205" s="15"/>
      <c r="Q205" s="15"/>
      <c r="R205" s="15"/>
      <c r="S205" s="15"/>
      <c r="T205" s="15"/>
      <c r="U205" s="15"/>
    </row>
    <row r="206" spans="1:21" ht="14.25" customHeight="1" x14ac:dyDescent="0.35">
      <c r="A206" s="15"/>
      <c r="B206" s="15"/>
      <c r="C206" s="15"/>
      <c r="D206" s="15"/>
      <c r="E206" s="15"/>
      <c r="F206" s="15"/>
      <c r="G206" s="15"/>
      <c r="H206" s="15"/>
      <c r="I206" s="15"/>
      <c r="J206" s="15"/>
      <c r="K206" s="15"/>
      <c r="L206" s="15"/>
      <c r="M206" s="15"/>
      <c r="N206" s="15"/>
      <c r="O206" s="15"/>
      <c r="P206" s="15"/>
      <c r="Q206" s="15"/>
      <c r="R206" s="15"/>
      <c r="S206" s="15"/>
      <c r="T206" s="15"/>
      <c r="U206" s="15"/>
    </row>
    <row r="207" spans="1:21" ht="14.25" customHeight="1" x14ac:dyDescent="0.35">
      <c r="A207" s="15"/>
      <c r="B207" s="15"/>
      <c r="C207" s="15"/>
      <c r="D207" s="15"/>
      <c r="E207" s="15"/>
      <c r="F207" s="15"/>
      <c r="G207" s="15"/>
      <c r="H207" s="15"/>
      <c r="I207" s="15"/>
      <c r="J207" s="15"/>
      <c r="K207" s="15"/>
      <c r="L207" s="15"/>
      <c r="M207" s="15"/>
      <c r="N207" s="15"/>
      <c r="O207" s="15"/>
      <c r="P207" s="15"/>
      <c r="Q207" s="15"/>
      <c r="R207" s="15"/>
      <c r="S207" s="15"/>
      <c r="T207" s="15"/>
      <c r="U207" s="15"/>
    </row>
    <row r="208" spans="1:21" ht="14.25" customHeight="1" x14ac:dyDescent="0.35">
      <c r="A208" s="15"/>
      <c r="B208" s="15"/>
      <c r="C208" s="15"/>
      <c r="D208" s="15"/>
      <c r="E208" s="15"/>
      <c r="F208" s="15"/>
      <c r="G208" s="15"/>
      <c r="H208" s="15"/>
      <c r="I208" s="15"/>
      <c r="J208" s="15"/>
      <c r="K208" s="15"/>
      <c r="L208" s="15"/>
      <c r="M208" s="15"/>
      <c r="N208" s="15"/>
      <c r="O208" s="15"/>
      <c r="P208" s="15"/>
      <c r="Q208" s="15"/>
      <c r="R208" s="15"/>
      <c r="S208" s="15"/>
      <c r="T208" s="15"/>
      <c r="U208" s="15"/>
    </row>
    <row r="209" spans="1:21" ht="14.25" customHeight="1" x14ac:dyDescent="0.35">
      <c r="A209" s="15"/>
      <c r="B209" s="15"/>
      <c r="C209" s="15"/>
      <c r="D209" s="15"/>
      <c r="E209" s="15"/>
      <c r="F209" s="15"/>
      <c r="G209" s="15"/>
      <c r="H209" s="15"/>
      <c r="I209" s="15"/>
      <c r="J209" s="15"/>
      <c r="K209" s="15"/>
      <c r="L209" s="15"/>
      <c r="M209" s="15"/>
      <c r="N209" s="15"/>
      <c r="O209" s="15"/>
      <c r="P209" s="15"/>
      <c r="Q209" s="15"/>
      <c r="R209" s="15"/>
      <c r="S209" s="15"/>
      <c r="T209" s="15"/>
      <c r="U209" s="15"/>
    </row>
    <row r="210" spans="1:21" ht="14.25" customHeight="1" x14ac:dyDescent="0.35">
      <c r="A210" s="15"/>
      <c r="B210" s="15"/>
      <c r="C210" s="15"/>
      <c r="D210" s="15"/>
      <c r="E210" s="15"/>
      <c r="F210" s="15"/>
      <c r="G210" s="15"/>
      <c r="H210" s="15"/>
      <c r="I210" s="15"/>
      <c r="J210" s="15"/>
      <c r="K210" s="15"/>
      <c r="L210" s="15"/>
      <c r="M210" s="15"/>
      <c r="N210" s="15"/>
      <c r="O210" s="15"/>
      <c r="P210" s="15"/>
      <c r="Q210" s="15"/>
      <c r="R210" s="15"/>
      <c r="S210" s="15"/>
      <c r="T210" s="15"/>
      <c r="U210" s="15"/>
    </row>
    <row r="211" spans="1:21" ht="14.25" customHeight="1" x14ac:dyDescent="0.35">
      <c r="A211" s="15"/>
      <c r="B211" s="15"/>
      <c r="C211" s="15"/>
      <c r="D211" s="15"/>
      <c r="E211" s="15"/>
      <c r="F211" s="15"/>
      <c r="G211" s="15"/>
      <c r="H211" s="15"/>
      <c r="I211" s="15"/>
      <c r="J211" s="15"/>
      <c r="K211" s="15"/>
      <c r="L211" s="15"/>
      <c r="M211" s="15"/>
      <c r="N211" s="15"/>
      <c r="O211" s="15"/>
      <c r="P211" s="15"/>
      <c r="Q211" s="15"/>
      <c r="R211" s="15"/>
      <c r="S211" s="15"/>
      <c r="T211" s="15"/>
      <c r="U211" s="15"/>
    </row>
    <row r="212" spans="1:21" ht="14.25" customHeight="1" x14ac:dyDescent="0.35">
      <c r="A212" s="15"/>
      <c r="B212" s="15"/>
      <c r="C212" s="15"/>
      <c r="D212" s="15"/>
      <c r="E212" s="15"/>
      <c r="F212" s="15"/>
      <c r="G212" s="15"/>
      <c r="H212" s="15"/>
      <c r="I212" s="15"/>
      <c r="J212" s="15"/>
      <c r="K212" s="15"/>
      <c r="L212" s="15"/>
      <c r="M212" s="15"/>
      <c r="N212" s="15"/>
      <c r="O212" s="15"/>
      <c r="P212" s="15"/>
      <c r="Q212" s="15"/>
      <c r="R212" s="15"/>
      <c r="S212" s="15"/>
      <c r="T212" s="15"/>
      <c r="U212" s="15"/>
    </row>
    <row r="213" spans="1:21" ht="14.25" customHeight="1" x14ac:dyDescent="0.35">
      <c r="A213" s="15"/>
      <c r="B213" s="15"/>
      <c r="C213" s="15"/>
      <c r="D213" s="15"/>
      <c r="E213" s="15"/>
      <c r="F213" s="15"/>
      <c r="G213" s="15"/>
      <c r="H213" s="15"/>
      <c r="I213" s="15"/>
      <c r="J213" s="15"/>
      <c r="K213" s="15"/>
      <c r="L213" s="15"/>
      <c r="M213" s="15"/>
      <c r="N213" s="15"/>
      <c r="O213" s="15"/>
      <c r="P213" s="15"/>
      <c r="Q213" s="15"/>
      <c r="R213" s="15"/>
      <c r="S213" s="15"/>
      <c r="T213" s="15"/>
      <c r="U213" s="15"/>
    </row>
    <row r="214" spans="1:21" ht="14.25" customHeight="1" x14ac:dyDescent="0.35">
      <c r="A214" s="15"/>
      <c r="B214" s="15"/>
      <c r="C214" s="15"/>
      <c r="D214" s="15"/>
      <c r="E214" s="15"/>
      <c r="F214" s="15"/>
      <c r="G214" s="15"/>
      <c r="H214" s="15"/>
      <c r="I214" s="15"/>
      <c r="J214" s="15"/>
      <c r="K214" s="15"/>
      <c r="L214" s="15"/>
      <c r="M214" s="15"/>
      <c r="N214" s="15"/>
      <c r="O214" s="15"/>
      <c r="P214" s="15"/>
      <c r="Q214" s="15"/>
      <c r="R214" s="15"/>
      <c r="S214" s="15"/>
      <c r="T214" s="15"/>
      <c r="U214" s="15"/>
    </row>
    <row r="215" spans="1:21" ht="14.25" customHeight="1" x14ac:dyDescent="0.35">
      <c r="A215" s="15"/>
      <c r="B215" s="15"/>
      <c r="C215" s="15"/>
      <c r="D215" s="15"/>
      <c r="E215" s="15"/>
      <c r="F215" s="15"/>
      <c r="G215" s="15"/>
      <c r="H215" s="15"/>
      <c r="I215" s="15"/>
      <c r="J215" s="15"/>
      <c r="K215" s="15"/>
      <c r="L215" s="15"/>
      <c r="M215" s="15"/>
      <c r="N215" s="15"/>
      <c r="O215" s="15"/>
      <c r="P215" s="15"/>
      <c r="Q215" s="15"/>
      <c r="R215" s="15"/>
      <c r="S215" s="15"/>
      <c r="T215" s="15"/>
      <c r="U215" s="15"/>
    </row>
    <row r="216" spans="1:21" ht="14.25" customHeight="1" x14ac:dyDescent="0.35">
      <c r="A216" s="15"/>
      <c r="B216" s="15"/>
      <c r="C216" s="15"/>
      <c r="D216" s="15"/>
      <c r="E216" s="15"/>
      <c r="F216" s="15"/>
      <c r="G216" s="15"/>
      <c r="H216" s="15"/>
      <c r="I216" s="15"/>
      <c r="J216" s="15"/>
      <c r="K216" s="15"/>
      <c r="L216" s="15"/>
      <c r="M216" s="15"/>
      <c r="N216" s="15"/>
      <c r="O216" s="15"/>
      <c r="P216" s="15"/>
      <c r="Q216" s="15"/>
      <c r="R216" s="15"/>
      <c r="S216" s="15"/>
      <c r="T216" s="15"/>
      <c r="U216" s="15"/>
    </row>
    <row r="217" spans="1:21" ht="14.25" customHeight="1" x14ac:dyDescent="0.35">
      <c r="A217" s="15"/>
      <c r="B217" s="15"/>
      <c r="C217" s="15"/>
      <c r="D217" s="15"/>
      <c r="E217" s="15"/>
      <c r="F217" s="15"/>
      <c r="G217" s="15"/>
      <c r="H217" s="15"/>
      <c r="I217" s="15"/>
      <c r="J217" s="15"/>
      <c r="K217" s="15"/>
      <c r="L217" s="15"/>
      <c r="M217" s="15"/>
      <c r="N217" s="15"/>
      <c r="O217" s="15"/>
      <c r="P217" s="15"/>
      <c r="Q217" s="15"/>
      <c r="R217" s="15"/>
      <c r="S217" s="15"/>
      <c r="T217" s="15"/>
      <c r="U217" s="15"/>
    </row>
    <row r="218" spans="1:21" ht="14.25" customHeight="1" x14ac:dyDescent="0.35">
      <c r="A218" s="15"/>
      <c r="B218" s="15"/>
      <c r="C218" s="15"/>
      <c r="D218" s="15"/>
      <c r="E218" s="15"/>
      <c r="F218" s="15"/>
      <c r="G218" s="15"/>
      <c r="H218" s="15"/>
      <c r="I218" s="15"/>
      <c r="J218" s="15"/>
      <c r="K218" s="15"/>
      <c r="L218" s="15"/>
      <c r="M218" s="15"/>
      <c r="N218" s="15"/>
      <c r="O218" s="15"/>
      <c r="P218" s="15"/>
      <c r="Q218" s="15"/>
      <c r="R218" s="15"/>
      <c r="S218" s="15"/>
      <c r="T218" s="15"/>
      <c r="U218" s="15"/>
    </row>
    <row r="219" spans="1:21" ht="14.25" customHeight="1" x14ac:dyDescent="0.35">
      <c r="A219" s="15"/>
      <c r="B219" s="15"/>
      <c r="C219" s="15"/>
      <c r="D219" s="15"/>
      <c r="E219" s="15"/>
      <c r="F219" s="15"/>
      <c r="G219" s="15"/>
      <c r="H219" s="15"/>
      <c r="I219" s="15"/>
      <c r="J219" s="15"/>
      <c r="K219" s="15"/>
      <c r="L219" s="15"/>
      <c r="M219" s="15"/>
      <c r="N219" s="15"/>
      <c r="O219" s="15"/>
      <c r="P219" s="15"/>
      <c r="Q219" s="15"/>
      <c r="R219" s="15"/>
      <c r="S219" s="15"/>
      <c r="T219" s="15"/>
      <c r="U219" s="15"/>
    </row>
    <row r="220" spans="1:21" ht="14.25" customHeight="1" x14ac:dyDescent="0.35">
      <c r="A220" s="15"/>
      <c r="B220" s="15"/>
      <c r="C220" s="15"/>
      <c r="D220" s="15"/>
      <c r="E220" s="15"/>
      <c r="F220" s="15"/>
      <c r="G220" s="15"/>
      <c r="H220" s="15"/>
      <c r="I220" s="15"/>
      <c r="J220" s="15"/>
      <c r="K220" s="15"/>
      <c r="L220" s="15"/>
      <c r="M220" s="15"/>
      <c r="N220" s="15"/>
      <c r="O220" s="15"/>
      <c r="P220" s="15"/>
      <c r="Q220" s="15"/>
      <c r="R220" s="15"/>
      <c r="S220" s="15"/>
      <c r="T220" s="15"/>
      <c r="U220" s="15"/>
    </row>
    <row r="221" spans="1:21" ht="14.25" customHeight="1" x14ac:dyDescent="0.35">
      <c r="A221" s="15"/>
      <c r="B221" s="15"/>
      <c r="C221" s="15"/>
      <c r="D221" s="15"/>
      <c r="E221" s="15"/>
      <c r="F221" s="15"/>
      <c r="G221" s="15"/>
      <c r="H221" s="15"/>
      <c r="I221" s="15"/>
      <c r="J221" s="15"/>
      <c r="K221" s="15"/>
      <c r="L221" s="15"/>
      <c r="M221" s="15"/>
      <c r="N221" s="15"/>
      <c r="O221" s="15"/>
      <c r="P221" s="15"/>
      <c r="Q221" s="15"/>
      <c r="R221" s="15"/>
      <c r="S221" s="15"/>
      <c r="T221" s="15"/>
      <c r="U221" s="15"/>
    </row>
    <row r="222" spans="1:21" ht="14.25" customHeight="1" x14ac:dyDescent="0.35">
      <c r="A222" s="15"/>
      <c r="B222" s="15"/>
      <c r="C222" s="15"/>
      <c r="D222" s="15"/>
      <c r="E222" s="15"/>
      <c r="F222" s="15"/>
      <c r="G222" s="15"/>
      <c r="H222" s="15"/>
      <c r="I222" s="15"/>
      <c r="J222" s="15"/>
      <c r="K222" s="15"/>
      <c r="L222" s="15"/>
      <c r="M222" s="15"/>
      <c r="N222" s="15"/>
      <c r="O222" s="15"/>
      <c r="P222" s="15"/>
      <c r="Q222" s="15"/>
      <c r="R222" s="15"/>
      <c r="S222" s="15"/>
      <c r="T222" s="15"/>
      <c r="U222" s="15"/>
    </row>
    <row r="223" spans="1:21" ht="14.25" customHeight="1" x14ac:dyDescent="0.35"/>
    <row r="224" spans="1:21"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11">
    <mergeCell ref="D23:R23"/>
    <mergeCell ref="D18:R18"/>
    <mergeCell ref="D19:R19"/>
    <mergeCell ref="D20:R20"/>
    <mergeCell ref="D21:R21"/>
    <mergeCell ref="D22:R22"/>
    <mergeCell ref="D4:R5"/>
    <mergeCell ref="D6:R6"/>
    <mergeCell ref="D7:R7"/>
    <mergeCell ref="D8:R10"/>
    <mergeCell ref="I14:M16"/>
  </mergeCell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1:H999"/>
  <sheetViews>
    <sheetView showGridLines="0" topLeftCell="A3" zoomScale="68" zoomScaleNormal="68" workbookViewId="0">
      <selection activeCell="B6" sqref="B6"/>
    </sheetView>
  </sheetViews>
  <sheetFormatPr defaultColWidth="14.453125" defaultRowHeight="14.5" x14ac:dyDescent="0.35"/>
  <cols>
    <col min="1" max="1" width="11.54296875" customWidth="1"/>
    <col min="2" max="2" width="146.7265625" customWidth="1"/>
    <col min="3" max="3" width="8.7265625" customWidth="1"/>
    <col min="4" max="5" width="13.54296875" customWidth="1"/>
    <col min="6" max="6" width="51.54296875" customWidth="1"/>
    <col min="7" max="7" width="13.54296875" customWidth="1"/>
    <col min="8" max="26" width="8.7265625" customWidth="1"/>
  </cols>
  <sheetData>
    <row r="1" spans="1:8" ht="14.25" customHeight="1" x14ac:dyDescent="0.35">
      <c r="A1" s="21" t="s">
        <v>7</v>
      </c>
      <c r="B1" s="22" t="s">
        <v>8</v>
      </c>
    </row>
    <row r="2" spans="1:8" ht="78" customHeight="1" x14ac:dyDescent="0.35">
      <c r="A2" s="23">
        <v>1</v>
      </c>
      <c r="B2" s="24" t="s">
        <v>9</v>
      </c>
      <c r="E2" s="10" t="s">
        <v>10</v>
      </c>
      <c r="F2" s="103"/>
    </row>
    <row r="3" spans="1:8" ht="54" customHeight="1" x14ac:dyDescent="0.35">
      <c r="A3" s="23">
        <v>2</v>
      </c>
      <c r="B3" s="24" t="s">
        <v>11</v>
      </c>
      <c r="C3" s="25"/>
      <c r="E3" s="10"/>
      <c r="F3" s="10"/>
      <c r="H3" s="26"/>
    </row>
    <row r="4" spans="1:8" ht="45" customHeight="1" x14ac:dyDescent="0.35">
      <c r="A4" s="23">
        <v>3</v>
      </c>
      <c r="B4" s="24" t="s">
        <v>12</v>
      </c>
      <c r="C4" s="25"/>
      <c r="E4" s="10"/>
      <c r="F4" s="10"/>
      <c r="H4" s="26"/>
    </row>
    <row r="5" spans="1:8" ht="35.25" customHeight="1" x14ac:dyDescent="0.35">
      <c r="A5" s="23">
        <v>4</v>
      </c>
      <c r="B5" s="24" t="s">
        <v>13</v>
      </c>
      <c r="E5" s="10"/>
      <c r="F5" s="10"/>
      <c r="H5" s="26"/>
    </row>
    <row r="6" spans="1:8" ht="41.25" customHeight="1" x14ac:dyDescent="0.35">
      <c r="A6" s="23">
        <v>5</v>
      </c>
      <c r="B6" s="24" t="s">
        <v>14</v>
      </c>
      <c r="E6" s="10" t="s">
        <v>15</v>
      </c>
      <c r="F6" s="103"/>
      <c r="H6" s="26"/>
    </row>
    <row r="7" spans="1:8" ht="75" customHeight="1" x14ac:dyDescent="0.35">
      <c r="A7" s="23">
        <v>6</v>
      </c>
      <c r="B7" s="24" t="s">
        <v>16</v>
      </c>
      <c r="E7" s="10"/>
      <c r="F7" s="10"/>
      <c r="H7" s="26"/>
    </row>
    <row r="8" spans="1:8" ht="69.75" customHeight="1" x14ac:dyDescent="0.35">
      <c r="A8" s="23">
        <v>7</v>
      </c>
      <c r="B8" s="24" t="s">
        <v>17</v>
      </c>
      <c r="E8" s="10"/>
      <c r="F8" s="10"/>
      <c r="H8" s="26"/>
    </row>
    <row r="9" spans="1:8" ht="33.75" customHeight="1" x14ac:dyDescent="0.35">
      <c r="A9" s="23">
        <v>8</v>
      </c>
      <c r="B9" s="24" t="s">
        <v>18</v>
      </c>
      <c r="E9" s="10"/>
      <c r="F9" s="10"/>
    </row>
    <row r="10" spans="1:8" ht="14.25" customHeight="1" x14ac:dyDescent="0.35">
      <c r="A10" s="27"/>
      <c r="B10" s="28"/>
      <c r="E10" s="104" t="s">
        <v>19</v>
      </c>
      <c r="F10" s="103"/>
    </row>
    <row r="11" spans="1:8" ht="14.25" customHeight="1" x14ac:dyDescent="0.35">
      <c r="A11" s="27"/>
      <c r="B11" s="28"/>
      <c r="E11" s="104"/>
      <c r="F11" s="104"/>
    </row>
    <row r="12" spans="1:8" ht="14.25" customHeight="1" x14ac:dyDescent="0.35">
      <c r="A12" s="27"/>
      <c r="B12" s="28"/>
      <c r="E12" s="104"/>
      <c r="F12" s="104"/>
    </row>
    <row r="13" spans="1:8" ht="14.25" customHeight="1" x14ac:dyDescent="0.35">
      <c r="A13" s="27"/>
      <c r="B13" s="28"/>
      <c r="E13" s="104"/>
      <c r="F13" s="104"/>
    </row>
    <row r="14" spans="1:8" ht="14.25" customHeight="1" x14ac:dyDescent="0.35">
      <c r="A14" s="27"/>
      <c r="B14" s="28"/>
      <c r="E14" s="104"/>
      <c r="F14" s="104"/>
    </row>
    <row r="15" spans="1:8" ht="14.25" customHeight="1" x14ac:dyDescent="0.35">
      <c r="A15" s="27"/>
      <c r="B15" s="28"/>
      <c r="E15" s="104"/>
      <c r="F15" s="104"/>
    </row>
    <row r="16" spans="1:8" ht="14.25" customHeight="1" x14ac:dyDescent="0.35">
      <c r="A16" s="27"/>
      <c r="B16" s="28"/>
      <c r="E16" s="104"/>
      <c r="F16" s="104"/>
    </row>
    <row r="17" spans="1:6" ht="14.25" customHeight="1" x14ac:dyDescent="0.35">
      <c r="A17" s="27"/>
      <c r="B17" s="28"/>
      <c r="E17" s="104"/>
      <c r="F17" s="104"/>
    </row>
    <row r="18" spans="1:6" ht="14.25" customHeight="1" x14ac:dyDescent="0.35">
      <c r="A18" s="27"/>
      <c r="B18" s="28"/>
      <c r="E18" s="104"/>
      <c r="F18" s="104"/>
    </row>
    <row r="19" spans="1:6" ht="14.25" customHeight="1" x14ac:dyDescent="0.35">
      <c r="A19" s="27"/>
      <c r="B19" s="28"/>
      <c r="E19" s="104"/>
      <c r="F19" s="104"/>
    </row>
    <row r="20" spans="1:6" ht="14.25" customHeight="1" x14ac:dyDescent="0.35">
      <c r="A20" s="27"/>
      <c r="B20" s="28"/>
      <c r="E20" s="104"/>
      <c r="F20" s="104"/>
    </row>
    <row r="21" spans="1:6" ht="14.25" customHeight="1" x14ac:dyDescent="0.35">
      <c r="A21" s="27"/>
      <c r="B21" s="28"/>
      <c r="E21" s="104"/>
      <c r="F21" s="104"/>
    </row>
    <row r="22" spans="1:6" ht="14.25" customHeight="1" x14ac:dyDescent="0.35">
      <c r="A22" s="27"/>
      <c r="B22" s="28"/>
      <c r="E22" s="104"/>
      <c r="F22" s="104"/>
    </row>
    <row r="23" spans="1:6" ht="14.25" customHeight="1" x14ac:dyDescent="0.35">
      <c r="A23" s="27"/>
      <c r="B23" s="28"/>
      <c r="E23" s="104"/>
      <c r="F23" s="104"/>
    </row>
    <row r="24" spans="1:6" ht="14.25" customHeight="1" x14ac:dyDescent="0.35">
      <c r="A24" s="27"/>
      <c r="B24" s="28"/>
      <c r="E24" s="104"/>
      <c r="F24" s="104"/>
    </row>
    <row r="25" spans="1:6" ht="14.25" customHeight="1" x14ac:dyDescent="0.35">
      <c r="A25" s="27"/>
      <c r="B25" s="28"/>
      <c r="E25" s="104"/>
      <c r="F25" s="104"/>
    </row>
    <row r="26" spans="1:6" ht="14.25" customHeight="1" x14ac:dyDescent="0.35">
      <c r="A26" s="27"/>
      <c r="B26" s="28"/>
      <c r="E26" s="104"/>
      <c r="F26" s="104"/>
    </row>
    <row r="27" spans="1:6" ht="14.25" customHeight="1" x14ac:dyDescent="0.35">
      <c r="A27" s="27"/>
      <c r="B27" s="28"/>
      <c r="E27" s="104"/>
      <c r="F27" s="104"/>
    </row>
    <row r="28" spans="1:6" ht="14.25" customHeight="1" x14ac:dyDescent="0.35">
      <c r="A28" s="27"/>
      <c r="B28" s="28"/>
    </row>
    <row r="29" spans="1:6" ht="14.25" customHeight="1" x14ac:dyDescent="0.35">
      <c r="A29" s="27"/>
      <c r="B29" s="28"/>
    </row>
    <row r="30" spans="1:6" ht="14.25" customHeight="1" x14ac:dyDescent="0.35">
      <c r="A30" s="27"/>
      <c r="B30" s="28"/>
    </row>
    <row r="31" spans="1:6" ht="14.25" customHeight="1" x14ac:dyDescent="0.35">
      <c r="A31" s="27"/>
      <c r="B31" s="28"/>
    </row>
    <row r="32" spans="1:6" ht="14.25" customHeight="1" x14ac:dyDescent="0.35">
      <c r="A32" s="27"/>
      <c r="B32" s="28"/>
    </row>
    <row r="33" spans="1:2" ht="14.25" customHeight="1" x14ac:dyDescent="0.35">
      <c r="A33" s="27"/>
      <c r="B33" s="28"/>
    </row>
    <row r="34" spans="1:2" ht="14.25" customHeight="1" x14ac:dyDescent="0.35">
      <c r="A34" s="27"/>
      <c r="B34" s="28"/>
    </row>
    <row r="35" spans="1:2" ht="14.25" customHeight="1" x14ac:dyDescent="0.35">
      <c r="A35" s="27"/>
      <c r="B35" s="28"/>
    </row>
    <row r="36" spans="1:2" ht="14.25" customHeight="1" x14ac:dyDescent="0.35">
      <c r="A36" s="27"/>
      <c r="B36" s="28"/>
    </row>
    <row r="37" spans="1:2" ht="14.25" customHeight="1" x14ac:dyDescent="0.35">
      <c r="A37" s="27"/>
      <c r="B37" s="28"/>
    </row>
    <row r="38" spans="1:2" ht="14.25" customHeight="1" x14ac:dyDescent="0.35">
      <c r="A38" s="27"/>
      <c r="B38" s="28"/>
    </row>
    <row r="39" spans="1:2" ht="14.25" customHeight="1" x14ac:dyDescent="0.35">
      <c r="A39" s="27"/>
      <c r="B39" s="28"/>
    </row>
    <row r="40" spans="1:2" ht="14.25" customHeight="1" x14ac:dyDescent="0.35">
      <c r="A40" s="27"/>
      <c r="B40" s="28"/>
    </row>
    <row r="41" spans="1:2" ht="14.25" customHeight="1" x14ac:dyDescent="0.35">
      <c r="A41" s="27"/>
      <c r="B41" s="28"/>
    </row>
    <row r="42" spans="1:2" ht="14.25" customHeight="1" x14ac:dyDescent="0.35">
      <c r="A42" s="27"/>
      <c r="B42" s="28"/>
    </row>
    <row r="43" spans="1:2" ht="14.25" customHeight="1" x14ac:dyDescent="0.35">
      <c r="A43" s="27"/>
      <c r="B43" s="28"/>
    </row>
    <row r="44" spans="1:2" ht="14.25" customHeight="1" x14ac:dyDescent="0.35">
      <c r="A44" s="27"/>
      <c r="B44" s="28"/>
    </row>
    <row r="45" spans="1:2" ht="14.25" customHeight="1" x14ac:dyDescent="0.35">
      <c r="A45" s="27"/>
      <c r="B45" s="28"/>
    </row>
    <row r="46" spans="1:2" ht="14.25" customHeight="1" x14ac:dyDescent="0.35">
      <c r="A46" s="27"/>
      <c r="B46" s="28"/>
    </row>
    <row r="47" spans="1:2" ht="14.25" customHeight="1" x14ac:dyDescent="0.35">
      <c r="A47" s="27"/>
      <c r="B47" s="28"/>
    </row>
    <row r="48" spans="1:2" ht="14.25" customHeight="1" x14ac:dyDescent="0.35">
      <c r="A48" s="27"/>
      <c r="B48" s="28"/>
    </row>
    <row r="49" spans="1:2" ht="14.25" customHeight="1" x14ac:dyDescent="0.35">
      <c r="A49" s="27"/>
      <c r="B49" s="28"/>
    </row>
    <row r="50" spans="1:2" ht="14.25" customHeight="1" x14ac:dyDescent="0.35">
      <c r="A50" s="27"/>
      <c r="B50" s="28"/>
    </row>
    <row r="51" spans="1:2" ht="14.25" customHeight="1" x14ac:dyDescent="0.35">
      <c r="A51" s="27"/>
      <c r="B51" s="28"/>
    </row>
    <row r="52" spans="1:2" ht="14.25" customHeight="1" x14ac:dyDescent="0.35">
      <c r="A52" s="27"/>
      <c r="B52" s="28"/>
    </row>
    <row r="53" spans="1:2" ht="14.25" customHeight="1" x14ac:dyDescent="0.35">
      <c r="A53" s="27"/>
      <c r="B53" s="28"/>
    </row>
    <row r="54" spans="1:2" ht="14.25" customHeight="1" x14ac:dyDescent="0.35">
      <c r="A54" s="27"/>
      <c r="B54" s="28"/>
    </row>
    <row r="55" spans="1:2" ht="14.25" customHeight="1" x14ac:dyDescent="0.35">
      <c r="A55" s="27"/>
      <c r="B55" s="28"/>
    </row>
    <row r="56" spans="1:2" ht="14.25" customHeight="1" x14ac:dyDescent="0.35">
      <c r="A56" s="27"/>
      <c r="B56" s="28"/>
    </row>
    <row r="57" spans="1:2" ht="14.25" customHeight="1" x14ac:dyDescent="0.35">
      <c r="A57" s="27"/>
      <c r="B57" s="28"/>
    </row>
    <row r="58" spans="1:2" ht="14.25" customHeight="1" x14ac:dyDescent="0.35">
      <c r="A58" s="27"/>
      <c r="B58" s="28"/>
    </row>
    <row r="59" spans="1:2" ht="14.25" customHeight="1" x14ac:dyDescent="0.35">
      <c r="A59" s="27"/>
      <c r="B59" s="28"/>
    </row>
    <row r="60" spans="1:2" ht="14.25" customHeight="1" x14ac:dyDescent="0.35">
      <c r="A60" s="27"/>
      <c r="B60" s="28"/>
    </row>
    <row r="61" spans="1:2" ht="14.25" customHeight="1" x14ac:dyDescent="0.35">
      <c r="A61" s="27"/>
      <c r="B61" s="28"/>
    </row>
    <row r="62" spans="1:2" ht="14.25" customHeight="1" x14ac:dyDescent="0.35">
      <c r="A62" s="27"/>
      <c r="B62" s="28"/>
    </row>
    <row r="63" spans="1:2" ht="14.25" customHeight="1" x14ac:dyDescent="0.35">
      <c r="A63" s="27"/>
      <c r="B63" s="28"/>
    </row>
    <row r="64" spans="1:2" ht="14.25" customHeight="1" x14ac:dyDescent="0.35">
      <c r="A64" s="27"/>
      <c r="B64" s="28"/>
    </row>
    <row r="65" spans="1:2" ht="14.25" customHeight="1" x14ac:dyDescent="0.35">
      <c r="A65" s="27"/>
      <c r="B65" s="28"/>
    </row>
    <row r="66" spans="1:2" ht="14.25" customHeight="1" x14ac:dyDescent="0.35">
      <c r="A66" s="27"/>
      <c r="B66" s="28"/>
    </row>
    <row r="67" spans="1:2" ht="14.25" customHeight="1" x14ac:dyDescent="0.35">
      <c r="A67" s="27"/>
      <c r="B67" s="28"/>
    </row>
    <row r="68" spans="1:2" ht="14.25" customHeight="1" x14ac:dyDescent="0.35">
      <c r="A68" s="27"/>
      <c r="B68" s="28"/>
    </row>
    <row r="69" spans="1:2" ht="14.25" customHeight="1" x14ac:dyDescent="0.35">
      <c r="A69" s="27"/>
      <c r="B69" s="28"/>
    </row>
    <row r="70" spans="1:2" ht="14.25" customHeight="1" x14ac:dyDescent="0.35">
      <c r="A70" s="27"/>
      <c r="B70" s="28"/>
    </row>
    <row r="71" spans="1:2" ht="14.25" customHeight="1" x14ac:dyDescent="0.35">
      <c r="A71" s="27"/>
      <c r="B71" s="28"/>
    </row>
    <row r="72" spans="1:2" ht="14.25" customHeight="1" x14ac:dyDescent="0.35">
      <c r="A72" s="27"/>
      <c r="B72" s="28"/>
    </row>
    <row r="73" spans="1:2" ht="14.25" customHeight="1" x14ac:dyDescent="0.35">
      <c r="A73" s="27"/>
      <c r="B73" s="28"/>
    </row>
    <row r="74" spans="1:2" ht="14.25" customHeight="1" x14ac:dyDescent="0.35">
      <c r="A74" s="27"/>
      <c r="B74" s="28"/>
    </row>
    <row r="75" spans="1:2" ht="14.25" customHeight="1" x14ac:dyDescent="0.35">
      <c r="A75" s="27"/>
      <c r="B75" s="28"/>
    </row>
    <row r="76" spans="1:2" ht="14.25" customHeight="1" x14ac:dyDescent="0.35">
      <c r="A76" s="27"/>
      <c r="B76" s="28"/>
    </row>
    <row r="77" spans="1:2" ht="14.25" customHeight="1" x14ac:dyDescent="0.35">
      <c r="A77" s="27"/>
      <c r="B77" s="28"/>
    </row>
    <row r="78" spans="1:2" ht="14.25" customHeight="1" x14ac:dyDescent="0.35">
      <c r="A78" s="27"/>
      <c r="B78" s="28"/>
    </row>
    <row r="79" spans="1:2" ht="14.25" customHeight="1" x14ac:dyDescent="0.35">
      <c r="A79" s="27"/>
      <c r="B79" s="28"/>
    </row>
    <row r="80" spans="1:2" ht="14.25" customHeight="1" x14ac:dyDescent="0.35">
      <c r="A80" s="27"/>
      <c r="B80" s="28"/>
    </row>
    <row r="81" spans="1:2" ht="14.25" customHeight="1" x14ac:dyDescent="0.35">
      <c r="A81" s="27"/>
      <c r="B81" s="28"/>
    </row>
    <row r="82" spans="1:2" ht="14.25" customHeight="1" x14ac:dyDescent="0.35">
      <c r="A82" s="27"/>
      <c r="B82" s="28"/>
    </row>
    <row r="83" spans="1:2" ht="14.25" customHeight="1" x14ac:dyDescent="0.35">
      <c r="A83" s="27"/>
      <c r="B83" s="28"/>
    </row>
    <row r="84" spans="1:2" ht="14.25" customHeight="1" x14ac:dyDescent="0.35">
      <c r="A84" s="27"/>
      <c r="B84" s="28"/>
    </row>
    <row r="85" spans="1:2" ht="14.25" customHeight="1" x14ac:dyDescent="0.35">
      <c r="A85" s="27"/>
      <c r="B85" s="28"/>
    </row>
    <row r="86" spans="1:2" ht="14.25" customHeight="1" x14ac:dyDescent="0.35">
      <c r="A86" s="27"/>
      <c r="B86" s="28"/>
    </row>
    <row r="87" spans="1:2" ht="14.25" customHeight="1" x14ac:dyDescent="0.35">
      <c r="A87" s="27"/>
      <c r="B87" s="28"/>
    </row>
    <row r="88" spans="1:2" ht="14.25" customHeight="1" x14ac:dyDescent="0.35">
      <c r="A88" s="27"/>
      <c r="B88" s="28"/>
    </row>
    <row r="89" spans="1:2" ht="14.25" customHeight="1" x14ac:dyDescent="0.35">
      <c r="A89" s="27"/>
      <c r="B89" s="28"/>
    </row>
    <row r="90" spans="1:2" ht="14.25" customHeight="1" x14ac:dyDescent="0.35">
      <c r="A90" s="27"/>
      <c r="B90" s="28"/>
    </row>
    <row r="91" spans="1:2" ht="14.25" customHeight="1" x14ac:dyDescent="0.35">
      <c r="A91" s="27"/>
      <c r="B91" s="28"/>
    </row>
    <row r="92" spans="1:2" ht="14.25" customHeight="1" x14ac:dyDescent="0.35">
      <c r="A92" s="27"/>
      <c r="B92" s="28"/>
    </row>
    <row r="93" spans="1:2" ht="14.25" customHeight="1" x14ac:dyDescent="0.35">
      <c r="A93" s="27"/>
      <c r="B93" s="28"/>
    </row>
    <row r="94" spans="1:2" ht="14.25" customHeight="1" x14ac:dyDescent="0.35">
      <c r="A94" s="27"/>
      <c r="B94" s="28"/>
    </row>
    <row r="95" spans="1:2" ht="14.25" customHeight="1" x14ac:dyDescent="0.35">
      <c r="A95" s="27"/>
      <c r="B95" s="28"/>
    </row>
    <row r="96" spans="1:2" ht="14.25" customHeight="1" x14ac:dyDescent="0.35">
      <c r="A96" s="27"/>
      <c r="B96" s="28"/>
    </row>
    <row r="97" spans="1:2" ht="14.25" customHeight="1" x14ac:dyDescent="0.35">
      <c r="A97" s="27"/>
      <c r="B97" s="28"/>
    </row>
    <row r="98" spans="1:2" ht="14.25" customHeight="1" x14ac:dyDescent="0.35">
      <c r="A98" s="27"/>
      <c r="B98" s="28"/>
    </row>
    <row r="99" spans="1:2" ht="14.25" customHeight="1" x14ac:dyDescent="0.35">
      <c r="A99" s="27"/>
      <c r="B99" s="28"/>
    </row>
    <row r="100" spans="1:2" ht="14.25" customHeight="1" x14ac:dyDescent="0.35">
      <c r="A100" s="27"/>
      <c r="B100" s="28"/>
    </row>
    <row r="101" spans="1:2" ht="14.25" customHeight="1" x14ac:dyDescent="0.35">
      <c r="A101" s="27"/>
      <c r="B101" s="28"/>
    </row>
    <row r="102" spans="1:2" ht="14.25" customHeight="1" x14ac:dyDescent="0.35">
      <c r="A102" s="27"/>
      <c r="B102" s="28"/>
    </row>
    <row r="103" spans="1:2" ht="14.25" customHeight="1" x14ac:dyDescent="0.35">
      <c r="A103" s="27"/>
      <c r="B103" s="28"/>
    </row>
    <row r="104" spans="1:2" ht="14.25" customHeight="1" x14ac:dyDescent="0.35">
      <c r="A104" s="27"/>
      <c r="B104" s="28"/>
    </row>
    <row r="105" spans="1:2" ht="14.25" customHeight="1" x14ac:dyDescent="0.35">
      <c r="A105" s="27"/>
      <c r="B105" s="28"/>
    </row>
    <row r="106" spans="1:2" ht="14.25" customHeight="1" x14ac:dyDescent="0.35">
      <c r="A106" s="27"/>
      <c r="B106" s="28"/>
    </row>
    <row r="107" spans="1:2" ht="14.25" customHeight="1" x14ac:dyDescent="0.35">
      <c r="A107" s="27"/>
      <c r="B107" s="28"/>
    </row>
    <row r="108" spans="1:2" ht="14.25" customHeight="1" x14ac:dyDescent="0.35">
      <c r="A108" s="27"/>
      <c r="B108" s="28"/>
    </row>
    <row r="109" spans="1:2" ht="14.25" customHeight="1" x14ac:dyDescent="0.35">
      <c r="A109" s="27"/>
      <c r="B109" s="28"/>
    </row>
    <row r="110" spans="1:2" ht="14.25" customHeight="1" x14ac:dyDescent="0.35">
      <c r="A110" s="27"/>
      <c r="B110" s="28"/>
    </row>
    <row r="111" spans="1:2" ht="14.25" customHeight="1" x14ac:dyDescent="0.35">
      <c r="A111" s="27"/>
      <c r="B111" s="28"/>
    </row>
    <row r="112" spans="1:2" ht="14.25" customHeight="1" x14ac:dyDescent="0.35">
      <c r="A112" s="27"/>
      <c r="B112" s="28"/>
    </row>
    <row r="113" spans="1:2" ht="14.25" customHeight="1" x14ac:dyDescent="0.35">
      <c r="A113" s="27"/>
      <c r="B113" s="28"/>
    </row>
    <row r="114" spans="1:2" ht="14.25" customHeight="1" x14ac:dyDescent="0.35">
      <c r="A114" s="27"/>
      <c r="B114" s="28"/>
    </row>
    <row r="115" spans="1:2" ht="14.25" customHeight="1" x14ac:dyDescent="0.35">
      <c r="A115" s="27"/>
      <c r="B115" s="28"/>
    </row>
    <row r="116" spans="1:2" ht="14.25" customHeight="1" x14ac:dyDescent="0.35">
      <c r="A116" s="27"/>
      <c r="B116" s="28"/>
    </row>
    <row r="117" spans="1:2" ht="14.25" customHeight="1" x14ac:dyDescent="0.35">
      <c r="A117" s="27"/>
      <c r="B117" s="28"/>
    </row>
    <row r="118" spans="1:2" ht="14.25" customHeight="1" x14ac:dyDescent="0.35">
      <c r="A118" s="27"/>
      <c r="B118" s="28"/>
    </row>
    <row r="119" spans="1:2" ht="14.25" customHeight="1" x14ac:dyDescent="0.35">
      <c r="A119" s="27"/>
      <c r="B119" s="28"/>
    </row>
    <row r="120" spans="1:2" ht="14.25" customHeight="1" x14ac:dyDescent="0.35">
      <c r="A120" s="27"/>
      <c r="B120" s="28"/>
    </row>
    <row r="121" spans="1:2" ht="14.25" customHeight="1" x14ac:dyDescent="0.35">
      <c r="A121" s="27"/>
      <c r="B121" s="28"/>
    </row>
    <row r="122" spans="1:2" ht="14.25" customHeight="1" x14ac:dyDescent="0.35">
      <c r="A122" s="27"/>
      <c r="B122" s="28"/>
    </row>
    <row r="123" spans="1:2" ht="14.25" customHeight="1" x14ac:dyDescent="0.35">
      <c r="A123" s="27"/>
      <c r="B123" s="28"/>
    </row>
    <row r="124" spans="1:2" ht="14.25" customHeight="1" x14ac:dyDescent="0.35">
      <c r="A124" s="27"/>
      <c r="B124" s="28"/>
    </row>
    <row r="125" spans="1:2" ht="14.25" customHeight="1" x14ac:dyDescent="0.35">
      <c r="A125" s="27"/>
      <c r="B125" s="28"/>
    </row>
    <row r="126" spans="1:2" ht="14.25" customHeight="1" x14ac:dyDescent="0.35">
      <c r="A126" s="27"/>
      <c r="B126" s="28"/>
    </row>
    <row r="127" spans="1:2" ht="14.25" customHeight="1" x14ac:dyDescent="0.35">
      <c r="A127" s="27"/>
      <c r="B127" s="28"/>
    </row>
    <row r="128" spans="1:2" ht="14.25" customHeight="1" x14ac:dyDescent="0.35">
      <c r="A128" s="27"/>
      <c r="B128" s="28"/>
    </row>
    <row r="129" spans="1:2" ht="14.25" customHeight="1" x14ac:dyDescent="0.35">
      <c r="A129" s="27"/>
      <c r="B129" s="28"/>
    </row>
    <row r="130" spans="1:2" ht="14.25" customHeight="1" x14ac:dyDescent="0.35">
      <c r="A130" s="27"/>
      <c r="B130" s="28"/>
    </row>
    <row r="131" spans="1:2" ht="14.25" customHeight="1" x14ac:dyDescent="0.35">
      <c r="A131" s="27"/>
      <c r="B131" s="28"/>
    </row>
    <row r="132" spans="1:2" ht="14.25" customHeight="1" x14ac:dyDescent="0.35">
      <c r="A132" s="27"/>
      <c r="B132" s="28"/>
    </row>
    <row r="133" spans="1:2" ht="14.25" customHeight="1" x14ac:dyDescent="0.35">
      <c r="A133" s="27"/>
      <c r="B133" s="28"/>
    </row>
    <row r="134" spans="1:2" ht="14.25" customHeight="1" x14ac:dyDescent="0.35">
      <c r="A134" s="27"/>
      <c r="B134" s="28"/>
    </row>
    <row r="135" spans="1:2" ht="14.25" customHeight="1" x14ac:dyDescent="0.35">
      <c r="A135" s="27"/>
      <c r="B135" s="28"/>
    </row>
    <row r="136" spans="1:2" ht="14.25" customHeight="1" x14ac:dyDescent="0.35">
      <c r="A136" s="27"/>
      <c r="B136" s="28"/>
    </row>
    <row r="137" spans="1:2" ht="14.25" customHeight="1" x14ac:dyDescent="0.35">
      <c r="A137" s="27"/>
      <c r="B137" s="28"/>
    </row>
    <row r="138" spans="1:2" ht="14.25" customHeight="1" x14ac:dyDescent="0.35">
      <c r="A138" s="27"/>
      <c r="B138" s="28"/>
    </row>
    <row r="139" spans="1:2" ht="14.25" customHeight="1" x14ac:dyDescent="0.35">
      <c r="A139" s="27"/>
      <c r="B139" s="28"/>
    </row>
    <row r="140" spans="1:2" ht="14.25" customHeight="1" x14ac:dyDescent="0.35">
      <c r="A140" s="27"/>
      <c r="B140" s="28"/>
    </row>
    <row r="141" spans="1:2" ht="14.25" customHeight="1" x14ac:dyDescent="0.35">
      <c r="A141" s="27"/>
      <c r="B141" s="28"/>
    </row>
    <row r="142" spans="1:2" ht="14.25" customHeight="1" x14ac:dyDescent="0.35">
      <c r="A142" s="27"/>
      <c r="B142" s="28"/>
    </row>
    <row r="143" spans="1:2" ht="14.25" customHeight="1" x14ac:dyDescent="0.35">
      <c r="A143" s="27"/>
      <c r="B143" s="28"/>
    </row>
    <row r="144" spans="1:2" ht="14.25" customHeight="1" x14ac:dyDescent="0.35">
      <c r="A144" s="27"/>
      <c r="B144" s="28"/>
    </row>
    <row r="145" spans="1:2" ht="14.25" customHeight="1" x14ac:dyDescent="0.35">
      <c r="A145" s="27"/>
      <c r="B145" s="28"/>
    </row>
    <row r="146" spans="1:2" ht="14.25" customHeight="1" x14ac:dyDescent="0.35">
      <c r="A146" s="27"/>
      <c r="B146" s="28"/>
    </row>
    <row r="147" spans="1:2" ht="14.25" customHeight="1" x14ac:dyDescent="0.35">
      <c r="A147" s="27"/>
      <c r="B147" s="28"/>
    </row>
    <row r="148" spans="1:2" ht="14.25" customHeight="1" x14ac:dyDescent="0.35">
      <c r="A148" s="27"/>
      <c r="B148" s="28"/>
    </row>
    <row r="149" spans="1:2" ht="14.25" customHeight="1" x14ac:dyDescent="0.35">
      <c r="A149" s="27"/>
      <c r="B149" s="28"/>
    </row>
    <row r="150" spans="1:2" ht="14.25" customHeight="1" x14ac:dyDescent="0.35">
      <c r="A150" s="27"/>
      <c r="B150" s="28"/>
    </row>
    <row r="151" spans="1:2" ht="14.25" customHeight="1" x14ac:dyDescent="0.35">
      <c r="A151" s="27"/>
      <c r="B151" s="28"/>
    </row>
    <row r="152" spans="1:2" ht="14.25" customHeight="1" x14ac:dyDescent="0.35">
      <c r="A152" s="27"/>
      <c r="B152" s="28"/>
    </row>
    <row r="153" spans="1:2" ht="14.25" customHeight="1" x14ac:dyDescent="0.35">
      <c r="A153" s="27"/>
      <c r="B153" s="28"/>
    </row>
    <row r="154" spans="1:2" ht="14.25" customHeight="1" x14ac:dyDescent="0.35">
      <c r="A154" s="27"/>
      <c r="B154" s="28"/>
    </row>
    <row r="155" spans="1:2" ht="14.25" customHeight="1" x14ac:dyDescent="0.35">
      <c r="A155" s="27"/>
      <c r="B155" s="28"/>
    </row>
    <row r="156" spans="1:2" ht="14.25" customHeight="1" x14ac:dyDescent="0.35">
      <c r="A156" s="27"/>
      <c r="B156" s="28"/>
    </row>
    <row r="157" spans="1:2" ht="14.25" customHeight="1" x14ac:dyDescent="0.35">
      <c r="A157" s="27"/>
      <c r="B157" s="28"/>
    </row>
    <row r="158" spans="1:2" ht="14.25" customHeight="1" x14ac:dyDescent="0.35">
      <c r="A158" s="27"/>
      <c r="B158" s="28"/>
    </row>
    <row r="159" spans="1:2" ht="14.25" customHeight="1" x14ac:dyDescent="0.35">
      <c r="A159" s="27"/>
      <c r="B159" s="28"/>
    </row>
    <row r="160" spans="1:2" ht="14.25" customHeight="1" x14ac:dyDescent="0.35">
      <c r="A160" s="27"/>
      <c r="B160" s="28"/>
    </row>
    <row r="161" spans="1:2" ht="14.25" customHeight="1" x14ac:dyDescent="0.35">
      <c r="A161" s="27"/>
      <c r="B161" s="28"/>
    </row>
    <row r="162" spans="1:2" ht="14.25" customHeight="1" x14ac:dyDescent="0.35">
      <c r="A162" s="27"/>
      <c r="B162" s="28"/>
    </row>
    <row r="163" spans="1:2" ht="14.25" customHeight="1" x14ac:dyDescent="0.35">
      <c r="A163" s="27"/>
      <c r="B163" s="28"/>
    </row>
    <row r="164" spans="1:2" ht="14.25" customHeight="1" x14ac:dyDescent="0.35">
      <c r="A164" s="27"/>
      <c r="B164" s="28"/>
    </row>
    <row r="165" spans="1:2" ht="14.25" customHeight="1" x14ac:dyDescent="0.35">
      <c r="A165" s="27"/>
      <c r="B165" s="28"/>
    </row>
    <row r="166" spans="1:2" ht="14.25" customHeight="1" x14ac:dyDescent="0.35">
      <c r="A166" s="27"/>
      <c r="B166" s="28"/>
    </row>
    <row r="167" spans="1:2" ht="14.25" customHeight="1" x14ac:dyDescent="0.35">
      <c r="A167" s="27"/>
      <c r="B167" s="28"/>
    </row>
    <row r="168" spans="1:2" ht="14.25" customHeight="1" x14ac:dyDescent="0.35">
      <c r="A168" s="27"/>
      <c r="B168" s="28"/>
    </row>
    <row r="169" spans="1:2" ht="14.25" customHeight="1" x14ac:dyDescent="0.35">
      <c r="A169" s="27"/>
      <c r="B169" s="28"/>
    </row>
    <row r="170" spans="1:2" ht="14.25" customHeight="1" x14ac:dyDescent="0.35">
      <c r="A170" s="27"/>
      <c r="B170" s="28"/>
    </row>
    <row r="171" spans="1:2" ht="14.25" customHeight="1" x14ac:dyDescent="0.35">
      <c r="A171" s="27"/>
      <c r="B171" s="28"/>
    </row>
    <row r="172" spans="1:2" ht="14.25" customHeight="1" x14ac:dyDescent="0.35">
      <c r="A172" s="27"/>
      <c r="B172" s="28"/>
    </row>
    <row r="173" spans="1:2" ht="14.25" customHeight="1" x14ac:dyDescent="0.35">
      <c r="A173" s="27"/>
      <c r="B173" s="28"/>
    </row>
    <row r="174" spans="1:2" ht="14.25" customHeight="1" x14ac:dyDescent="0.35">
      <c r="A174" s="27"/>
      <c r="B174" s="28"/>
    </row>
    <row r="175" spans="1:2" ht="14.25" customHeight="1" x14ac:dyDescent="0.35">
      <c r="A175" s="27"/>
      <c r="B175" s="28"/>
    </row>
    <row r="176" spans="1:2" ht="14.25" customHeight="1" x14ac:dyDescent="0.35">
      <c r="A176" s="27"/>
      <c r="B176" s="28"/>
    </row>
    <row r="177" spans="1:2" ht="14.25" customHeight="1" x14ac:dyDescent="0.35">
      <c r="A177" s="27"/>
      <c r="B177" s="28"/>
    </row>
    <row r="178" spans="1:2" ht="14.25" customHeight="1" x14ac:dyDescent="0.35">
      <c r="A178" s="27"/>
      <c r="B178" s="28"/>
    </row>
    <row r="179" spans="1:2" ht="14.25" customHeight="1" x14ac:dyDescent="0.35">
      <c r="A179" s="27"/>
      <c r="B179" s="28"/>
    </row>
    <row r="180" spans="1:2" ht="14.25" customHeight="1" x14ac:dyDescent="0.35">
      <c r="A180" s="27"/>
      <c r="B180" s="28"/>
    </row>
    <row r="181" spans="1:2" ht="14.25" customHeight="1" x14ac:dyDescent="0.35">
      <c r="A181" s="27"/>
      <c r="B181" s="28"/>
    </row>
    <row r="182" spans="1:2" ht="14.25" customHeight="1" x14ac:dyDescent="0.35">
      <c r="A182" s="27"/>
      <c r="B182" s="28"/>
    </row>
    <row r="183" spans="1:2" ht="14.25" customHeight="1" x14ac:dyDescent="0.35">
      <c r="A183" s="27"/>
      <c r="B183" s="28"/>
    </row>
    <row r="184" spans="1:2" ht="14.25" customHeight="1" x14ac:dyDescent="0.35">
      <c r="A184" s="27"/>
      <c r="B184" s="28"/>
    </row>
    <row r="185" spans="1:2" ht="14.25" customHeight="1" x14ac:dyDescent="0.35">
      <c r="A185" s="27"/>
      <c r="B185" s="28"/>
    </row>
    <row r="186" spans="1:2" ht="14.25" customHeight="1" x14ac:dyDescent="0.35">
      <c r="A186" s="27"/>
      <c r="B186" s="28"/>
    </row>
    <row r="187" spans="1:2" ht="14.25" customHeight="1" x14ac:dyDescent="0.35">
      <c r="A187" s="27"/>
      <c r="B187" s="28"/>
    </row>
    <row r="188" spans="1:2" ht="14.25" customHeight="1" x14ac:dyDescent="0.35">
      <c r="A188" s="27"/>
      <c r="B188" s="28"/>
    </row>
    <row r="189" spans="1:2" ht="14.25" customHeight="1" x14ac:dyDescent="0.35">
      <c r="A189" s="27"/>
      <c r="B189" s="28"/>
    </row>
    <row r="190" spans="1:2" ht="14.25" customHeight="1" x14ac:dyDescent="0.35">
      <c r="A190" s="27"/>
      <c r="B190" s="28"/>
    </row>
    <row r="191" spans="1:2" ht="14.25" customHeight="1" x14ac:dyDescent="0.35">
      <c r="A191" s="27"/>
      <c r="B191" s="28"/>
    </row>
    <row r="192" spans="1:2" ht="14.25" customHeight="1" x14ac:dyDescent="0.35">
      <c r="A192" s="27"/>
      <c r="B192" s="28"/>
    </row>
    <row r="193" spans="1:2" ht="14.25" customHeight="1" x14ac:dyDescent="0.35">
      <c r="A193" s="27"/>
      <c r="B193" s="28"/>
    </row>
    <row r="194" spans="1:2" ht="14.25" customHeight="1" x14ac:dyDescent="0.35">
      <c r="A194" s="27"/>
      <c r="B194" s="28"/>
    </row>
    <row r="195" spans="1:2" ht="14.25" customHeight="1" x14ac:dyDescent="0.35">
      <c r="A195" s="27"/>
      <c r="B195" s="28"/>
    </row>
    <row r="196" spans="1:2" ht="14.25" customHeight="1" x14ac:dyDescent="0.35">
      <c r="A196" s="27"/>
      <c r="B196" s="28"/>
    </row>
    <row r="197" spans="1:2" ht="14.25" customHeight="1" x14ac:dyDescent="0.35">
      <c r="A197" s="27"/>
      <c r="B197" s="28"/>
    </row>
    <row r="198" spans="1:2" ht="14.25" customHeight="1" x14ac:dyDescent="0.35">
      <c r="A198" s="27"/>
      <c r="B198" s="28"/>
    </row>
    <row r="199" spans="1:2" ht="14.25" customHeight="1" x14ac:dyDescent="0.35">
      <c r="A199" s="27"/>
      <c r="B199" s="28"/>
    </row>
    <row r="200" spans="1:2" ht="14.25" customHeight="1" x14ac:dyDescent="0.35">
      <c r="A200" s="27"/>
      <c r="B200" s="28"/>
    </row>
    <row r="201" spans="1:2" ht="14.25" customHeight="1" x14ac:dyDescent="0.35">
      <c r="A201" s="27"/>
      <c r="B201" s="28"/>
    </row>
    <row r="202" spans="1:2" ht="14.25" customHeight="1" x14ac:dyDescent="0.35">
      <c r="A202" s="27"/>
      <c r="B202" s="28"/>
    </row>
    <row r="203" spans="1:2" ht="14.25" customHeight="1" x14ac:dyDescent="0.35">
      <c r="A203" s="27"/>
      <c r="B203" s="28"/>
    </row>
    <row r="204" spans="1:2" ht="14.25" customHeight="1" x14ac:dyDescent="0.35">
      <c r="A204" s="27"/>
      <c r="B204" s="28"/>
    </row>
    <row r="205" spans="1:2" ht="14.25" customHeight="1" x14ac:dyDescent="0.35">
      <c r="A205" s="27"/>
      <c r="B205" s="28"/>
    </row>
    <row r="206" spans="1:2" ht="14.25" customHeight="1" x14ac:dyDescent="0.35">
      <c r="A206" s="27"/>
      <c r="B206" s="28"/>
    </row>
    <row r="207" spans="1:2" ht="14.25" customHeight="1" x14ac:dyDescent="0.35">
      <c r="A207" s="27"/>
      <c r="B207" s="28"/>
    </row>
    <row r="208" spans="1:2" ht="14.25" customHeight="1" x14ac:dyDescent="0.35">
      <c r="A208" s="27"/>
      <c r="B208" s="28"/>
    </row>
    <row r="209" spans="1:2" ht="14.25" customHeight="1" x14ac:dyDescent="0.35">
      <c r="A209" s="27"/>
      <c r="B209" s="28"/>
    </row>
    <row r="210" spans="1:2" ht="14.25" customHeight="1" x14ac:dyDescent="0.35">
      <c r="A210" s="27"/>
      <c r="B210" s="28"/>
    </row>
    <row r="211" spans="1:2" ht="14.25" customHeight="1" x14ac:dyDescent="0.35">
      <c r="A211" s="27"/>
      <c r="B211" s="28"/>
    </row>
    <row r="212" spans="1:2" ht="14.25" customHeight="1" x14ac:dyDescent="0.35">
      <c r="A212" s="27"/>
      <c r="B212" s="28"/>
    </row>
    <row r="213" spans="1:2" ht="14.25" customHeight="1" x14ac:dyDescent="0.35">
      <c r="A213" s="27"/>
      <c r="B213" s="28"/>
    </row>
    <row r="214" spans="1:2" ht="14.25" customHeight="1" x14ac:dyDescent="0.35">
      <c r="A214" s="27"/>
      <c r="B214" s="28"/>
    </row>
    <row r="215" spans="1:2" ht="14.25" customHeight="1" x14ac:dyDescent="0.35">
      <c r="A215" s="27"/>
      <c r="B215" s="28"/>
    </row>
    <row r="216" spans="1:2" ht="14.25" customHeight="1" x14ac:dyDescent="0.35">
      <c r="A216" s="27"/>
      <c r="B216" s="28"/>
    </row>
    <row r="217" spans="1:2" ht="14.25" customHeight="1" x14ac:dyDescent="0.35">
      <c r="A217" s="27"/>
      <c r="B217" s="28"/>
    </row>
    <row r="218" spans="1:2" ht="14.25" customHeight="1" x14ac:dyDescent="0.35">
      <c r="A218" s="27"/>
      <c r="B218" s="28"/>
    </row>
    <row r="219" spans="1:2" ht="14.25" customHeight="1" x14ac:dyDescent="0.35">
      <c r="A219" s="27"/>
      <c r="B219" s="28"/>
    </row>
    <row r="220" spans="1:2" ht="14.25" customHeight="1" x14ac:dyDescent="0.35">
      <c r="A220" s="27"/>
      <c r="B220" s="28"/>
    </row>
    <row r="221" spans="1:2" ht="14.25" customHeight="1" x14ac:dyDescent="0.35">
      <c r="A221" s="27"/>
      <c r="B221" s="28"/>
    </row>
    <row r="222" spans="1:2" ht="14.25" customHeight="1" x14ac:dyDescent="0.35">
      <c r="A222" s="27"/>
      <c r="B222" s="28"/>
    </row>
    <row r="223" spans="1:2" ht="14.25" customHeight="1" x14ac:dyDescent="0.35">
      <c r="A223" s="27"/>
      <c r="B223" s="28"/>
    </row>
    <row r="224" spans="1:2" ht="14.25" customHeight="1" x14ac:dyDescent="0.35">
      <c r="A224" s="27"/>
      <c r="B224" s="28"/>
    </row>
    <row r="225" spans="1:2" ht="14.25" customHeight="1" x14ac:dyDescent="0.35">
      <c r="A225" s="27"/>
      <c r="B225" s="28"/>
    </row>
    <row r="226" spans="1:2" ht="14.25" customHeight="1" x14ac:dyDescent="0.35">
      <c r="A226" s="27"/>
      <c r="B226" s="28"/>
    </row>
    <row r="227" spans="1:2" ht="14.25" customHeight="1" x14ac:dyDescent="0.35">
      <c r="A227" s="27"/>
      <c r="B227" s="28"/>
    </row>
    <row r="228" spans="1:2" ht="14.25" customHeight="1" x14ac:dyDescent="0.35">
      <c r="A228" s="27"/>
      <c r="B228" s="28"/>
    </row>
    <row r="229" spans="1:2" ht="14.25" customHeight="1" x14ac:dyDescent="0.35">
      <c r="A229" s="27"/>
      <c r="B229" s="28"/>
    </row>
    <row r="230" spans="1:2" ht="14.25" customHeight="1" x14ac:dyDescent="0.35">
      <c r="A230" s="27"/>
      <c r="B230" s="28"/>
    </row>
    <row r="231" spans="1:2" ht="14.25" customHeight="1" x14ac:dyDescent="0.35">
      <c r="A231" s="27"/>
      <c r="B231" s="28"/>
    </row>
    <row r="232" spans="1:2" ht="14.25" customHeight="1" x14ac:dyDescent="0.35">
      <c r="A232" s="27"/>
      <c r="B232" s="28"/>
    </row>
    <row r="233" spans="1:2" ht="14.25" customHeight="1" x14ac:dyDescent="0.35">
      <c r="A233" s="27"/>
      <c r="B233" s="28"/>
    </row>
    <row r="234" spans="1:2" ht="14.25" customHeight="1" x14ac:dyDescent="0.35">
      <c r="A234" s="27"/>
      <c r="B234" s="28"/>
    </row>
    <row r="235" spans="1:2" ht="14.25" customHeight="1" x14ac:dyDescent="0.35">
      <c r="A235" s="27"/>
      <c r="B235" s="28"/>
    </row>
    <row r="236" spans="1:2" ht="14.25" customHeight="1" x14ac:dyDescent="0.35">
      <c r="A236" s="27"/>
      <c r="B236" s="28"/>
    </row>
    <row r="237" spans="1:2" ht="14.25" customHeight="1" x14ac:dyDescent="0.35">
      <c r="A237" s="27"/>
      <c r="B237" s="28"/>
    </row>
    <row r="238" spans="1:2" ht="14.25" customHeight="1" x14ac:dyDescent="0.35">
      <c r="A238" s="27"/>
      <c r="B238" s="28"/>
    </row>
    <row r="239" spans="1:2" ht="14.25" customHeight="1" x14ac:dyDescent="0.35">
      <c r="A239" s="27"/>
      <c r="B239" s="28"/>
    </row>
    <row r="240" spans="1:2" ht="14.25" customHeight="1" x14ac:dyDescent="0.35">
      <c r="A240" s="27"/>
      <c r="B240" s="28"/>
    </row>
    <row r="241" spans="1:2" ht="14.25" customHeight="1" x14ac:dyDescent="0.35">
      <c r="A241" s="27"/>
      <c r="B241" s="28"/>
    </row>
    <row r="242" spans="1:2" ht="14.25" customHeight="1" x14ac:dyDescent="0.35">
      <c r="A242" s="27"/>
      <c r="B242" s="28"/>
    </row>
    <row r="243" spans="1:2" ht="14.25" customHeight="1" x14ac:dyDescent="0.35">
      <c r="A243" s="27"/>
      <c r="B243" s="28"/>
    </row>
    <row r="244" spans="1:2" ht="14.25" customHeight="1" x14ac:dyDescent="0.35">
      <c r="A244" s="27"/>
      <c r="B244" s="28"/>
    </row>
    <row r="245" spans="1:2" ht="14.25" customHeight="1" x14ac:dyDescent="0.35">
      <c r="A245" s="27"/>
      <c r="B245" s="28"/>
    </row>
    <row r="246" spans="1:2" ht="14.25" customHeight="1" x14ac:dyDescent="0.35">
      <c r="A246" s="27"/>
      <c r="B246" s="28"/>
    </row>
    <row r="247" spans="1:2" ht="14.25" customHeight="1" x14ac:dyDescent="0.35">
      <c r="A247" s="27"/>
      <c r="B247" s="28"/>
    </row>
    <row r="248" spans="1:2" ht="14.25" customHeight="1" x14ac:dyDescent="0.35">
      <c r="A248" s="27"/>
      <c r="B248" s="28"/>
    </row>
    <row r="249" spans="1:2" ht="14.25" customHeight="1" x14ac:dyDescent="0.35">
      <c r="A249" s="27"/>
      <c r="B249" s="28"/>
    </row>
    <row r="250" spans="1:2" ht="14.25" customHeight="1" x14ac:dyDescent="0.35">
      <c r="A250" s="27"/>
      <c r="B250" s="28"/>
    </row>
    <row r="251" spans="1:2" ht="14.25" customHeight="1" x14ac:dyDescent="0.35">
      <c r="A251" s="27"/>
      <c r="B251" s="28"/>
    </row>
    <row r="252" spans="1:2" ht="14.25" customHeight="1" x14ac:dyDescent="0.35">
      <c r="A252" s="27"/>
      <c r="B252" s="28"/>
    </row>
    <row r="253" spans="1:2" ht="14.25" customHeight="1" x14ac:dyDescent="0.35">
      <c r="A253" s="27"/>
      <c r="B253" s="28"/>
    </row>
    <row r="254" spans="1:2" ht="14.25" customHeight="1" x14ac:dyDescent="0.35">
      <c r="A254" s="27"/>
      <c r="B254" s="28"/>
    </row>
    <row r="255" spans="1:2" ht="14.25" customHeight="1" x14ac:dyDescent="0.35">
      <c r="A255" s="27"/>
      <c r="B255" s="28"/>
    </row>
    <row r="256" spans="1:2" ht="14.25" customHeight="1" x14ac:dyDescent="0.35">
      <c r="A256" s="27"/>
      <c r="B256" s="28"/>
    </row>
    <row r="257" spans="1:2" ht="14.25" customHeight="1" x14ac:dyDescent="0.35">
      <c r="A257" s="27"/>
      <c r="B257" s="28"/>
    </row>
    <row r="258" spans="1:2" ht="14.25" customHeight="1" x14ac:dyDescent="0.35">
      <c r="A258" s="27"/>
      <c r="B258" s="28"/>
    </row>
    <row r="259" spans="1:2" ht="14.25" customHeight="1" x14ac:dyDescent="0.35">
      <c r="A259" s="27"/>
      <c r="B259" s="28"/>
    </row>
    <row r="260" spans="1:2" ht="14.25" customHeight="1" x14ac:dyDescent="0.35">
      <c r="A260" s="27"/>
      <c r="B260" s="28"/>
    </row>
    <row r="261" spans="1:2" ht="14.25" customHeight="1" x14ac:dyDescent="0.35">
      <c r="A261" s="27"/>
      <c r="B261" s="28"/>
    </row>
    <row r="262" spans="1:2" ht="14.25" customHeight="1" x14ac:dyDescent="0.35">
      <c r="A262" s="27"/>
      <c r="B262" s="28"/>
    </row>
    <row r="263" spans="1:2" ht="14.25" customHeight="1" x14ac:dyDescent="0.35">
      <c r="A263" s="27"/>
      <c r="B263" s="28"/>
    </row>
    <row r="264" spans="1:2" ht="14.25" customHeight="1" x14ac:dyDescent="0.35">
      <c r="A264" s="27"/>
      <c r="B264" s="28"/>
    </row>
    <row r="265" spans="1:2" ht="14.25" customHeight="1" x14ac:dyDescent="0.35">
      <c r="A265" s="27"/>
      <c r="B265" s="28"/>
    </row>
    <row r="266" spans="1:2" ht="14.25" customHeight="1" x14ac:dyDescent="0.35">
      <c r="A266" s="27"/>
      <c r="B266" s="28"/>
    </row>
    <row r="267" spans="1:2" ht="14.25" customHeight="1" x14ac:dyDescent="0.35">
      <c r="A267" s="27"/>
      <c r="B267" s="28"/>
    </row>
    <row r="268" spans="1:2" ht="14.25" customHeight="1" x14ac:dyDescent="0.35">
      <c r="A268" s="27"/>
      <c r="B268" s="28"/>
    </row>
    <row r="269" spans="1:2" ht="14.25" customHeight="1" x14ac:dyDescent="0.35">
      <c r="A269" s="27"/>
      <c r="B269" s="28"/>
    </row>
    <row r="270" spans="1:2" ht="14.25" customHeight="1" x14ac:dyDescent="0.35">
      <c r="A270" s="27"/>
      <c r="B270" s="28"/>
    </row>
    <row r="271" spans="1:2" ht="14.25" customHeight="1" x14ac:dyDescent="0.35">
      <c r="A271" s="27"/>
      <c r="B271" s="28"/>
    </row>
    <row r="272" spans="1:2" ht="14.25" customHeight="1" x14ac:dyDescent="0.35">
      <c r="A272" s="27"/>
      <c r="B272" s="28"/>
    </row>
    <row r="273" spans="1:2" ht="14.25" customHeight="1" x14ac:dyDescent="0.35">
      <c r="A273" s="27"/>
      <c r="B273" s="28"/>
    </row>
    <row r="274" spans="1:2" ht="14.25" customHeight="1" x14ac:dyDescent="0.35">
      <c r="A274" s="27"/>
      <c r="B274" s="28"/>
    </row>
    <row r="275" spans="1:2" ht="14.25" customHeight="1" x14ac:dyDescent="0.35">
      <c r="A275" s="27"/>
      <c r="B275" s="28"/>
    </row>
    <row r="276" spans="1:2" ht="14.25" customHeight="1" x14ac:dyDescent="0.35">
      <c r="A276" s="27"/>
      <c r="B276" s="28"/>
    </row>
    <row r="277" spans="1:2" ht="14.25" customHeight="1" x14ac:dyDescent="0.35">
      <c r="A277" s="27"/>
      <c r="B277" s="28"/>
    </row>
    <row r="278" spans="1:2" ht="14.25" customHeight="1" x14ac:dyDescent="0.35">
      <c r="A278" s="27"/>
      <c r="B278" s="28"/>
    </row>
    <row r="279" spans="1:2" ht="14.25" customHeight="1" x14ac:dyDescent="0.35">
      <c r="A279" s="27"/>
      <c r="B279" s="28"/>
    </row>
    <row r="280" spans="1:2" ht="14.25" customHeight="1" x14ac:dyDescent="0.35">
      <c r="A280" s="27"/>
      <c r="B280" s="28"/>
    </row>
    <row r="281" spans="1:2" ht="14.25" customHeight="1" x14ac:dyDescent="0.35">
      <c r="A281" s="27"/>
      <c r="B281" s="28"/>
    </row>
    <row r="282" spans="1:2" ht="14.25" customHeight="1" x14ac:dyDescent="0.35">
      <c r="A282" s="27"/>
      <c r="B282" s="28"/>
    </row>
    <row r="283" spans="1:2" ht="14.25" customHeight="1" x14ac:dyDescent="0.35">
      <c r="A283" s="27"/>
      <c r="B283" s="28"/>
    </row>
    <row r="284" spans="1:2" ht="14.25" customHeight="1" x14ac:dyDescent="0.35">
      <c r="A284" s="27"/>
      <c r="B284" s="28"/>
    </row>
    <row r="285" spans="1:2" ht="14.25" customHeight="1" x14ac:dyDescent="0.35">
      <c r="A285" s="27"/>
      <c r="B285" s="28"/>
    </row>
    <row r="286" spans="1:2" ht="14.25" customHeight="1" x14ac:dyDescent="0.35">
      <c r="A286" s="27"/>
      <c r="B286" s="28"/>
    </row>
    <row r="287" spans="1:2" ht="14.25" customHeight="1" x14ac:dyDescent="0.35">
      <c r="A287" s="27"/>
      <c r="B287" s="28"/>
    </row>
    <row r="288" spans="1:2" ht="14.25" customHeight="1" x14ac:dyDescent="0.35">
      <c r="A288" s="27"/>
      <c r="B288" s="28"/>
    </row>
    <row r="289" spans="1:2" ht="14.25" customHeight="1" x14ac:dyDescent="0.35">
      <c r="A289" s="27"/>
      <c r="B289" s="28"/>
    </row>
    <row r="290" spans="1:2" ht="14.25" customHeight="1" x14ac:dyDescent="0.35">
      <c r="A290" s="27"/>
      <c r="B290" s="28"/>
    </row>
    <row r="291" spans="1:2" ht="14.25" customHeight="1" x14ac:dyDescent="0.35">
      <c r="A291" s="27"/>
      <c r="B291" s="28"/>
    </row>
    <row r="292" spans="1:2" ht="14.25" customHeight="1" x14ac:dyDescent="0.35">
      <c r="A292" s="27"/>
      <c r="B292" s="28"/>
    </row>
    <row r="293" spans="1:2" ht="14.25" customHeight="1" x14ac:dyDescent="0.35">
      <c r="A293" s="27"/>
      <c r="B293" s="28"/>
    </row>
    <row r="294" spans="1:2" ht="14.25" customHeight="1" x14ac:dyDescent="0.35">
      <c r="A294" s="27"/>
      <c r="B294" s="28"/>
    </row>
    <row r="295" spans="1:2" ht="14.25" customHeight="1" x14ac:dyDescent="0.35">
      <c r="A295" s="27"/>
      <c r="B295" s="28"/>
    </row>
    <row r="296" spans="1:2" ht="14.25" customHeight="1" x14ac:dyDescent="0.35">
      <c r="A296" s="27"/>
      <c r="B296" s="28"/>
    </row>
    <row r="297" spans="1:2" ht="14.25" customHeight="1" x14ac:dyDescent="0.35">
      <c r="A297" s="27"/>
      <c r="B297" s="28"/>
    </row>
    <row r="298" spans="1:2" ht="14.25" customHeight="1" x14ac:dyDescent="0.35">
      <c r="A298" s="27"/>
      <c r="B298" s="28"/>
    </row>
    <row r="299" spans="1:2" ht="14.25" customHeight="1" x14ac:dyDescent="0.35">
      <c r="A299" s="27"/>
      <c r="B299" s="28"/>
    </row>
    <row r="300" spans="1:2" ht="14.25" customHeight="1" x14ac:dyDescent="0.35">
      <c r="A300" s="27"/>
      <c r="B300" s="28"/>
    </row>
    <row r="301" spans="1:2" ht="14.25" customHeight="1" x14ac:dyDescent="0.35">
      <c r="A301" s="27"/>
      <c r="B301" s="28"/>
    </row>
    <row r="302" spans="1:2" ht="14.25" customHeight="1" x14ac:dyDescent="0.35">
      <c r="A302" s="27"/>
      <c r="B302" s="28"/>
    </row>
    <row r="303" spans="1:2" ht="14.25" customHeight="1" x14ac:dyDescent="0.35">
      <c r="A303" s="27"/>
      <c r="B303" s="28"/>
    </row>
    <row r="304" spans="1:2" ht="14.25" customHeight="1" x14ac:dyDescent="0.35">
      <c r="A304" s="27"/>
      <c r="B304" s="28"/>
    </row>
    <row r="305" spans="1:2" ht="14.25" customHeight="1" x14ac:dyDescent="0.35">
      <c r="A305" s="27"/>
      <c r="B305" s="28"/>
    </row>
    <row r="306" spans="1:2" ht="14.25" customHeight="1" x14ac:dyDescent="0.35">
      <c r="A306" s="27"/>
      <c r="B306" s="28"/>
    </row>
    <row r="307" spans="1:2" ht="14.25" customHeight="1" x14ac:dyDescent="0.35">
      <c r="A307" s="27"/>
      <c r="B307" s="28"/>
    </row>
    <row r="308" spans="1:2" ht="14.25" customHeight="1" x14ac:dyDescent="0.35">
      <c r="A308" s="27"/>
      <c r="B308" s="28"/>
    </row>
    <row r="309" spans="1:2" ht="14.25" customHeight="1" x14ac:dyDescent="0.35">
      <c r="A309" s="27"/>
      <c r="B309" s="28"/>
    </row>
    <row r="310" spans="1:2" ht="14.25" customHeight="1" x14ac:dyDescent="0.35">
      <c r="A310" s="27"/>
      <c r="B310" s="28"/>
    </row>
    <row r="311" spans="1:2" ht="14.25" customHeight="1" x14ac:dyDescent="0.35">
      <c r="A311" s="27"/>
      <c r="B311" s="28"/>
    </row>
    <row r="312" spans="1:2" ht="14.25" customHeight="1" x14ac:dyDescent="0.35">
      <c r="A312" s="27"/>
      <c r="B312" s="28"/>
    </row>
    <row r="313" spans="1:2" ht="14.25" customHeight="1" x14ac:dyDescent="0.35">
      <c r="A313" s="27"/>
      <c r="B313" s="28"/>
    </row>
    <row r="314" spans="1:2" ht="14.25" customHeight="1" x14ac:dyDescent="0.35">
      <c r="A314" s="27"/>
      <c r="B314" s="28"/>
    </row>
    <row r="315" spans="1:2" ht="14.25" customHeight="1" x14ac:dyDescent="0.35">
      <c r="A315" s="27"/>
      <c r="B315" s="28"/>
    </row>
    <row r="316" spans="1:2" ht="14.25" customHeight="1" x14ac:dyDescent="0.35">
      <c r="A316" s="27"/>
      <c r="B316" s="28"/>
    </row>
    <row r="317" spans="1:2" ht="14.25" customHeight="1" x14ac:dyDescent="0.35">
      <c r="A317" s="27"/>
      <c r="B317" s="28"/>
    </row>
    <row r="318" spans="1:2" ht="14.25" customHeight="1" x14ac:dyDescent="0.35">
      <c r="A318" s="27"/>
      <c r="B318" s="28"/>
    </row>
    <row r="319" spans="1:2" ht="14.25" customHeight="1" x14ac:dyDescent="0.35">
      <c r="A319" s="27"/>
      <c r="B319" s="28"/>
    </row>
    <row r="320" spans="1:2" ht="14.25" customHeight="1" x14ac:dyDescent="0.35">
      <c r="A320" s="27"/>
      <c r="B320" s="28"/>
    </row>
    <row r="321" spans="1:2" ht="14.25" customHeight="1" x14ac:dyDescent="0.35">
      <c r="A321" s="27"/>
      <c r="B321" s="28"/>
    </row>
    <row r="322" spans="1:2" ht="14.25" customHeight="1" x14ac:dyDescent="0.35">
      <c r="A322" s="27"/>
      <c r="B322" s="28"/>
    </row>
    <row r="323" spans="1:2" ht="14.25" customHeight="1" x14ac:dyDescent="0.35">
      <c r="A323" s="27"/>
      <c r="B323" s="28"/>
    </row>
    <row r="324" spans="1:2" ht="14.25" customHeight="1" x14ac:dyDescent="0.35">
      <c r="A324" s="27"/>
      <c r="B324" s="28"/>
    </row>
    <row r="325" spans="1:2" ht="14.25" customHeight="1" x14ac:dyDescent="0.35">
      <c r="A325" s="27"/>
      <c r="B325" s="28"/>
    </row>
    <row r="326" spans="1:2" ht="14.25" customHeight="1" x14ac:dyDescent="0.35">
      <c r="A326" s="27"/>
      <c r="B326" s="28"/>
    </row>
    <row r="327" spans="1:2" ht="14.25" customHeight="1" x14ac:dyDescent="0.35">
      <c r="A327" s="27"/>
      <c r="B327" s="28"/>
    </row>
    <row r="328" spans="1:2" ht="14.25" customHeight="1" x14ac:dyDescent="0.35">
      <c r="A328" s="27"/>
      <c r="B328" s="28"/>
    </row>
    <row r="329" spans="1:2" ht="14.25" customHeight="1" x14ac:dyDescent="0.35">
      <c r="A329" s="27"/>
      <c r="B329" s="28"/>
    </row>
    <row r="330" spans="1:2" ht="14.25" customHeight="1" x14ac:dyDescent="0.35">
      <c r="A330" s="27"/>
      <c r="B330" s="28"/>
    </row>
    <row r="331" spans="1:2" ht="14.25" customHeight="1" x14ac:dyDescent="0.35">
      <c r="A331" s="27"/>
      <c r="B331" s="28"/>
    </row>
    <row r="332" spans="1:2" ht="14.25" customHeight="1" x14ac:dyDescent="0.35">
      <c r="A332" s="27"/>
      <c r="B332" s="28"/>
    </row>
    <row r="333" spans="1:2" ht="14.25" customHeight="1" x14ac:dyDescent="0.35">
      <c r="A333" s="27"/>
      <c r="B333" s="28"/>
    </row>
    <row r="334" spans="1:2" ht="14.25" customHeight="1" x14ac:dyDescent="0.35">
      <c r="A334" s="27"/>
      <c r="B334" s="28"/>
    </row>
    <row r="335" spans="1:2" ht="14.25" customHeight="1" x14ac:dyDescent="0.35">
      <c r="A335" s="27"/>
      <c r="B335" s="28"/>
    </row>
    <row r="336" spans="1:2" ht="14.25" customHeight="1" x14ac:dyDescent="0.35">
      <c r="A336" s="27"/>
      <c r="B336" s="28"/>
    </row>
    <row r="337" spans="1:2" ht="14.25" customHeight="1" x14ac:dyDescent="0.35">
      <c r="A337" s="27"/>
      <c r="B337" s="28"/>
    </row>
    <row r="338" spans="1:2" ht="14.25" customHeight="1" x14ac:dyDescent="0.35">
      <c r="A338" s="27"/>
      <c r="B338" s="28"/>
    </row>
    <row r="339" spans="1:2" ht="14.25" customHeight="1" x14ac:dyDescent="0.35">
      <c r="A339" s="27"/>
      <c r="B339" s="28"/>
    </row>
    <row r="340" spans="1:2" ht="14.25" customHeight="1" x14ac:dyDescent="0.35">
      <c r="A340" s="27"/>
      <c r="B340" s="28"/>
    </row>
    <row r="341" spans="1:2" ht="14.25" customHeight="1" x14ac:dyDescent="0.35">
      <c r="A341" s="27"/>
      <c r="B341" s="28"/>
    </row>
    <row r="342" spans="1:2" ht="14.25" customHeight="1" x14ac:dyDescent="0.35">
      <c r="A342" s="27"/>
      <c r="B342" s="28"/>
    </row>
    <row r="343" spans="1:2" ht="14.25" customHeight="1" x14ac:dyDescent="0.35">
      <c r="A343" s="27"/>
      <c r="B343" s="28"/>
    </row>
    <row r="344" spans="1:2" ht="14.25" customHeight="1" x14ac:dyDescent="0.35">
      <c r="A344" s="27"/>
      <c r="B344" s="28"/>
    </row>
    <row r="345" spans="1:2" ht="14.25" customHeight="1" x14ac:dyDescent="0.35">
      <c r="A345" s="27"/>
      <c r="B345" s="28"/>
    </row>
    <row r="346" spans="1:2" ht="14.25" customHeight="1" x14ac:dyDescent="0.35">
      <c r="A346" s="27"/>
      <c r="B346" s="28"/>
    </row>
    <row r="347" spans="1:2" ht="14.25" customHeight="1" x14ac:dyDescent="0.35">
      <c r="A347" s="27"/>
      <c r="B347" s="28"/>
    </row>
    <row r="348" spans="1:2" ht="14.25" customHeight="1" x14ac:dyDescent="0.35">
      <c r="A348" s="27"/>
      <c r="B348" s="28"/>
    </row>
    <row r="349" spans="1:2" ht="14.25" customHeight="1" x14ac:dyDescent="0.35">
      <c r="A349" s="27"/>
      <c r="B349" s="28"/>
    </row>
    <row r="350" spans="1:2" ht="14.25" customHeight="1" x14ac:dyDescent="0.35">
      <c r="A350" s="27"/>
      <c r="B350" s="28"/>
    </row>
    <row r="351" spans="1:2" ht="14.25" customHeight="1" x14ac:dyDescent="0.35">
      <c r="A351" s="27"/>
      <c r="B351" s="28"/>
    </row>
    <row r="352" spans="1:2" ht="14.25" customHeight="1" x14ac:dyDescent="0.35">
      <c r="A352" s="27"/>
      <c r="B352" s="28"/>
    </row>
    <row r="353" spans="1:2" ht="14.25" customHeight="1" x14ac:dyDescent="0.35">
      <c r="A353" s="27"/>
      <c r="B353" s="28"/>
    </row>
    <row r="354" spans="1:2" ht="14.25" customHeight="1" x14ac:dyDescent="0.35">
      <c r="A354" s="27"/>
      <c r="B354" s="28"/>
    </row>
    <row r="355" spans="1:2" ht="14.25" customHeight="1" x14ac:dyDescent="0.35">
      <c r="A355" s="27"/>
      <c r="B355" s="28"/>
    </row>
    <row r="356" spans="1:2" ht="14.25" customHeight="1" x14ac:dyDescent="0.35">
      <c r="A356" s="27"/>
      <c r="B356" s="28"/>
    </row>
    <row r="357" spans="1:2" ht="14.25" customHeight="1" x14ac:dyDescent="0.35">
      <c r="A357" s="27"/>
      <c r="B357" s="28"/>
    </row>
    <row r="358" spans="1:2" ht="14.25" customHeight="1" x14ac:dyDescent="0.35">
      <c r="A358" s="27"/>
      <c r="B358" s="28"/>
    </row>
    <row r="359" spans="1:2" ht="14.25" customHeight="1" x14ac:dyDescent="0.35">
      <c r="A359" s="27"/>
      <c r="B359" s="28"/>
    </row>
    <row r="360" spans="1:2" ht="14.25" customHeight="1" x14ac:dyDescent="0.35">
      <c r="A360" s="27"/>
      <c r="B360" s="28"/>
    </row>
    <row r="361" spans="1:2" ht="14.25" customHeight="1" x14ac:dyDescent="0.35">
      <c r="A361" s="27"/>
      <c r="B361" s="28"/>
    </row>
    <row r="362" spans="1:2" ht="14.25" customHeight="1" x14ac:dyDescent="0.35">
      <c r="A362" s="27"/>
      <c r="B362" s="28"/>
    </row>
    <row r="363" spans="1:2" ht="14.25" customHeight="1" x14ac:dyDescent="0.35">
      <c r="A363" s="27"/>
      <c r="B363" s="28"/>
    </row>
    <row r="364" spans="1:2" ht="14.25" customHeight="1" x14ac:dyDescent="0.35">
      <c r="A364" s="27"/>
      <c r="B364" s="28"/>
    </row>
    <row r="365" spans="1:2" ht="14.25" customHeight="1" x14ac:dyDescent="0.35">
      <c r="A365" s="27"/>
      <c r="B365" s="28"/>
    </row>
    <row r="366" spans="1:2" ht="14.25" customHeight="1" x14ac:dyDescent="0.35">
      <c r="A366" s="27"/>
      <c r="B366" s="28"/>
    </row>
    <row r="367" spans="1:2" ht="14.25" customHeight="1" x14ac:dyDescent="0.35">
      <c r="A367" s="27"/>
      <c r="B367" s="28"/>
    </row>
    <row r="368" spans="1:2" ht="14.25" customHeight="1" x14ac:dyDescent="0.35">
      <c r="A368" s="27"/>
      <c r="B368" s="28"/>
    </row>
    <row r="369" spans="1:2" ht="14.25" customHeight="1" x14ac:dyDescent="0.35">
      <c r="A369" s="27"/>
      <c r="B369" s="28"/>
    </row>
    <row r="370" spans="1:2" ht="14.25" customHeight="1" x14ac:dyDescent="0.35">
      <c r="A370" s="27"/>
      <c r="B370" s="28"/>
    </row>
    <row r="371" spans="1:2" ht="14.25" customHeight="1" x14ac:dyDescent="0.35">
      <c r="A371" s="27"/>
      <c r="B371" s="28"/>
    </row>
    <row r="372" spans="1:2" ht="14.25" customHeight="1" x14ac:dyDescent="0.35">
      <c r="A372" s="27"/>
      <c r="B372" s="28"/>
    </row>
    <row r="373" spans="1:2" ht="14.25" customHeight="1" x14ac:dyDescent="0.35">
      <c r="A373" s="27"/>
      <c r="B373" s="28"/>
    </row>
    <row r="374" spans="1:2" ht="14.25" customHeight="1" x14ac:dyDescent="0.35">
      <c r="A374" s="27"/>
      <c r="B374" s="28"/>
    </row>
    <row r="375" spans="1:2" ht="14.25" customHeight="1" x14ac:dyDescent="0.35">
      <c r="A375" s="27"/>
      <c r="B375" s="28"/>
    </row>
    <row r="376" spans="1:2" ht="14.25" customHeight="1" x14ac:dyDescent="0.35">
      <c r="A376" s="27"/>
      <c r="B376" s="28"/>
    </row>
    <row r="377" spans="1:2" ht="14.25" customHeight="1" x14ac:dyDescent="0.35">
      <c r="A377" s="27"/>
      <c r="B377" s="28"/>
    </row>
    <row r="378" spans="1:2" ht="14.25" customHeight="1" x14ac:dyDescent="0.35">
      <c r="A378" s="27"/>
      <c r="B378" s="28"/>
    </row>
    <row r="379" spans="1:2" ht="14.25" customHeight="1" x14ac:dyDescent="0.35">
      <c r="A379" s="27"/>
      <c r="B379" s="28"/>
    </row>
    <row r="380" spans="1:2" ht="14.25" customHeight="1" x14ac:dyDescent="0.35">
      <c r="A380" s="27"/>
      <c r="B380" s="28"/>
    </row>
    <row r="381" spans="1:2" ht="14.25" customHeight="1" x14ac:dyDescent="0.35">
      <c r="A381" s="27"/>
      <c r="B381" s="28"/>
    </row>
    <row r="382" spans="1:2" ht="14.25" customHeight="1" x14ac:dyDescent="0.35">
      <c r="A382" s="27"/>
      <c r="B382" s="28"/>
    </row>
    <row r="383" spans="1:2" ht="14.25" customHeight="1" x14ac:dyDescent="0.35">
      <c r="A383" s="27"/>
      <c r="B383" s="28"/>
    </row>
    <row r="384" spans="1:2" ht="14.25" customHeight="1" x14ac:dyDescent="0.35">
      <c r="A384" s="27"/>
      <c r="B384" s="28"/>
    </row>
    <row r="385" spans="1:2" ht="14.25" customHeight="1" x14ac:dyDescent="0.35">
      <c r="A385" s="27"/>
      <c r="B385" s="28"/>
    </row>
    <row r="386" spans="1:2" ht="14.25" customHeight="1" x14ac:dyDescent="0.35">
      <c r="A386" s="27"/>
      <c r="B386" s="28"/>
    </row>
    <row r="387" spans="1:2" ht="14.25" customHeight="1" x14ac:dyDescent="0.35">
      <c r="A387" s="27"/>
      <c r="B387" s="28"/>
    </row>
    <row r="388" spans="1:2" ht="14.25" customHeight="1" x14ac:dyDescent="0.35">
      <c r="A388" s="27"/>
      <c r="B388" s="28"/>
    </row>
    <row r="389" spans="1:2" ht="14.25" customHeight="1" x14ac:dyDescent="0.35">
      <c r="A389" s="27"/>
      <c r="B389" s="28"/>
    </row>
    <row r="390" spans="1:2" ht="14.25" customHeight="1" x14ac:dyDescent="0.35">
      <c r="A390" s="27"/>
      <c r="B390" s="28"/>
    </row>
    <row r="391" spans="1:2" ht="14.25" customHeight="1" x14ac:dyDescent="0.35">
      <c r="A391" s="27"/>
      <c r="B391" s="28"/>
    </row>
    <row r="392" spans="1:2" ht="14.25" customHeight="1" x14ac:dyDescent="0.35">
      <c r="A392" s="27"/>
      <c r="B392" s="28"/>
    </row>
    <row r="393" spans="1:2" ht="14.25" customHeight="1" x14ac:dyDescent="0.35">
      <c r="A393" s="27"/>
      <c r="B393" s="28"/>
    </row>
    <row r="394" spans="1:2" ht="14.25" customHeight="1" x14ac:dyDescent="0.35">
      <c r="A394" s="27"/>
      <c r="B394" s="28"/>
    </row>
    <row r="395" spans="1:2" ht="14.25" customHeight="1" x14ac:dyDescent="0.35">
      <c r="A395" s="27"/>
      <c r="B395" s="28"/>
    </row>
    <row r="396" spans="1:2" ht="14.25" customHeight="1" x14ac:dyDescent="0.35">
      <c r="A396" s="27"/>
      <c r="B396" s="28"/>
    </row>
    <row r="397" spans="1:2" ht="14.25" customHeight="1" x14ac:dyDescent="0.35">
      <c r="A397" s="27"/>
      <c r="B397" s="28"/>
    </row>
    <row r="398" spans="1:2" ht="14.25" customHeight="1" x14ac:dyDescent="0.35">
      <c r="A398" s="27"/>
      <c r="B398" s="28"/>
    </row>
    <row r="399" spans="1:2" ht="14.25" customHeight="1" x14ac:dyDescent="0.35">
      <c r="A399" s="27"/>
      <c r="B399" s="28"/>
    </row>
    <row r="400" spans="1:2" ht="14.25" customHeight="1" x14ac:dyDescent="0.35">
      <c r="A400" s="27"/>
      <c r="B400" s="28"/>
    </row>
    <row r="401" spans="1:2" ht="14.25" customHeight="1" x14ac:dyDescent="0.35">
      <c r="A401" s="27"/>
      <c r="B401" s="28"/>
    </row>
    <row r="402" spans="1:2" ht="14.25" customHeight="1" x14ac:dyDescent="0.35">
      <c r="A402" s="27"/>
      <c r="B402" s="28"/>
    </row>
    <row r="403" spans="1:2" ht="14.25" customHeight="1" x14ac:dyDescent="0.35">
      <c r="A403" s="27"/>
      <c r="B403" s="28"/>
    </row>
    <row r="404" spans="1:2" ht="14.25" customHeight="1" x14ac:dyDescent="0.35">
      <c r="A404" s="27"/>
      <c r="B404" s="28"/>
    </row>
    <row r="405" spans="1:2" ht="14.25" customHeight="1" x14ac:dyDescent="0.35">
      <c r="A405" s="27"/>
      <c r="B405" s="28"/>
    </row>
    <row r="406" spans="1:2" ht="14.25" customHeight="1" x14ac:dyDescent="0.35">
      <c r="A406" s="27"/>
      <c r="B406" s="28"/>
    </row>
    <row r="407" spans="1:2" ht="14.25" customHeight="1" x14ac:dyDescent="0.35">
      <c r="A407" s="27"/>
      <c r="B407" s="28"/>
    </row>
    <row r="408" spans="1:2" ht="14.25" customHeight="1" x14ac:dyDescent="0.35">
      <c r="A408" s="27"/>
      <c r="B408" s="28"/>
    </row>
    <row r="409" spans="1:2" ht="14.25" customHeight="1" x14ac:dyDescent="0.35">
      <c r="A409" s="27"/>
      <c r="B409" s="28"/>
    </row>
    <row r="410" spans="1:2" ht="14.25" customHeight="1" x14ac:dyDescent="0.35">
      <c r="A410" s="27"/>
      <c r="B410" s="28"/>
    </row>
    <row r="411" spans="1:2" ht="14.25" customHeight="1" x14ac:dyDescent="0.35">
      <c r="A411" s="27"/>
      <c r="B411" s="28"/>
    </row>
    <row r="412" spans="1:2" ht="14.25" customHeight="1" x14ac:dyDescent="0.35">
      <c r="A412" s="27"/>
      <c r="B412" s="28"/>
    </row>
    <row r="413" spans="1:2" ht="14.25" customHeight="1" x14ac:dyDescent="0.35">
      <c r="A413" s="27"/>
      <c r="B413" s="28"/>
    </row>
    <row r="414" spans="1:2" ht="14.25" customHeight="1" x14ac:dyDescent="0.35">
      <c r="A414" s="27"/>
      <c r="B414" s="28"/>
    </row>
    <row r="415" spans="1:2" ht="14.25" customHeight="1" x14ac:dyDescent="0.35">
      <c r="A415" s="27"/>
      <c r="B415" s="28"/>
    </row>
    <row r="416" spans="1:2" ht="14.25" customHeight="1" x14ac:dyDescent="0.35">
      <c r="A416" s="27"/>
      <c r="B416" s="28"/>
    </row>
    <row r="417" spans="1:2" ht="14.25" customHeight="1" x14ac:dyDescent="0.35">
      <c r="A417" s="27"/>
      <c r="B417" s="28"/>
    </row>
    <row r="418" spans="1:2" ht="14.25" customHeight="1" x14ac:dyDescent="0.35">
      <c r="A418" s="27"/>
      <c r="B418" s="28"/>
    </row>
    <row r="419" spans="1:2" ht="14.25" customHeight="1" x14ac:dyDescent="0.35">
      <c r="A419" s="27"/>
      <c r="B419" s="28"/>
    </row>
    <row r="420" spans="1:2" ht="14.25" customHeight="1" x14ac:dyDescent="0.35">
      <c r="A420" s="27"/>
      <c r="B420" s="28"/>
    </row>
    <row r="421" spans="1:2" ht="14.25" customHeight="1" x14ac:dyDescent="0.35">
      <c r="A421" s="27"/>
      <c r="B421" s="28"/>
    </row>
    <row r="422" spans="1:2" ht="14.25" customHeight="1" x14ac:dyDescent="0.35">
      <c r="A422" s="27"/>
      <c r="B422" s="28"/>
    </row>
    <row r="423" spans="1:2" ht="14.25" customHeight="1" x14ac:dyDescent="0.35">
      <c r="A423" s="27"/>
      <c r="B423" s="28"/>
    </row>
    <row r="424" spans="1:2" ht="14.25" customHeight="1" x14ac:dyDescent="0.35">
      <c r="A424" s="27"/>
      <c r="B424" s="28"/>
    </row>
    <row r="425" spans="1:2" ht="14.25" customHeight="1" x14ac:dyDescent="0.35">
      <c r="A425" s="27"/>
      <c r="B425" s="28"/>
    </row>
    <row r="426" spans="1:2" ht="14.25" customHeight="1" x14ac:dyDescent="0.35">
      <c r="A426" s="27"/>
      <c r="B426" s="28"/>
    </row>
    <row r="427" spans="1:2" ht="14.25" customHeight="1" x14ac:dyDescent="0.35">
      <c r="A427" s="27"/>
      <c r="B427" s="28"/>
    </row>
    <row r="428" spans="1:2" ht="14.25" customHeight="1" x14ac:dyDescent="0.35">
      <c r="A428" s="27"/>
      <c r="B428" s="28"/>
    </row>
    <row r="429" spans="1:2" ht="14.25" customHeight="1" x14ac:dyDescent="0.35">
      <c r="A429" s="27"/>
      <c r="B429" s="28"/>
    </row>
    <row r="430" spans="1:2" ht="14.25" customHeight="1" x14ac:dyDescent="0.35">
      <c r="A430" s="27"/>
      <c r="B430" s="28"/>
    </row>
    <row r="431" spans="1:2" ht="14.25" customHeight="1" x14ac:dyDescent="0.35">
      <c r="A431" s="27"/>
      <c r="B431" s="28"/>
    </row>
    <row r="432" spans="1:2" ht="14.25" customHeight="1" x14ac:dyDescent="0.35">
      <c r="A432" s="27"/>
      <c r="B432" s="28"/>
    </row>
    <row r="433" spans="1:2" ht="14.25" customHeight="1" x14ac:dyDescent="0.35">
      <c r="A433" s="27"/>
      <c r="B433" s="28"/>
    </row>
    <row r="434" spans="1:2" ht="14.25" customHeight="1" x14ac:dyDescent="0.35">
      <c r="A434" s="27"/>
      <c r="B434" s="28"/>
    </row>
    <row r="435" spans="1:2" ht="14.25" customHeight="1" x14ac:dyDescent="0.35">
      <c r="A435" s="27"/>
      <c r="B435" s="28"/>
    </row>
    <row r="436" spans="1:2" ht="14.25" customHeight="1" x14ac:dyDescent="0.35">
      <c r="A436" s="27"/>
      <c r="B436" s="28"/>
    </row>
    <row r="437" spans="1:2" ht="14.25" customHeight="1" x14ac:dyDescent="0.35">
      <c r="A437" s="27"/>
      <c r="B437" s="28"/>
    </row>
    <row r="438" spans="1:2" ht="14.25" customHeight="1" x14ac:dyDescent="0.35">
      <c r="A438" s="27"/>
      <c r="B438" s="28"/>
    </row>
    <row r="439" spans="1:2" ht="14.25" customHeight="1" x14ac:dyDescent="0.35">
      <c r="A439" s="27"/>
      <c r="B439" s="28"/>
    </row>
    <row r="440" spans="1:2" ht="14.25" customHeight="1" x14ac:dyDescent="0.35">
      <c r="A440" s="27"/>
      <c r="B440" s="28"/>
    </row>
    <row r="441" spans="1:2" ht="14.25" customHeight="1" x14ac:dyDescent="0.35">
      <c r="A441" s="27"/>
      <c r="B441" s="28"/>
    </row>
    <row r="442" spans="1:2" ht="14.25" customHeight="1" x14ac:dyDescent="0.35">
      <c r="A442" s="27"/>
      <c r="B442" s="28"/>
    </row>
    <row r="443" spans="1:2" ht="14.25" customHeight="1" x14ac:dyDescent="0.35">
      <c r="A443" s="27"/>
      <c r="B443" s="28"/>
    </row>
    <row r="444" spans="1:2" ht="14.25" customHeight="1" x14ac:dyDescent="0.35">
      <c r="A444" s="27"/>
      <c r="B444" s="28"/>
    </row>
    <row r="445" spans="1:2" ht="14.25" customHeight="1" x14ac:dyDescent="0.35">
      <c r="A445" s="27"/>
      <c r="B445" s="28"/>
    </row>
    <row r="446" spans="1:2" ht="14.25" customHeight="1" x14ac:dyDescent="0.35">
      <c r="A446" s="27"/>
      <c r="B446" s="28"/>
    </row>
    <row r="447" spans="1:2" ht="14.25" customHeight="1" x14ac:dyDescent="0.35">
      <c r="A447" s="27"/>
      <c r="B447" s="28"/>
    </row>
    <row r="448" spans="1:2" ht="14.25" customHeight="1" x14ac:dyDescent="0.35">
      <c r="A448" s="27"/>
      <c r="B448" s="28"/>
    </row>
    <row r="449" spans="1:2" ht="14.25" customHeight="1" x14ac:dyDescent="0.35">
      <c r="A449" s="27"/>
      <c r="B449" s="28"/>
    </row>
    <row r="450" spans="1:2" ht="14.25" customHeight="1" x14ac:dyDescent="0.35">
      <c r="A450" s="27"/>
      <c r="B450" s="28"/>
    </row>
    <row r="451" spans="1:2" ht="14.25" customHeight="1" x14ac:dyDescent="0.35">
      <c r="A451" s="27"/>
      <c r="B451" s="28"/>
    </row>
    <row r="452" spans="1:2" ht="14.25" customHeight="1" x14ac:dyDescent="0.35">
      <c r="A452" s="27"/>
      <c r="B452" s="28"/>
    </row>
    <row r="453" spans="1:2" ht="14.25" customHeight="1" x14ac:dyDescent="0.35">
      <c r="A453" s="27"/>
      <c r="B453" s="28"/>
    </row>
    <row r="454" spans="1:2" ht="14.25" customHeight="1" x14ac:dyDescent="0.35">
      <c r="A454" s="27"/>
      <c r="B454" s="28"/>
    </row>
    <row r="455" spans="1:2" ht="14.25" customHeight="1" x14ac:dyDescent="0.35">
      <c r="A455" s="27"/>
      <c r="B455" s="28"/>
    </row>
    <row r="456" spans="1:2" ht="14.25" customHeight="1" x14ac:dyDescent="0.35">
      <c r="A456" s="27"/>
      <c r="B456" s="28"/>
    </row>
    <row r="457" spans="1:2" ht="14.25" customHeight="1" x14ac:dyDescent="0.35">
      <c r="A457" s="27"/>
      <c r="B457" s="28"/>
    </row>
    <row r="458" spans="1:2" ht="14.25" customHeight="1" x14ac:dyDescent="0.35">
      <c r="A458" s="27"/>
      <c r="B458" s="28"/>
    </row>
    <row r="459" spans="1:2" ht="14.25" customHeight="1" x14ac:dyDescent="0.35">
      <c r="A459" s="27"/>
      <c r="B459" s="28"/>
    </row>
    <row r="460" spans="1:2" ht="14.25" customHeight="1" x14ac:dyDescent="0.35">
      <c r="A460" s="27"/>
      <c r="B460" s="28"/>
    </row>
    <row r="461" spans="1:2" ht="14.25" customHeight="1" x14ac:dyDescent="0.35">
      <c r="A461" s="27"/>
      <c r="B461" s="28"/>
    </row>
    <row r="462" spans="1:2" ht="14.25" customHeight="1" x14ac:dyDescent="0.35">
      <c r="A462" s="27"/>
      <c r="B462" s="28"/>
    </row>
    <row r="463" spans="1:2" ht="14.25" customHeight="1" x14ac:dyDescent="0.35">
      <c r="A463" s="27"/>
      <c r="B463" s="28"/>
    </row>
    <row r="464" spans="1:2" ht="14.25" customHeight="1" x14ac:dyDescent="0.35">
      <c r="A464" s="27"/>
      <c r="B464" s="28"/>
    </row>
    <row r="465" spans="1:2" ht="14.25" customHeight="1" x14ac:dyDescent="0.35">
      <c r="A465" s="27"/>
      <c r="B465" s="28"/>
    </row>
    <row r="466" spans="1:2" ht="14.25" customHeight="1" x14ac:dyDescent="0.35">
      <c r="A466" s="27"/>
      <c r="B466" s="28"/>
    </row>
    <row r="467" spans="1:2" ht="14.25" customHeight="1" x14ac:dyDescent="0.35">
      <c r="A467" s="27"/>
      <c r="B467" s="28"/>
    </row>
    <row r="468" spans="1:2" ht="14.25" customHeight="1" x14ac:dyDescent="0.35">
      <c r="A468" s="27"/>
      <c r="B468" s="28"/>
    </row>
    <row r="469" spans="1:2" ht="14.25" customHeight="1" x14ac:dyDescent="0.35">
      <c r="A469" s="27"/>
      <c r="B469" s="28"/>
    </row>
    <row r="470" spans="1:2" ht="14.25" customHeight="1" x14ac:dyDescent="0.35">
      <c r="A470" s="27"/>
      <c r="B470" s="28"/>
    </row>
    <row r="471" spans="1:2" ht="14.25" customHeight="1" x14ac:dyDescent="0.35">
      <c r="A471" s="27"/>
      <c r="B471" s="28"/>
    </row>
    <row r="472" spans="1:2" ht="14.25" customHeight="1" x14ac:dyDescent="0.35">
      <c r="A472" s="27"/>
      <c r="B472" s="28"/>
    </row>
    <row r="473" spans="1:2" ht="14.25" customHeight="1" x14ac:dyDescent="0.35">
      <c r="A473" s="27"/>
      <c r="B473" s="28"/>
    </row>
    <row r="474" spans="1:2" ht="14.25" customHeight="1" x14ac:dyDescent="0.35">
      <c r="A474" s="27"/>
      <c r="B474" s="28"/>
    </row>
    <row r="475" spans="1:2" ht="14.25" customHeight="1" x14ac:dyDescent="0.35">
      <c r="A475" s="27"/>
      <c r="B475" s="28"/>
    </row>
    <row r="476" spans="1:2" ht="14.25" customHeight="1" x14ac:dyDescent="0.35">
      <c r="A476" s="27"/>
      <c r="B476" s="28"/>
    </row>
    <row r="477" spans="1:2" ht="14.25" customHeight="1" x14ac:dyDescent="0.35">
      <c r="A477" s="27"/>
      <c r="B477" s="28"/>
    </row>
    <row r="478" spans="1:2" ht="14.25" customHeight="1" x14ac:dyDescent="0.35">
      <c r="A478" s="27"/>
      <c r="B478" s="28"/>
    </row>
    <row r="479" spans="1:2" ht="14.25" customHeight="1" x14ac:dyDescent="0.35">
      <c r="A479" s="27"/>
      <c r="B479" s="28"/>
    </row>
    <row r="480" spans="1:2" ht="14.25" customHeight="1" x14ac:dyDescent="0.35">
      <c r="A480" s="27"/>
      <c r="B480" s="28"/>
    </row>
    <row r="481" spans="1:2" ht="14.25" customHeight="1" x14ac:dyDescent="0.35">
      <c r="A481" s="27"/>
      <c r="B481" s="28"/>
    </row>
    <row r="482" spans="1:2" ht="14.25" customHeight="1" x14ac:dyDescent="0.35">
      <c r="A482" s="27"/>
      <c r="B482" s="28"/>
    </row>
    <row r="483" spans="1:2" ht="14.25" customHeight="1" x14ac:dyDescent="0.35">
      <c r="A483" s="27"/>
      <c r="B483" s="28"/>
    </row>
    <row r="484" spans="1:2" ht="14.25" customHeight="1" x14ac:dyDescent="0.35">
      <c r="A484" s="27"/>
      <c r="B484" s="28"/>
    </row>
    <row r="485" spans="1:2" ht="14.25" customHeight="1" x14ac:dyDescent="0.35">
      <c r="A485" s="27"/>
      <c r="B485" s="28"/>
    </row>
    <row r="486" spans="1:2" ht="14.25" customHeight="1" x14ac:dyDescent="0.35">
      <c r="A486" s="27"/>
      <c r="B486" s="28"/>
    </row>
    <row r="487" spans="1:2" ht="14.25" customHeight="1" x14ac:dyDescent="0.35">
      <c r="A487" s="27"/>
      <c r="B487" s="28"/>
    </row>
    <row r="488" spans="1:2" ht="14.25" customHeight="1" x14ac:dyDescent="0.35">
      <c r="A488" s="27"/>
      <c r="B488" s="28"/>
    </row>
    <row r="489" spans="1:2" ht="14.25" customHeight="1" x14ac:dyDescent="0.35">
      <c r="A489" s="27"/>
      <c r="B489" s="28"/>
    </row>
    <row r="490" spans="1:2" ht="14.25" customHeight="1" x14ac:dyDescent="0.35">
      <c r="A490" s="27"/>
      <c r="B490" s="28"/>
    </row>
    <row r="491" spans="1:2" ht="14.25" customHeight="1" x14ac:dyDescent="0.35">
      <c r="A491" s="27"/>
      <c r="B491" s="28"/>
    </row>
    <row r="492" spans="1:2" ht="14.25" customHeight="1" x14ac:dyDescent="0.35">
      <c r="A492" s="27"/>
      <c r="B492" s="28"/>
    </row>
    <row r="493" spans="1:2" ht="14.25" customHeight="1" x14ac:dyDescent="0.35">
      <c r="A493" s="27"/>
      <c r="B493" s="28"/>
    </row>
    <row r="494" spans="1:2" ht="14.25" customHeight="1" x14ac:dyDescent="0.35">
      <c r="A494" s="27"/>
      <c r="B494" s="28"/>
    </row>
    <row r="495" spans="1:2" ht="14.25" customHeight="1" x14ac:dyDescent="0.35">
      <c r="A495" s="27"/>
      <c r="B495" s="28"/>
    </row>
    <row r="496" spans="1:2" ht="14.25" customHeight="1" x14ac:dyDescent="0.35">
      <c r="A496" s="27"/>
      <c r="B496" s="28"/>
    </row>
    <row r="497" spans="1:2" ht="14.25" customHeight="1" x14ac:dyDescent="0.35">
      <c r="A497" s="27"/>
      <c r="B497" s="28"/>
    </row>
    <row r="498" spans="1:2" ht="14.25" customHeight="1" x14ac:dyDescent="0.35">
      <c r="A498" s="27"/>
      <c r="B498" s="28"/>
    </row>
    <row r="499" spans="1:2" ht="14.25" customHeight="1" x14ac:dyDescent="0.35">
      <c r="A499" s="27"/>
      <c r="B499" s="28"/>
    </row>
    <row r="500" spans="1:2" ht="14.25" customHeight="1" x14ac:dyDescent="0.35">
      <c r="A500" s="27"/>
      <c r="B500" s="28"/>
    </row>
    <row r="501" spans="1:2" ht="14.25" customHeight="1" x14ac:dyDescent="0.35">
      <c r="A501" s="27"/>
      <c r="B501" s="28"/>
    </row>
    <row r="502" spans="1:2" ht="14.25" customHeight="1" x14ac:dyDescent="0.35">
      <c r="A502" s="27"/>
      <c r="B502" s="28"/>
    </row>
    <row r="503" spans="1:2" ht="14.25" customHeight="1" x14ac:dyDescent="0.35">
      <c r="A503" s="27"/>
      <c r="B503" s="28"/>
    </row>
    <row r="504" spans="1:2" ht="14.25" customHeight="1" x14ac:dyDescent="0.35">
      <c r="A504" s="27"/>
      <c r="B504" s="28"/>
    </row>
    <row r="505" spans="1:2" ht="14.25" customHeight="1" x14ac:dyDescent="0.35">
      <c r="A505" s="27"/>
      <c r="B505" s="28"/>
    </row>
    <row r="506" spans="1:2" ht="14.25" customHeight="1" x14ac:dyDescent="0.35">
      <c r="A506" s="27"/>
      <c r="B506" s="28"/>
    </row>
    <row r="507" spans="1:2" ht="14.25" customHeight="1" x14ac:dyDescent="0.35">
      <c r="A507" s="27"/>
      <c r="B507" s="28"/>
    </row>
    <row r="508" spans="1:2" ht="14.25" customHeight="1" x14ac:dyDescent="0.35">
      <c r="A508" s="27"/>
      <c r="B508" s="28"/>
    </row>
    <row r="509" spans="1:2" ht="14.25" customHeight="1" x14ac:dyDescent="0.35">
      <c r="A509" s="27"/>
      <c r="B509" s="28"/>
    </row>
    <row r="510" spans="1:2" ht="14.25" customHeight="1" x14ac:dyDescent="0.35">
      <c r="A510" s="27"/>
      <c r="B510" s="28"/>
    </row>
    <row r="511" spans="1:2" ht="14.25" customHeight="1" x14ac:dyDescent="0.35">
      <c r="A511" s="27"/>
      <c r="B511" s="28"/>
    </row>
    <row r="512" spans="1:2" ht="14.25" customHeight="1" x14ac:dyDescent="0.35">
      <c r="A512" s="27"/>
      <c r="B512" s="28"/>
    </row>
    <row r="513" spans="1:2" ht="14.25" customHeight="1" x14ac:dyDescent="0.35">
      <c r="A513" s="27"/>
      <c r="B513" s="28"/>
    </row>
    <row r="514" spans="1:2" ht="14.25" customHeight="1" x14ac:dyDescent="0.35">
      <c r="A514" s="27"/>
      <c r="B514" s="28"/>
    </row>
    <row r="515" spans="1:2" ht="14.25" customHeight="1" x14ac:dyDescent="0.35">
      <c r="A515" s="27"/>
      <c r="B515" s="28"/>
    </row>
    <row r="516" spans="1:2" ht="14.25" customHeight="1" x14ac:dyDescent="0.35">
      <c r="A516" s="27"/>
      <c r="B516" s="28"/>
    </row>
    <row r="517" spans="1:2" ht="14.25" customHeight="1" x14ac:dyDescent="0.35">
      <c r="A517" s="27"/>
      <c r="B517" s="28"/>
    </row>
    <row r="518" spans="1:2" ht="14.25" customHeight="1" x14ac:dyDescent="0.35">
      <c r="A518" s="27"/>
      <c r="B518" s="28"/>
    </row>
    <row r="519" spans="1:2" ht="14.25" customHeight="1" x14ac:dyDescent="0.35">
      <c r="A519" s="27"/>
      <c r="B519" s="28"/>
    </row>
    <row r="520" spans="1:2" ht="14.25" customHeight="1" x14ac:dyDescent="0.35">
      <c r="A520" s="27"/>
      <c r="B520" s="28"/>
    </row>
    <row r="521" spans="1:2" ht="14.25" customHeight="1" x14ac:dyDescent="0.35">
      <c r="A521" s="27"/>
      <c r="B521" s="28"/>
    </row>
    <row r="522" spans="1:2" ht="14.25" customHeight="1" x14ac:dyDescent="0.35">
      <c r="A522" s="27"/>
      <c r="B522" s="28"/>
    </row>
    <row r="523" spans="1:2" ht="14.25" customHeight="1" x14ac:dyDescent="0.35">
      <c r="A523" s="27"/>
      <c r="B523" s="28"/>
    </row>
    <row r="524" spans="1:2" ht="14.25" customHeight="1" x14ac:dyDescent="0.35">
      <c r="A524" s="27"/>
      <c r="B524" s="28"/>
    </row>
    <row r="525" spans="1:2" ht="14.25" customHeight="1" x14ac:dyDescent="0.35">
      <c r="A525" s="27"/>
      <c r="B525" s="28"/>
    </row>
    <row r="526" spans="1:2" ht="14.25" customHeight="1" x14ac:dyDescent="0.35">
      <c r="A526" s="27"/>
      <c r="B526" s="28"/>
    </row>
    <row r="527" spans="1:2" ht="14.25" customHeight="1" x14ac:dyDescent="0.35">
      <c r="A527" s="27"/>
      <c r="B527" s="28"/>
    </row>
    <row r="528" spans="1:2" ht="14.25" customHeight="1" x14ac:dyDescent="0.35">
      <c r="A528" s="27"/>
      <c r="B528" s="28"/>
    </row>
    <row r="529" spans="1:2" ht="14.25" customHeight="1" x14ac:dyDescent="0.35">
      <c r="A529" s="27"/>
      <c r="B529" s="28"/>
    </row>
    <row r="530" spans="1:2" ht="14.25" customHeight="1" x14ac:dyDescent="0.35">
      <c r="A530" s="27"/>
      <c r="B530" s="28"/>
    </row>
    <row r="531" spans="1:2" ht="14.25" customHeight="1" x14ac:dyDescent="0.35">
      <c r="A531" s="27"/>
      <c r="B531" s="28"/>
    </row>
    <row r="532" spans="1:2" ht="14.25" customHeight="1" x14ac:dyDescent="0.35">
      <c r="A532" s="27"/>
      <c r="B532" s="28"/>
    </row>
    <row r="533" spans="1:2" ht="14.25" customHeight="1" x14ac:dyDescent="0.35">
      <c r="A533" s="27"/>
      <c r="B533" s="28"/>
    </row>
    <row r="534" spans="1:2" ht="14.25" customHeight="1" x14ac:dyDescent="0.35">
      <c r="A534" s="27"/>
      <c r="B534" s="28"/>
    </row>
    <row r="535" spans="1:2" ht="14.25" customHeight="1" x14ac:dyDescent="0.35">
      <c r="A535" s="27"/>
      <c r="B535" s="28"/>
    </row>
    <row r="536" spans="1:2" ht="14.25" customHeight="1" x14ac:dyDescent="0.35">
      <c r="A536" s="27"/>
      <c r="B536" s="28"/>
    </row>
    <row r="537" spans="1:2" ht="14.25" customHeight="1" x14ac:dyDescent="0.35">
      <c r="A537" s="27"/>
      <c r="B537" s="28"/>
    </row>
    <row r="538" spans="1:2" ht="14.25" customHeight="1" x14ac:dyDescent="0.35">
      <c r="A538" s="27"/>
      <c r="B538" s="28"/>
    </row>
    <row r="539" spans="1:2" ht="14.25" customHeight="1" x14ac:dyDescent="0.35">
      <c r="A539" s="27"/>
      <c r="B539" s="28"/>
    </row>
    <row r="540" spans="1:2" ht="14.25" customHeight="1" x14ac:dyDescent="0.35">
      <c r="A540" s="27"/>
      <c r="B540" s="28"/>
    </row>
    <row r="541" spans="1:2" ht="14.25" customHeight="1" x14ac:dyDescent="0.35">
      <c r="A541" s="27"/>
      <c r="B541" s="28"/>
    </row>
    <row r="542" spans="1:2" ht="14.25" customHeight="1" x14ac:dyDescent="0.35">
      <c r="A542" s="27"/>
      <c r="B542" s="28"/>
    </row>
    <row r="543" spans="1:2" ht="14.25" customHeight="1" x14ac:dyDescent="0.35">
      <c r="A543" s="27"/>
      <c r="B543" s="28"/>
    </row>
    <row r="544" spans="1:2" ht="14.25" customHeight="1" x14ac:dyDescent="0.35">
      <c r="A544" s="27"/>
      <c r="B544" s="28"/>
    </row>
    <row r="545" spans="1:2" ht="14.25" customHeight="1" x14ac:dyDescent="0.35">
      <c r="A545" s="27"/>
      <c r="B545" s="28"/>
    </row>
    <row r="546" spans="1:2" ht="14.25" customHeight="1" x14ac:dyDescent="0.35">
      <c r="A546" s="27"/>
      <c r="B546" s="28"/>
    </row>
    <row r="547" spans="1:2" ht="14.25" customHeight="1" x14ac:dyDescent="0.35">
      <c r="A547" s="27"/>
      <c r="B547" s="28"/>
    </row>
    <row r="548" spans="1:2" ht="14.25" customHeight="1" x14ac:dyDescent="0.35">
      <c r="A548" s="27"/>
      <c r="B548" s="28"/>
    </row>
    <row r="549" spans="1:2" ht="14.25" customHeight="1" x14ac:dyDescent="0.35">
      <c r="A549" s="27"/>
      <c r="B549" s="28"/>
    </row>
    <row r="550" spans="1:2" ht="14.25" customHeight="1" x14ac:dyDescent="0.35">
      <c r="A550" s="27"/>
      <c r="B550" s="28"/>
    </row>
    <row r="551" spans="1:2" ht="14.25" customHeight="1" x14ac:dyDescent="0.35">
      <c r="A551" s="27"/>
      <c r="B551" s="28"/>
    </row>
    <row r="552" spans="1:2" ht="14.25" customHeight="1" x14ac:dyDescent="0.35">
      <c r="A552" s="27"/>
      <c r="B552" s="28"/>
    </row>
    <row r="553" spans="1:2" ht="14.25" customHeight="1" x14ac:dyDescent="0.35">
      <c r="A553" s="27"/>
      <c r="B553" s="28"/>
    </row>
    <row r="554" spans="1:2" ht="14.25" customHeight="1" x14ac:dyDescent="0.35">
      <c r="A554" s="27"/>
      <c r="B554" s="28"/>
    </row>
    <row r="555" spans="1:2" ht="14.25" customHeight="1" x14ac:dyDescent="0.35">
      <c r="A555" s="27"/>
      <c r="B555" s="28"/>
    </row>
    <row r="556" spans="1:2" ht="14.25" customHeight="1" x14ac:dyDescent="0.35">
      <c r="A556" s="27"/>
      <c r="B556" s="28"/>
    </row>
    <row r="557" spans="1:2" ht="14.25" customHeight="1" x14ac:dyDescent="0.35">
      <c r="A557" s="27"/>
      <c r="B557" s="28"/>
    </row>
    <row r="558" spans="1:2" ht="14.25" customHeight="1" x14ac:dyDescent="0.35">
      <c r="A558" s="27"/>
      <c r="B558" s="28"/>
    </row>
    <row r="559" spans="1:2" ht="14.25" customHeight="1" x14ac:dyDescent="0.35">
      <c r="A559" s="27"/>
      <c r="B559" s="28"/>
    </row>
    <row r="560" spans="1:2" ht="14.25" customHeight="1" x14ac:dyDescent="0.35">
      <c r="A560" s="27"/>
      <c r="B560" s="28"/>
    </row>
    <row r="561" spans="1:2" ht="14.25" customHeight="1" x14ac:dyDescent="0.35">
      <c r="A561" s="27"/>
      <c r="B561" s="28"/>
    </row>
    <row r="562" spans="1:2" ht="14.25" customHeight="1" x14ac:dyDescent="0.35">
      <c r="A562" s="27"/>
      <c r="B562" s="28"/>
    </row>
    <row r="563" spans="1:2" ht="14.25" customHeight="1" x14ac:dyDescent="0.35">
      <c r="A563" s="27"/>
      <c r="B563" s="28"/>
    </row>
    <row r="564" spans="1:2" ht="14.25" customHeight="1" x14ac:dyDescent="0.35">
      <c r="A564" s="27"/>
      <c r="B564" s="28"/>
    </row>
    <row r="565" spans="1:2" ht="14.25" customHeight="1" x14ac:dyDescent="0.35">
      <c r="A565" s="27"/>
      <c r="B565" s="28"/>
    </row>
    <row r="566" spans="1:2" ht="14.25" customHeight="1" x14ac:dyDescent="0.35">
      <c r="A566" s="27"/>
      <c r="B566" s="28"/>
    </row>
    <row r="567" spans="1:2" ht="14.25" customHeight="1" x14ac:dyDescent="0.35">
      <c r="A567" s="27"/>
      <c r="B567" s="28"/>
    </row>
    <row r="568" spans="1:2" ht="14.25" customHeight="1" x14ac:dyDescent="0.35">
      <c r="A568" s="27"/>
      <c r="B568" s="28"/>
    </row>
    <row r="569" spans="1:2" ht="14.25" customHeight="1" x14ac:dyDescent="0.35">
      <c r="A569" s="27"/>
      <c r="B569" s="28"/>
    </row>
    <row r="570" spans="1:2" ht="14.25" customHeight="1" x14ac:dyDescent="0.35">
      <c r="A570" s="27"/>
      <c r="B570" s="28"/>
    </row>
    <row r="571" spans="1:2" ht="14.25" customHeight="1" x14ac:dyDescent="0.35">
      <c r="A571" s="27"/>
      <c r="B571" s="28"/>
    </row>
    <row r="572" spans="1:2" ht="14.25" customHeight="1" x14ac:dyDescent="0.35">
      <c r="A572" s="27"/>
      <c r="B572" s="28"/>
    </row>
    <row r="573" spans="1:2" ht="14.25" customHeight="1" x14ac:dyDescent="0.35">
      <c r="A573" s="27"/>
      <c r="B573" s="28"/>
    </row>
    <row r="574" spans="1:2" ht="14.25" customHeight="1" x14ac:dyDescent="0.35">
      <c r="A574" s="27"/>
      <c r="B574" s="28"/>
    </row>
    <row r="575" spans="1:2" ht="14.25" customHeight="1" x14ac:dyDescent="0.35">
      <c r="A575" s="27"/>
      <c r="B575" s="28"/>
    </row>
    <row r="576" spans="1:2" ht="14.25" customHeight="1" x14ac:dyDescent="0.35">
      <c r="A576" s="27"/>
      <c r="B576" s="28"/>
    </row>
    <row r="577" spans="1:2" ht="14.25" customHeight="1" x14ac:dyDescent="0.35">
      <c r="A577" s="27"/>
      <c r="B577" s="28"/>
    </row>
    <row r="578" spans="1:2" ht="14.25" customHeight="1" x14ac:dyDescent="0.35">
      <c r="A578" s="27"/>
      <c r="B578" s="28"/>
    </row>
    <row r="579" spans="1:2" ht="14.25" customHeight="1" x14ac:dyDescent="0.35">
      <c r="A579" s="27"/>
      <c r="B579" s="28"/>
    </row>
    <row r="580" spans="1:2" ht="14.25" customHeight="1" x14ac:dyDescent="0.35">
      <c r="A580" s="27"/>
      <c r="B580" s="28"/>
    </row>
    <row r="581" spans="1:2" ht="14.25" customHeight="1" x14ac:dyDescent="0.35">
      <c r="A581" s="27"/>
      <c r="B581" s="28"/>
    </row>
    <row r="582" spans="1:2" ht="14.25" customHeight="1" x14ac:dyDescent="0.35">
      <c r="A582" s="27"/>
      <c r="B582" s="28"/>
    </row>
    <row r="583" spans="1:2" ht="14.25" customHeight="1" x14ac:dyDescent="0.35">
      <c r="A583" s="27"/>
      <c r="B583" s="28"/>
    </row>
    <row r="584" spans="1:2" ht="14.25" customHeight="1" x14ac:dyDescent="0.35">
      <c r="A584" s="27"/>
      <c r="B584" s="28"/>
    </row>
    <row r="585" spans="1:2" ht="14.25" customHeight="1" x14ac:dyDescent="0.35">
      <c r="A585" s="27"/>
      <c r="B585" s="28"/>
    </row>
    <row r="586" spans="1:2" ht="14.25" customHeight="1" x14ac:dyDescent="0.35">
      <c r="A586" s="27"/>
      <c r="B586" s="28"/>
    </row>
    <row r="587" spans="1:2" ht="14.25" customHeight="1" x14ac:dyDescent="0.35">
      <c r="A587" s="27"/>
      <c r="B587" s="28"/>
    </row>
    <row r="588" spans="1:2" ht="14.25" customHeight="1" x14ac:dyDescent="0.35">
      <c r="A588" s="27"/>
      <c r="B588" s="28"/>
    </row>
    <row r="589" spans="1:2" ht="14.25" customHeight="1" x14ac:dyDescent="0.35">
      <c r="A589" s="27"/>
      <c r="B589" s="28"/>
    </row>
    <row r="590" spans="1:2" ht="14.25" customHeight="1" x14ac:dyDescent="0.35">
      <c r="A590" s="27"/>
      <c r="B590" s="28"/>
    </row>
    <row r="591" spans="1:2" ht="14.25" customHeight="1" x14ac:dyDescent="0.35">
      <c r="A591" s="27"/>
      <c r="B591" s="28"/>
    </row>
    <row r="592" spans="1:2" ht="14.25" customHeight="1" x14ac:dyDescent="0.35">
      <c r="A592" s="27"/>
      <c r="B592" s="28"/>
    </row>
    <row r="593" spans="1:2" ht="14.25" customHeight="1" x14ac:dyDescent="0.35">
      <c r="A593" s="27"/>
      <c r="B593" s="28"/>
    </row>
    <row r="594" spans="1:2" ht="14.25" customHeight="1" x14ac:dyDescent="0.35">
      <c r="A594" s="27"/>
      <c r="B594" s="28"/>
    </row>
    <row r="595" spans="1:2" ht="14.25" customHeight="1" x14ac:dyDescent="0.35">
      <c r="A595" s="27"/>
      <c r="B595" s="28"/>
    </row>
    <row r="596" spans="1:2" ht="14.25" customHeight="1" x14ac:dyDescent="0.35">
      <c r="A596" s="27"/>
      <c r="B596" s="28"/>
    </row>
    <row r="597" spans="1:2" ht="14.25" customHeight="1" x14ac:dyDescent="0.35">
      <c r="A597" s="27"/>
      <c r="B597" s="28"/>
    </row>
    <row r="598" spans="1:2" ht="14.25" customHeight="1" x14ac:dyDescent="0.35">
      <c r="A598" s="27"/>
      <c r="B598" s="28"/>
    </row>
    <row r="599" spans="1:2" ht="14.25" customHeight="1" x14ac:dyDescent="0.35">
      <c r="A599" s="27"/>
      <c r="B599" s="28"/>
    </row>
    <row r="600" spans="1:2" ht="14.25" customHeight="1" x14ac:dyDescent="0.35">
      <c r="A600" s="27"/>
      <c r="B600" s="28"/>
    </row>
    <row r="601" spans="1:2" ht="14.25" customHeight="1" x14ac:dyDescent="0.35">
      <c r="A601" s="27"/>
      <c r="B601" s="28"/>
    </row>
    <row r="602" spans="1:2" ht="14.25" customHeight="1" x14ac:dyDescent="0.35">
      <c r="A602" s="27"/>
      <c r="B602" s="28"/>
    </row>
    <row r="603" spans="1:2" ht="14.25" customHeight="1" x14ac:dyDescent="0.35">
      <c r="A603" s="27"/>
      <c r="B603" s="28"/>
    </row>
    <row r="604" spans="1:2" ht="14.25" customHeight="1" x14ac:dyDescent="0.35">
      <c r="A604" s="27"/>
      <c r="B604" s="28"/>
    </row>
    <row r="605" spans="1:2" ht="14.25" customHeight="1" x14ac:dyDescent="0.35">
      <c r="A605" s="27"/>
      <c r="B605" s="28"/>
    </row>
    <row r="606" spans="1:2" ht="14.25" customHeight="1" x14ac:dyDescent="0.35">
      <c r="A606" s="27"/>
      <c r="B606" s="28"/>
    </row>
    <row r="607" spans="1:2" ht="14.25" customHeight="1" x14ac:dyDescent="0.35">
      <c r="A607" s="27"/>
      <c r="B607" s="28"/>
    </row>
    <row r="608" spans="1:2" ht="14.25" customHeight="1" x14ac:dyDescent="0.35">
      <c r="A608" s="27"/>
      <c r="B608" s="28"/>
    </row>
    <row r="609" spans="1:2" ht="14.25" customHeight="1" x14ac:dyDescent="0.35">
      <c r="A609" s="27"/>
      <c r="B609" s="28"/>
    </row>
    <row r="610" spans="1:2" ht="14.25" customHeight="1" x14ac:dyDescent="0.35">
      <c r="A610" s="27"/>
      <c r="B610" s="28"/>
    </row>
    <row r="611" spans="1:2" ht="14.25" customHeight="1" x14ac:dyDescent="0.35">
      <c r="A611" s="27"/>
      <c r="B611" s="28"/>
    </row>
    <row r="612" spans="1:2" ht="14.25" customHeight="1" x14ac:dyDescent="0.35">
      <c r="A612" s="27"/>
      <c r="B612" s="28"/>
    </row>
    <row r="613" spans="1:2" ht="14.25" customHeight="1" x14ac:dyDescent="0.35">
      <c r="A613" s="27"/>
      <c r="B613" s="28"/>
    </row>
    <row r="614" spans="1:2" ht="14.25" customHeight="1" x14ac:dyDescent="0.35">
      <c r="A614" s="27"/>
      <c r="B614" s="28"/>
    </row>
    <row r="615" spans="1:2" ht="14.25" customHeight="1" x14ac:dyDescent="0.35">
      <c r="A615" s="27"/>
      <c r="B615" s="28"/>
    </row>
    <row r="616" spans="1:2" ht="14.25" customHeight="1" x14ac:dyDescent="0.35">
      <c r="A616" s="27"/>
      <c r="B616" s="28"/>
    </row>
    <row r="617" spans="1:2" ht="14.25" customHeight="1" x14ac:dyDescent="0.35">
      <c r="A617" s="27"/>
      <c r="B617" s="28"/>
    </row>
    <row r="618" spans="1:2" ht="14.25" customHeight="1" x14ac:dyDescent="0.35">
      <c r="A618" s="27"/>
      <c r="B618" s="28"/>
    </row>
    <row r="619" spans="1:2" ht="14.25" customHeight="1" x14ac:dyDescent="0.35">
      <c r="A619" s="27"/>
      <c r="B619" s="28"/>
    </row>
    <row r="620" spans="1:2" ht="14.25" customHeight="1" x14ac:dyDescent="0.35">
      <c r="A620" s="27"/>
      <c r="B620" s="28"/>
    </row>
    <row r="621" spans="1:2" ht="14.25" customHeight="1" x14ac:dyDescent="0.35">
      <c r="A621" s="27"/>
      <c r="B621" s="28"/>
    </row>
    <row r="622" spans="1:2" ht="14.25" customHeight="1" x14ac:dyDescent="0.35">
      <c r="A622" s="27"/>
      <c r="B622" s="28"/>
    </row>
    <row r="623" spans="1:2" ht="14.25" customHeight="1" x14ac:dyDescent="0.35">
      <c r="A623" s="27"/>
      <c r="B623" s="28"/>
    </row>
    <row r="624" spans="1:2" ht="14.25" customHeight="1" x14ac:dyDescent="0.35">
      <c r="A624" s="27"/>
      <c r="B624" s="28"/>
    </row>
    <row r="625" spans="1:2" ht="14.25" customHeight="1" x14ac:dyDescent="0.35">
      <c r="A625" s="27"/>
      <c r="B625" s="28"/>
    </row>
    <row r="626" spans="1:2" ht="14.25" customHeight="1" x14ac:dyDescent="0.35">
      <c r="A626" s="27"/>
      <c r="B626" s="28"/>
    </row>
    <row r="627" spans="1:2" ht="14.25" customHeight="1" x14ac:dyDescent="0.35">
      <c r="A627" s="27"/>
      <c r="B627" s="28"/>
    </row>
    <row r="628" spans="1:2" ht="14.25" customHeight="1" x14ac:dyDescent="0.35">
      <c r="A628" s="27"/>
      <c r="B628" s="28"/>
    </row>
    <row r="629" spans="1:2" ht="14.25" customHeight="1" x14ac:dyDescent="0.35">
      <c r="A629" s="27"/>
      <c r="B629" s="28"/>
    </row>
    <row r="630" spans="1:2" ht="14.25" customHeight="1" x14ac:dyDescent="0.35">
      <c r="A630" s="27"/>
      <c r="B630" s="28"/>
    </row>
    <row r="631" spans="1:2" ht="14.25" customHeight="1" x14ac:dyDescent="0.35">
      <c r="A631" s="27"/>
      <c r="B631" s="28"/>
    </row>
    <row r="632" spans="1:2" ht="14.25" customHeight="1" x14ac:dyDescent="0.35">
      <c r="A632" s="27"/>
      <c r="B632" s="28"/>
    </row>
    <row r="633" spans="1:2" ht="14.25" customHeight="1" x14ac:dyDescent="0.35">
      <c r="A633" s="27"/>
      <c r="B633" s="28"/>
    </row>
    <row r="634" spans="1:2" ht="14.25" customHeight="1" x14ac:dyDescent="0.35">
      <c r="A634" s="27"/>
      <c r="B634" s="28"/>
    </row>
    <row r="635" spans="1:2" ht="14.25" customHeight="1" x14ac:dyDescent="0.35">
      <c r="A635" s="27"/>
      <c r="B635" s="28"/>
    </row>
    <row r="636" spans="1:2" ht="14.25" customHeight="1" x14ac:dyDescent="0.35">
      <c r="A636" s="27"/>
      <c r="B636" s="28"/>
    </row>
    <row r="637" spans="1:2" ht="14.25" customHeight="1" x14ac:dyDescent="0.35">
      <c r="A637" s="27"/>
      <c r="B637" s="28"/>
    </row>
    <row r="638" spans="1:2" ht="14.25" customHeight="1" x14ac:dyDescent="0.35">
      <c r="A638" s="27"/>
      <c r="B638" s="28"/>
    </row>
    <row r="639" spans="1:2" ht="14.25" customHeight="1" x14ac:dyDescent="0.35">
      <c r="A639" s="27"/>
      <c r="B639" s="28"/>
    </row>
    <row r="640" spans="1:2" ht="14.25" customHeight="1" x14ac:dyDescent="0.35">
      <c r="A640" s="27"/>
      <c r="B640" s="28"/>
    </row>
    <row r="641" spans="1:2" ht="14.25" customHeight="1" x14ac:dyDescent="0.35">
      <c r="A641" s="27"/>
      <c r="B641" s="28"/>
    </row>
    <row r="642" spans="1:2" ht="14.25" customHeight="1" x14ac:dyDescent="0.35">
      <c r="A642" s="27"/>
      <c r="B642" s="28"/>
    </row>
    <row r="643" spans="1:2" ht="14.25" customHeight="1" x14ac:dyDescent="0.35">
      <c r="A643" s="27"/>
      <c r="B643" s="28"/>
    </row>
    <row r="644" spans="1:2" ht="14.25" customHeight="1" x14ac:dyDescent="0.35">
      <c r="A644" s="27"/>
      <c r="B644" s="28"/>
    </row>
    <row r="645" spans="1:2" ht="14.25" customHeight="1" x14ac:dyDescent="0.35">
      <c r="A645" s="27"/>
      <c r="B645" s="28"/>
    </row>
    <row r="646" spans="1:2" ht="14.25" customHeight="1" x14ac:dyDescent="0.35">
      <c r="A646" s="27"/>
      <c r="B646" s="28"/>
    </row>
    <row r="647" spans="1:2" ht="14.25" customHeight="1" x14ac:dyDescent="0.35">
      <c r="A647" s="27"/>
      <c r="B647" s="28"/>
    </row>
    <row r="648" spans="1:2" ht="14.25" customHeight="1" x14ac:dyDescent="0.35">
      <c r="A648" s="27"/>
      <c r="B648" s="28"/>
    </row>
    <row r="649" spans="1:2" ht="14.25" customHeight="1" x14ac:dyDescent="0.35">
      <c r="A649" s="27"/>
      <c r="B649" s="28"/>
    </row>
    <row r="650" spans="1:2" ht="14.25" customHeight="1" x14ac:dyDescent="0.35">
      <c r="A650" s="27"/>
      <c r="B650" s="28"/>
    </row>
    <row r="651" spans="1:2" ht="14.25" customHeight="1" x14ac:dyDescent="0.35">
      <c r="A651" s="27"/>
      <c r="B651" s="28"/>
    </row>
    <row r="652" spans="1:2" ht="14.25" customHeight="1" x14ac:dyDescent="0.35">
      <c r="A652" s="27"/>
      <c r="B652" s="28"/>
    </row>
    <row r="653" spans="1:2" ht="14.25" customHeight="1" x14ac:dyDescent="0.35">
      <c r="A653" s="27"/>
      <c r="B653" s="28"/>
    </row>
    <row r="654" spans="1:2" ht="14.25" customHeight="1" x14ac:dyDescent="0.35">
      <c r="A654" s="27"/>
      <c r="B654" s="28"/>
    </row>
    <row r="655" spans="1:2" ht="14.25" customHeight="1" x14ac:dyDescent="0.35">
      <c r="A655" s="27"/>
      <c r="B655" s="28"/>
    </row>
    <row r="656" spans="1:2" ht="14.25" customHeight="1" x14ac:dyDescent="0.35">
      <c r="A656" s="27"/>
      <c r="B656" s="28"/>
    </row>
    <row r="657" spans="1:2" ht="14.25" customHeight="1" x14ac:dyDescent="0.35">
      <c r="A657" s="27"/>
      <c r="B657" s="28"/>
    </row>
    <row r="658" spans="1:2" ht="14.25" customHeight="1" x14ac:dyDescent="0.35">
      <c r="A658" s="27"/>
      <c r="B658" s="28"/>
    </row>
    <row r="659" spans="1:2" ht="14.25" customHeight="1" x14ac:dyDescent="0.35">
      <c r="A659" s="27"/>
      <c r="B659" s="28"/>
    </row>
    <row r="660" spans="1:2" ht="14.25" customHeight="1" x14ac:dyDescent="0.35">
      <c r="A660" s="27"/>
      <c r="B660" s="28"/>
    </row>
    <row r="661" spans="1:2" ht="14.25" customHeight="1" x14ac:dyDescent="0.35">
      <c r="A661" s="27"/>
      <c r="B661" s="28"/>
    </row>
    <row r="662" spans="1:2" ht="14.25" customHeight="1" x14ac:dyDescent="0.35">
      <c r="A662" s="27"/>
      <c r="B662" s="28"/>
    </row>
    <row r="663" spans="1:2" ht="14.25" customHeight="1" x14ac:dyDescent="0.35">
      <c r="A663" s="27"/>
      <c r="B663" s="28"/>
    </row>
    <row r="664" spans="1:2" ht="14.25" customHeight="1" x14ac:dyDescent="0.35">
      <c r="A664" s="27"/>
      <c r="B664" s="28"/>
    </row>
    <row r="665" spans="1:2" ht="14.25" customHeight="1" x14ac:dyDescent="0.35">
      <c r="A665" s="27"/>
      <c r="B665" s="28"/>
    </row>
    <row r="666" spans="1:2" ht="14.25" customHeight="1" x14ac:dyDescent="0.35">
      <c r="A666" s="27"/>
      <c r="B666" s="28"/>
    </row>
    <row r="667" spans="1:2" ht="14.25" customHeight="1" x14ac:dyDescent="0.35">
      <c r="A667" s="27"/>
      <c r="B667" s="28"/>
    </row>
    <row r="668" spans="1:2" ht="14.25" customHeight="1" x14ac:dyDescent="0.35">
      <c r="A668" s="27"/>
      <c r="B668" s="28"/>
    </row>
    <row r="669" spans="1:2" ht="14.25" customHeight="1" x14ac:dyDescent="0.35">
      <c r="A669" s="27"/>
      <c r="B669" s="28"/>
    </row>
    <row r="670" spans="1:2" ht="14.25" customHeight="1" x14ac:dyDescent="0.35">
      <c r="A670" s="27"/>
      <c r="B670" s="28"/>
    </row>
    <row r="671" spans="1:2" ht="14.25" customHeight="1" x14ac:dyDescent="0.35">
      <c r="A671" s="27"/>
      <c r="B671" s="28"/>
    </row>
    <row r="672" spans="1:2" ht="14.25" customHeight="1" x14ac:dyDescent="0.35">
      <c r="A672" s="27"/>
      <c r="B672" s="28"/>
    </row>
    <row r="673" spans="1:2" ht="14.25" customHeight="1" x14ac:dyDescent="0.35">
      <c r="A673" s="27"/>
      <c r="B673" s="28"/>
    </row>
    <row r="674" spans="1:2" ht="14.25" customHeight="1" x14ac:dyDescent="0.35">
      <c r="A674" s="27"/>
      <c r="B674" s="28"/>
    </row>
    <row r="675" spans="1:2" ht="14.25" customHeight="1" x14ac:dyDescent="0.35">
      <c r="A675" s="27"/>
      <c r="B675" s="28"/>
    </row>
    <row r="676" spans="1:2" ht="14.25" customHeight="1" x14ac:dyDescent="0.35">
      <c r="A676" s="27"/>
      <c r="B676" s="28"/>
    </row>
    <row r="677" spans="1:2" ht="14.25" customHeight="1" x14ac:dyDescent="0.35">
      <c r="A677" s="27"/>
      <c r="B677" s="28"/>
    </row>
    <row r="678" spans="1:2" ht="14.25" customHeight="1" x14ac:dyDescent="0.35">
      <c r="A678" s="27"/>
      <c r="B678" s="28"/>
    </row>
    <row r="679" spans="1:2" ht="14.25" customHeight="1" x14ac:dyDescent="0.35">
      <c r="A679" s="27"/>
      <c r="B679" s="28"/>
    </row>
    <row r="680" spans="1:2" ht="14.25" customHeight="1" x14ac:dyDescent="0.35">
      <c r="A680" s="27"/>
      <c r="B680" s="28"/>
    </row>
    <row r="681" spans="1:2" ht="14.25" customHeight="1" x14ac:dyDescent="0.35">
      <c r="A681" s="27"/>
      <c r="B681" s="28"/>
    </row>
    <row r="682" spans="1:2" ht="14.25" customHeight="1" x14ac:dyDescent="0.35">
      <c r="A682" s="27"/>
      <c r="B682" s="28"/>
    </row>
    <row r="683" spans="1:2" ht="14.25" customHeight="1" x14ac:dyDescent="0.35">
      <c r="A683" s="27"/>
      <c r="B683" s="28"/>
    </row>
    <row r="684" spans="1:2" ht="14.25" customHeight="1" x14ac:dyDescent="0.35">
      <c r="A684" s="27"/>
      <c r="B684" s="28"/>
    </row>
    <row r="685" spans="1:2" ht="14.25" customHeight="1" x14ac:dyDescent="0.35">
      <c r="A685" s="27"/>
      <c r="B685" s="28"/>
    </row>
    <row r="686" spans="1:2" ht="14.25" customHeight="1" x14ac:dyDescent="0.35">
      <c r="A686" s="27"/>
      <c r="B686" s="28"/>
    </row>
    <row r="687" spans="1:2" ht="14.25" customHeight="1" x14ac:dyDescent="0.35">
      <c r="A687" s="27"/>
      <c r="B687" s="28"/>
    </row>
    <row r="688" spans="1:2" ht="14.25" customHeight="1" x14ac:dyDescent="0.35">
      <c r="A688" s="27"/>
      <c r="B688" s="28"/>
    </row>
    <row r="689" spans="1:2" ht="14.25" customHeight="1" x14ac:dyDescent="0.35">
      <c r="A689" s="27"/>
      <c r="B689" s="28"/>
    </row>
    <row r="690" spans="1:2" ht="14.25" customHeight="1" x14ac:dyDescent="0.35">
      <c r="A690" s="27"/>
      <c r="B690" s="28"/>
    </row>
    <row r="691" spans="1:2" ht="14.25" customHeight="1" x14ac:dyDescent="0.35">
      <c r="A691" s="27"/>
      <c r="B691" s="28"/>
    </row>
    <row r="692" spans="1:2" ht="14.25" customHeight="1" x14ac:dyDescent="0.35">
      <c r="A692" s="27"/>
      <c r="B692" s="28"/>
    </row>
    <row r="693" spans="1:2" ht="14.25" customHeight="1" x14ac:dyDescent="0.35">
      <c r="A693" s="27"/>
      <c r="B693" s="28"/>
    </row>
    <row r="694" spans="1:2" ht="14.25" customHeight="1" x14ac:dyDescent="0.35">
      <c r="A694" s="27"/>
      <c r="B694" s="28"/>
    </row>
    <row r="695" spans="1:2" ht="14.25" customHeight="1" x14ac:dyDescent="0.35">
      <c r="A695" s="27"/>
      <c r="B695" s="28"/>
    </row>
    <row r="696" spans="1:2" ht="14.25" customHeight="1" x14ac:dyDescent="0.35">
      <c r="A696" s="27"/>
      <c r="B696" s="28"/>
    </row>
    <row r="697" spans="1:2" ht="14.25" customHeight="1" x14ac:dyDescent="0.35">
      <c r="A697" s="27"/>
      <c r="B697" s="28"/>
    </row>
    <row r="698" spans="1:2" ht="14.25" customHeight="1" x14ac:dyDescent="0.35">
      <c r="A698" s="27"/>
      <c r="B698" s="28"/>
    </row>
    <row r="699" spans="1:2" ht="14.25" customHeight="1" x14ac:dyDescent="0.35">
      <c r="A699" s="27"/>
      <c r="B699" s="28"/>
    </row>
    <row r="700" spans="1:2" ht="14.25" customHeight="1" x14ac:dyDescent="0.35">
      <c r="A700" s="27"/>
      <c r="B700" s="28"/>
    </row>
    <row r="701" spans="1:2" ht="14.25" customHeight="1" x14ac:dyDescent="0.35">
      <c r="A701" s="27"/>
      <c r="B701" s="28"/>
    </row>
    <row r="702" spans="1:2" ht="14.25" customHeight="1" x14ac:dyDescent="0.35">
      <c r="A702" s="27"/>
      <c r="B702" s="28"/>
    </row>
    <row r="703" spans="1:2" ht="14.25" customHeight="1" x14ac:dyDescent="0.35">
      <c r="A703" s="27"/>
      <c r="B703" s="28"/>
    </row>
    <row r="704" spans="1:2" ht="14.25" customHeight="1" x14ac:dyDescent="0.35">
      <c r="A704" s="27"/>
      <c r="B704" s="28"/>
    </row>
    <row r="705" spans="1:2" ht="14.25" customHeight="1" x14ac:dyDescent="0.35">
      <c r="A705" s="27"/>
      <c r="B705" s="28"/>
    </row>
    <row r="706" spans="1:2" ht="14.25" customHeight="1" x14ac:dyDescent="0.35">
      <c r="A706" s="27"/>
      <c r="B706" s="28"/>
    </row>
    <row r="707" spans="1:2" ht="14.25" customHeight="1" x14ac:dyDescent="0.35">
      <c r="A707" s="27"/>
      <c r="B707" s="28"/>
    </row>
    <row r="708" spans="1:2" ht="14.25" customHeight="1" x14ac:dyDescent="0.35">
      <c r="A708" s="27"/>
      <c r="B708" s="28"/>
    </row>
    <row r="709" spans="1:2" ht="14.25" customHeight="1" x14ac:dyDescent="0.35">
      <c r="A709" s="27"/>
      <c r="B709" s="28"/>
    </row>
    <row r="710" spans="1:2" ht="14.25" customHeight="1" x14ac:dyDescent="0.35">
      <c r="A710" s="27"/>
      <c r="B710" s="28"/>
    </row>
    <row r="711" spans="1:2" ht="14.25" customHeight="1" x14ac:dyDescent="0.35">
      <c r="A711" s="27"/>
      <c r="B711" s="28"/>
    </row>
    <row r="712" spans="1:2" ht="14.25" customHeight="1" x14ac:dyDescent="0.35">
      <c r="A712" s="27"/>
      <c r="B712" s="28"/>
    </row>
    <row r="713" spans="1:2" ht="14.25" customHeight="1" x14ac:dyDescent="0.35">
      <c r="A713" s="27"/>
      <c r="B713" s="28"/>
    </row>
    <row r="714" spans="1:2" ht="14.25" customHeight="1" x14ac:dyDescent="0.35">
      <c r="A714" s="27"/>
      <c r="B714" s="28"/>
    </row>
    <row r="715" spans="1:2" ht="14.25" customHeight="1" x14ac:dyDescent="0.35">
      <c r="A715" s="27"/>
      <c r="B715" s="28"/>
    </row>
    <row r="716" spans="1:2" ht="14.25" customHeight="1" x14ac:dyDescent="0.35">
      <c r="A716" s="27"/>
      <c r="B716" s="28"/>
    </row>
    <row r="717" spans="1:2" ht="14.25" customHeight="1" x14ac:dyDescent="0.35">
      <c r="A717" s="27"/>
      <c r="B717" s="28"/>
    </row>
    <row r="718" spans="1:2" ht="14.25" customHeight="1" x14ac:dyDescent="0.35">
      <c r="A718" s="27"/>
      <c r="B718" s="28"/>
    </row>
    <row r="719" spans="1:2" ht="14.25" customHeight="1" x14ac:dyDescent="0.35">
      <c r="A719" s="27"/>
      <c r="B719" s="28"/>
    </row>
    <row r="720" spans="1:2" ht="14.25" customHeight="1" x14ac:dyDescent="0.35">
      <c r="A720" s="27"/>
      <c r="B720" s="28"/>
    </row>
    <row r="721" spans="1:2" ht="14.25" customHeight="1" x14ac:dyDescent="0.35">
      <c r="A721" s="27"/>
      <c r="B721" s="28"/>
    </row>
    <row r="722" spans="1:2" ht="14.25" customHeight="1" x14ac:dyDescent="0.35">
      <c r="A722" s="27"/>
      <c r="B722" s="28"/>
    </row>
    <row r="723" spans="1:2" ht="14.25" customHeight="1" x14ac:dyDescent="0.35">
      <c r="A723" s="27"/>
      <c r="B723" s="28"/>
    </row>
    <row r="724" spans="1:2" ht="14.25" customHeight="1" x14ac:dyDescent="0.35">
      <c r="A724" s="27"/>
      <c r="B724" s="28"/>
    </row>
    <row r="725" spans="1:2" ht="14.25" customHeight="1" x14ac:dyDescent="0.35">
      <c r="A725" s="27"/>
      <c r="B725" s="28"/>
    </row>
    <row r="726" spans="1:2" ht="14.25" customHeight="1" x14ac:dyDescent="0.35">
      <c r="A726" s="27"/>
      <c r="B726" s="28"/>
    </row>
    <row r="727" spans="1:2" ht="14.25" customHeight="1" x14ac:dyDescent="0.35">
      <c r="A727" s="27"/>
      <c r="B727" s="28"/>
    </row>
    <row r="728" spans="1:2" ht="14.25" customHeight="1" x14ac:dyDescent="0.35">
      <c r="A728" s="27"/>
      <c r="B728" s="28"/>
    </row>
    <row r="729" spans="1:2" ht="14.25" customHeight="1" x14ac:dyDescent="0.35">
      <c r="A729" s="27"/>
      <c r="B729" s="28"/>
    </row>
    <row r="730" spans="1:2" ht="14.25" customHeight="1" x14ac:dyDescent="0.35">
      <c r="A730" s="27"/>
      <c r="B730" s="28"/>
    </row>
    <row r="731" spans="1:2" ht="14.25" customHeight="1" x14ac:dyDescent="0.35">
      <c r="A731" s="27"/>
      <c r="B731" s="28"/>
    </row>
    <row r="732" spans="1:2" ht="14.25" customHeight="1" x14ac:dyDescent="0.35">
      <c r="A732" s="27"/>
      <c r="B732" s="28"/>
    </row>
    <row r="733" spans="1:2" ht="14.25" customHeight="1" x14ac:dyDescent="0.35">
      <c r="A733" s="27"/>
      <c r="B733" s="28"/>
    </row>
    <row r="734" spans="1:2" ht="14.25" customHeight="1" x14ac:dyDescent="0.35">
      <c r="A734" s="27"/>
      <c r="B734" s="28"/>
    </row>
    <row r="735" spans="1:2" ht="14.25" customHeight="1" x14ac:dyDescent="0.35">
      <c r="A735" s="27"/>
      <c r="B735" s="28"/>
    </row>
    <row r="736" spans="1:2" ht="14.25" customHeight="1" x14ac:dyDescent="0.35">
      <c r="A736" s="27"/>
      <c r="B736" s="28"/>
    </row>
    <row r="737" spans="1:2" ht="14.25" customHeight="1" x14ac:dyDescent="0.35">
      <c r="A737" s="27"/>
      <c r="B737" s="28"/>
    </row>
    <row r="738" spans="1:2" ht="14.25" customHeight="1" x14ac:dyDescent="0.35">
      <c r="A738" s="27"/>
      <c r="B738" s="28"/>
    </row>
    <row r="739" spans="1:2" ht="14.25" customHeight="1" x14ac:dyDescent="0.35">
      <c r="A739" s="27"/>
      <c r="B739" s="28"/>
    </row>
    <row r="740" spans="1:2" ht="14.25" customHeight="1" x14ac:dyDescent="0.35">
      <c r="A740" s="27"/>
      <c r="B740" s="28"/>
    </row>
    <row r="741" spans="1:2" ht="14.25" customHeight="1" x14ac:dyDescent="0.35">
      <c r="A741" s="27"/>
      <c r="B741" s="28"/>
    </row>
    <row r="742" spans="1:2" ht="14.25" customHeight="1" x14ac:dyDescent="0.35">
      <c r="A742" s="27"/>
      <c r="B742" s="28"/>
    </row>
    <row r="743" spans="1:2" ht="14.25" customHeight="1" x14ac:dyDescent="0.35">
      <c r="A743" s="27"/>
      <c r="B743" s="28"/>
    </row>
    <row r="744" spans="1:2" ht="14.25" customHeight="1" x14ac:dyDescent="0.35">
      <c r="A744" s="27"/>
      <c r="B744" s="28"/>
    </row>
    <row r="745" spans="1:2" ht="14.25" customHeight="1" x14ac:dyDescent="0.35">
      <c r="A745" s="27"/>
      <c r="B745" s="28"/>
    </row>
    <row r="746" spans="1:2" ht="14.25" customHeight="1" x14ac:dyDescent="0.35">
      <c r="A746" s="27"/>
      <c r="B746" s="28"/>
    </row>
    <row r="747" spans="1:2" ht="14.25" customHeight="1" x14ac:dyDescent="0.35">
      <c r="A747" s="27"/>
      <c r="B747" s="28"/>
    </row>
    <row r="748" spans="1:2" ht="14.25" customHeight="1" x14ac:dyDescent="0.35">
      <c r="A748" s="27"/>
      <c r="B748" s="28"/>
    </row>
    <row r="749" spans="1:2" ht="14.25" customHeight="1" x14ac:dyDescent="0.35">
      <c r="A749" s="27"/>
      <c r="B749" s="28"/>
    </row>
    <row r="750" spans="1:2" ht="14.25" customHeight="1" x14ac:dyDescent="0.35">
      <c r="A750" s="27"/>
      <c r="B750" s="28"/>
    </row>
    <row r="751" spans="1:2" ht="14.25" customHeight="1" x14ac:dyDescent="0.35">
      <c r="A751" s="27"/>
      <c r="B751" s="28"/>
    </row>
    <row r="752" spans="1:2" ht="14.25" customHeight="1" x14ac:dyDescent="0.35">
      <c r="A752" s="27"/>
      <c r="B752" s="28"/>
    </row>
    <row r="753" spans="1:2" ht="14.25" customHeight="1" x14ac:dyDescent="0.35">
      <c r="A753" s="27"/>
      <c r="B753" s="28"/>
    </row>
    <row r="754" spans="1:2" ht="14.25" customHeight="1" x14ac:dyDescent="0.35">
      <c r="A754" s="27"/>
      <c r="B754" s="28"/>
    </row>
    <row r="755" spans="1:2" ht="14.25" customHeight="1" x14ac:dyDescent="0.35">
      <c r="A755" s="27"/>
      <c r="B755" s="28"/>
    </row>
    <row r="756" spans="1:2" ht="14.25" customHeight="1" x14ac:dyDescent="0.35">
      <c r="A756" s="27"/>
      <c r="B756" s="28"/>
    </row>
    <row r="757" spans="1:2" ht="14.25" customHeight="1" x14ac:dyDescent="0.35">
      <c r="A757" s="27"/>
      <c r="B757" s="28"/>
    </row>
    <row r="758" spans="1:2" ht="14.25" customHeight="1" x14ac:dyDescent="0.35">
      <c r="A758" s="27"/>
      <c r="B758" s="28"/>
    </row>
    <row r="759" spans="1:2" ht="14.25" customHeight="1" x14ac:dyDescent="0.35">
      <c r="A759" s="27"/>
      <c r="B759" s="28"/>
    </row>
    <row r="760" spans="1:2" ht="14.25" customHeight="1" x14ac:dyDescent="0.35">
      <c r="A760" s="27"/>
      <c r="B760" s="28"/>
    </row>
    <row r="761" spans="1:2" ht="14.25" customHeight="1" x14ac:dyDescent="0.35">
      <c r="A761" s="27"/>
      <c r="B761" s="28"/>
    </row>
    <row r="762" spans="1:2" ht="14.25" customHeight="1" x14ac:dyDescent="0.35">
      <c r="A762" s="27"/>
      <c r="B762" s="28"/>
    </row>
    <row r="763" spans="1:2" ht="14.25" customHeight="1" x14ac:dyDescent="0.35">
      <c r="A763" s="27"/>
      <c r="B763" s="28"/>
    </row>
    <row r="764" spans="1:2" ht="14.25" customHeight="1" x14ac:dyDescent="0.35">
      <c r="A764" s="27"/>
      <c r="B764" s="28"/>
    </row>
    <row r="765" spans="1:2" ht="14.25" customHeight="1" x14ac:dyDescent="0.35">
      <c r="A765" s="27"/>
      <c r="B765" s="28"/>
    </row>
    <row r="766" spans="1:2" ht="14.25" customHeight="1" x14ac:dyDescent="0.35">
      <c r="A766" s="27"/>
      <c r="B766" s="28"/>
    </row>
    <row r="767" spans="1:2" ht="14.25" customHeight="1" x14ac:dyDescent="0.35">
      <c r="A767" s="27"/>
      <c r="B767" s="28"/>
    </row>
    <row r="768" spans="1:2" ht="14.25" customHeight="1" x14ac:dyDescent="0.35">
      <c r="A768" s="27"/>
      <c r="B768" s="28"/>
    </row>
    <row r="769" spans="1:2" ht="14.25" customHeight="1" x14ac:dyDescent="0.35">
      <c r="A769" s="27"/>
      <c r="B769" s="28"/>
    </row>
    <row r="770" spans="1:2" ht="14.25" customHeight="1" x14ac:dyDescent="0.35">
      <c r="A770" s="27"/>
      <c r="B770" s="28"/>
    </row>
    <row r="771" spans="1:2" ht="14.25" customHeight="1" x14ac:dyDescent="0.35">
      <c r="A771" s="27"/>
      <c r="B771" s="28"/>
    </row>
    <row r="772" spans="1:2" ht="14.25" customHeight="1" x14ac:dyDescent="0.35">
      <c r="A772" s="27"/>
      <c r="B772" s="28"/>
    </row>
    <row r="773" spans="1:2" ht="14.25" customHeight="1" x14ac:dyDescent="0.35">
      <c r="A773" s="27"/>
      <c r="B773" s="28"/>
    </row>
    <row r="774" spans="1:2" ht="14.25" customHeight="1" x14ac:dyDescent="0.35">
      <c r="A774" s="27"/>
      <c r="B774" s="28"/>
    </row>
    <row r="775" spans="1:2" ht="14.25" customHeight="1" x14ac:dyDescent="0.35">
      <c r="A775" s="27"/>
      <c r="B775" s="28"/>
    </row>
    <row r="776" spans="1:2" ht="14.25" customHeight="1" x14ac:dyDescent="0.35">
      <c r="A776" s="27"/>
      <c r="B776" s="28"/>
    </row>
    <row r="777" spans="1:2" ht="14.25" customHeight="1" x14ac:dyDescent="0.35">
      <c r="A777" s="27"/>
      <c r="B777" s="28"/>
    </row>
    <row r="778" spans="1:2" ht="14.25" customHeight="1" x14ac:dyDescent="0.35">
      <c r="A778" s="27"/>
      <c r="B778" s="28"/>
    </row>
    <row r="779" spans="1:2" ht="14.25" customHeight="1" x14ac:dyDescent="0.35">
      <c r="A779" s="27"/>
      <c r="B779" s="28"/>
    </row>
    <row r="780" spans="1:2" ht="14.25" customHeight="1" x14ac:dyDescent="0.35">
      <c r="A780" s="27"/>
      <c r="B780" s="28"/>
    </row>
    <row r="781" spans="1:2" ht="14.25" customHeight="1" x14ac:dyDescent="0.35">
      <c r="A781" s="27"/>
      <c r="B781" s="28"/>
    </row>
    <row r="782" spans="1:2" ht="14.25" customHeight="1" x14ac:dyDescent="0.35">
      <c r="A782" s="27"/>
      <c r="B782" s="28"/>
    </row>
    <row r="783" spans="1:2" ht="14.25" customHeight="1" x14ac:dyDescent="0.35">
      <c r="A783" s="27"/>
      <c r="B783" s="28"/>
    </row>
    <row r="784" spans="1:2" ht="14.25" customHeight="1" x14ac:dyDescent="0.35">
      <c r="A784" s="27"/>
      <c r="B784" s="28"/>
    </row>
    <row r="785" spans="1:2" ht="14.25" customHeight="1" x14ac:dyDescent="0.35">
      <c r="A785" s="27"/>
      <c r="B785" s="28"/>
    </row>
    <row r="786" spans="1:2" ht="14.25" customHeight="1" x14ac:dyDescent="0.35">
      <c r="A786" s="27"/>
      <c r="B786" s="28"/>
    </row>
    <row r="787" spans="1:2" ht="14.25" customHeight="1" x14ac:dyDescent="0.35">
      <c r="A787" s="27"/>
      <c r="B787" s="28"/>
    </row>
    <row r="788" spans="1:2" ht="14.25" customHeight="1" x14ac:dyDescent="0.35">
      <c r="A788" s="27"/>
      <c r="B788" s="28"/>
    </row>
    <row r="789" spans="1:2" ht="14.25" customHeight="1" x14ac:dyDescent="0.35">
      <c r="A789" s="27"/>
      <c r="B789" s="28"/>
    </row>
    <row r="790" spans="1:2" ht="14.25" customHeight="1" x14ac:dyDescent="0.35">
      <c r="A790" s="27"/>
      <c r="B790" s="28"/>
    </row>
    <row r="791" spans="1:2" ht="14.25" customHeight="1" x14ac:dyDescent="0.35">
      <c r="A791" s="27"/>
      <c r="B791" s="28"/>
    </row>
    <row r="792" spans="1:2" ht="14.25" customHeight="1" x14ac:dyDescent="0.35">
      <c r="A792" s="27"/>
      <c r="B792" s="28"/>
    </row>
    <row r="793" spans="1:2" ht="14.25" customHeight="1" x14ac:dyDescent="0.35">
      <c r="A793" s="27"/>
      <c r="B793" s="28"/>
    </row>
    <row r="794" spans="1:2" ht="14.25" customHeight="1" x14ac:dyDescent="0.35">
      <c r="A794" s="27"/>
      <c r="B794" s="28"/>
    </row>
    <row r="795" spans="1:2" ht="14.25" customHeight="1" x14ac:dyDescent="0.35">
      <c r="A795" s="27"/>
      <c r="B795" s="28"/>
    </row>
    <row r="796" spans="1:2" ht="14.25" customHeight="1" x14ac:dyDescent="0.35">
      <c r="A796" s="27"/>
      <c r="B796" s="28"/>
    </row>
    <row r="797" spans="1:2" ht="14.25" customHeight="1" x14ac:dyDescent="0.35">
      <c r="A797" s="27"/>
      <c r="B797" s="28"/>
    </row>
    <row r="798" spans="1:2" ht="14.25" customHeight="1" x14ac:dyDescent="0.35">
      <c r="A798" s="27"/>
      <c r="B798" s="28"/>
    </row>
    <row r="799" spans="1:2" ht="14.25" customHeight="1" x14ac:dyDescent="0.35">
      <c r="A799" s="27"/>
      <c r="B799" s="28"/>
    </row>
    <row r="800" spans="1:2" ht="14.25" customHeight="1" x14ac:dyDescent="0.35">
      <c r="A800" s="27"/>
      <c r="B800" s="28"/>
    </row>
    <row r="801" spans="1:2" ht="14.25" customHeight="1" x14ac:dyDescent="0.35">
      <c r="A801" s="27"/>
      <c r="B801" s="28"/>
    </row>
    <row r="802" spans="1:2" ht="14.25" customHeight="1" x14ac:dyDescent="0.35">
      <c r="A802" s="27"/>
      <c r="B802" s="28"/>
    </row>
    <row r="803" spans="1:2" ht="14.25" customHeight="1" x14ac:dyDescent="0.35">
      <c r="A803" s="27"/>
      <c r="B803" s="28"/>
    </row>
    <row r="804" spans="1:2" ht="14.25" customHeight="1" x14ac:dyDescent="0.35">
      <c r="A804" s="27"/>
      <c r="B804" s="28"/>
    </row>
    <row r="805" spans="1:2" ht="14.25" customHeight="1" x14ac:dyDescent="0.35">
      <c r="A805" s="27"/>
      <c r="B805" s="28"/>
    </row>
    <row r="806" spans="1:2" ht="14.25" customHeight="1" x14ac:dyDescent="0.35">
      <c r="A806" s="27"/>
      <c r="B806" s="28"/>
    </row>
    <row r="807" spans="1:2" ht="14.25" customHeight="1" x14ac:dyDescent="0.35">
      <c r="A807" s="27"/>
      <c r="B807" s="28"/>
    </row>
    <row r="808" spans="1:2" ht="14.25" customHeight="1" x14ac:dyDescent="0.35">
      <c r="A808" s="27"/>
      <c r="B808" s="28"/>
    </row>
    <row r="809" spans="1:2" ht="14.25" customHeight="1" x14ac:dyDescent="0.35">
      <c r="A809" s="27"/>
      <c r="B809" s="28"/>
    </row>
    <row r="810" spans="1:2" ht="14.25" customHeight="1" x14ac:dyDescent="0.35">
      <c r="A810" s="27"/>
      <c r="B810" s="28"/>
    </row>
    <row r="811" spans="1:2" ht="14.25" customHeight="1" x14ac:dyDescent="0.35">
      <c r="A811" s="27"/>
      <c r="B811" s="28"/>
    </row>
    <row r="812" spans="1:2" ht="14.25" customHeight="1" x14ac:dyDescent="0.35">
      <c r="A812" s="27"/>
      <c r="B812" s="28"/>
    </row>
    <row r="813" spans="1:2" ht="14.25" customHeight="1" x14ac:dyDescent="0.35">
      <c r="A813" s="27"/>
      <c r="B813" s="28"/>
    </row>
    <row r="814" spans="1:2" ht="14.25" customHeight="1" x14ac:dyDescent="0.35">
      <c r="A814" s="27"/>
      <c r="B814" s="28"/>
    </row>
    <row r="815" spans="1:2" ht="14.25" customHeight="1" x14ac:dyDescent="0.35">
      <c r="A815" s="27"/>
      <c r="B815" s="28"/>
    </row>
    <row r="816" spans="1:2" ht="14.25" customHeight="1" x14ac:dyDescent="0.35">
      <c r="A816" s="27"/>
      <c r="B816" s="28"/>
    </row>
    <row r="817" spans="1:2" ht="14.25" customHeight="1" x14ac:dyDescent="0.35">
      <c r="A817" s="27"/>
      <c r="B817" s="28"/>
    </row>
    <row r="818" spans="1:2" ht="14.25" customHeight="1" x14ac:dyDescent="0.35">
      <c r="A818" s="27"/>
      <c r="B818" s="28"/>
    </row>
    <row r="819" spans="1:2" ht="14.25" customHeight="1" x14ac:dyDescent="0.35">
      <c r="A819" s="27"/>
      <c r="B819" s="28"/>
    </row>
    <row r="820" spans="1:2" ht="14.25" customHeight="1" x14ac:dyDescent="0.35">
      <c r="A820" s="27"/>
      <c r="B820" s="28"/>
    </row>
    <row r="821" spans="1:2" ht="14.25" customHeight="1" x14ac:dyDescent="0.35">
      <c r="A821" s="27"/>
      <c r="B821" s="28"/>
    </row>
    <row r="822" spans="1:2" ht="14.25" customHeight="1" x14ac:dyDescent="0.35">
      <c r="A822" s="27"/>
      <c r="B822" s="28"/>
    </row>
    <row r="823" spans="1:2" ht="14.25" customHeight="1" x14ac:dyDescent="0.35">
      <c r="A823" s="27"/>
      <c r="B823" s="28"/>
    </row>
    <row r="824" spans="1:2" ht="14.25" customHeight="1" x14ac:dyDescent="0.35">
      <c r="A824" s="27"/>
      <c r="B824" s="28"/>
    </row>
    <row r="825" spans="1:2" ht="14.25" customHeight="1" x14ac:dyDescent="0.35">
      <c r="A825" s="27"/>
      <c r="B825" s="28"/>
    </row>
    <row r="826" spans="1:2" ht="14.25" customHeight="1" x14ac:dyDescent="0.35">
      <c r="A826" s="27"/>
      <c r="B826" s="28"/>
    </row>
    <row r="827" spans="1:2" ht="14.25" customHeight="1" x14ac:dyDescent="0.35">
      <c r="A827" s="27"/>
      <c r="B827" s="28"/>
    </row>
    <row r="828" spans="1:2" ht="14.25" customHeight="1" x14ac:dyDescent="0.35">
      <c r="A828" s="27"/>
      <c r="B828" s="28"/>
    </row>
    <row r="829" spans="1:2" ht="14.25" customHeight="1" x14ac:dyDescent="0.35">
      <c r="A829" s="27"/>
      <c r="B829" s="28"/>
    </row>
    <row r="830" spans="1:2" ht="14.25" customHeight="1" x14ac:dyDescent="0.35">
      <c r="A830" s="27"/>
      <c r="B830" s="28"/>
    </row>
    <row r="831" spans="1:2" ht="14.25" customHeight="1" x14ac:dyDescent="0.35">
      <c r="A831" s="27"/>
      <c r="B831" s="28"/>
    </row>
    <row r="832" spans="1:2" ht="14.25" customHeight="1" x14ac:dyDescent="0.35">
      <c r="A832" s="27"/>
      <c r="B832" s="28"/>
    </row>
    <row r="833" spans="1:2" ht="14.25" customHeight="1" x14ac:dyDescent="0.35">
      <c r="A833" s="27"/>
      <c r="B833" s="28"/>
    </row>
    <row r="834" spans="1:2" ht="14.25" customHeight="1" x14ac:dyDescent="0.35">
      <c r="A834" s="27"/>
      <c r="B834" s="28"/>
    </row>
    <row r="835" spans="1:2" ht="14.25" customHeight="1" x14ac:dyDescent="0.35">
      <c r="A835" s="27"/>
      <c r="B835" s="28"/>
    </row>
    <row r="836" spans="1:2" ht="14.25" customHeight="1" x14ac:dyDescent="0.35">
      <c r="A836" s="27"/>
      <c r="B836" s="28"/>
    </row>
    <row r="837" spans="1:2" ht="14.25" customHeight="1" x14ac:dyDescent="0.35">
      <c r="A837" s="27"/>
      <c r="B837" s="28"/>
    </row>
    <row r="838" spans="1:2" ht="14.25" customHeight="1" x14ac:dyDescent="0.35">
      <c r="A838" s="27"/>
      <c r="B838" s="28"/>
    </row>
    <row r="839" spans="1:2" ht="14.25" customHeight="1" x14ac:dyDescent="0.35">
      <c r="A839" s="27"/>
      <c r="B839" s="28"/>
    </row>
    <row r="840" spans="1:2" ht="14.25" customHeight="1" x14ac:dyDescent="0.35">
      <c r="A840" s="27"/>
      <c r="B840" s="28"/>
    </row>
    <row r="841" spans="1:2" ht="14.25" customHeight="1" x14ac:dyDescent="0.35">
      <c r="A841" s="27"/>
      <c r="B841" s="28"/>
    </row>
    <row r="842" spans="1:2" ht="14.25" customHeight="1" x14ac:dyDescent="0.35">
      <c r="A842" s="27"/>
      <c r="B842" s="28"/>
    </row>
    <row r="843" spans="1:2" ht="14.25" customHeight="1" x14ac:dyDescent="0.35">
      <c r="A843" s="27"/>
      <c r="B843" s="28"/>
    </row>
    <row r="844" spans="1:2" ht="14.25" customHeight="1" x14ac:dyDescent="0.35">
      <c r="A844" s="27"/>
      <c r="B844" s="28"/>
    </row>
    <row r="845" spans="1:2" ht="14.25" customHeight="1" x14ac:dyDescent="0.35">
      <c r="A845" s="27"/>
      <c r="B845" s="28"/>
    </row>
    <row r="846" spans="1:2" ht="14.25" customHeight="1" x14ac:dyDescent="0.35">
      <c r="A846" s="27"/>
      <c r="B846" s="28"/>
    </row>
    <row r="847" spans="1:2" ht="14.25" customHeight="1" x14ac:dyDescent="0.35">
      <c r="A847" s="27"/>
      <c r="B847" s="28"/>
    </row>
    <row r="848" spans="1:2" ht="14.25" customHeight="1" x14ac:dyDescent="0.35">
      <c r="A848" s="27"/>
      <c r="B848" s="28"/>
    </row>
    <row r="849" spans="1:2" ht="14.25" customHeight="1" x14ac:dyDescent="0.35">
      <c r="A849" s="27"/>
      <c r="B849" s="28"/>
    </row>
    <row r="850" spans="1:2" ht="14.25" customHeight="1" x14ac:dyDescent="0.35">
      <c r="A850" s="27"/>
      <c r="B850" s="28"/>
    </row>
    <row r="851" spans="1:2" ht="14.25" customHeight="1" x14ac:dyDescent="0.35">
      <c r="A851" s="27"/>
      <c r="B851" s="28"/>
    </row>
    <row r="852" spans="1:2" ht="14.25" customHeight="1" x14ac:dyDescent="0.35">
      <c r="A852" s="27"/>
      <c r="B852" s="28"/>
    </row>
    <row r="853" spans="1:2" ht="14.25" customHeight="1" x14ac:dyDescent="0.35">
      <c r="A853" s="27"/>
      <c r="B853" s="28"/>
    </row>
    <row r="854" spans="1:2" ht="14.25" customHeight="1" x14ac:dyDescent="0.35">
      <c r="A854" s="27"/>
      <c r="B854" s="28"/>
    </row>
    <row r="855" spans="1:2" ht="14.25" customHeight="1" x14ac:dyDescent="0.35">
      <c r="A855" s="27"/>
      <c r="B855" s="28"/>
    </row>
    <row r="856" spans="1:2" ht="14.25" customHeight="1" x14ac:dyDescent="0.35">
      <c r="A856" s="27"/>
      <c r="B856" s="28"/>
    </row>
    <row r="857" spans="1:2" ht="14.25" customHeight="1" x14ac:dyDescent="0.35">
      <c r="A857" s="27"/>
      <c r="B857" s="28"/>
    </row>
    <row r="858" spans="1:2" ht="14.25" customHeight="1" x14ac:dyDescent="0.35">
      <c r="A858" s="27"/>
      <c r="B858" s="28"/>
    </row>
    <row r="859" spans="1:2" ht="14.25" customHeight="1" x14ac:dyDescent="0.35">
      <c r="A859" s="27"/>
      <c r="B859" s="28"/>
    </row>
    <row r="860" spans="1:2" ht="14.25" customHeight="1" x14ac:dyDescent="0.35">
      <c r="A860" s="27"/>
      <c r="B860" s="28"/>
    </row>
    <row r="861" spans="1:2" ht="14.25" customHeight="1" x14ac:dyDescent="0.35">
      <c r="A861" s="27"/>
      <c r="B861" s="28"/>
    </row>
    <row r="862" spans="1:2" ht="14.25" customHeight="1" x14ac:dyDescent="0.35">
      <c r="A862" s="27"/>
      <c r="B862" s="28"/>
    </row>
    <row r="863" spans="1:2" ht="14.25" customHeight="1" x14ac:dyDescent="0.35">
      <c r="A863" s="27"/>
      <c r="B863" s="28"/>
    </row>
    <row r="864" spans="1:2" ht="14.25" customHeight="1" x14ac:dyDescent="0.35">
      <c r="A864" s="27"/>
      <c r="B864" s="28"/>
    </row>
    <row r="865" spans="1:2" ht="14.25" customHeight="1" x14ac:dyDescent="0.35">
      <c r="A865" s="27"/>
      <c r="B865" s="28"/>
    </row>
    <row r="866" spans="1:2" ht="14.25" customHeight="1" x14ac:dyDescent="0.35">
      <c r="A866" s="27"/>
      <c r="B866" s="28"/>
    </row>
    <row r="867" spans="1:2" ht="14.25" customHeight="1" x14ac:dyDescent="0.35">
      <c r="A867" s="27"/>
      <c r="B867" s="28"/>
    </row>
    <row r="868" spans="1:2" ht="14.25" customHeight="1" x14ac:dyDescent="0.35">
      <c r="A868" s="27"/>
      <c r="B868" s="28"/>
    </row>
    <row r="869" spans="1:2" ht="14.25" customHeight="1" x14ac:dyDescent="0.35">
      <c r="A869" s="27"/>
      <c r="B869" s="28"/>
    </row>
    <row r="870" spans="1:2" ht="14.25" customHeight="1" x14ac:dyDescent="0.35">
      <c r="A870" s="27"/>
      <c r="B870" s="28"/>
    </row>
    <row r="871" spans="1:2" ht="14.25" customHeight="1" x14ac:dyDescent="0.35">
      <c r="A871" s="27"/>
      <c r="B871" s="28"/>
    </row>
    <row r="872" spans="1:2" ht="14.25" customHeight="1" x14ac:dyDescent="0.35">
      <c r="A872" s="27"/>
      <c r="B872" s="28"/>
    </row>
    <row r="873" spans="1:2" ht="14.25" customHeight="1" x14ac:dyDescent="0.35">
      <c r="A873" s="27"/>
      <c r="B873" s="28"/>
    </row>
    <row r="874" spans="1:2" ht="14.25" customHeight="1" x14ac:dyDescent="0.35">
      <c r="A874" s="27"/>
      <c r="B874" s="28"/>
    </row>
    <row r="875" spans="1:2" ht="14.25" customHeight="1" x14ac:dyDescent="0.35">
      <c r="A875" s="27"/>
      <c r="B875" s="28"/>
    </row>
    <row r="876" spans="1:2" ht="14.25" customHeight="1" x14ac:dyDescent="0.35">
      <c r="A876" s="27"/>
      <c r="B876" s="28"/>
    </row>
    <row r="877" spans="1:2" ht="14.25" customHeight="1" x14ac:dyDescent="0.35">
      <c r="A877" s="27"/>
      <c r="B877" s="28"/>
    </row>
    <row r="878" spans="1:2" ht="14.25" customHeight="1" x14ac:dyDescent="0.35">
      <c r="A878" s="27"/>
      <c r="B878" s="28"/>
    </row>
    <row r="879" spans="1:2" ht="14.25" customHeight="1" x14ac:dyDescent="0.35">
      <c r="A879" s="27"/>
      <c r="B879" s="28"/>
    </row>
    <row r="880" spans="1:2" ht="14.25" customHeight="1" x14ac:dyDescent="0.35">
      <c r="A880" s="27"/>
      <c r="B880" s="28"/>
    </row>
    <row r="881" spans="1:2" ht="14.25" customHeight="1" x14ac:dyDescent="0.35">
      <c r="A881" s="27"/>
      <c r="B881" s="28"/>
    </row>
    <row r="882" spans="1:2" ht="14.25" customHeight="1" x14ac:dyDescent="0.35">
      <c r="A882" s="27"/>
      <c r="B882" s="28"/>
    </row>
    <row r="883" spans="1:2" ht="14.25" customHeight="1" x14ac:dyDescent="0.35">
      <c r="A883" s="27"/>
      <c r="B883" s="28"/>
    </row>
    <row r="884" spans="1:2" ht="14.25" customHeight="1" x14ac:dyDescent="0.35">
      <c r="A884" s="27"/>
      <c r="B884" s="28"/>
    </row>
    <row r="885" spans="1:2" ht="14.25" customHeight="1" x14ac:dyDescent="0.35">
      <c r="A885" s="27"/>
      <c r="B885" s="28"/>
    </row>
    <row r="886" spans="1:2" ht="14.25" customHeight="1" x14ac:dyDescent="0.35">
      <c r="A886" s="27"/>
      <c r="B886" s="28"/>
    </row>
    <row r="887" spans="1:2" ht="14.25" customHeight="1" x14ac:dyDescent="0.35">
      <c r="A887" s="27"/>
      <c r="B887" s="28"/>
    </row>
    <row r="888" spans="1:2" ht="14.25" customHeight="1" x14ac:dyDescent="0.35">
      <c r="A888" s="27"/>
      <c r="B888" s="28"/>
    </row>
    <row r="889" spans="1:2" ht="14.25" customHeight="1" x14ac:dyDescent="0.35">
      <c r="A889" s="27"/>
      <c r="B889" s="28"/>
    </row>
    <row r="890" spans="1:2" ht="14.25" customHeight="1" x14ac:dyDescent="0.35">
      <c r="A890" s="27"/>
      <c r="B890" s="28"/>
    </row>
    <row r="891" spans="1:2" ht="14.25" customHeight="1" x14ac:dyDescent="0.35">
      <c r="A891" s="27"/>
      <c r="B891" s="28"/>
    </row>
    <row r="892" spans="1:2" ht="14.25" customHeight="1" x14ac:dyDescent="0.35">
      <c r="A892" s="27"/>
      <c r="B892" s="28"/>
    </row>
    <row r="893" spans="1:2" ht="14.25" customHeight="1" x14ac:dyDescent="0.35">
      <c r="A893" s="27"/>
      <c r="B893" s="28"/>
    </row>
    <row r="894" spans="1:2" ht="14.25" customHeight="1" x14ac:dyDescent="0.35">
      <c r="A894" s="27"/>
      <c r="B894" s="28"/>
    </row>
    <row r="895" spans="1:2" ht="14.25" customHeight="1" x14ac:dyDescent="0.35">
      <c r="A895" s="27"/>
      <c r="B895" s="28"/>
    </row>
    <row r="896" spans="1:2" ht="14.25" customHeight="1" x14ac:dyDescent="0.35">
      <c r="A896" s="27"/>
      <c r="B896" s="28"/>
    </row>
    <row r="897" spans="1:2" ht="14.25" customHeight="1" x14ac:dyDescent="0.35">
      <c r="A897" s="27"/>
      <c r="B897" s="28"/>
    </row>
    <row r="898" spans="1:2" ht="14.25" customHeight="1" x14ac:dyDescent="0.35">
      <c r="A898" s="27"/>
      <c r="B898" s="28"/>
    </row>
    <row r="899" spans="1:2" ht="14.25" customHeight="1" x14ac:dyDescent="0.35">
      <c r="A899" s="27"/>
      <c r="B899" s="28"/>
    </row>
    <row r="900" spans="1:2" ht="14.25" customHeight="1" x14ac:dyDescent="0.35">
      <c r="A900" s="27"/>
      <c r="B900" s="28"/>
    </row>
    <row r="901" spans="1:2" ht="14.25" customHeight="1" x14ac:dyDescent="0.35">
      <c r="A901" s="27"/>
      <c r="B901" s="28"/>
    </row>
    <row r="902" spans="1:2" ht="14.25" customHeight="1" x14ac:dyDescent="0.35">
      <c r="A902" s="27"/>
      <c r="B902" s="28"/>
    </row>
    <row r="903" spans="1:2" ht="14.25" customHeight="1" x14ac:dyDescent="0.35">
      <c r="A903" s="27"/>
      <c r="B903" s="28"/>
    </row>
    <row r="904" spans="1:2" ht="14.25" customHeight="1" x14ac:dyDescent="0.35">
      <c r="A904" s="27"/>
      <c r="B904" s="28"/>
    </row>
    <row r="905" spans="1:2" ht="14.25" customHeight="1" x14ac:dyDescent="0.35">
      <c r="A905" s="27"/>
      <c r="B905" s="28"/>
    </row>
    <row r="906" spans="1:2" ht="14.25" customHeight="1" x14ac:dyDescent="0.35">
      <c r="A906" s="27"/>
      <c r="B906" s="28"/>
    </row>
    <row r="907" spans="1:2" ht="14.25" customHeight="1" x14ac:dyDescent="0.35">
      <c r="A907" s="27"/>
      <c r="B907" s="28"/>
    </row>
    <row r="908" spans="1:2" ht="14.25" customHeight="1" x14ac:dyDescent="0.35">
      <c r="A908" s="27"/>
      <c r="B908" s="28"/>
    </row>
    <row r="909" spans="1:2" ht="14.25" customHeight="1" x14ac:dyDescent="0.35">
      <c r="A909" s="27"/>
      <c r="B909" s="28"/>
    </row>
    <row r="910" spans="1:2" ht="14.25" customHeight="1" x14ac:dyDescent="0.35">
      <c r="A910" s="27"/>
      <c r="B910" s="28"/>
    </row>
    <row r="911" spans="1:2" ht="14.25" customHeight="1" x14ac:dyDescent="0.35">
      <c r="A911" s="27"/>
      <c r="B911" s="28"/>
    </row>
    <row r="912" spans="1:2" ht="14.25" customHeight="1" x14ac:dyDescent="0.35">
      <c r="A912" s="27"/>
      <c r="B912" s="28"/>
    </row>
    <row r="913" spans="1:2" ht="14.25" customHeight="1" x14ac:dyDescent="0.35">
      <c r="A913" s="27"/>
      <c r="B913" s="28"/>
    </row>
    <row r="914" spans="1:2" ht="14.25" customHeight="1" x14ac:dyDescent="0.35">
      <c r="A914" s="27"/>
      <c r="B914" s="28"/>
    </row>
    <row r="915" spans="1:2" ht="14.25" customHeight="1" x14ac:dyDescent="0.35">
      <c r="A915" s="27"/>
      <c r="B915" s="28"/>
    </row>
    <row r="916" spans="1:2" ht="14.25" customHeight="1" x14ac:dyDescent="0.35">
      <c r="A916" s="27"/>
      <c r="B916" s="28"/>
    </row>
    <row r="917" spans="1:2" ht="14.25" customHeight="1" x14ac:dyDescent="0.35">
      <c r="A917" s="27"/>
      <c r="B917" s="28"/>
    </row>
    <row r="918" spans="1:2" ht="14.25" customHeight="1" x14ac:dyDescent="0.35">
      <c r="A918" s="27"/>
      <c r="B918" s="28"/>
    </row>
    <row r="919" spans="1:2" ht="14.25" customHeight="1" x14ac:dyDescent="0.35">
      <c r="A919" s="27"/>
      <c r="B919" s="28"/>
    </row>
    <row r="920" spans="1:2" ht="14.25" customHeight="1" x14ac:dyDescent="0.35">
      <c r="A920" s="27"/>
      <c r="B920" s="28"/>
    </row>
    <row r="921" spans="1:2" ht="14.25" customHeight="1" x14ac:dyDescent="0.35">
      <c r="A921" s="27"/>
      <c r="B921" s="28"/>
    </row>
    <row r="922" spans="1:2" ht="14.25" customHeight="1" x14ac:dyDescent="0.35">
      <c r="A922" s="27"/>
      <c r="B922" s="28"/>
    </row>
    <row r="923" spans="1:2" ht="14.25" customHeight="1" x14ac:dyDescent="0.35">
      <c r="A923" s="27"/>
      <c r="B923" s="28"/>
    </row>
    <row r="924" spans="1:2" ht="14.25" customHeight="1" x14ac:dyDescent="0.35">
      <c r="A924" s="27"/>
      <c r="B924" s="28"/>
    </row>
    <row r="925" spans="1:2" ht="14.25" customHeight="1" x14ac:dyDescent="0.35">
      <c r="A925" s="27"/>
      <c r="B925" s="28"/>
    </row>
    <row r="926" spans="1:2" ht="14.25" customHeight="1" x14ac:dyDescent="0.35">
      <c r="A926" s="27"/>
      <c r="B926" s="28"/>
    </row>
    <row r="927" spans="1:2" ht="14.25" customHeight="1" x14ac:dyDescent="0.35">
      <c r="A927" s="27"/>
      <c r="B927" s="28"/>
    </row>
    <row r="928" spans="1:2" ht="14.25" customHeight="1" x14ac:dyDescent="0.35">
      <c r="A928" s="27"/>
      <c r="B928" s="28"/>
    </row>
    <row r="929" spans="1:2" ht="14.25" customHeight="1" x14ac:dyDescent="0.35">
      <c r="A929" s="27"/>
      <c r="B929" s="28"/>
    </row>
    <row r="930" spans="1:2" ht="14.25" customHeight="1" x14ac:dyDescent="0.35">
      <c r="A930" s="27"/>
      <c r="B930" s="28"/>
    </row>
    <row r="931" spans="1:2" ht="14.25" customHeight="1" x14ac:dyDescent="0.35">
      <c r="A931" s="27"/>
      <c r="B931" s="28"/>
    </row>
    <row r="932" spans="1:2" ht="14.25" customHeight="1" x14ac:dyDescent="0.35">
      <c r="A932" s="27"/>
      <c r="B932" s="28"/>
    </row>
    <row r="933" spans="1:2" ht="14.25" customHeight="1" x14ac:dyDescent="0.35">
      <c r="A933" s="27"/>
      <c r="B933" s="28"/>
    </row>
    <row r="934" spans="1:2" ht="14.25" customHeight="1" x14ac:dyDescent="0.35">
      <c r="A934" s="27"/>
      <c r="B934" s="28"/>
    </row>
    <row r="935" spans="1:2" ht="14.25" customHeight="1" x14ac:dyDescent="0.35">
      <c r="A935" s="27"/>
      <c r="B935" s="28"/>
    </row>
    <row r="936" spans="1:2" ht="14.25" customHeight="1" x14ac:dyDescent="0.35">
      <c r="A936" s="27"/>
      <c r="B936" s="28"/>
    </row>
    <row r="937" spans="1:2" ht="14.25" customHeight="1" x14ac:dyDescent="0.35">
      <c r="A937" s="27"/>
      <c r="B937" s="28"/>
    </row>
    <row r="938" spans="1:2" ht="14.25" customHeight="1" x14ac:dyDescent="0.35">
      <c r="A938" s="27"/>
      <c r="B938" s="28"/>
    </row>
    <row r="939" spans="1:2" ht="14.25" customHeight="1" x14ac:dyDescent="0.35">
      <c r="A939" s="27"/>
      <c r="B939" s="28"/>
    </row>
    <row r="940" spans="1:2" ht="14.25" customHeight="1" x14ac:dyDescent="0.35">
      <c r="A940" s="27"/>
      <c r="B940" s="28"/>
    </row>
    <row r="941" spans="1:2" ht="14.25" customHeight="1" x14ac:dyDescent="0.35">
      <c r="A941" s="27"/>
      <c r="B941" s="28"/>
    </row>
    <row r="942" spans="1:2" ht="14.25" customHeight="1" x14ac:dyDescent="0.35">
      <c r="A942" s="27"/>
      <c r="B942" s="28"/>
    </row>
    <row r="943" spans="1:2" ht="14.25" customHeight="1" x14ac:dyDescent="0.35">
      <c r="A943" s="27"/>
      <c r="B943" s="28"/>
    </row>
    <row r="944" spans="1:2" ht="14.25" customHeight="1" x14ac:dyDescent="0.35">
      <c r="A944" s="27"/>
      <c r="B944" s="28"/>
    </row>
    <row r="945" spans="1:2" ht="14.25" customHeight="1" x14ac:dyDescent="0.35">
      <c r="A945" s="27"/>
      <c r="B945" s="28"/>
    </row>
    <row r="946" spans="1:2" ht="14.25" customHeight="1" x14ac:dyDescent="0.35">
      <c r="A946" s="27"/>
      <c r="B946" s="28"/>
    </row>
    <row r="947" spans="1:2" ht="14.25" customHeight="1" x14ac:dyDescent="0.35">
      <c r="A947" s="27"/>
      <c r="B947" s="28"/>
    </row>
    <row r="948" spans="1:2" ht="14.25" customHeight="1" x14ac:dyDescent="0.35">
      <c r="A948" s="27"/>
      <c r="B948" s="28"/>
    </row>
    <row r="949" spans="1:2" ht="14.25" customHeight="1" x14ac:dyDescent="0.35">
      <c r="A949" s="27"/>
      <c r="B949" s="28"/>
    </row>
    <row r="950" spans="1:2" ht="14.25" customHeight="1" x14ac:dyDescent="0.35">
      <c r="A950" s="27"/>
      <c r="B950" s="28"/>
    </row>
    <row r="951" spans="1:2" ht="14.25" customHeight="1" x14ac:dyDescent="0.35">
      <c r="A951" s="27"/>
      <c r="B951" s="28"/>
    </row>
    <row r="952" spans="1:2" ht="14.25" customHeight="1" x14ac:dyDescent="0.35">
      <c r="A952" s="27"/>
      <c r="B952" s="28"/>
    </row>
    <row r="953" spans="1:2" ht="14.25" customHeight="1" x14ac:dyDescent="0.35">
      <c r="A953" s="27"/>
      <c r="B953" s="28"/>
    </row>
    <row r="954" spans="1:2" ht="14.25" customHeight="1" x14ac:dyDescent="0.35">
      <c r="A954" s="27"/>
      <c r="B954" s="28"/>
    </row>
    <row r="955" spans="1:2" ht="14.25" customHeight="1" x14ac:dyDescent="0.35">
      <c r="A955" s="27"/>
      <c r="B955" s="28"/>
    </row>
    <row r="956" spans="1:2" ht="14.25" customHeight="1" x14ac:dyDescent="0.35">
      <c r="A956" s="27"/>
      <c r="B956" s="28"/>
    </row>
    <row r="957" spans="1:2" ht="14.25" customHeight="1" x14ac:dyDescent="0.35">
      <c r="A957" s="27"/>
      <c r="B957" s="28"/>
    </row>
    <row r="958" spans="1:2" ht="14.25" customHeight="1" x14ac:dyDescent="0.35">
      <c r="A958" s="27"/>
      <c r="B958" s="28"/>
    </row>
    <row r="959" spans="1:2" ht="14.25" customHeight="1" x14ac:dyDescent="0.35">
      <c r="A959" s="27"/>
      <c r="B959" s="28"/>
    </row>
    <row r="960" spans="1:2" ht="14.25" customHeight="1" x14ac:dyDescent="0.35">
      <c r="A960" s="27"/>
      <c r="B960" s="28"/>
    </row>
    <row r="961" spans="1:2" ht="14.25" customHeight="1" x14ac:dyDescent="0.35">
      <c r="A961" s="27"/>
      <c r="B961" s="28"/>
    </row>
    <row r="962" spans="1:2" ht="14.25" customHeight="1" x14ac:dyDescent="0.35">
      <c r="A962" s="27"/>
      <c r="B962" s="28"/>
    </row>
    <row r="963" spans="1:2" ht="14.25" customHeight="1" x14ac:dyDescent="0.35">
      <c r="A963" s="27"/>
      <c r="B963" s="28"/>
    </row>
    <row r="964" spans="1:2" ht="14.25" customHeight="1" x14ac:dyDescent="0.35">
      <c r="A964" s="27"/>
      <c r="B964" s="28"/>
    </row>
    <row r="965" spans="1:2" ht="14.25" customHeight="1" x14ac:dyDescent="0.35">
      <c r="A965" s="27"/>
      <c r="B965" s="28"/>
    </row>
    <row r="966" spans="1:2" ht="14.25" customHeight="1" x14ac:dyDescent="0.35">
      <c r="A966" s="27"/>
      <c r="B966" s="28"/>
    </row>
    <row r="967" spans="1:2" ht="14.25" customHeight="1" x14ac:dyDescent="0.35">
      <c r="A967" s="27"/>
      <c r="B967" s="28"/>
    </row>
    <row r="968" spans="1:2" ht="14.25" customHeight="1" x14ac:dyDescent="0.35">
      <c r="A968" s="27"/>
      <c r="B968" s="28"/>
    </row>
    <row r="969" spans="1:2" ht="14.25" customHeight="1" x14ac:dyDescent="0.35">
      <c r="A969" s="27"/>
      <c r="B969" s="28"/>
    </row>
    <row r="970" spans="1:2" ht="14.25" customHeight="1" x14ac:dyDescent="0.35">
      <c r="A970" s="27"/>
      <c r="B970" s="28"/>
    </row>
    <row r="971" spans="1:2" ht="14.25" customHeight="1" x14ac:dyDescent="0.35">
      <c r="A971" s="27"/>
      <c r="B971" s="28"/>
    </row>
    <row r="972" spans="1:2" ht="14.25" customHeight="1" x14ac:dyDescent="0.35">
      <c r="A972" s="27"/>
      <c r="B972" s="28"/>
    </row>
    <row r="973" spans="1:2" ht="14.25" customHeight="1" x14ac:dyDescent="0.35">
      <c r="A973" s="27"/>
      <c r="B973" s="28"/>
    </row>
    <row r="974" spans="1:2" ht="14.25" customHeight="1" x14ac:dyDescent="0.35">
      <c r="A974" s="27"/>
      <c r="B974" s="28"/>
    </row>
    <row r="975" spans="1:2" ht="14.25" customHeight="1" x14ac:dyDescent="0.35">
      <c r="A975" s="27"/>
      <c r="B975" s="28"/>
    </row>
    <row r="976" spans="1:2" ht="14.25" customHeight="1" x14ac:dyDescent="0.35">
      <c r="A976" s="27"/>
      <c r="B976" s="28"/>
    </row>
    <row r="977" spans="1:2" ht="14.25" customHeight="1" x14ac:dyDescent="0.35">
      <c r="A977" s="27"/>
      <c r="B977" s="28"/>
    </row>
    <row r="978" spans="1:2" ht="14.25" customHeight="1" x14ac:dyDescent="0.35">
      <c r="A978" s="27"/>
      <c r="B978" s="28"/>
    </row>
    <row r="979" spans="1:2" ht="14.25" customHeight="1" x14ac:dyDescent="0.35">
      <c r="A979" s="27"/>
      <c r="B979" s="28"/>
    </row>
    <row r="980" spans="1:2" ht="14.25" customHeight="1" x14ac:dyDescent="0.35">
      <c r="A980" s="27"/>
      <c r="B980" s="28"/>
    </row>
    <row r="981" spans="1:2" ht="14.25" customHeight="1" x14ac:dyDescent="0.35">
      <c r="A981" s="27"/>
      <c r="B981" s="28"/>
    </row>
    <row r="982" spans="1:2" ht="14.25" customHeight="1" x14ac:dyDescent="0.35">
      <c r="A982" s="27"/>
      <c r="B982" s="28"/>
    </row>
    <row r="983" spans="1:2" ht="14.25" customHeight="1" x14ac:dyDescent="0.35">
      <c r="A983" s="27"/>
      <c r="B983" s="28"/>
    </row>
    <row r="984" spans="1:2" ht="14.25" customHeight="1" x14ac:dyDescent="0.35">
      <c r="A984" s="27"/>
      <c r="B984" s="28"/>
    </row>
    <row r="985" spans="1:2" ht="14.25" customHeight="1" x14ac:dyDescent="0.35">
      <c r="A985" s="27"/>
      <c r="B985" s="28"/>
    </row>
    <row r="986" spans="1:2" ht="14.25" customHeight="1" x14ac:dyDescent="0.35">
      <c r="A986" s="27"/>
      <c r="B986" s="28"/>
    </row>
    <row r="987" spans="1:2" ht="14.25" customHeight="1" x14ac:dyDescent="0.35">
      <c r="A987" s="27"/>
      <c r="B987" s="28"/>
    </row>
    <row r="988" spans="1:2" ht="14.25" customHeight="1" x14ac:dyDescent="0.35">
      <c r="A988" s="27"/>
      <c r="B988" s="28"/>
    </row>
    <row r="989" spans="1:2" ht="14.25" customHeight="1" x14ac:dyDescent="0.35">
      <c r="A989" s="27"/>
      <c r="B989" s="28"/>
    </row>
    <row r="990" spans="1:2" ht="14.25" customHeight="1" x14ac:dyDescent="0.35">
      <c r="A990" s="27"/>
      <c r="B990" s="28"/>
    </row>
    <row r="991" spans="1:2" ht="14.25" customHeight="1" x14ac:dyDescent="0.35">
      <c r="A991" s="27"/>
      <c r="B991" s="28"/>
    </row>
    <row r="992" spans="1:2" ht="14.25" customHeight="1" x14ac:dyDescent="0.35">
      <c r="A992" s="27"/>
      <c r="B992" s="28"/>
    </row>
    <row r="993" spans="1:2" ht="14.25" customHeight="1" x14ac:dyDescent="0.35">
      <c r="A993" s="27"/>
      <c r="B993" s="28"/>
    </row>
    <row r="994" spans="1:2" ht="14.25" customHeight="1" x14ac:dyDescent="0.35">
      <c r="A994" s="27"/>
      <c r="B994" s="28"/>
    </row>
    <row r="995" spans="1:2" ht="14.25" customHeight="1" x14ac:dyDescent="0.35">
      <c r="A995" s="27"/>
      <c r="B995" s="28"/>
    </row>
    <row r="996" spans="1:2" ht="14.25" customHeight="1" x14ac:dyDescent="0.35">
      <c r="A996" s="27"/>
      <c r="B996" s="28"/>
    </row>
    <row r="997" spans="1:2" ht="14.25" customHeight="1" x14ac:dyDescent="0.35">
      <c r="A997" s="27"/>
      <c r="B997" s="28"/>
    </row>
    <row r="998" spans="1:2" ht="14.25" customHeight="1" x14ac:dyDescent="0.35">
      <c r="A998" s="27"/>
      <c r="B998" s="28"/>
    </row>
    <row r="999" spans="1:2" ht="14.25" customHeight="1" x14ac:dyDescent="0.35">
      <c r="A999" s="27"/>
      <c r="B999" s="28"/>
    </row>
  </sheetData>
  <mergeCells count="6">
    <mergeCell ref="E2:E5"/>
    <mergeCell ref="F2:F5"/>
    <mergeCell ref="E6:E9"/>
    <mergeCell ref="F6:F9"/>
    <mergeCell ref="E10:E27"/>
    <mergeCell ref="F10:F27"/>
  </mergeCells>
  <pageMargins left="0.7" right="0.7" top="0.75" bottom="0.75"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BB1000"/>
  <sheetViews>
    <sheetView showGridLines="0" zoomScale="77" zoomScaleNormal="102" workbookViewId="0">
      <selection activeCell="P21" sqref="P21"/>
    </sheetView>
  </sheetViews>
  <sheetFormatPr defaultColWidth="14.453125" defaultRowHeight="14.5" x14ac:dyDescent="0.35"/>
  <cols>
    <col min="1" max="19" width="12.453125" customWidth="1"/>
    <col min="20" max="20" width="18.54296875" customWidth="1"/>
    <col min="21" max="35" width="12.453125" customWidth="1"/>
    <col min="36" max="36" width="12.26953125" customWidth="1"/>
    <col min="37" max="38" width="22.54296875" customWidth="1"/>
    <col min="39" max="39" width="12.453125" customWidth="1"/>
    <col min="40" max="54" width="12.26953125" customWidth="1"/>
  </cols>
  <sheetData>
    <row r="1" spans="1:54" ht="14.25" customHeight="1" x14ac:dyDescent="0.35">
      <c r="AO1" s="29"/>
    </row>
    <row r="2" spans="1:54" ht="14.25" customHeight="1" x14ac:dyDescent="0.35">
      <c r="B2" s="14" t="s">
        <v>20</v>
      </c>
      <c r="C2" s="14"/>
      <c r="D2" s="14"/>
      <c r="E2" s="14"/>
      <c r="F2" s="14"/>
      <c r="G2" s="14"/>
      <c r="I2" s="14" t="s">
        <v>21</v>
      </c>
      <c r="J2" s="14"/>
      <c r="K2" s="14"/>
      <c r="L2" s="14"/>
      <c r="M2" s="14"/>
      <c r="N2" s="14"/>
      <c r="S2" s="14" t="s">
        <v>20</v>
      </c>
      <c r="T2" s="14"/>
      <c r="U2" s="29"/>
      <c r="V2" s="14" t="s">
        <v>20</v>
      </c>
      <c r="W2" s="14"/>
      <c r="X2" s="29"/>
      <c r="Y2" s="14" t="s">
        <v>20</v>
      </c>
      <c r="Z2" s="14"/>
      <c r="AA2" s="29"/>
      <c r="AB2" s="14" t="s">
        <v>20</v>
      </c>
      <c r="AC2" s="14"/>
      <c r="AD2" s="14"/>
      <c r="AE2" s="14"/>
      <c r="AF2" s="14"/>
      <c r="AG2" s="29"/>
      <c r="AH2" s="29"/>
      <c r="AI2" s="29"/>
      <c r="AK2" s="14" t="s">
        <v>20</v>
      </c>
      <c r="AL2" s="14"/>
      <c r="AN2" s="14" t="s">
        <v>20</v>
      </c>
      <c r="AO2" s="14"/>
      <c r="AP2" s="29"/>
      <c r="AQ2" s="29"/>
      <c r="AR2" s="29"/>
      <c r="AT2" s="14" t="s">
        <v>20</v>
      </c>
      <c r="AU2" s="14"/>
      <c r="AV2" s="14"/>
      <c r="AW2" s="14"/>
      <c r="AX2" s="14"/>
      <c r="AY2" s="14"/>
      <c r="AZ2" s="14"/>
      <c r="BA2" s="14"/>
      <c r="BB2" s="14"/>
    </row>
    <row r="3" spans="1:54" ht="32.25" customHeight="1" x14ac:dyDescent="0.35">
      <c r="A3" s="28"/>
      <c r="B3" s="13" t="s">
        <v>22</v>
      </c>
      <c r="C3" s="13"/>
      <c r="D3" s="13"/>
      <c r="E3" s="13"/>
      <c r="F3" s="13"/>
      <c r="G3" s="13"/>
      <c r="H3" s="28"/>
      <c r="I3" s="12" t="s">
        <v>22</v>
      </c>
      <c r="J3" s="12"/>
      <c r="K3" s="12"/>
      <c r="L3" s="12"/>
      <c r="M3" s="12"/>
      <c r="N3" s="12"/>
      <c r="O3" s="28"/>
      <c r="P3" s="28"/>
      <c r="Q3" s="28"/>
      <c r="R3" s="28"/>
      <c r="S3" s="13" t="s">
        <v>23</v>
      </c>
      <c r="T3" s="13"/>
      <c r="U3" s="31"/>
      <c r="V3" s="13" t="s">
        <v>24</v>
      </c>
      <c r="W3" s="13"/>
      <c r="X3" s="31"/>
      <c r="Y3" s="13" t="s">
        <v>25</v>
      </c>
      <c r="Z3" s="13"/>
      <c r="AA3" s="31"/>
      <c r="AB3" s="13" t="s">
        <v>26</v>
      </c>
      <c r="AC3" s="13"/>
      <c r="AD3" s="13"/>
      <c r="AE3" s="13"/>
      <c r="AF3" s="13"/>
      <c r="AG3" s="31"/>
      <c r="AH3" s="31"/>
      <c r="AI3" s="31"/>
      <c r="AJ3" s="28"/>
      <c r="AK3" s="13" t="s">
        <v>27</v>
      </c>
      <c r="AL3" s="13"/>
      <c r="AM3" s="28"/>
      <c r="AN3" s="13" t="s">
        <v>28</v>
      </c>
      <c r="AO3" s="13"/>
      <c r="AP3" s="31"/>
      <c r="AQ3" s="31"/>
      <c r="AR3" s="31"/>
      <c r="AS3" s="28"/>
      <c r="AT3" s="13" t="s">
        <v>29</v>
      </c>
      <c r="AU3" s="13"/>
      <c r="AV3" s="13"/>
      <c r="AW3" s="13"/>
      <c r="AX3" s="13"/>
      <c r="AY3" s="13"/>
      <c r="AZ3" s="13"/>
      <c r="BA3" s="13"/>
      <c r="BB3" s="13"/>
    </row>
    <row r="4" spans="1:54" ht="14.25" customHeight="1" x14ac:dyDescent="0.35">
      <c r="B4" s="32" t="s">
        <v>30</v>
      </c>
      <c r="C4" s="11" t="s">
        <v>31</v>
      </c>
      <c r="D4" s="11"/>
      <c r="E4" s="11"/>
      <c r="F4" s="11"/>
      <c r="G4" s="11"/>
      <c r="H4" s="26"/>
      <c r="I4" s="32" t="s">
        <v>30</v>
      </c>
      <c r="J4" s="11" t="s">
        <v>31</v>
      </c>
      <c r="K4" s="11"/>
      <c r="L4" s="11"/>
      <c r="M4" s="11"/>
      <c r="N4" s="11"/>
      <c r="P4" s="10" t="s">
        <v>32</v>
      </c>
      <c r="Q4" s="10"/>
      <c r="R4" s="31"/>
      <c r="S4" s="32" t="s">
        <v>30</v>
      </c>
      <c r="T4" s="32" t="s">
        <v>31</v>
      </c>
      <c r="U4" s="31"/>
      <c r="V4" s="32" t="s">
        <v>30</v>
      </c>
      <c r="W4" s="32" t="s">
        <v>33</v>
      </c>
      <c r="X4" s="31"/>
      <c r="Y4" s="32" t="s">
        <v>30</v>
      </c>
      <c r="Z4" s="32" t="s">
        <v>34</v>
      </c>
      <c r="AA4" s="31"/>
      <c r="AB4" s="32" t="s">
        <v>30</v>
      </c>
      <c r="AC4" s="33" t="s">
        <v>35</v>
      </c>
      <c r="AD4" s="11" t="s">
        <v>31</v>
      </c>
      <c r="AE4" s="11"/>
      <c r="AF4" s="11"/>
      <c r="AG4" s="31"/>
      <c r="AH4" s="10" t="s">
        <v>36</v>
      </c>
      <c r="AI4" s="10"/>
      <c r="AK4" s="32" t="s">
        <v>30</v>
      </c>
      <c r="AL4" s="32" t="s">
        <v>37</v>
      </c>
      <c r="AN4" s="32" t="s">
        <v>30</v>
      </c>
      <c r="AO4" s="32" t="s">
        <v>31</v>
      </c>
      <c r="AP4" s="31"/>
      <c r="AQ4" s="10" t="s">
        <v>38</v>
      </c>
      <c r="AR4" s="10"/>
      <c r="AT4" s="32" t="s">
        <v>30</v>
      </c>
      <c r="AU4" s="9" t="s">
        <v>39</v>
      </c>
      <c r="AV4" s="9"/>
      <c r="AW4" s="9"/>
      <c r="AX4" s="9"/>
      <c r="AY4" s="8" t="s">
        <v>40</v>
      </c>
      <c r="AZ4" s="8"/>
      <c r="BA4" s="8"/>
      <c r="BB4" s="8"/>
    </row>
    <row r="5" spans="1:54" ht="14.25" customHeight="1" x14ac:dyDescent="0.35">
      <c r="B5" s="34">
        <v>1</v>
      </c>
      <c r="C5" s="35">
        <v>9.9760000000000009</v>
      </c>
      <c r="D5" s="35">
        <v>10.694000000000001</v>
      </c>
      <c r="E5" s="35">
        <v>10.368</v>
      </c>
      <c r="F5" s="35">
        <v>10.503</v>
      </c>
      <c r="G5" s="35">
        <v>10.323</v>
      </c>
      <c r="H5" s="36"/>
      <c r="I5" s="34">
        <v>26</v>
      </c>
      <c r="J5" s="35">
        <v>10.477</v>
      </c>
      <c r="K5" s="35">
        <v>10.499000000000001</v>
      </c>
      <c r="L5" s="35">
        <v>10.577</v>
      </c>
      <c r="M5" s="35">
        <v>10.654</v>
      </c>
      <c r="N5" s="35">
        <v>10.455</v>
      </c>
      <c r="O5" s="35"/>
      <c r="P5" s="37" t="s">
        <v>41</v>
      </c>
      <c r="Q5" s="38">
        <v>12</v>
      </c>
      <c r="R5" s="39"/>
      <c r="S5" s="29">
        <v>1</v>
      </c>
      <c r="T5" s="35">
        <v>3.7664857600000001</v>
      </c>
      <c r="V5" s="29">
        <v>1</v>
      </c>
      <c r="W5" s="40">
        <v>5</v>
      </c>
      <c r="X5" s="39"/>
      <c r="Y5" s="29">
        <v>1</v>
      </c>
      <c r="Z5" s="40">
        <v>7</v>
      </c>
      <c r="AA5" s="39"/>
      <c r="AB5" s="29">
        <v>1</v>
      </c>
      <c r="AC5" s="39" t="s">
        <v>42</v>
      </c>
      <c r="AD5">
        <v>2.637</v>
      </c>
      <c r="AE5">
        <v>2.641</v>
      </c>
      <c r="AF5">
        <v>2.6389999999999998</v>
      </c>
      <c r="AG5" s="39"/>
      <c r="AH5" s="37" t="s">
        <v>42</v>
      </c>
      <c r="AI5" s="38">
        <v>264</v>
      </c>
      <c r="AK5" s="34">
        <v>1</v>
      </c>
      <c r="AL5" s="34">
        <v>12</v>
      </c>
      <c r="AN5" s="29">
        <v>1</v>
      </c>
      <c r="AO5" s="40">
        <v>8</v>
      </c>
      <c r="AP5" s="41"/>
      <c r="AQ5" s="37" t="s">
        <v>43</v>
      </c>
      <c r="AR5" s="38" t="s">
        <v>44</v>
      </c>
      <c r="AT5" s="34">
        <v>1</v>
      </c>
      <c r="AU5" s="35">
        <v>10.036</v>
      </c>
      <c r="AV5" s="35">
        <v>10.068</v>
      </c>
      <c r="AW5" s="35">
        <v>10.013999999999999</v>
      </c>
      <c r="AX5" s="35">
        <v>9.9629999999999992</v>
      </c>
      <c r="AY5" s="35">
        <v>11.997999999999999</v>
      </c>
      <c r="AZ5" s="35">
        <v>11.885</v>
      </c>
      <c r="BA5" s="35">
        <v>12.010999999999999</v>
      </c>
      <c r="BB5" s="35">
        <v>11.914</v>
      </c>
    </row>
    <row r="6" spans="1:54" ht="14.25" customHeight="1" x14ac:dyDescent="0.35">
      <c r="B6" s="34">
        <v>2</v>
      </c>
      <c r="C6" s="35">
        <v>10.625999999999999</v>
      </c>
      <c r="D6" s="35">
        <v>10.423999999999999</v>
      </c>
      <c r="E6" s="35">
        <v>11.109</v>
      </c>
      <c r="F6" s="35">
        <v>1.0569999999999999</v>
      </c>
      <c r="G6" s="35">
        <v>10.132999999999999</v>
      </c>
      <c r="H6" s="36"/>
      <c r="I6" s="34">
        <v>27</v>
      </c>
      <c r="J6" s="35">
        <v>10.298999999999999</v>
      </c>
      <c r="K6" s="35">
        <v>10.321</v>
      </c>
      <c r="L6" s="35">
        <v>10.343</v>
      </c>
      <c r="M6" s="35">
        <v>10.266</v>
      </c>
      <c r="N6" s="35">
        <v>10.542999999999999</v>
      </c>
      <c r="O6" s="35"/>
      <c r="P6" s="37" t="s">
        <v>45</v>
      </c>
      <c r="Q6" s="38">
        <v>10</v>
      </c>
      <c r="R6" s="39"/>
      <c r="S6" s="29">
        <v>2</v>
      </c>
      <c r="T6" s="35">
        <v>3.6069998079999999</v>
      </c>
      <c r="V6" s="29">
        <v>2</v>
      </c>
      <c r="W6" s="40">
        <v>6</v>
      </c>
      <c r="X6" s="39"/>
      <c r="Y6" s="29">
        <v>2</v>
      </c>
      <c r="Z6" s="40">
        <v>15</v>
      </c>
      <c r="AA6" s="39"/>
      <c r="AB6" s="29">
        <v>2</v>
      </c>
      <c r="AC6" s="39" t="s">
        <v>42</v>
      </c>
      <c r="AD6">
        <v>2.6389999999999998</v>
      </c>
      <c r="AE6">
        <v>2.6389999999999998</v>
      </c>
      <c r="AF6">
        <v>2.641</v>
      </c>
      <c r="AG6" s="39"/>
      <c r="AH6" s="37" t="s">
        <v>46</v>
      </c>
      <c r="AI6" s="38">
        <v>284</v>
      </c>
      <c r="AK6" s="34">
        <v>2</v>
      </c>
      <c r="AL6" s="34">
        <v>7</v>
      </c>
      <c r="AN6" s="29">
        <v>2</v>
      </c>
      <c r="AO6" s="40">
        <v>9</v>
      </c>
      <c r="AP6" s="41"/>
      <c r="AQ6" s="37" t="s">
        <v>47</v>
      </c>
      <c r="AR6" s="38" t="s">
        <v>48</v>
      </c>
      <c r="AT6" s="34">
        <v>2</v>
      </c>
      <c r="AU6" s="35">
        <v>10.045</v>
      </c>
      <c r="AV6" s="35">
        <v>10.202999999999999</v>
      </c>
      <c r="AW6" s="35">
        <v>10.148999999999999</v>
      </c>
      <c r="AX6" s="35">
        <v>10.199</v>
      </c>
      <c r="AY6" s="35">
        <v>1.1910000000000001</v>
      </c>
      <c r="AZ6" s="35">
        <v>11.784000000000001</v>
      </c>
      <c r="BA6" s="35">
        <v>11.923999999999999</v>
      </c>
      <c r="BB6" s="35">
        <v>11.837999999999999</v>
      </c>
    </row>
    <row r="7" spans="1:54" ht="14.25" customHeight="1" x14ac:dyDescent="0.35">
      <c r="B7" s="34">
        <v>3</v>
      </c>
      <c r="C7" s="35">
        <v>10.458</v>
      </c>
      <c r="D7" s="35">
        <v>10.548</v>
      </c>
      <c r="E7" s="35">
        <v>10.760999999999999</v>
      </c>
      <c r="F7" s="35">
        <v>10.301</v>
      </c>
      <c r="G7" s="35">
        <v>10.042999999999999</v>
      </c>
      <c r="H7" s="36"/>
      <c r="I7" s="34">
        <v>28</v>
      </c>
      <c r="J7" s="35">
        <v>10.532</v>
      </c>
      <c r="K7" s="35">
        <v>10.643000000000001</v>
      </c>
      <c r="L7" s="35">
        <v>10.221</v>
      </c>
      <c r="M7" s="35">
        <v>1.0209999999999999</v>
      </c>
      <c r="N7" s="35">
        <v>1.0409999999999999</v>
      </c>
      <c r="O7" s="35"/>
      <c r="R7" s="39"/>
      <c r="S7" s="29">
        <v>3</v>
      </c>
      <c r="T7" s="35">
        <v>3.1533437439999998</v>
      </c>
      <c r="V7" s="29">
        <v>3</v>
      </c>
      <c r="W7" s="40">
        <v>10</v>
      </c>
      <c r="X7" s="39"/>
      <c r="Y7" s="29">
        <v>3</v>
      </c>
      <c r="Z7" s="40">
        <v>7</v>
      </c>
      <c r="AA7" s="39"/>
      <c r="AB7" s="29">
        <v>3</v>
      </c>
      <c r="AC7" s="39" t="s">
        <v>42</v>
      </c>
      <c r="AD7">
        <v>2.6379999999999999</v>
      </c>
      <c r="AE7">
        <v>2.6389999999999998</v>
      </c>
      <c r="AF7">
        <v>2.641</v>
      </c>
      <c r="AG7" s="39"/>
      <c r="AH7" s="37" t="s">
        <v>49</v>
      </c>
      <c r="AI7" s="38">
        <v>304</v>
      </c>
      <c r="AK7" s="34">
        <v>3</v>
      </c>
      <c r="AL7" s="34">
        <v>5</v>
      </c>
      <c r="AN7" s="29">
        <v>3</v>
      </c>
      <c r="AO7" s="40">
        <v>1</v>
      </c>
      <c r="AP7" s="41"/>
      <c r="AQ7" s="37" t="s">
        <v>50</v>
      </c>
      <c r="AR7" s="42">
        <v>0.01</v>
      </c>
      <c r="AT7" s="34">
        <v>3</v>
      </c>
      <c r="AU7" s="35">
        <v>9.8640000000000008</v>
      </c>
      <c r="AV7" s="35">
        <v>10.257</v>
      </c>
      <c r="AW7" s="35">
        <v>10.085000000000001</v>
      </c>
      <c r="AX7" s="35">
        <v>10.157999999999999</v>
      </c>
      <c r="AY7" s="35">
        <v>11.866</v>
      </c>
      <c r="AZ7" s="35">
        <v>12.068</v>
      </c>
      <c r="BA7" s="35">
        <v>12.063000000000001</v>
      </c>
      <c r="BB7" s="35">
        <v>11.968999999999999</v>
      </c>
    </row>
    <row r="8" spans="1:54" ht="14.25" customHeight="1" x14ac:dyDescent="0.35">
      <c r="B8" s="34">
        <v>4</v>
      </c>
      <c r="C8" s="35">
        <v>10.648999999999999</v>
      </c>
      <c r="D8" s="35">
        <v>10.727</v>
      </c>
      <c r="E8" s="35">
        <v>10.423999999999999</v>
      </c>
      <c r="F8" s="35">
        <v>10.603999999999999</v>
      </c>
      <c r="G8" s="35">
        <v>10.603999999999999</v>
      </c>
      <c r="H8" s="36"/>
      <c r="I8" s="34">
        <v>29</v>
      </c>
      <c r="J8" s="35">
        <v>10.465999999999999</v>
      </c>
      <c r="K8" s="35">
        <v>10.266</v>
      </c>
      <c r="L8" s="35">
        <v>10.243</v>
      </c>
      <c r="M8" s="35">
        <v>10.366</v>
      </c>
      <c r="N8" s="35">
        <v>1.0409999999999999</v>
      </c>
      <c r="O8" s="35"/>
      <c r="R8" s="39"/>
      <c r="S8" s="29">
        <v>4</v>
      </c>
      <c r="T8" s="35">
        <v>3.8022471680000001</v>
      </c>
      <c r="V8" s="29">
        <v>4</v>
      </c>
      <c r="W8" s="40">
        <v>8</v>
      </c>
      <c r="X8" s="39"/>
      <c r="Y8" s="29">
        <v>4</v>
      </c>
      <c r="Z8" s="40">
        <v>8</v>
      </c>
      <c r="AA8" s="39"/>
      <c r="AB8" s="29">
        <v>4</v>
      </c>
      <c r="AC8" s="39" t="s">
        <v>42</v>
      </c>
      <c r="AD8">
        <v>2.641</v>
      </c>
      <c r="AE8">
        <v>2.6389999999999998</v>
      </c>
      <c r="AF8">
        <v>2.641</v>
      </c>
      <c r="AG8" s="39"/>
      <c r="AH8" s="37" t="s">
        <v>51</v>
      </c>
      <c r="AI8" s="38">
        <v>324</v>
      </c>
      <c r="AK8" s="34">
        <v>4</v>
      </c>
      <c r="AL8" s="34">
        <v>12</v>
      </c>
      <c r="AN8" s="29">
        <v>4</v>
      </c>
      <c r="AO8" s="40">
        <v>9</v>
      </c>
      <c r="AP8" s="41"/>
      <c r="AQ8" s="37" t="s">
        <v>52</v>
      </c>
      <c r="AR8" s="43">
        <v>2.7</v>
      </c>
      <c r="AT8" s="34">
        <v>4</v>
      </c>
      <c r="AU8" s="35">
        <v>10.085000000000001</v>
      </c>
      <c r="AV8" s="35">
        <v>10.022</v>
      </c>
      <c r="AW8" s="35">
        <v>10.063000000000001</v>
      </c>
      <c r="AX8" s="35">
        <v>10.238</v>
      </c>
      <c r="AY8" s="35">
        <v>11.875</v>
      </c>
      <c r="AZ8" s="35">
        <v>11.984999999999999</v>
      </c>
      <c r="BA8" s="35">
        <v>12.042999999999999</v>
      </c>
      <c r="BB8" s="35">
        <v>11.688000000000001</v>
      </c>
    </row>
    <row r="9" spans="1:54" ht="14.25" customHeight="1" x14ac:dyDescent="0.35">
      <c r="B9" s="34">
        <v>5</v>
      </c>
      <c r="C9" s="35">
        <v>10.581</v>
      </c>
      <c r="D9" s="35">
        <v>10.917999999999999</v>
      </c>
      <c r="E9" s="35">
        <v>10.401999999999999</v>
      </c>
      <c r="F9" s="35">
        <v>10.481</v>
      </c>
      <c r="G9" s="35">
        <v>10.795</v>
      </c>
      <c r="H9" s="36"/>
      <c r="I9" s="34">
        <v>30</v>
      </c>
      <c r="J9" s="35">
        <v>10.666</v>
      </c>
      <c r="K9" s="35">
        <v>10.532</v>
      </c>
      <c r="L9" s="35">
        <v>10.398999999999999</v>
      </c>
      <c r="M9" s="35">
        <v>10.477</v>
      </c>
      <c r="N9" s="35">
        <v>10.388</v>
      </c>
      <c r="O9" s="35"/>
      <c r="R9" s="39"/>
      <c r="S9" s="29">
        <v>5</v>
      </c>
      <c r="T9" s="35">
        <v>3.805788416</v>
      </c>
      <c r="V9" s="29">
        <v>5</v>
      </c>
      <c r="W9" s="40">
        <v>8</v>
      </c>
      <c r="X9" s="39"/>
      <c r="Y9" s="29">
        <v>5</v>
      </c>
      <c r="Z9" s="40">
        <v>15</v>
      </c>
      <c r="AA9" s="39"/>
      <c r="AB9" s="29">
        <v>5</v>
      </c>
      <c r="AC9" s="39" t="s">
        <v>42</v>
      </c>
      <c r="AD9">
        <f>0.264*10</f>
        <v>2.64</v>
      </c>
      <c r="AE9">
        <v>2.6389999999999998</v>
      </c>
      <c r="AF9">
        <f>0.264*10</f>
        <v>2.64</v>
      </c>
      <c r="AG9" s="39"/>
      <c r="AH9" s="39"/>
      <c r="AI9" s="39"/>
      <c r="AK9" s="34">
        <v>5</v>
      </c>
      <c r="AL9" s="34">
        <v>4</v>
      </c>
      <c r="AN9" s="29">
        <v>5</v>
      </c>
      <c r="AO9" s="40">
        <v>12</v>
      </c>
      <c r="AP9" s="41"/>
      <c r="AQ9" s="37" t="s">
        <v>53</v>
      </c>
      <c r="AR9" s="42">
        <v>1</v>
      </c>
      <c r="AT9" s="34">
        <v>5</v>
      </c>
      <c r="AU9" s="35">
        <v>10.445</v>
      </c>
      <c r="AV9" s="35">
        <v>0.10199999999999999</v>
      </c>
      <c r="AW9" s="35">
        <v>10.153</v>
      </c>
      <c r="AX9" s="35">
        <v>10.097</v>
      </c>
      <c r="AY9" s="35">
        <v>11.754</v>
      </c>
      <c r="AZ9" s="35">
        <v>11.888</v>
      </c>
      <c r="BA9" s="35">
        <v>11.817</v>
      </c>
      <c r="BB9" s="35">
        <v>12.243</v>
      </c>
    </row>
    <row r="10" spans="1:54" ht="14.25" customHeight="1" x14ac:dyDescent="0.35">
      <c r="B10" s="34">
        <v>6</v>
      </c>
      <c r="C10" s="35">
        <v>10.436</v>
      </c>
      <c r="D10" s="35">
        <v>10.503</v>
      </c>
      <c r="E10" s="35">
        <v>10.907</v>
      </c>
      <c r="F10" s="35">
        <v>10.458</v>
      </c>
      <c r="G10" s="35">
        <v>9.8070000000000004</v>
      </c>
      <c r="H10" s="35"/>
      <c r="I10" s="34">
        <v>31</v>
      </c>
      <c r="J10" s="35">
        <v>10.343</v>
      </c>
      <c r="K10" s="35">
        <v>10.587999999999999</v>
      </c>
      <c r="L10" s="35">
        <v>10.276999999999999</v>
      </c>
      <c r="M10" s="35">
        <v>10.388</v>
      </c>
      <c r="N10" s="35">
        <v>10.398999999999999</v>
      </c>
      <c r="O10" s="35"/>
      <c r="R10" s="39"/>
      <c r="S10" s="29">
        <v>6</v>
      </c>
      <c r="T10" s="35">
        <v>3.0967303679999998</v>
      </c>
      <c r="V10" s="29">
        <v>6</v>
      </c>
      <c r="W10" s="40">
        <v>5</v>
      </c>
      <c r="X10" s="39"/>
      <c r="Y10" s="29">
        <v>6</v>
      </c>
      <c r="Z10" s="40">
        <v>9</v>
      </c>
      <c r="AA10" s="39"/>
      <c r="AB10" s="29">
        <v>6</v>
      </c>
      <c r="AC10" s="39" t="s">
        <v>46</v>
      </c>
      <c r="AD10">
        <v>0.28399999999999997</v>
      </c>
      <c r="AE10">
        <v>0.28399999999999997</v>
      </c>
      <c r="AF10">
        <v>2.8410000000000002</v>
      </c>
      <c r="AG10" s="39"/>
      <c r="AH10" s="39"/>
      <c r="AI10" s="39"/>
      <c r="AK10" s="34">
        <v>6</v>
      </c>
      <c r="AL10" s="34">
        <v>3</v>
      </c>
      <c r="AN10" s="29">
        <v>6</v>
      </c>
      <c r="AO10" s="40">
        <v>8</v>
      </c>
      <c r="AP10" s="41"/>
      <c r="AQ10" s="37" t="s">
        <v>54</v>
      </c>
      <c r="AR10" s="43">
        <v>0.1</v>
      </c>
      <c r="AT10" s="34">
        <v>6</v>
      </c>
      <c r="AU10" s="35">
        <v>9.9930000000000003</v>
      </c>
      <c r="AV10" s="35">
        <v>9.9740000000000002</v>
      </c>
      <c r="AW10" s="35">
        <v>10.051</v>
      </c>
      <c r="AX10" s="35">
        <v>10.433999999999999</v>
      </c>
      <c r="AY10" s="35">
        <v>11.843999999999999</v>
      </c>
      <c r="AZ10" s="35">
        <v>11.978999999999999</v>
      </c>
      <c r="BA10" s="35">
        <v>12.063000000000001</v>
      </c>
      <c r="BB10" s="35">
        <v>11.893000000000001</v>
      </c>
    </row>
    <row r="11" spans="1:54" ht="14.25" customHeight="1" x14ac:dyDescent="0.35">
      <c r="B11" s="34">
        <v>7</v>
      </c>
      <c r="C11" s="35">
        <v>10.682</v>
      </c>
      <c r="D11" s="35">
        <v>10.446999999999999</v>
      </c>
      <c r="E11" s="35">
        <v>10.323</v>
      </c>
      <c r="F11" s="35">
        <v>10.311999999999999</v>
      </c>
      <c r="G11" s="35">
        <v>10.805999999999999</v>
      </c>
      <c r="H11" s="35"/>
      <c r="I11" s="34">
        <v>32</v>
      </c>
      <c r="J11" s="35">
        <v>1.0509999999999999</v>
      </c>
      <c r="K11" s="35">
        <v>10.420999999999999</v>
      </c>
      <c r="L11" s="35">
        <v>10.221</v>
      </c>
      <c r="M11" s="35">
        <v>10.555</v>
      </c>
      <c r="N11" s="35">
        <v>10.555</v>
      </c>
      <c r="O11" s="35"/>
      <c r="R11" s="39"/>
      <c r="S11" s="29">
        <v>7</v>
      </c>
      <c r="T11" s="35">
        <v>3.3090723839999998</v>
      </c>
      <c r="V11" s="29">
        <v>7</v>
      </c>
      <c r="W11" s="40">
        <v>7</v>
      </c>
      <c r="X11" s="39"/>
      <c r="Y11" s="29">
        <v>7</v>
      </c>
      <c r="Z11" s="40">
        <v>9</v>
      </c>
      <c r="AA11" s="39"/>
      <c r="AB11" s="29">
        <v>7</v>
      </c>
      <c r="AC11" s="39" t="s">
        <v>46</v>
      </c>
      <c r="AD11">
        <v>0.28399999999999997</v>
      </c>
      <c r="AE11">
        <v>2.8410000000000002</v>
      </c>
      <c r="AF11">
        <v>0.28399999999999997</v>
      </c>
      <c r="AG11" s="39"/>
      <c r="AH11" s="39"/>
      <c r="AI11" s="39"/>
      <c r="AK11" s="34">
        <v>7</v>
      </c>
      <c r="AL11" s="34">
        <v>12</v>
      </c>
      <c r="AN11" s="29">
        <v>7</v>
      </c>
      <c r="AO11" s="40">
        <v>12</v>
      </c>
      <c r="AP11" s="41"/>
      <c r="AQ11" s="41"/>
      <c r="AR11" s="41"/>
      <c r="AT11" s="34">
        <v>7</v>
      </c>
      <c r="AU11" s="35">
        <v>1.024</v>
      </c>
      <c r="AV11" s="35">
        <v>10.021000000000001</v>
      </c>
      <c r="AW11" s="35">
        <v>10.297000000000001</v>
      </c>
      <c r="AX11" s="35">
        <v>9.8010000000000002</v>
      </c>
      <c r="AY11" s="35">
        <v>11.750999999999999</v>
      </c>
      <c r="AZ11" s="35">
        <v>11.962999999999999</v>
      </c>
      <c r="BA11" s="35">
        <v>11.901999999999999</v>
      </c>
      <c r="BB11" s="35">
        <v>11.882999999999999</v>
      </c>
    </row>
    <row r="12" spans="1:54" ht="14.25" customHeight="1" x14ac:dyDescent="0.35">
      <c r="B12" s="34">
        <v>8</v>
      </c>
      <c r="C12" s="35">
        <v>10.356999999999999</v>
      </c>
      <c r="D12" s="35">
        <v>10.481</v>
      </c>
      <c r="E12" s="35">
        <v>10.446999999999999</v>
      </c>
      <c r="F12" s="35">
        <v>10.468999999999999</v>
      </c>
      <c r="G12" s="35">
        <v>10.638</v>
      </c>
      <c r="H12" s="35"/>
      <c r="I12" s="34">
        <v>33</v>
      </c>
      <c r="J12" s="35">
        <v>10.231999999999999</v>
      </c>
      <c r="K12" s="35">
        <v>10.477</v>
      </c>
      <c r="L12" s="35">
        <v>1.0409999999999999</v>
      </c>
      <c r="M12" s="35">
        <v>10.542999999999999</v>
      </c>
      <c r="N12" s="35">
        <v>10.532</v>
      </c>
      <c r="O12" s="35"/>
      <c r="R12" s="39"/>
      <c r="S12" s="29">
        <v>8</v>
      </c>
      <c r="T12" s="35">
        <v>3.77440928</v>
      </c>
      <c r="V12" s="29">
        <v>8</v>
      </c>
      <c r="W12" s="40">
        <v>12</v>
      </c>
      <c r="X12" s="39"/>
      <c r="Y12" s="29">
        <v>8</v>
      </c>
      <c r="Z12" s="40">
        <v>5</v>
      </c>
      <c r="AA12" s="39"/>
      <c r="AB12" s="29">
        <v>8</v>
      </c>
      <c r="AC12" s="39" t="s">
        <v>46</v>
      </c>
      <c r="AD12">
        <v>2.839</v>
      </c>
      <c r="AE12">
        <v>0.28399999999999997</v>
      </c>
      <c r="AF12">
        <v>2.839</v>
      </c>
      <c r="AG12" s="39"/>
      <c r="AH12" s="39"/>
      <c r="AI12" s="39"/>
      <c r="AK12" s="34">
        <v>8</v>
      </c>
      <c r="AL12" s="34">
        <v>12</v>
      </c>
      <c r="AN12" s="29">
        <v>8</v>
      </c>
      <c r="AO12" s="40">
        <v>12</v>
      </c>
      <c r="AP12" s="41"/>
      <c r="AQ12" s="41"/>
      <c r="AR12" s="41"/>
      <c r="AT12" s="34">
        <v>8</v>
      </c>
      <c r="AU12" s="35">
        <v>10.256</v>
      </c>
      <c r="AV12" s="35">
        <v>10.138999999999999</v>
      </c>
      <c r="AW12" s="35">
        <v>10.089</v>
      </c>
      <c r="AX12" s="35">
        <v>10.071999999999999</v>
      </c>
      <c r="AY12" s="35">
        <v>11.962</v>
      </c>
      <c r="AZ12" s="35">
        <v>11.657999999999999</v>
      </c>
      <c r="BA12" s="35">
        <v>11.757</v>
      </c>
      <c r="BB12" s="35">
        <v>11.932</v>
      </c>
    </row>
    <row r="13" spans="1:54" ht="14.25" customHeight="1" x14ac:dyDescent="0.35">
      <c r="B13" s="34">
        <v>9</v>
      </c>
      <c r="C13" s="35">
        <v>10.682</v>
      </c>
      <c r="D13" s="35">
        <v>10.907</v>
      </c>
      <c r="E13" s="35">
        <v>10.401999999999999</v>
      </c>
      <c r="F13" s="35">
        <v>1.0289999999999999</v>
      </c>
      <c r="G13" s="35">
        <v>10.581</v>
      </c>
      <c r="H13" s="35"/>
      <c r="I13" s="34">
        <v>34</v>
      </c>
      <c r="J13" s="35">
        <v>10.566000000000001</v>
      </c>
      <c r="K13" s="35">
        <v>10.332000000000001</v>
      </c>
      <c r="L13" s="35">
        <v>10.332000000000001</v>
      </c>
      <c r="M13" s="35">
        <v>10.332000000000001</v>
      </c>
      <c r="N13" s="35">
        <v>10.632</v>
      </c>
      <c r="O13" s="35"/>
      <c r="R13" s="39"/>
      <c r="S13" s="29">
        <v>9</v>
      </c>
      <c r="T13" s="35">
        <v>3.6511426560000002</v>
      </c>
      <c r="V13" s="29">
        <v>9</v>
      </c>
      <c r="W13" s="40">
        <v>8</v>
      </c>
      <c r="X13" s="39"/>
      <c r="Y13" s="29">
        <v>9</v>
      </c>
      <c r="Z13" s="40">
        <v>6</v>
      </c>
      <c r="AA13" s="39"/>
      <c r="AB13" s="29">
        <v>9</v>
      </c>
      <c r="AC13" s="39" t="s">
        <v>46</v>
      </c>
      <c r="AD13">
        <v>2.839</v>
      </c>
      <c r="AE13">
        <v>2.8410000000000002</v>
      </c>
      <c r="AF13">
        <v>2.8410000000000002</v>
      </c>
      <c r="AG13" s="39"/>
      <c r="AH13" s="39"/>
      <c r="AI13" s="39"/>
      <c r="AK13" s="34">
        <v>9</v>
      </c>
      <c r="AL13" s="34">
        <v>12</v>
      </c>
      <c r="AN13" s="29">
        <v>9</v>
      </c>
      <c r="AO13" s="40">
        <v>9</v>
      </c>
      <c r="AP13" s="41"/>
      <c r="AR13" s="41"/>
      <c r="AT13" s="34">
        <v>9</v>
      </c>
      <c r="AU13" s="35">
        <v>9.9830000000000005</v>
      </c>
      <c r="AV13" s="35">
        <v>10.128</v>
      </c>
      <c r="AW13" s="35">
        <v>10.221</v>
      </c>
      <c r="AX13" s="35">
        <v>10.042999999999999</v>
      </c>
      <c r="AY13" s="35">
        <v>11.691000000000001</v>
      </c>
      <c r="AZ13" s="35">
        <v>0.121</v>
      </c>
      <c r="BA13" s="35">
        <v>12.004</v>
      </c>
      <c r="BB13" s="35">
        <v>0.11799999999999999</v>
      </c>
    </row>
    <row r="14" spans="1:54" ht="14.25" customHeight="1" x14ac:dyDescent="0.35">
      <c r="B14" s="34">
        <v>10</v>
      </c>
      <c r="C14" s="35">
        <v>10.525</v>
      </c>
      <c r="D14" s="35">
        <v>10.682</v>
      </c>
      <c r="E14" s="35">
        <v>10.581</v>
      </c>
      <c r="F14" s="35">
        <v>1.0660000000000001</v>
      </c>
      <c r="G14" s="35">
        <v>10.817</v>
      </c>
      <c r="H14" s="35"/>
      <c r="I14" s="34">
        <v>35</v>
      </c>
      <c r="J14" s="35">
        <v>10.343</v>
      </c>
      <c r="K14" s="35">
        <v>10.455</v>
      </c>
      <c r="L14" s="35">
        <v>10.587999999999999</v>
      </c>
      <c r="M14" s="35">
        <v>1.0409999999999999</v>
      </c>
      <c r="N14" s="35">
        <v>1.0209999999999999</v>
      </c>
      <c r="O14" s="35"/>
      <c r="R14" s="39"/>
      <c r="S14" s="29">
        <v>10</v>
      </c>
      <c r="T14" s="35">
        <v>3.1736181760000002</v>
      </c>
      <c r="V14" s="29">
        <v>10</v>
      </c>
      <c r="W14" s="40">
        <v>7</v>
      </c>
      <c r="X14" s="39"/>
      <c r="Y14" s="29">
        <v>10</v>
      </c>
      <c r="Z14" s="40">
        <v>11</v>
      </c>
      <c r="AA14" s="39"/>
      <c r="AB14" s="29">
        <v>10</v>
      </c>
      <c r="AC14" s="39" t="s">
        <v>46</v>
      </c>
      <c r="AD14">
        <v>2.839</v>
      </c>
      <c r="AE14">
        <v>2.8420000000000001</v>
      </c>
      <c r="AF14">
        <v>0.28399999999999997</v>
      </c>
      <c r="AG14" s="39"/>
      <c r="AH14" s="39"/>
      <c r="AI14" s="39"/>
      <c r="AK14" s="34">
        <v>10</v>
      </c>
      <c r="AL14" s="34">
        <v>5</v>
      </c>
      <c r="AN14" s="29">
        <v>10</v>
      </c>
      <c r="AO14" s="40">
        <v>8</v>
      </c>
      <c r="AP14" s="41"/>
      <c r="AR14" s="41"/>
      <c r="AT14" s="34">
        <v>10</v>
      </c>
      <c r="AU14" s="35">
        <v>10.093</v>
      </c>
      <c r="AV14" s="35">
        <v>10.125</v>
      </c>
      <c r="AW14" s="35">
        <v>10.116</v>
      </c>
      <c r="AX14" s="35">
        <v>10.071</v>
      </c>
      <c r="AY14" s="35">
        <v>11.875999999999999</v>
      </c>
      <c r="AZ14" s="35">
        <v>12.006</v>
      </c>
      <c r="BA14" s="35">
        <v>12.065</v>
      </c>
      <c r="BB14" s="35">
        <v>11.847</v>
      </c>
    </row>
    <row r="15" spans="1:54" ht="14.25" customHeight="1" x14ac:dyDescent="0.35">
      <c r="B15" s="34">
        <v>11</v>
      </c>
      <c r="C15" s="35">
        <v>10.795</v>
      </c>
      <c r="D15" s="35">
        <v>10.423999999999999</v>
      </c>
      <c r="E15" s="35">
        <v>10.638</v>
      </c>
      <c r="F15" s="35">
        <v>11.109</v>
      </c>
      <c r="G15" s="35">
        <v>11.109</v>
      </c>
      <c r="H15" s="35"/>
      <c r="I15" s="34">
        <v>36</v>
      </c>
      <c r="J15" s="35">
        <v>10.432</v>
      </c>
      <c r="K15" s="35">
        <v>10.577</v>
      </c>
      <c r="L15" s="35">
        <v>10.255000000000001</v>
      </c>
      <c r="M15" s="35">
        <v>10.420999999999999</v>
      </c>
      <c r="N15" s="35">
        <v>10.477</v>
      </c>
      <c r="O15" s="35"/>
      <c r="R15" s="39"/>
      <c r="S15" s="29">
        <v>11</v>
      </c>
      <c r="T15" s="35">
        <v>3.37522944</v>
      </c>
      <c r="V15" s="29">
        <v>11</v>
      </c>
      <c r="W15" s="40">
        <v>5</v>
      </c>
      <c r="X15" s="39"/>
      <c r="Y15" s="29">
        <v>11</v>
      </c>
      <c r="Z15" s="40">
        <v>6</v>
      </c>
      <c r="AA15" s="39"/>
      <c r="AB15" s="29">
        <v>11</v>
      </c>
      <c r="AC15" s="39" t="s">
        <v>49</v>
      </c>
      <c r="AD15">
        <v>3.0409999999999999</v>
      </c>
      <c r="AE15">
        <v>3.0409999999999999</v>
      </c>
      <c r="AF15">
        <v>3.0390000000000001</v>
      </c>
      <c r="AG15" s="39"/>
      <c r="AH15" s="39"/>
      <c r="AI15" s="39"/>
      <c r="AK15" s="34">
        <v>11</v>
      </c>
      <c r="AL15" s="34">
        <v>4</v>
      </c>
      <c r="AN15" s="29">
        <v>11</v>
      </c>
      <c r="AO15" s="40">
        <v>8</v>
      </c>
      <c r="AP15" s="41"/>
      <c r="AR15" s="41"/>
      <c r="AT15" s="34">
        <v>11</v>
      </c>
      <c r="AU15" s="35">
        <v>10.194000000000001</v>
      </c>
      <c r="AV15" s="35">
        <v>10.329000000000001</v>
      </c>
      <c r="AW15" s="35">
        <v>10.041</v>
      </c>
      <c r="AX15" s="35">
        <v>10.362</v>
      </c>
      <c r="AY15" s="35">
        <v>12.067</v>
      </c>
      <c r="AZ15" s="35">
        <v>11.922000000000001</v>
      </c>
      <c r="BA15" s="35">
        <v>12.122999999999999</v>
      </c>
      <c r="BB15" s="35">
        <v>11.791</v>
      </c>
    </row>
    <row r="16" spans="1:54" ht="14.25" customHeight="1" x14ac:dyDescent="0.35">
      <c r="B16" s="34">
        <v>12</v>
      </c>
      <c r="C16" s="35">
        <v>10.581</v>
      </c>
      <c r="D16" s="35">
        <v>10.503</v>
      </c>
      <c r="E16" s="35">
        <v>10.436</v>
      </c>
      <c r="F16" s="35">
        <v>1.038</v>
      </c>
      <c r="G16" s="35">
        <v>10.952</v>
      </c>
      <c r="H16" s="35"/>
      <c r="I16" s="34">
        <v>37</v>
      </c>
      <c r="J16" s="35">
        <v>10.455</v>
      </c>
      <c r="K16" s="35">
        <v>1.0609999999999999</v>
      </c>
      <c r="L16" s="35">
        <v>10.654</v>
      </c>
      <c r="M16" s="35">
        <v>10.477</v>
      </c>
      <c r="N16" s="35">
        <v>10.398999999999999</v>
      </c>
      <c r="O16" s="35"/>
      <c r="R16" s="39"/>
      <c r="S16" s="29">
        <v>12</v>
      </c>
      <c r="T16" s="35">
        <v>3.7174376960000002</v>
      </c>
      <c r="V16" s="29">
        <v>12</v>
      </c>
      <c r="W16" s="40">
        <v>15</v>
      </c>
      <c r="X16" s="39"/>
      <c r="Y16" s="29">
        <v>12</v>
      </c>
      <c r="Z16" s="40">
        <v>8</v>
      </c>
      <c r="AA16" s="39"/>
      <c r="AB16" s="29">
        <v>12</v>
      </c>
      <c r="AC16" s="39" t="s">
        <v>49</v>
      </c>
      <c r="AD16">
        <v>3.0390000000000001</v>
      </c>
      <c r="AE16">
        <v>3.0409999999999999</v>
      </c>
      <c r="AF16">
        <v>0.30399999999999999</v>
      </c>
      <c r="AG16" s="39"/>
      <c r="AH16" s="39"/>
      <c r="AI16" s="39"/>
      <c r="AK16" s="34">
        <v>12</v>
      </c>
      <c r="AL16" s="34">
        <v>7</v>
      </c>
      <c r="AN16" s="29">
        <v>12</v>
      </c>
      <c r="AO16" s="40">
        <v>1</v>
      </c>
      <c r="AP16" s="41"/>
      <c r="AR16" s="41"/>
      <c r="AT16" s="34">
        <v>12</v>
      </c>
      <c r="AU16" s="35">
        <v>10.195</v>
      </c>
      <c r="AV16" s="35">
        <v>9.9179999999999993</v>
      </c>
      <c r="AW16" s="35">
        <v>10.228999999999999</v>
      </c>
      <c r="AX16" s="35">
        <v>10.141</v>
      </c>
      <c r="AY16" s="35">
        <v>12.045</v>
      </c>
      <c r="AZ16" s="35">
        <v>11.984999999999999</v>
      </c>
      <c r="BA16" s="35">
        <v>12.015000000000001</v>
      </c>
      <c r="BB16" s="35">
        <v>11.845000000000001</v>
      </c>
    </row>
    <row r="17" spans="2:54" ht="14.25" customHeight="1" x14ac:dyDescent="0.35">
      <c r="B17" s="34">
        <v>13</v>
      </c>
      <c r="C17" s="35">
        <v>10.705</v>
      </c>
      <c r="D17" s="35">
        <v>10.356999999999999</v>
      </c>
      <c r="E17" s="35">
        <v>10.356999999999999</v>
      </c>
      <c r="F17" s="35">
        <v>10.537000000000001</v>
      </c>
      <c r="G17" s="35">
        <v>10.513999999999999</v>
      </c>
      <c r="H17" s="35"/>
      <c r="I17" s="34">
        <v>38</v>
      </c>
      <c r="J17" s="35">
        <v>10.455</v>
      </c>
      <c r="K17" s="35">
        <v>10.455</v>
      </c>
      <c r="L17" s="35">
        <v>10.432</v>
      </c>
      <c r="M17" s="35">
        <v>10.298999999999999</v>
      </c>
      <c r="N17" s="35">
        <v>10.231999999999999</v>
      </c>
      <c r="O17" s="35"/>
      <c r="R17" s="39"/>
      <c r="S17" s="29">
        <v>13</v>
      </c>
      <c r="T17" s="35">
        <v>3.5066224639999999</v>
      </c>
      <c r="V17" s="29">
        <v>13</v>
      </c>
      <c r="W17" s="40">
        <v>5</v>
      </c>
      <c r="X17" s="39"/>
      <c r="Y17" s="29">
        <v>13</v>
      </c>
      <c r="Z17" s="40">
        <v>5</v>
      </c>
      <c r="AA17" s="39"/>
      <c r="AB17" s="29">
        <v>13</v>
      </c>
      <c r="AC17" s="39" t="s">
        <v>49</v>
      </c>
      <c r="AD17">
        <v>0.30399999999999999</v>
      </c>
      <c r="AE17">
        <v>0.30399999999999999</v>
      </c>
      <c r="AF17">
        <v>3.0419999999999998</v>
      </c>
      <c r="AG17" s="39"/>
      <c r="AH17" s="39"/>
      <c r="AI17" s="39"/>
      <c r="AK17" s="34">
        <v>13</v>
      </c>
      <c r="AL17" s="34">
        <v>9</v>
      </c>
      <c r="AN17" s="29">
        <v>13</v>
      </c>
      <c r="AO17" s="40">
        <v>13</v>
      </c>
      <c r="AP17" s="41"/>
      <c r="AR17" s="41"/>
      <c r="AT17" s="34">
        <v>13</v>
      </c>
      <c r="AU17" s="35">
        <v>10.131</v>
      </c>
      <c r="AV17" s="35">
        <v>0.995</v>
      </c>
      <c r="AW17" s="35">
        <v>9.8149999999999995</v>
      </c>
      <c r="AX17" s="35">
        <v>10.228999999999999</v>
      </c>
      <c r="AY17" s="35">
        <v>11.872999999999999</v>
      </c>
      <c r="AZ17" s="35">
        <v>12.047000000000001</v>
      </c>
      <c r="BA17" s="35">
        <v>11.648</v>
      </c>
      <c r="BB17" s="35">
        <v>12.032999999999999</v>
      </c>
    </row>
    <row r="18" spans="2:54" ht="14.25" customHeight="1" x14ac:dyDescent="0.35">
      <c r="B18" s="34">
        <v>14</v>
      </c>
      <c r="C18" s="35">
        <v>10.413</v>
      </c>
      <c r="D18" s="35">
        <v>10.335000000000001</v>
      </c>
      <c r="E18" s="35">
        <v>10.468999999999999</v>
      </c>
      <c r="F18" s="35">
        <v>10.423999999999999</v>
      </c>
      <c r="G18" s="35">
        <v>10.558999999999999</v>
      </c>
      <c r="H18" s="35"/>
      <c r="I18" s="34">
        <v>39</v>
      </c>
      <c r="J18" s="35">
        <v>10.587999999999999</v>
      </c>
      <c r="K18" s="35">
        <v>10.677</v>
      </c>
      <c r="L18" s="35">
        <v>10.231999999999999</v>
      </c>
      <c r="M18" s="35">
        <v>1.0509999999999999</v>
      </c>
      <c r="N18" s="35">
        <v>10.632</v>
      </c>
      <c r="O18" s="35"/>
      <c r="R18" s="39"/>
      <c r="S18" s="29">
        <v>14</v>
      </c>
      <c r="T18" s="35">
        <v>3.7445360000000001</v>
      </c>
      <c r="V18" s="29">
        <v>14</v>
      </c>
      <c r="W18" s="40">
        <v>14</v>
      </c>
      <c r="X18" s="39"/>
      <c r="Y18" s="29">
        <v>14</v>
      </c>
      <c r="Z18" s="40">
        <v>5</v>
      </c>
      <c r="AA18" s="39"/>
      <c r="AB18" s="29">
        <v>14</v>
      </c>
      <c r="AC18" s="39" t="s">
        <v>49</v>
      </c>
      <c r="AD18">
        <v>3.0409999999999999</v>
      </c>
      <c r="AE18">
        <v>0.30399999999999999</v>
      </c>
      <c r="AF18">
        <v>3.0390000000000001</v>
      </c>
      <c r="AG18" s="39"/>
      <c r="AH18" s="39"/>
      <c r="AI18" s="39"/>
      <c r="AK18" s="34">
        <v>14</v>
      </c>
      <c r="AL18" s="34">
        <v>12</v>
      </c>
      <c r="AN18" s="29">
        <v>14</v>
      </c>
      <c r="AO18" s="40">
        <v>12</v>
      </c>
      <c r="AP18" s="41"/>
      <c r="AR18" s="41"/>
      <c r="AT18" s="34">
        <v>14</v>
      </c>
      <c r="AU18" s="35">
        <v>10.167999999999999</v>
      </c>
      <c r="AV18" s="35">
        <v>9.7569999999999997</v>
      </c>
      <c r="AW18" s="35">
        <v>9.9689999999999994</v>
      </c>
      <c r="AX18" s="35">
        <v>10.198</v>
      </c>
      <c r="AY18" s="35">
        <v>1.1879999999999999</v>
      </c>
      <c r="AZ18" s="35">
        <v>11.909000000000001</v>
      </c>
      <c r="BA18" s="35">
        <v>11.923</v>
      </c>
      <c r="BB18" s="35">
        <v>11.895</v>
      </c>
    </row>
    <row r="19" spans="2:54" ht="14.25" customHeight="1" x14ac:dyDescent="0.35">
      <c r="B19" s="34">
        <v>15</v>
      </c>
      <c r="C19" s="35">
        <v>1.0109999999999999</v>
      </c>
      <c r="D19" s="35">
        <v>10.603999999999999</v>
      </c>
      <c r="E19" s="35">
        <v>10.513999999999999</v>
      </c>
      <c r="F19" s="35">
        <v>1.0569999999999999</v>
      </c>
      <c r="G19" s="35">
        <v>10.503</v>
      </c>
      <c r="H19" s="35"/>
      <c r="I19" s="34">
        <v>40</v>
      </c>
      <c r="J19" s="35">
        <v>10.398999999999999</v>
      </c>
      <c r="K19" s="35">
        <v>10.443</v>
      </c>
      <c r="L19" s="35">
        <v>10.532</v>
      </c>
      <c r="M19" s="35">
        <v>1.0609999999999999</v>
      </c>
      <c r="N19" s="35">
        <v>10.266</v>
      </c>
      <c r="O19" s="35"/>
      <c r="R19" s="39"/>
      <c r="S19" s="29">
        <v>15</v>
      </c>
      <c r="T19" s="35">
        <v>3.084029696</v>
      </c>
      <c r="V19" s="29">
        <v>15</v>
      </c>
      <c r="W19" s="40">
        <v>11</v>
      </c>
      <c r="X19" s="39"/>
      <c r="Y19" s="29">
        <v>15</v>
      </c>
      <c r="Z19" s="40">
        <v>12</v>
      </c>
      <c r="AA19" s="39"/>
      <c r="AB19" s="29">
        <v>15</v>
      </c>
      <c r="AC19" s="39" t="s">
        <v>49</v>
      </c>
      <c r="AD19">
        <v>3.0390000000000001</v>
      </c>
      <c r="AE19">
        <v>3.0379999999999998</v>
      </c>
      <c r="AF19">
        <v>0.30399999999999999</v>
      </c>
      <c r="AG19" s="39"/>
      <c r="AH19" s="39"/>
      <c r="AI19" s="39"/>
      <c r="AK19" s="34">
        <v>15</v>
      </c>
      <c r="AL19" s="34">
        <v>7</v>
      </c>
      <c r="AN19" s="29">
        <v>15</v>
      </c>
      <c r="AO19" s="40">
        <v>8</v>
      </c>
      <c r="AP19" s="41"/>
      <c r="AR19" s="41"/>
      <c r="AT19" s="34">
        <v>15</v>
      </c>
      <c r="AU19" s="35">
        <v>10.278</v>
      </c>
      <c r="AV19" s="35">
        <v>1.0329999999999999</v>
      </c>
      <c r="AW19" s="35">
        <v>9.9440000000000008</v>
      </c>
      <c r="AX19" s="35">
        <v>10.301</v>
      </c>
      <c r="AY19" s="35">
        <v>12.037000000000001</v>
      </c>
      <c r="AZ19" s="35">
        <v>11.786</v>
      </c>
      <c r="BA19" s="35">
        <v>12.061999999999999</v>
      </c>
      <c r="BB19" s="35">
        <v>11.968999999999999</v>
      </c>
    </row>
    <row r="20" spans="2:54" ht="14.25" customHeight="1" x14ac:dyDescent="0.35">
      <c r="B20" s="34">
        <v>16</v>
      </c>
      <c r="C20" s="35">
        <v>1.0569999999999999</v>
      </c>
      <c r="D20" s="35">
        <v>10.625999999999999</v>
      </c>
      <c r="E20" s="35">
        <v>10.368</v>
      </c>
      <c r="F20" s="35">
        <v>10.670999999999999</v>
      </c>
      <c r="G20" s="35">
        <v>10.705</v>
      </c>
      <c r="H20" s="35"/>
      <c r="I20" s="34">
        <v>41</v>
      </c>
      <c r="J20" s="35">
        <v>10.666</v>
      </c>
      <c r="K20" s="35">
        <v>10.599</v>
      </c>
      <c r="L20" s="35">
        <v>10.465999999999999</v>
      </c>
      <c r="M20" s="35">
        <v>10.321</v>
      </c>
      <c r="N20" s="35">
        <v>10.465999999999999</v>
      </c>
      <c r="O20" s="35"/>
      <c r="R20" s="39"/>
      <c r="S20" s="29">
        <v>16</v>
      </c>
      <c r="T20" s="35">
        <v>3.6532833280000001</v>
      </c>
      <c r="V20" s="29">
        <v>16</v>
      </c>
      <c r="W20" s="40">
        <v>11</v>
      </c>
      <c r="X20" s="39"/>
      <c r="Y20" s="29">
        <v>16</v>
      </c>
      <c r="Z20" s="40">
        <v>6</v>
      </c>
      <c r="AA20" s="39"/>
      <c r="AB20" s="29">
        <v>16</v>
      </c>
      <c r="AC20" s="39" t="s">
        <v>51</v>
      </c>
      <c r="AD20">
        <v>3.2389999999999999</v>
      </c>
      <c r="AE20">
        <v>3.2389999999999999</v>
      </c>
      <c r="AF20">
        <v>3.2410000000000001</v>
      </c>
      <c r="AG20" s="39"/>
      <c r="AH20" s="39"/>
      <c r="AI20" s="39"/>
      <c r="AK20" s="34">
        <v>16</v>
      </c>
      <c r="AL20" s="34">
        <v>11</v>
      </c>
      <c r="AN20" s="29">
        <v>16</v>
      </c>
      <c r="AO20" s="40">
        <v>11</v>
      </c>
      <c r="AP20" s="41"/>
      <c r="AR20" s="41"/>
      <c r="AT20" s="34">
        <v>16</v>
      </c>
      <c r="AU20" s="35">
        <v>10.025</v>
      </c>
      <c r="AV20" s="35">
        <v>1.018</v>
      </c>
      <c r="AW20" s="35">
        <v>10.218</v>
      </c>
      <c r="AX20" s="35">
        <v>1.004</v>
      </c>
      <c r="AY20" s="35">
        <v>12.090999999999999</v>
      </c>
      <c r="AZ20" s="35">
        <v>11.914999999999999</v>
      </c>
      <c r="BA20" s="35">
        <v>12.005000000000001</v>
      </c>
      <c r="BB20" s="35">
        <v>11.861000000000001</v>
      </c>
    </row>
    <row r="21" spans="2:54" ht="14.25" customHeight="1" x14ac:dyDescent="0.35">
      <c r="B21" s="34">
        <v>17</v>
      </c>
      <c r="C21" s="35">
        <v>10.727</v>
      </c>
      <c r="D21" s="35">
        <v>10.458</v>
      </c>
      <c r="E21" s="35">
        <v>9.7059999999999995</v>
      </c>
      <c r="F21" s="35">
        <v>10.346</v>
      </c>
      <c r="G21" s="35">
        <v>10.603999999999999</v>
      </c>
      <c r="H21" s="35"/>
      <c r="I21" s="34">
        <v>42</v>
      </c>
      <c r="J21" s="35">
        <v>10.555</v>
      </c>
      <c r="K21" s="35">
        <v>10.288</v>
      </c>
      <c r="L21" s="35">
        <v>10.465999999999999</v>
      </c>
      <c r="M21" s="35">
        <v>10.420999999999999</v>
      </c>
      <c r="N21" s="35">
        <v>10.266</v>
      </c>
      <c r="O21" s="35"/>
      <c r="R21" s="39"/>
      <c r="S21" s="29">
        <v>17</v>
      </c>
      <c r="T21" s="35">
        <v>3.3985717759999998</v>
      </c>
      <c r="V21" s="29">
        <v>17</v>
      </c>
      <c r="W21" s="40">
        <v>5</v>
      </c>
      <c r="X21" s="39"/>
      <c r="Y21" s="29">
        <v>17</v>
      </c>
      <c r="Z21" s="40">
        <v>13</v>
      </c>
      <c r="AA21" s="39"/>
      <c r="AB21" s="29">
        <v>17</v>
      </c>
      <c r="AC21" s="39" t="s">
        <v>51</v>
      </c>
      <c r="AD21">
        <v>3.2410000000000001</v>
      </c>
      <c r="AE21">
        <v>3.242</v>
      </c>
      <c r="AF21">
        <v>3.2410000000000001</v>
      </c>
      <c r="AG21" s="39"/>
      <c r="AH21" s="39"/>
      <c r="AI21" s="39"/>
      <c r="AK21" s="34">
        <v>17</v>
      </c>
      <c r="AL21" s="34">
        <v>8</v>
      </c>
      <c r="AN21" s="29">
        <v>17</v>
      </c>
      <c r="AO21" s="40">
        <v>7</v>
      </c>
      <c r="AP21" s="41"/>
      <c r="AR21" s="41"/>
      <c r="AT21" s="34">
        <v>17</v>
      </c>
      <c r="AU21" s="35">
        <v>10.082000000000001</v>
      </c>
      <c r="AV21" s="35">
        <v>10.244999999999999</v>
      </c>
      <c r="AW21" s="35">
        <v>9.9649999999999999</v>
      </c>
      <c r="AX21" s="35">
        <v>10.063000000000001</v>
      </c>
      <c r="AY21" s="35">
        <v>11.618</v>
      </c>
      <c r="AZ21" s="35">
        <v>12.058</v>
      </c>
      <c r="BA21" s="35">
        <v>11.795</v>
      </c>
      <c r="BB21" s="35">
        <v>0.12</v>
      </c>
    </row>
    <row r="22" spans="2:54" ht="14.25" customHeight="1" x14ac:dyDescent="0.35">
      <c r="B22" s="34">
        <v>18</v>
      </c>
      <c r="C22" s="35">
        <v>10.705</v>
      </c>
      <c r="D22" s="35">
        <v>11.053000000000001</v>
      </c>
      <c r="E22" s="35">
        <v>10.548</v>
      </c>
      <c r="F22" s="35">
        <v>10.346</v>
      </c>
      <c r="G22" s="35">
        <v>9.8859999999999992</v>
      </c>
      <c r="H22" s="35"/>
      <c r="I22" s="34">
        <v>43</v>
      </c>
      <c r="J22" s="35">
        <v>10.231999999999999</v>
      </c>
      <c r="K22" s="35">
        <v>10.332000000000001</v>
      </c>
      <c r="L22" s="35">
        <v>10.377000000000001</v>
      </c>
      <c r="M22" s="35">
        <v>10.420999999999999</v>
      </c>
      <c r="N22" s="35">
        <v>10.266</v>
      </c>
      <c r="O22" s="35"/>
      <c r="R22" s="39"/>
      <c r="S22" s="29">
        <v>18</v>
      </c>
      <c r="T22" s="35">
        <v>3.4784714239999999</v>
      </c>
      <c r="V22" s="29">
        <v>18</v>
      </c>
      <c r="W22" s="40">
        <v>7</v>
      </c>
      <c r="X22" s="39"/>
      <c r="Y22" s="29">
        <v>18</v>
      </c>
      <c r="Z22" s="40">
        <v>5</v>
      </c>
      <c r="AA22" s="39"/>
      <c r="AB22" s="29">
        <v>18</v>
      </c>
      <c r="AC22" s="39" t="s">
        <v>51</v>
      </c>
      <c r="AD22">
        <v>3.238</v>
      </c>
      <c r="AE22">
        <v>3.2389999999999999</v>
      </c>
      <c r="AF22">
        <v>0.32400000000000001</v>
      </c>
      <c r="AG22" s="39"/>
      <c r="AH22" s="39"/>
      <c r="AI22" s="39"/>
      <c r="AK22" s="34">
        <v>18</v>
      </c>
      <c r="AL22" s="34">
        <v>5</v>
      </c>
      <c r="AN22" s="29">
        <v>18</v>
      </c>
      <c r="AO22" s="40">
        <v>9</v>
      </c>
      <c r="AP22" s="41"/>
      <c r="AR22" s="41"/>
      <c r="AT22" s="34">
        <v>18</v>
      </c>
      <c r="AU22" s="35">
        <v>10.304</v>
      </c>
      <c r="AV22" s="35">
        <v>9.798</v>
      </c>
      <c r="AW22" s="35">
        <v>10.145</v>
      </c>
      <c r="AX22" s="35">
        <v>10.342000000000001</v>
      </c>
      <c r="AY22" s="35">
        <v>0.121</v>
      </c>
      <c r="AZ22" s="35">
        <v>11.853</v>
      </c>
      <c r="BA22" s="35">
        <v>1.2210000000000001</v>
      </c>
      <c r="BB22" s="35">
        <v>11.760999999999999</v>
      </c>
    </row>
    <row r="23" spans="2:54" ht="14.25" customHeight="1" x14ac:dyDescent="0.35">
      <c r="B23" s="34">
        <v>19</v>
      </c>
      <c r="C23" s="35">
        <v>10.525</v>
      </c>
      <c r="D23" s="35">
        <v>10.705</v>
      </c>
      <c r="E23" s="35">
        <v>10.468999999999999</v>
      </c>
      <c r="F23" s="35">
        <v>10.323</v>
      </c>
      <c r="G23" s="35">
        <v>10.760999999999999</v>
      </c>
      <c r="H23" s="35"/>
      <c r="I23" s="34">
        <v>44</v>
      </c>
      <c r="J23" s="35">
        <v>10.688000000000001</v>
      </c>
      <c r="K23" s="35">
        <v>1.0409999999999999</v>
      </c>
      <c r="L23" s="35">
        <v>10.566000000000001</v>
      </c>
      <c r="M23" s="35">
        <v>10.566000000000001</v>
      </c>
      <c r="N23" s="35">
        <v>10.566000000000001</v>
      </c>
      <c r="O23" s="35"/>
      <c r="R23" s="39"/>
      <c r="S23" s="29">
        <v>19</v>
      </c>
      <c r="T23" s="35">
        <v>3.4743633919999999</v>
      </c>
      <c r="V23" s="29">
        <v>19</v>
      </c>
      <c r="W23" s="40">
        <v>15</v>
      </c>
      <c r="X23" s="39"/>
      <c r="Y23" s="29">
        <v>19</v>
      </c>
      <c r="Z23" s="40">
        <v>7</v>
      </c>
      <c r="AA23" s="39"/>
      <c r="AB23" s="29">
        <v>19</v>
      </c>
      <c r="AC23" s="39" t="s">
        <v>51</v>
      </c>
      <c r="AD23">
        <v>3.2389999999999999</v>
      </c>
      <c r="AE23">
        <v>0.32400000000000001</v>
      </c>
      <c r="AF23">
        <v>3.2410000000000001</v>
      </c>
      <c r="AG23" s="39"/>
      <c r="AH23" s="39"/>
      <c r="AI23" s="39"/>
      <c r="AK23" s="34">
        <v>19</v>
      </c>
      <c r="AL23" s="34">
        <v>12</v>
      </c>
      <c r="AN23" s="29">
        <v>19</v>
      </c>
      <c r="AO23" s="40">
        <v>12</v>
      </c>
      <c r="AP23" s="41"/>
      <c r="AR23" s="41"/>
      <c r="AT23" s="34">
        <v>19</v>
      </c>
      <c r="AU23" s="35">
        <v>10.189</v>
      </c>
      <c r="AV23" s="35">
        <v>10.103</v>
      </c>
      <c r="AW23" s="35">
        <v>10.241</v>
      </c>
      <c r="AX23" s="35">
        <v>10.066000000000001</v>
      </c>
      <c r="AY23" s="35">
        <v>11.706</v>
      </c>
      <c r="AZ23" s="35">
        <v>11.863</v>
      </c>
      <c r="BA23" s="35">
        <v>12.051</v>
      </c>
      <c r="BB23" s="35">
        <v>12.122</v>
      </c>
    </row>
    <row r="24" spans="2:54" ht="14.25" customHeight="1" x14ac:dyDescent="0.35">
      <c r="B24" s="34">
        <v>20</v>
      </c>
      <c r="C24" s="35">
        <v>10.805999999999999</v>
      </c>
      <c r="D24" s="35">
        <v>10.772</v>
      </c>
      <c r="E24" s="35">
        <v>1.075</v>
      </c>
      <c r="F24" s="35">
        <v>10.503</v>
      </c>
      <c r="G24" s="35">
        <v>10.896000000000001</v>
      </c>
      <c r="H24" s="35"/>
      <c r="I24" s="34">
        <v>45</v>
      </c>
      <c r="J24" s="35">
        <v>10.388</v>
      </c>
      <c r="K24" s="35">
        <v>10.420999999999999</v>
      </c>
      <c r="L24" s="35">
        <v>1.0609999999999999</v>
      </c>
      <c r="M24" s="35">
        <v>10.221</v>
      </c>
      <c r="N24" s="35">
        <v>10.288</v>
      </c>
      <c r="O24" s="35"/>
      <c r="R24" s="39"/>
      <c r="S24" s="29">
        <v>20</v>
      </c>
      <c r="T24" s="35">
        <v>3.4005050880000001</v>
      </c>
      <c r="V24" s="29">
        <v>20</v>
      </c>
      <c r="W24" s="40">
        <v>5</v>
      </c>
      <c r="X24" s="39"/>
      <c r="Y24" s="29">
        <v>20</v>
      </c>
      <c r="Z24" s="40">
        <v>10</v>
      </c>
      <c r="AA24" s="39"/>
      <c r="AB24" s="29">
        <v>20</v>
      </c>
      <c r="AC24" s="39" t="s">
        <v>51</v>
      </c>
      <c r="AD24">
        <v>0.32400000000000001</v>
      </c>
      <c r="AE24">
        <v>0.32400000000000001</v>
      </c>
      <c r="AF24">
        <v>3.2410000000000001</v>
      </c>
      <c r="AG24" s="39"/>
      <c r="AH24" s="39"/>
      <c r="AI24" s="39"/>
      <c r="AK24" s="34">
        <v>20</v>
      </c>
      <c r="AL24" s="34">
        <v>11</v>
      </c>
      <c r="AN24" s="29">
        <v>20</v>
      </c>
      <c r="AO24" s="40">
        <v>1</v>
      </c>
      <c r="AP24" s="41"/>
      <c r="AR24" s="41"/>
      <c r="AT24" s="34">
        <v>20</v>
      </c>
      <c r="AU24" s="35">
        <v>10.013</v>
      </c>
      <c r="AV24" s="35">
        <v>10.292999999999999</v>
      </c>
      <c r="AW24" s="35">
        <v>10.101000000000001</v>
      </c>
      <c r="AX24" s="35">
        <v>9.9770000000000003</v>
      </c>
      <c r="AY24" s="35">
        <v>12.006</v>
      </c>
      <c r="AZ24" s="35">
        <v>11.744</v>
      </c>
      <c r="BA24" s="35">
        <v>11.583</v>
      </c>
      <c r="BB24" s="35">
        <v>12.022</v>
      </c>
    </row>
    <row r="25" spans="2:54" ht="14.25" customHeight="1" x14ac:dyDescent="0.35">
      <c r="B25" s="34">
        <v>21</v>
      </c>
      <c r="C25" s="35">
        <v>10.279</v>
      </c>
      <c r="D25" s="35">
        <v>10.715999999999999</v>
      </c>
      <c r="E25" s="35">
        <v>1.0569999999999999</v>
      </c>
      <c r="F25" s="35">
        <v>10.705</v>
      </c>
      <c r="G25" s="35">
        <v>10.335000000000001</v>
      </c>
      <c r="H25" s="35"/>
      <c r="I25" s="34">
        <v>46</v>
      </c>
      <c r="J25" s="35">
        <v>10.621</v>
      </c>
      <c r="K25" s="35">
        <v>10.288</v>
      </c>
      <c r="L25" s="35">
        <v>10.398999999999999</v>
      </c>
      <c r="M25" s="35">
        <v>10.465999999999999</v>
      </c>
      <c r="N25" s="35">
        <v>10.343</v>
      </c>
      <c r="O25" s="35"/>
      <c r="R25" s="39"/>
      <c r="S25" s="29">
        <v>21</v>
      </c>
      <c r="T25" s="35">
        <v>3.4304235520000002</v>
      </c>
      <c r="V25" s="29">
        <v>21</v>
      </c>
      <c r="W25" s="40">
        <v>6</v>
      </c>
      <c r="X25" s="39"/>
      <c r="Y25" s="29">
        <v>21</v>
      </c>
      <c r="Z25" s="40">
        <v>7</v>
      </c>
      <c r="AA25" s="39"/>
      <c r="AK25" s="34">
        <v>21</v>
      </c>
      <c r="AL25" s="34">
        <v>7</v>
      </c>
      <c r="AN25" s="29">
        <v>21</v>
      </c>
      <c r="AO25" s="40">
        <v>11</v>
      </c>
      <c r="AP25" s="41"/>
      <c r="AR25" s="41"/>
      <c r="AT25" s="35"/>
      <c r="AU25" s="35"/>
      <c r="AV25" s="35"/>
      <c r="AW25" s="35"/>
      <c r="AX25" s="35"/>
      <c r="AY25" s="35"/>
      <c r="AZ25" s="35"/>
      <c r="BA25" s="35"/>
      <c r="BB25" s="35"/>
    </row>
    <row r="26" spans="2:54" ht="14.25" customHeight="1" x14ac:dyDescent="0.35">
      <c r="B26" s="34">
        <v>22</v>
      </c>
      <c r="C26" s="35">
        <v>1.075</v>
      </c>
      <c r="D26" s="35">
        <v>10.593</v>
      </c>
      <c r="E26" s="35">
        <v>10.401999999999999</v>
      </c>
      <c r="F26" s="35">
        <v>1.038</v>
      </c>
      <c r="G26" s="35">
        <v>9.8859999999999992</v>
      </c>
      <c r="H26" s="35"/>
      <c r="I26" s="34">
        <v>47</v>
      </c>
      <c r="J26" s="35">
        <v>10.677</v>
      </c>
      <c r="K26" s="35">
        <v>10.443</v>
      </c>
      <c r="L26" s="35">
        <v>10.587999999999999</v>
      </c>
      <c r="M26" s="35">
        <v>10.366</v>
      </c>
      <c r="N26" s="35">
        <v>10.420999999999999</v>
      </c>
      <c r="O26" s="35"/>
      <c r="R26" s="39"/>
      <c r="S26" s="29">
        <v>22</v>
      </c>
      <c r="T26" s="35">
        <v>3.5846108160000001</v>
      </c>
      <c r="V26" s="29">
        <v>22</v>
      </c>
      <c r="W26" s="40">
        <v>15</v>
      </c>
      <c r="X26" s="39"/>
      <c r="Y26" s="29">
        <v>22</v>
      </c>
      <c r="Z26" s="40">
        <v>8</v>
      </c>
      <c r="AA26" s="39"/>
      <c r="AK26" s="34">
        <v>22</v>
      </c>
      <c r="AL26" s="34">
        <v>14</v>
      </c>
      <c r="AN26" s="29">
        <v>22</v>
      </c>
      <c r="AO26" s="40">
        <v>7</v>
      </c>
      <c r="AP26" s="41"/>
      <c r="AR26" s="41"/>
    </row>
    <row r="27" spans="2:54" ht="14.25" customHeight="1" x14ac:dyDescent="0.35">
      <c r="B27" s="34">
        <v>23</v>
      </c>
      <c r="C27" s="35">
        <v>11.776</v>
      </c>
      <c r="D27" s="35">
        <v>10.468999999999999</v>
      </c>
      <c r="E27" s="35">
        <v>1095618.176</v>
      </c>
      <c r="F27" s="35">
        <v>1076273.6640000001</v>
      </c>
      <c r="G27" s="35">
        <v>1079305.9839999999</v>
      </c>
      <c r="H27" s="35"/>
      <c r="I27" s="34">
        <v>48</v>
      </c>
      <c r="J27" s="35">
        <v>10.666</v>
      </c>
      <c r="K27" s="35">
        <v>10.366</v>
      </c>
      <c r="L27" s="35">
        <v>10.343</v>
      </c>
      <c r="M27" s="35">
        <v>1.0209999999999999</v>
      </c>
      <c r="N27" s="35">
        <v>10.566000000000001</v>
      </c>
      <c r="O27" s="35"/>
      <c r="R27" s="39"/>
      <c r="S27" s="29">
        <v>23</v>
      </c>
      <c r="T27" s="35">
        <v>3.6765189120000001</v>
      </c>
      <c r="V27" s="29">
        <v>23</v>
      </c>
      <c r="W27" s="40">
        <v>6</v>
      </c>
      <c r="X27" s="39"/>
      <c r="Y27" s="29">
        <v>23</v>
      </c>
      <c r="Z27" s="40">
        <v>14</v>
      </c>
      <c r="AA27" s="39"/>
      <c r="AK27" s="34">
        <v>23</v>
      </c>
      <c r="AL27" s="34">
        <v>8</v>
      </c>
      <c r="AN27" s="29">
        <v>23</v>
      </c>
      <c r="AO27" s="40">
        <v>11</v>
      </c>
      <c r="AP27" s="41"/>
      <c r="AR27" s="41"/>
    </row>
    <row r="28" spans="2:54" ht="14.25" customHeight="1" x14ac:dyDescent="0.35">
      <c r="B28" s="34">
        <v>24</v>
      </c>
      <c r="C28" s="35">
        <v>10.705</v>
      </c>
      <c r="D28" s="35">
        <v>10.760999999999999</v>
      </c>
      <c r="E28" s="35">
        <v>10.436</v>
      </c>
      <c r="F28" s="35">
        <v>10.548</v>
      </c>
      <c r="G28" s="35">
        <v>9.8970000000000002</v>
      </c>
      <c r="H28" s="35"/>
      <c r="I28" s="34">
        <v>49</v>
      </c>
      <c r="J28" s="35">
        <v>1.0409999999999999</v>
      </c>
      <c r="K28" s="35">
        <v>10.677</v>
      </c>
      <c r="L28" s="35">
        <v>10.321</v>
      </c>
      <c r="M28" s="35">
        <v>10.587999999999999</v>
      </c>
      <c r="N28" s="35">
        <v>10.499000000000001</v>
      </c>
      <c r="O28" s="35"/>
      <c r="R28" s="39"/>
      <c r="S28" s="29">
        <v>24</v>
      </c>
      <c r="T28" s="35">
        <v>3.5462191999999999</v>
      </c>
      <c r="V28" s="29">
        <v>24</v>
      </c>
      <c r="W28" s="40">
        <v>12</v>
      </c>
      <c r="X28" s="39"/>
      <c r="Y28" s="29">
        <v>24</v>
      </c>
      <c r="Z28" s="40">
        <v>7</v>
      </c>
      <c r="AA28" s="39"/>
      <c r="AK28" s="34">
        <v>24</v>
      </c>
      <c r="AL28" s="34">
        <v>12</v>
      </c>
      <c r="AN28" s="29">
        <v>24</v>
      </c>
      <c r="AO28" s="40">
        <v>1</v>
      </c>
      <c r="AP28" s="41"/>
      <c r="AR28" s="41"/>
      <c r="AY28" s="44"/>
    </row>
    <row r="29" spans="2:54" ht="14.25" customHeight="1" x14ac:dyDescent="0.35">
      <c r="B29" s="34">
        <v>25</v>
      </c>
      <c r="C29" s="35">
        <v>10.244999999999999</v>
      </c>
      <c r="D29" s="35">
        <v>10.525</v>
      </c>
      <c r="E29" s="35">
        <v>10.436</v>
      </c>
      <c r="F29" s="35">
        <v>10.525</v>
      </c>
      <c r="G29" s="35">
        <v>10.346</v>
      </c>
      <c r="H29" s="35"/>
      <c r="I29" s="34">
        <v>50</v>
      </c>
      <c r="J29" s="35">
        <v>10.443</v>
      </c>
      <c r="K29" s="35">
        <v>1.0309999999999999</v>
      </c>
      <c r="L29" s="35">
        <v>10.377000000000001</v>
      </c>
      <c r="M29" s="35">
        <v>10.688000000000001</v>
      </c>
      <c r="N29" s="35">
        <v>10.477</v>
      </c>
      <c r="O29" s="35"/>
      <c r="R29" s="39"/>
      <c r="S29" s="29">
        <v>25</v>
      </c>
      <c r="T29" s="35">
        <v>3.213360384</v>
      </c>
      <c r="V29" s="29">
        <v>25</v>
      </c>
      <c r="W29" s="40">
        <v>8</v>
      </c>
      <c r="X29" s="39"/>
      <c r="Y29" s="29">
        <v>25</v>
      </c>
      <c r="Z29" s="40">
        <v>10</v>
      </c>
      <c r="AA29" s="39"/>
      <c r="AK29" s="34">
        <v>25</v>
      </c>
      <c r="AL29" s="34">
        <v>15</v>
      </c>
      <c r="AN29" s="29">
        <v>25</v>
      </c>
      <c r="AO29" s="40">
        <v>9</v>
      </c>
      <c r="AP29" s="41"/>
      <c r="AR29" s="41"/>
      <c r="AU29" s="44"/>
      <c r="AY29" s="44"/>
    </row>
    <row r="30" spans="2:54" ht="14.25" customHeight="1" x14ac:dyDescent="0.35">
      <c r="B30" s="35"/>
      <c r="C30" s="35"/>
      <c r="D30" s="35"/>
      <c r="E30" s="35"/>
      <c r="F30" s="35"/>
      <c r="G30" s="35"/>
      <c r="H30" s="35"/>
      <c r="I30" s="35"/>
      <c r="J30" s="35"/>
      <c r="K30" s="35"/>
      <c r="L30" s="35"/>
      <c r="M30" s="35"/>
      <c r="N30" s="35"/>
      <c r="O30" s="35"/>
      <c r="AN30" s="29">
        <v>26</v>
      </c>
      <c r="AO30" s="40">
        <v>9</v>
      </c>
      <c r="AP30" s="41"/>
      <c r="AR30" s="41"/>
      <c r="AU30" s="44"/>
    </row>
    <row r="31" spans="2:54" ht="14.25" customHeight="1" x14ac:dyDescent="0.35">
      <c r="AN31" s="29">
        <v>27</v>
      </c>
      <c r="AO31" s="40">
        <v>7</v>
      </c>
      <c r="AP31" s="41"/>
      <c r="AR31" s="41"/>
    </row>
    <row r="32" spans="2:54" ht="14.25" customHeight="1" x14ac:dyDescent="0.35">
      <c r="AN32" s="29">
        <v>28</v>
      </c>
      <c r="AO32" s="40">
        <v>6</v>
      </c>
      <c r="AP32" s="41"/>
      <c r="AR32" s="41"/>
    </row>
    <row r="33" spans="3:44" ht="14.25" customHeight="1" x14ac:dyDescent="0.35">
      <c r="C33" s="44"/>
      <c r="D33" s="44"/>
      <c r="AN33" s="29">
        <v>29</v>
      </c>
      <c r="AO33" s="40">
        <v>9</v>
      </c>
      <c r="AP33" s="41"/>
      <c r="AR33" s="41"/>
    </row>
    <row r="34" spans="3:44" ht="14.25" customHeight="1" x14ac:dyDescent="0.35">
      <c r="AN34" s="29">
        <v>30</v>
      </c>
      <c r="AO34" s="40">
        <v>7</v>
      </c>
      <c r="AP34" s="41"/>
      <c r="AR34" s="41"/>
    </row>
    <row r="35" spans="3:44" ht="14.25" customHeight="1" x14ac:dyDescent="0.35">
      <c r="AO35" s="29"/>
    </row>
    <row r="36" spans="3:44" ht="14.25" customHeight="1" x14ac:dyDescent="0.35">
      <c r="AO36" s="29"/>
    </row>
    <row r="37" spans="3:44" ht="14.25" customHeight="1" x14ac:dyDescent="0.35">
      <c r="AO37" s="29"/>
    </row>
    <row r="38" spans="3:44" ht="14.25" customHeight="1" x14ac:dyDescent="0.35">
      <c r="AO38" s="29"/>
    </row>
    <row r="39" spans="3:44" ht="14.25" customHeight="1" x14ac:dyDescent="0.35">
      <c r="AO39" s="29"/>
    </row>
    <row r="40" spans="3:44" ht="14.25" customHeight="1" x14ac:dyDescent="0.35">
      <c r="AO40" s="29"/>
    </row>
    <row r="41" spans="3:44" ht="14.25" customHeight="1" x14ac:dyDescent="0.35">
      <c r="AO41" s="29"/>
    </row>
    <row r="42" spans="3:44" ht="14.25" customHeight="1" x14ac:dyDescent="0.35">
      <c r="AO42" s="29"/>
    </row>
    <row r="43" spans="3:44" ht="14.25" customHeight="1" x14ac:dyDescent="0.35">
      <c r="AO43" s="29"/>
    </row>
    <row r="44" spans="3:44" ht="14.25" customHeight="1" x14ac:dyDescent="0.35">
      <c r="AO44" s="29"/>
    </row>
    <row r="45" spans="3:44" ht="14.25" customHeight="1" x14ac:dyDescent="0.35">
      <c r="AO45" s="29"/>
    </row>
    <row r="46" spans="3:44" ht="14.25" customHeight="1" x14ac:dyDescent="0.35">
      <c r="AO46" s="29"/>
    </row>
    <row r="47" spans="3:44" ht="14.25" customHeight="1" x14ac:dyDescent="0.35">
      <c r="AO47" s="29"/>
    </row>
    <row r="48" spans="3:44" ht="14.25" customHeight="1" x14ac:dyDescent="0.35">
      <c r="AO48" s="29"/>
    </row>
    <row r="49" spans="41:41" ht="14.25" customHeight="1" x14ac:dyDescent="0.35">
      <c r="AO49" s="29"/>
    </row>
    <row r="50" spans="41:41" ht="14.25" customHeight="1" x14ac:dyDescent="0.35">
      <c r="AO50" s="29"/>
    </row>
    <row r="51" spans="41:41" ht="14.25" customHeight="1" x14ac:dyDescent="0.35">
      <c r="AO51" s="29"/>
    </row>
    <row r="52" spans="41:41" ht="14.25" customHeight="1" x14ac:dyDescent="0.35">
      <c r="AO52" s="29"/>
    </row>
    <row r="53" spans="41:41" ht="14.25" customHeight="1" x14ac:dyDescent="0.35">
      <c r="AO53" s="29"/>
    </row>
    <row r="54" spans="41:41" ht="14.25" customHeight="1" x14ac:dyDescent="0.35">
      <c r="AO54" s="29"/>
    </row>
    <row r="55" spans="41:41" ht="14.25" customHeight="1" x14ac:dyDescent="0.35">
      <c r="AO55" s="29"/>
    </row>
    <row r="56" spans="41:41" ht="14.25" customHeight="1" x14ac:dyDescent="0.35">
      <c r="AO56" s="29"/>
    </row>
    <row r="57" spans="41:41" ht="14.25" customHeight="1" x14ac:dyDescent="0.35">
      <c r="AO57" s="29"/>
    </row>
    <row r="58" spans="41:41" ht="14.25" customHeight="1" x14ac:dyDescent="0.35">
      <c r="AO58" s="29"/>
    </row>
    <row r="59" spans="41:41" ht="14.25" customHeight="1" x14ac:dyDescent="0.35">
      <c r="AO59" s="29"/>
    </row>
    <row r="60" spans="41:41" ht="14.25" customHeight="1" x14ac:dyDescent="0.35">
      <c r="AO60" s="29"/>
    </row>
    <row r="61" spans="41:41" ht="14.25" customHeight="1" x14ac:dyDescent="0.35">
      <c r="AO61" s="29"/>
    </row>
    <row r="62" spans="41:41" ht="14.25" customHeight="1" x14ac:dyDescent="0.35">
      <c r="AO62" s="29"/>
    </row>
    <row r="63" spans="41:41" ht="14.25" customHeight="1" x14ac:dyDescent="0.35">
      <c r="AO63" s="29"/>
    </row>
    <row r="64" spans="41:41" ht="14.25" customHeight="1" x14ac:dyDescent="0.35">
      <c r="AO64" s="29"/>
    </row>
    <row r="65" spans="41:41" ht="14.25" customHeight="1" x14ac:dyDescent="0.35">
      <c r="AO65" s="29"/>
    </row>
    <row r="66" spans="41:41" ht="14.25" customHeight="1" x14ac:dyDescent="0.35">
      <c r="AO66" s="29"/>
    </row>
    <row r="67" spans="41:41" ht="14.25" customHeight="1" x14ac:dyDescent="0.35">
      <c r="AO67" s="29"/>
    </row>
    <row r="68" spans="41:41" ht="14.25" customHeight="1" x14ac:dyDescent="0.35">
      <c r="AO68" s="29"/>
    </row>
    <row r="69" spans="41:41" ht="14.25" customHeight="1" x14ac:dyDescent="0.35">
      <c r="AO69" s="29"/>
    </row>
    <row r="70" spans="41:41" ht="14.25" customHeight="1" x14ac:dyDescent="0.35">
      <c r="AO70" s="29"/>
    </row>
    <row r="71" spans="41:41" ht="14.25" customHeight="1" x14ac:dyDescent="0.35">
      <c r="AO71" s="29"/>
    </row>
    <row r="72" spans="41:41" ht="14.25" customHeight="1" x14ac:dyDescent="0.35">
      <c r="AO72" s="29"/>
    </row>
    <row r="73" spans="41:41" ht="14.25" customHeight="1" x14ac:dyDescent="0.35">
      <c r="AO73" s="29"/>
    </row>
    <row r="74" spans="41:41" ht="14.25" customHeight="1" x14ac:dyDescent="0.35">
      <c r="AO74" s="29"/>
    </row>
    <row r="75" spans="41:41" ht="14.25" customHeight="1" x14ac:dyDescent="0.35">
      <c r="AO75" s="29"/>
    </row>
    <row r="76" spans="41:41" ht="14.25" customHeight="1" x14ac:dyDescent="0.35">
      <c r="AO76" s="29"/>
    </row>
    <row r="77" spans="41:41" ht="14.25" customHeight="1" x14ac:dyDescent="0.35">
      <c r="AO77" s="29"/>
    </row>
    <row r="78" spans="41:41" ht="14.25" customHeight="1" x14ac:dyDescent="0.35">
      <c r="AO78" s="29"/>
    </row>
    <row r="79" spans="41:41" ht="14.25" customHeight="1" x14ac:dyDescent="0.35">
      <c r="AO79" s="29"/>
    </row>
    <row r="80" spans="41:41" ht="14.25" customHeight="1" x14ac:dyDescent="0.35">
      <c r="AO80" s="29"/>
    </row>
    <row r="81" spans="41:41" ht="14.25" customHeight="1" x14ac:dyDescent="0.35">
      <c r="AO81" s="29"/>
    </row>
    <row r="82" spans="41:41" ht="14.25" customHeight="1" x14ac:dyDescent="0.35">
      <c r="AO82" s="29"/>
    </row>
    <row r="83" spans="41:41" ht="14.25" customHeight="1" x14ac:dyDescent="0.35">
      <c r="AO83" s="29"/>
    </row>
    <row r="84" spans="41:41" ht="14.25" customHeight="1" x14ac:dyDescent="0.35">
      <c r="AO84" s="29"/>
    </row>
    <row r="85" spans="41:41" ht="14.25" customHeight="1" x14ac:dyDescent="0.35">
      <c r="AO85" s="29"/>
    </row>
    <row r="86" spans="41:41" ht="14.25" customHeight="1" x14ac:dyDescent="0.35">
      <c r="AO86" s="29"/>
    </row>
    <row r="87" spans="41:41" ht="14.25" customHeight="1" x14ac:dyDescent="0.35">
      <c r="AO87" s="29"/>
    </row>
    <row r="88" spans="41:41" ht="14.25" customHeight="1" x14ac:dyDescent="0.35">
      <c r="AO88" s="29"/>
    </row>
    <row r="89" spans="41:41" ht="14.25" customHeight="1" x14ac:dyDescent="0.35">
      <c r="AO89" s="29"/>
    </row>
    <row r="90" spans="41:41" ht="14.25" customHeight="1" x14ac:dyDescent="0.35">
      <c r="AO90" s="29"/>
    </row>
    <row r="91" spans="41:41" ht="14.25" customHeight="1" x14ac:dyDescent="0.35">
      <c r="AO91" s="29"/>
    </row>
    <row r="92" spans="41:41" ht="14.25" customHeight="1" x14ac:dyDescent="0.35">
      <c r="AO92" s="29"/>
    </row>
    <row r="93" spans="41:41" ht="14.25" customHeight="1" x14ac:dyDescent="0.35">
      <c r="AO93" s="29"/>
    </row>
    <row r="94" spans="41:41" ht="14.25" customHeight="1" x14ac:dyDescent="0.35">
      <c r="AO94" s="29"/>
    </row>
    <row r="95" spans="41:41" ht="14.25" customHeight="1" x14ac:dyDescent="0.35">
      <c r="AO95" s="29"/>
    </row>
    <row r="96" spans="41:41" ht="14.25" customHeight="1" x14ac:dyDescent="0.35">
      <c r="AO96" s="29"/>
    </row>
    <row r="97" spans="41:41" ht="14.25" customHeight="1" x14ac:dyDescent="0.35">
      <c r="AO97" s="29"/>
    </row>
    <row r="98" spans="41:41" ht="14.25" customHeight="1" x14ac:dyDescent="0.35">
      <c r="AO98" s="29"/>
    </row>
    <row r="99" spans="41:41" ht="14.25" customHeight="1" x14ac:dyDescent="0.35">
      <c r="AO99" s="29"/>
    </row>
    <row r="100" spans="41:41" ht="14.25" customHeight="1" x14ac:dyDescent="0.35">
      <c r="AO100" s="29"/>
    </row>
    <row r="101" spans="41:41" ht="14.25" customHeight="1" x14ac:dyDescent="0.35">
      <c r="AO101" s="29"/>
    </row>
    <row r="102" spans="41:41" ht="14.25" customHeight="1" x14ac:dyDescent="0.35">
      <c r="AO102" s="29"/>
    </row>
    <row r="103" spans="41:41" ht="14.25" customHeight="1" x14ac:dyDescent="0.35">
      <c r="AO103" s="29"/>
    </row>
    <row r="104" spans="41:41" ht="14.25" customHeight="1" x14ac:dyDescent="0.35">
      <c r="AO104" s="29"/>
    </row>
    <row r="105" spans="41:41" ht="14.25" customHeight="1" x14ac:dyDescent="0.35">
      <c r="AO105" s="29"/>
    </row>
    <row r="106" spans="41:41" ht="14.25" customHeight="1" x14ac:dyDescent="0.35">
      <c r="AO106" s="29"/>
    </row>
    <row r="107" spans="41:41" ht="14.25" customHeight="1" x14ac:dyDescent="0.35">
      <c r="AO107" s="29"/>
    </row>
    <row r="108" spans="41:41" ht="14.25" customHeight="1" x14ac:dyDescent="0.35">
      <c r="AO108" s="29"/>
    </row>
    <row r="109" spans="41:41" ht="14.25" customHeight="1" x14ac:dyDescent="0.35">
      <c r="AO109" s="29"/>
    </row>
    <row r="110" spans="41:41" ht="14.25" customHeight="1" x14ac:dyDescent="0.35">
      <c r="AO110" s="29"/>
    </row>
    <row r="111" spans="41:41" ht="14.25" customHeight="1" x14ac:dyDescent="0.35">
      <c r="AO111" s="29"/>
    </row>
    <row r="112" spans="41:41" ht="14.25" customHeight="1" x14ac:dyDescent="0.35">
      <c r="AO112" s="29"/>
    </row>
    <row r="113" spans="41:41" ht="14.25" customHeight="1" x14ac:dyDescent="0.35">
      <c r="AO113" s="29"/>
    </row>
    <row r="114" spans="41:41" ht="14.25" customHeight="1" x14ac:dyDescent="0.35">
      <c r="AO114" s="29"/>
    </row>
    <row r="115" spans="41:41" ht="14.25" customHeight="1" x14ac:dyDescent="0.35">
      <c r="AO115" s="29"/>
    </row>
    <row r="116" spans="41:41" ht="14.25" customHeight="1" x14ac:dyDescent="0.35">
      <c r="AO116" s="29"/>
    </row>
    <row r="117" spans="41:41" ht="14.25" customHeight="1" x14ac:dyDescent="0.35">
      <c r="AO117" s="29"/>
    </row>
    <row r="118" spans="41:41" ht="14.25" customHeight="1" x14ac:dyDescent="0.35">
      <c r="AO118" s="29"/>
    </row>
    <row r="119" spans="41:41" ht="14.25" customHeight="1" x14ac:dyDescent="0.35">
      <c r="AO119" s="29"/>
    </row>
    <row r="120" spans="41:41" ht="14.25" customHeight="1" x14ac:dyDescent="0.35">
      <c r="AO120" s="29"/>
    </row>
    <row r="121" spans="41:41" ht="14.25" customHeight="1" x14ac:dyDescent="0.35">
      <c r="AO121" s="29"/>
    </row>
    <row r="122" spans="41:41" ht="14.25" customHeight="1" x14ac:dyDescent="0.35">
      <c r="AO122" s="29"/>
    </row>
    <row r="123" spans="41:41" ht="14.25" customHeight="1" x14ac:dyDescent="0.35">
      <c r="AO123" s="29"/>
    </row>
    <row r="124" spans="41:41" ht="14.25" customHeight="1" x14ac:dyDescent="0.35">
      <c r="AO124" s="29"/>
    </row>
    <row r="125" spans="41:41" ht="14.25" customHeight="1" x14ac:dyDescent="0.35">
      <c r="AO125" s="29"/>
    </row>
    <row r="126" spans="41:41" ht="14.25" customHeight="1" x14ac:dyDescent="0.35">
      <c r="AO126" s="29"/>
    </row>
    <row r="127" spans="41:41" ht="14.25" customHeight="1" x14ac:dyDescent="0.35">
      <c r="AO127" s="29"/>
    </row>
    <row r="128" spans="41:41" ht="14.25" customHeight="1" x14ac:dyDescent="0.35">
      <c r="AO128" s="29"/>
    </row>
    <row r="129" spans="41:41" ht="14.25" customHeight="1" x14ac:dyDescent="0.35">
      <c r="AO129" s="29"/>
    </row>
    <row r="130" spans="41:41" ht="14.25" customHeight="1" x14ac:dyDescent="0.35">
      <c r="AO130" s="29"/>
    </row>
    <row r="131" spans="41:41" ht="14.25" customHeight="1" x14ac:dyDescent="0.35">
      <c r="AO131" s="29"/>
    </row>
    <row r="132" spans="41:41" ht="14.25" customHeight="1" x14ac:dyDescent="0.35">
      <c r="AO132" s="29"/>
    </row>
    <row r="133" spans="41:41" ht="14.25" customHeight="1" x14ac:dyDescent="0.35">
      <c r="AO133" s="29"/>
    </row>
    <row r="134" spans="41:41" ht="14.25" customHeight="1" x14ac:dyDescent="0.35">
      <c r="AO134" s="29"/>
    </row>
    <row r="135" spans="41:41" ht="14.25" customHeight="1" x14ac:dyDescent="0.35">
      <c r="AO135" s="29"/>
    </row>
    <row r="136" spans="41:41" ht="14.25" customHeight="1" x14ac:dyDescent="0.35">
      <c r="AO136" s="29"/>
    </row>
    <row r="137" spans="41:41" ht="14.25" customHeight="1" x14ac:dyDescent="0.35">
      <c r="AO137" s="29"/>
    </row>
    <row r="138" spans="41:41" ht="14.25" customHeight="1" x14ac:dyDescent="0.35">
      <c r="AO138" s="29"/>
    </row>
    <row r="139" spans="41:41" ht="14.25" customHeight="1" x14ac:dyDescent="0.35">
      <c r="AO139" s="29"/>
    </row>
    <row r="140" spans="41:41" ht="14.25" customHeight="1" x14ac:dyDescent="0.35">
      <c r="AO140" s="29"/>
    </row>
    <row r="141" spans="41:41" ht="14.25" customHeight="1" x14ac:dyDescent="0.35">
      <c r="AO141" s="29"/>
    </row>
    <row r="142" spans="41:41" ht="14.25" customHeight="1" x14ac:dyDescent="0.35">
      <c r="AO142" s="29"/>
    </row>
    <row r="143" spans="41:41" ht="14.25" customHeight="1" x14ac:dyDescent="0.35">
      <c r="AO143" s="29"/>
    </row>
    <row r="144" spans="41:41" ht="14.25" customHeight="1" x14ac:dyDescent="0.35">
      <c r="AO144" s="29"/>
    </row>
    <row r="145" spans="41:41" ht="14.25" customHeight="1" x14ac:dyDescent="0.35">
      <c r="AO145" s="29"/>
    </row>
    <row r="146" spans="41:41" ht="14.25" customHeight="1" x14ac:dyDescent="0.35">
      <c r="AO146" s="29"/>
    </row>
    <row r="147" spans="41:41" ht="14.25" customHeight="1" x14ac:dyDescent="0.35">
      <c r="AO147" s="29"/>
    </row>
    <row r="148" spans="41:41" ht="14.25" customHeight="1" x14ac:dyDescent="0.35">
      <c r="AO148" s="29"/>
    </row>
    <row r="149" spans="41:41" ht="14.25" customHeight="1" x14ac:dyDescent="0.35">
      <c r="AO149" s="29"/>
    </row>
    <row r="150" spans="41:41" ht="14.25" customHeight="1" x14ac:dyDescent="0.35">
      <c r="AO150" s="29"/>
    </row>
    <row r="151" spans="41:41" ht="14.25" customHeight="1" x14ac:dyDescent="0.35">
      <c r="AO151" s="29"/>
    </row>
    <row r="152" spans="41:41" ht="14.25" customHeight="1" x14ac:dyDescent="0.35">
      <c r="AO152" s="29"/>
    </row>
    <row r="153" spans="41:41" ht="14.25" customHeight="1" x14ac:dyDescent="0.35">
      <c r="AO153" s="29"/>
    </row>
    <row r="154" spans="41:41" ht="14.25" customHeight="1" x14ac:dyDescent="0.35">
      <c r="AO154" s="29"/>
    </row>
    <row r="155" spans="41:41" ht="14.25" customHeight="1" x14ac:dyDescent="0.35">
      <c r="AO155" s="29"/>
    </row>
    <row r="156" spans="41:41" ht="14.25" customHeight="1" x14ac:dyDescent="0.35">
      <c r="AO156" s="29"/>
    </row>
    <row r="157" spans="41:41" ht="14.25" customHeight="1" x14ac:dyDescent="0.35">
      <c r="AO157" s="29"/>
    </row>
    <row r="158" spans="41:41" ht="14.25" customHeight="1" x14ac:dyDescent="0.35">
      <c r="AO158" s="29"/>
    </row>
    <row r="159" spans="41:41" ht="14.25" customHeight="1" x14ac:dyDescent="0.35">
      <c r="AO159" s="29"/>
    </row>
    <row r="160" spans="41:41" ht="14.25" customHeight="1" x14ac:dyDescent="0.35">
      <c r="AO160" s="29"/>
    </row>
    <row r="161" spans="41:41" ht="14.25" customHeight="1" x14ac:dyDescent="0.35">
      <c r="AO161" s="29"/>
    </row>
    <row r="162" spans="41:41" ht="14.25" customHeight="1" x14ac:dyDescent="0.35">
      <c r="AO162" s="29"/>
    </row>
    <row r="163" spans="41:41" ht="14.25" customHeight="1" x14ac:dyDescent="0.35">
      <c r="AO163" s="29"/>
    </row>
    <row r="164" spans="41:41" ht="14.25" customHeight="1" x14ac:dyDescent="0.35">
      <c r="AO164" s="29"/>
    </row>
    <row r="165" spans="41:41" ht="14.25" customHeight="1" x14ac:dyDescent="0.35">
      <c r="AO165" s="29"/>
    </row>
    <row r="166" spans="41:41" ht="14.25" customHeight="1" x14ac:dyDescent="0.35">
      <c r="AO166" s="29"/>
    </row>
    <row r="167" spans="41:41" ht="14.25" customHeight="1" x14ac:dyDescent="0.35">
      <c r="AO167" s="29"/>
    </row>
    <row r="168" spans="41:41" ht="14.25" customHeight="1" x14ac:dyDescent="0.35">
      <c r="AO168" s="29"/>
    </row>
    <row r="169" spans="41:41" ht="14.25" customHeight="1" x14ac:dyDescent="0.35">
      <c r="AO169" s="29"/>
    </row>
    <row r="170" spans="41:41" ht="14.25" customHeight="1" x14ac:dyDescent="0.35">
      <c r="AO170" s="29"/>
    </row>
    <row r="171" spans="41:41" ht="14.25" customHeight="1" x14ac:dyDescent="0.35">
      <c r="AO171" s="29"/>
    </row>
    <row r="172" spans="41:41" ht="14.25" customHeight="1" x14ac:dyDescent="0.35">
      <c r="AO172" s="29"/>
    </row>
    <row r="173" spans="41:41" ht="14.25" customHeight="1" x14ac:dyDescent="0.35">
      <c r="AO173" s="29"/>
    </row>
    <row r="174" spans="41:41" ht="14.25" customHeight="1" x14ac:dyDescent="0.35">
      <c r="AO174" s="29"/>
    </row>
    <row r="175" spans="41:41" ht="14.25" customHeight="1" x14ac:dyDescent="0.35">
      <c r="AO175" s="29"/>
    </row>
    <row r="176" spans="41:41" ht="14.25" customHeight="1" x14ac:dyDescent="0.35">
      <c r="AO176" s="29"/>
    </row>
    <row r="177" spans="41:41" ht="14.25" customHeight="1" x14ac:dyDescent="0.35">
      <c r="AO177" s="29"/>
    </row>
    <row r="178" spans="41:41" ht="14.25" customHeight="1" x14ac:dyDescent="0.35">
      <c r="AO178" s="29"/>
    </row>
    <row r="179" spans="41:41" ht="14.25" customHeight="1" x14ac:dyDescent="0.35">
      <c r="AO179" s="29"/>
    </row>
    <row r="180" spans="41:41" ht="14.25" customHeight="1" x14ac:dyDescent="0.35">
      <c r="AO180" s="29"/>
    </row>
    <row r="181" spans="41:41" ht="14.25" customHeight="1" x14ac:dyDescent="0.35">
      <c r="AO181" s="29"/>
    </row>
    <row r="182" spans="41:41" ht="14.25" customHeight="1" x14ac:dyDescent="0.35">
      <c r="AO182" s="29"/>
    </row>
    <row r="183" spans="41:41" ht="14.25" customHeight="1" x14ac:dyDescent="0.35">
      <c r="AO183" s="29"/>
    </row>
    <row r="184" spans="41:41" ht="14.25" customHeight="1" x14ac:dyDescent="0.35">
      <c r="AO184" s="29"/>
    </row>
    <row r="185" spans="41:41" ht="14.25" customHeight="1" x14ac:dyDescent="0.35">
      <c r="AO185" s="29"/>
    </row>
    <row r="186" spans="41:41" ht="14.25" customHeight="1" x14ac:dyDescent="0.35">
      <c r="AO186" s="29"/>
    </row>
    <row r="187" spans="41:41" ht="14.25" customHeight="1" x14ac:dyDescent="0.35">
      <c r="AO187" s="29"/>
    </row>
    <row r="188" spans="41:41" ht="14.25" customHeight="1" x14ac:dyDescent="0.35">
      <c r="AO188" s="29"/>
    </row>
    <row r="189" spans="41:41" ht="14.25" customHeight="1" x14ac:dyDescent="0.35">
      <c r="AO189" s="29"/>
    </row>
    <row r="190" spans="41:41" ht="14.25" customHeight="1" x14ac:dyDescent="0.35">
      <c r="AO190" s="29"/>
    </row>
    <row r="191" spans="41:41" ht="14.25" customHeight="1" x14ac:dyDescent="0.35">
      <c r="AO191" s="29"/>
    </row>
    <row r="192" spans="41:41" ht="14.25" customHeight="1" x14ac:dyDescent="0.35">
      <c r="AO192" s="29"/>
    </row>
    <row r="193" spans="41:41" ht="14.25" customHeight="1" x14ac:dyDescent="0.35">
      <c r="AO193" s="29"/>
    </row>
    <row r="194" spans="41:41" ht="14.25" customHeight="1" x14ac:dyDescent="0.35">
      <c r="AO194" s="29"/>
    </row>
    <row r="195" spans="41:41" ht="14.25" customHeight="1" x14ac:dyDescent="0.35">
      <c r="AO195" s="29"/>
    </row>
    <row r="196" spans="41:41" ht="14.25" customHeight="1" x14ac:dyDescent="0.35">
      <c r="AO196" s="29"/>
    </row>
    <row r="197" spans="41:41" ht="14.25" customHeight="1" x14ac:dyDescent="0.35">
      <c r="AO197" s="29"/>
    </row>
    <row r="198" spans="41:41" ht="14.25" customHeight="1" x14ac:dyDescent="0.35">
      <c r="AO198" s="29"/>
    </row>
    <row r="199" spans="41:41" ht="14.25" customHeight="1" x14ac:dyDescent="0.35">
      <c r="AO199" s="29"/>
    </row>
    <row r="200" spans="41:41" ht="14.25" customHeight="1" x14ac:dyDescent="0.35">
      <c r="AO200" s="29"/>
    </row>
    <row r="201" spans="41:41" ht="14.25" customHeight="1" x14ac:dyDescent="0.35">
      <c r="AO201" s="29"/>
    </row>
    <row r="202" spans="41:41" ht="14.25" customHeight="1" x14ac:dyDescent="0.35">
      <c r="AO202" s="29"/>
    </row>
    <row r="203" spans="41:41" ht="14.25" customHeight="1" x14ac:dyDescent="0.35">
      <c r="AO203" s="29"/>
    </row>
    <row r="204" spans="41:41" ht="14.25" customHeight="1" x14ac:dyDescent="0.35">
      <c r="AO204" s="29"/>
    </row>
    <row r="205" spans="41:41" ht="14.25" customHeight="1" x14ac:dyDescent="0.35">
      <c r="AO205" s="29"/>
    </row>
    <row r="206" spans="41:41" ht="14.25" customHeight="1" x14ac:dyDescent="0.35">
      <c r="AO206" s="29"/>
    </row>
    <row r="207" spans="41:41" ht="14.25" customHeight="1" x14ac:dyDescent="0.35">
      <c r="AO207" s="29"/>
    </row>
    <row r="208" spans="41:41" ht="14.25" customHeight="1" x14ac:dyDescent="0.35">
      <c r="AO208" s="29"/>
    </row>
    <row r="209" spans="41:41" ht="14.25" customHeight="1" x14ac:dyDescent="0.35">
      <c r="AO209" s="29"/>
    </row>
    <row r="210" spans="41:41" ht="14.25" customHeight="1" x14ac:dyDescent="0.35">
      <c r="AO210" s="29"/>
    </row>
    <row r="211" spans="41:41" ht="14.25" customHeight="1" x14ac:dyDescent="0.35">
      <c r="AO211" s="29"/>
    </row>
    <row r="212" spans="41:41" ht="14.25" customHeight="1" x14ac:dyDescent="0.35">
      <c r="AO212" s="29"/>
    </row>
    <row r="213" spans="41:41" ht="14.25" customHeight="1" x14ac:dyDescent="0.35">
      <c r="AO213" s="29"/>
    </row>
    <row r="214" spans="41:41" ht="14.25" customHeight="1" x14ac:dyDescent="0.35">
      <c r="AO214" s="29"/>
    </row>
    <row r="215" spans="41:41" ht="14.25" customHeight="1" x14ac:dyDescent="0.35">
      <c r="AO215" s="29"/>
    </row>
    <row r="216" spans="41:41" ht="14.25" customHeight="1" x14ac:dyDescent="0.35">
      <c r="AO216" s="29"/>
    </row>
    <row r="217" spans="41:41" ht="14.25" customHeight="1" x14ac:dyDescent="0.35">
      <c r="AO217" s="29"/>
    </row>
    <row r="218" spans="41:41" ht="14.25" customHeight="1" x14ac:dyDescent="0.35">
      <c r="AO218" s="29"/>
    </row>
    <row r="219" spans="41:41" ht="14.25" customHeight="1" x14ac:dyDescent="0.35">
      <c r="AO219" s="29"/>
    </row>
    <row r="220" spans="41:41" ht="14.25" customHeight="1" x14ac:dyDescent="0.35">
      <c r="AO220" s="29"/>
    </row>
    <row r="221" spans="41:41" ht="14.25" customHeight="1" x14ac:dyDescent="0.35">
      <c r="AO221" s="29"/>
    </row>
    <row r="222" spans="41:41" ht="14.25" customHeight="1" x14ac:dyDescent="0.35">
      <c r="AO222" s="29"/>
    </row>
    <row r="223" spans="41:41" ht="14.25" customHeight="1" x14ac:dyDescent="0.35">
      <c r="AO223" s="29"/>
    </row>
    <row r="224" spans="41:41" ht="14.25" customHeight="1" x14ac:dyDescent="0.35">
      <c r="AO224" s="29"/>
    </row>
    <row r="225" spans="41:41" ht="14.25" customHeight="1" x14ac:dyDescent="0.35">
      <c r="AO225" s="29"/>
    </row>
    <row r="226" spans="41:41" ht="14.25" customHeight="1" x14ac:dyDescent="0.35">
      <c r="AO226" s="29"/>
    </row>
    <row r="227" spans="41:41" ht="14.25" customHeight="1" x14ac:dyDescent="0.35">
      <c r="AO227" s="29"/>
    </row>
    <row r="228" spans="41:41" ht="14.25" customHeight="1" x14ac:dyDescent="0.35">
      <c r="AO228" s="29"/>
    </row>
    <row r="229" spans="41:41" ht="14.25" customHeight="1" x14ac:dyDescent="0.35">
      <c r="AO229" s="29"/>
    </row>
    <row r="230" spans="41:41" ht="14.25" customHeight="1" x14ac:dyDescent="0.35">
      <c r="AO230" s="29"/>
    </row>
    <row r="231" spans="41:41" ht="14.25" customHeight="1" x14ac:dyDescent="0.35">
      <c r="AO231" s="29"/>
    </row>
    <row r="232" spans="41:41" ht="14.25" customHeight="1" x14ac:dyDescent="0.35">
      <c r="AO232" s="29"/>
    </row>
    <row r="233" spans="41:41" ht="14.25" customHeight="1" x14ac:dyDescent="0.35">
      <c r="AO233" s="29"/>
    </row>
    <row r="234" spans="41:41" ht="14.25" customHeight="1" x14ac:dyDescent="0.35">
      <c r="AO234" s="29"/>
    </row>
    <row r="235" spans="41:41" ht="14.25" customHeight="1" x14ac:dyDescent="0.35">
      <c r="AO235" s="29"/>
    </row>
    <row r="236" spans="41:41" ht="14.25" customHeight="1" x14ac:dyDescent="0.35">
      <c r="AO236" s="29"/>
    </row>
    <row r="237" spans="41:41" ht="14.25" customHeight="1" x14ac:dyDescent="0.35">
      <c r="AO237" s="29"/>
    </row>
    <row r="238" spans="41:41" ht="14.25" customHeight="1" x14ac:dyDescent="0.35">
      <c r="AO238" s="29"/>
    </row>
    <row r="239" spans="41:41" ht="14.25" customHeight="1" x14ac:dyDescent="0.35">
      <c r="AO239" s="29"/>
    </row>
    <row r="240" spans="41:41" ht="14.25" customHeight="1" x14ac:dyDescent="0.35">
      <c r="AO240" s="29"/>
    </row>
    <row r="241" spans="41:41" ht="14.25" customHeight="1" x14ac:dyDescent="0.35">
      <c r="AO241" s="29"/>
    </row>
    <row r="242" spans="41:41" ht="14.25" customHeight="1" x14ac:dyDescent="0.35">
      <c r="AO242" s="29"/>
    </row>
    <row r="243" spans="41:41" ht="14.25" customHeight="1" x14ac:dyDescent="0.35">
      <c r="AO243" s="29"/>
    </row>
    <row r="244" spans="41:41" ht="14.25" customHeight="1" x14ac:dyDescent="0.35">
      <c r="AO244" s="29"/>
    </row>
    <row r="245" spans="41:41" ht="14.25" customHeight="1" x14ac:dyDescent="0.35">
      <c r="AO245" s="29"/>
    </row>
    <row r="246" spans="41:41" ht="14.25" customHeight="1" x14ac:dyDescent="0.35">
      <c r="AO246" s="29"/>
    </row>
    <row r="247" spans="41:41" ht="14.25" customHeight="1" x14ac:dyDescent="0.35">
      <c r="AO247" s="29"/>
    </row>
    <row r="248" spans="41:41" ht="14.25" customHeight="1" x14ac:dyDescent="0.35">
      <c r="AO248" s="29"/>
    </row>
    <row r="249" spans="41:41" ht="14.25" customHeight="1" x14ac:dyDescent="0.35">
      <c r="AO249" s="29"/>
    </row>
    <row r="250" spans="41:41" ht="14.25" customHeight="1" x14ac:dyDescent="0.35">
      <c r="AO250" s="29"/>
    </row>
    <row r="251" spans="41:41" ht="14.25" customHeight="1" x14ac:dyDescent="0.35">
      <c r="AO251" s="29"/>
    </row>
    <row r="252" spans="41:41" ht="14.25" customHeight="1" x14ac:dyDescent="0.35">
      <c r="AO252" s="29"/>
    </row>
    <row r="253" spans="41:41" ht="14.25" customHeight="1" x14ac:dyDescent="0.35">
      <c r="AO253" s="29"/>
    </row>
    <row r="254" spans="41:41" ht="14.25" customHeight="1" x14ac:dyDescent="0.35">
      <c r="AO254" s="29"/>
    </row>
    <row r="255" spans="41:41" ht="14.25" customHeight="1" x14ac:dyDescent="0.35">
      <c r="AO255" s="29"/>
    </row>
    <row r="256" spans="41:41" ht="14.25" customHeight="1" x14ac:dyDescent="0.35">
      <c r="AO256" s="29"/>
    </row>
    <row r="257" spans="41:41" ht="14.25" customHeight="1" x14ac:dyDescent="0.35">
      <c r="AO257" s="29"/>
    </row>
    <row r="258" spans="41:41" ht="14.25" customHeight="1" x14ac:dyDescent="0.35">
      <c r="AO258" s="29"/>
    </row>
    <row r="259" spans="41:41" ht="14.25" customHeight="1" x14ac:dyDescent="0.35">
      <c r="AO259" s="29"/>
    </row>
    <row r="260" spans="41:41" ht="14.25" customHeight="1" x14ac:dyDescent="0.35">
      <c r="AO260" s="29"/>
    </row>
    <row r="261" spans="41:41" ht="14.25" customHeight="1" x14ac:dyDescent="0.35">
      <c r="AO261" s="29"/>
    </row>
    <row r="262" spans="41:41" ht="14.25" customHeight="1" x14ac:dyDescent="0.35">
      <c r="AO262" s="29"/>
    </row>
    <row r="263" spans="41:41" ht="14.25" customHeight="1" x14ac:dyDescent="0.35">
      <c r="AO263" s="29"/>
    </row>
    <row r="264" spans="41:41" ht="14.25" customHeight="1" x14ac:dyDescent="0.35">
      <c r="AO264" s="29"/>
    </row>
    <row r="265" spans="41:41" ht="14.25" customHeight="1" x14ac:dyDescent="0.35">
      <c r="AO265" s="29"/>
    </row>
    <row r="266" spans="41:41" ht="14.25" customHeight="1" x14ac:dyDescent="0.35">
      <c r="AO266" s="29"/>
    </row>
    <row r="267" spans="41:41" ht="14.25" customHeight="1" x14ac:dyDescent="0.35">
      <c r="AO267" s="29"/>
    </row>
    <row r="268" spans="41:41" ht="14.25" customHeight="1" x14ac:dyDescent="0.35">
      <c r="AO268" s="29"/>
    </row>
    <row r="269" spans="41:41" ht="14.25" customHeight="1" x14ac:dyDescent="0.35">
      <c r="AO269" s="29"/>
    </row>
    <row r="270" spans="41:41" ht="14.25" customHeight="1" x14ac:dyDescent="0.35">
      <c r="AO270" s="29"/>
    </row>
    <row r="271" spans="41:41" ht="14.25" customHeight="1" x14ac:dyDescent="0.35">
      <c r="AO271" s="29"/>
    </row>
    <row r="272" spans="41:41" ht="14.25" customHeight="1" x14ac:dyDescent="0.35">
      <c r="AO272" s="29"/>
    </row>
    <row r="273" spans="41:41" ht="14.25" customHeight="1" x14ac:dyDescent="0.35">
      <c r="AO273" s="29"/>
    </row>
    <row r="274" spans="41:41" ht="14.25" customHeight="1" x14ac:dyDescent="0.35">
      <c r="AO274" s="29"/>
    </row>
    <row r="275" spans="41:41" ht="14.25" customHeight="1" x14ac:dyDescent="0.35">
      <c r="AO275" s="29"/>
    </row>
    <row r="276" spans="41:41" ht="14.25" customHeight="1" x14ac:dyDescent="0.35">
      <c r="AO276" s="29"/>
    </row>
    <row r="277" spans="41:41" ht="14.25" customHeight="1" x14ac:dyDescent="0.35">
      <c r="AO277" s="29"/>
    </row>
    <row r="278" spans="41:41" ht="14.25" customHeight="1" x14ac:dyDescent="0.35">
      <c r="AO278" s="29"/>
    </row>
    <row r="279" spans="41:41" ht="14.25" customHeight="1" x14ac:dyDescent="0.35">
      <c r="AO279" s="29"/>
    </row>
    <row r="280" spans="41:41" ht="14.25" customHeight="1" x14ac:dyDescent="0.35">
      <c r="AO280" s="29"/>
    </row>
    <row r="281" spans="41:41" ht="14.25" customHeight="1" x14ac:dyDescent="0.35">
      <c r="AO281" s="29"/>
    </row>
    <row r="282" spans="41:41" ht="14.25" customHeight="1" x14ac:dyDescent="0.35">
      <c r="AO282" s="29"/>
    </row>
    <row r="283" spans="41:41" ht="14.25" customHeight="1" x14ac:dyDescent="0.35">
      <c r="AO283" s="29"/>
    </row>
    <row r="284" spans="41:41" ht="14.25" customHeight="1" x14ac:dyDescent="0.35">
      <c r="AO284" s="29"/>
    </row>
    <row r="285" spans="41:41" ht="14.25" customHeight="1" x14ac:dyDescent="0.35">
      <c r="AO285" s="29"/>
    </row>
    <row r="286" spans="41:41" ht="14.25" customHeight="1" x14ac:dyDescent="0.35">
      <c r="AO286" s="29"/>
    </row>
    <row r="287" spans="41:41" ht="14.25" customHeight="1" x14ac:dyDescent="0.35">
      <c r="AO287" s="29"/>
    </row>
    <row r="288" spans="41:41" ht="14.25" customHeight="1" x14ac:dyDescent="0.35">
      <c r="AO288" s="29"/>
    </row>
    <row r="289" spans="41:41" ht="14.25" customHeight="1" x14ac:dyDescent="0.35">
      <c r="AO289" s="29"/>
    </row>
    <row r="290" spans="41:41" ht="14.25" customHeight="1" x14ac:dyDescent="0.35">
      <c r="AO290" s="29"/>
    </row>
    <row r="291" spans="41:41" ht="14.25" customHeight="1" x14ac:dyDescent="0.35">
      <c r="AO291" s="29"/>
    </row>
    <row r="292" spans="41:41" ht="14.25" customHeight="1" x14ac:dyDescent="0.35">
      <c r="AO292" s="29"/>
    </row>
    <row r="293" spans="41:41" ht="14.25" customHeight="1" x14ac:dyDescent="0.35">
      <c r="AO293" s="29"/>
    </row>
    <row r="294" spans="41:41" ht="14.25" customHeight="1" x14ac:dyDescent="0.35">
      <c r="AO294" s="29"/>
    </row>
    <row r="295" spans="41:41" ht="14.25" customHeight="1" x14ac:dyDescent="0.35">
      <c r="AO295" s="29"/>
    </row>
    <row r="296" spans="41:41" ht="14.25" customHeight="1" x14ac:dyDescent="0.35">
      <c r="AO296" s="29"/>
    </row>
    <row r="297" spans="41:41" ht="14.25" customHeight="1" x14ac:dyDescent="0.35">
      <c r="AO297" s="29"/>
    </row>
    <row r="298" spans="41:41" ht="14.25" customHeight="1" x14ac:dyDescent="0.35">
      <c r="AO298" s="29"/>
    </row>
    <row r="299" spans="41:41" ht="14.25" customHeight="1" x14ac:dyDescent="0.35">
      <c r="AO299" s="29"/>
    </row>
    <row r="300" spans="41:41" ht="14.25" customHeight="1" x14ac:dyDescent="0.35">
      <c r="AO300" s="29"/>
    </row>
    <row r="301" spans="41:41" ht="14.25" customHeight="1" x14ac:dyDescent="0.35">
      <c r="AO301" s="29"/>
    </row>
    <row r="302" spans="41:41" ht="14.25" customHeight="1" x14ac:dyDescent="0.35">
      <c r="AO302" s="29"/>
    </row>
    <row r="303" spans="41:41" ht="14.25" customHeight="1" x14ac:dyDescent="0.35">
      <c r="AO303" s="29"/>
    </row>
    <row r="304" spans="41:41" ht="14.25" customHeight="1" x14ac:dyDescent="0.35">
      <c r="AO304" s="29"/>
    </row>
    <row r="305" spans="41:41" ht="14.25" customHeight="1" x14ac:dyDescent="0.35">
      <c r="AO305" s="29"/>
    </row>
    <row r="306" spans="41:41" ht="14.25" customHeight="1" x14ac:dyDescent="0.35">
      <c r="AO306" s="29"/>
    </row>
    <row r="307" spans="41:41" ht="14.25" customHeight="1" x14ac:dyDescent="0.35">
      <c r="AO307" s="29"/>
    </row>
    <row r="308" spans="41:41" ht="14.25" customHeight="1" x14ac:dyDescent="0.35">
      <c r="AO308" s="29"/>
    </row>
    <row r="309" spans="41:41" ht="14.25" customHeight="1" x14ac:dyDescent="0.35">
      <c r="AO309" s="29"/>
    </row>
    <row r="310" spans="41:41" ht="14.25" customHeight="1" x14ac:dyDescent="0.35">
      <c r="AO310" s="29"/>
    </row>
    <row r="311" spans="41:41" ht="14.25" customHeight="1" x14ac:dyDescent="0.35">
      <c r="AO311" s="29"/>
    </row>
    <row r="312" spans="41:41" ht="14.25" customHeight="1" x14ac:dyDescent="0.35">
      <c r="AO312" s="29"/>
    </row>
    <row r="313" spans="41:41" ht="14.25" customHeight="1" x14ac:dyDescent="0.35">
      <c r="AO313" s="29"/>
    </row>
    <row r="314" spans="41:41" ht="14.25" customHeight="1" x14ac:dyDescent="0.35">
      <c r="AO314" s="29"/>
    </row>
    <row r="315" spans="41:41" ht="14.25" customHeight="1" x14ac:dyDescent="0.35">
      <c r="AO315" s="29"/>
    </row>
    <row r="316" spans="41:41" ht="14.25" customHeight="1" x14ac:dyDescent="0.35">
      <c r="AO316" s="29"/>
    </row>
    <row r="317" spans="41:41" ht="14.25" customHeight="1" x14ac:dyDescent="0.35">
      <c r="AO317" s="29"/>
    </row>
    <row r="318" spans="41:41" ht="14.25" customHeight="1" x14ac:dyDescent="0.35">
      <c r="AO318" s="29"/>
    </row>
    <row r="319" spans="41:41" ht="14.25" customHeight="1" x14ac:dyDescent="0.35">
      <c r="AO319" s="29"/>
    </row>
    <row r="320" spans="41:41" ht="14.25" customHeight="1" x14ac:dyDescent="0.35">
      <c r="AO320" s="29"/>
    </row>
    <row r="321" spans="41:41" ht="14.25" customHeight="1" x14ac:dyDescent="0.35">
      <c r="AO321" s="29"/>
    </row>
    <row r="322" spans="41:41" ht="14.25" customHeight="1" x14ac:dyDescent="0.35">
      <c r="AO322" s="29"/>
    </row>
    <row r="323" spans="41:41" ht="14.25" customHeight="1" x14ac:dyDescent="0.35">
      <c r="AO323" s="29"/>
    </row>
    <row r="324" spans="41:41" ht="14.25" customHeight="1" x14ac:dyDescent="0.35">
      <c r="AO324" s="29"/>
    </row>
    <row r="325" spans="41:41" ht="14.25" customHeight="1" x14ac:dyDescent="0.35">
      <c r="AO325" s="29"/>
    </row>
    <row r="326" spans="41:41" ht="14.25" customHeight="1" x14ac:dyDescent="0.35">
      <c r="AO326" s="29"/>
    </row>
    <row r="327" spans="41:41" ht="14.25" customHeight="1" x14ac:dyDescent="0.35">
      <c r="AO327" s="29"/>
    </row>
    <row r="328" spans="41:41" ht="14.25" customHeight="1" x14ac:dyDescent="0.35">
      <c r="AO328" s="29"/>
    </row>
    <row r="329" spans="41:41" ht="14.25" customHeight="1" x14ac:dyDescent="0.35">
      <c r="AO329" s="29"/>
    </row>
    <row r="330" spans="41:41" ht="14.25" customHeight="1" x14ac:dyDescent="0.35">
      <c r="AO330" s="29"/>
    </row>
    <row r="331" spans="41:41" ht="14.25" customHeight="1" x14ac:dyDescent="0.35">
      <c r="AO331" s="29"/>
    </row>
    <row r="332" spans="41:41" ht="14.25" customHeight="1" x14ac:dyDescent="0.35">
      <c r="AO332" s="29"/>
    </row>
    <row r="333" spans="41:41" ht="14.25" customHeight="1" x14ac:dyDescent="0.35">
      <c r="AO333" s="29"/>
    </row>
    <row r="334" spans="41:41" ht="14.25" customHeight="1" x14ac:dyDescent="0.35">
      <c r="AO334" s="29"/>
    </row>
    <row r="335" spans="41:41" ht="14.25" customHeight="1" x14ac:dyDescent="0.35">
      <c r="AO335" s="29"/>
    </row>
    <row r="336" spans="41:41" ht="14.25" customHeight="1" x14ac:dyDescent="0.35">
      <c r="AO336" s="29"/>
    </row>
    <row r="337" spans="41:41" ht="14.25" customHeight="1" x14ac:dyDescent="0.35">
      <c r="AO337" s="29"/>
    </row>
    <row r="338" spans="41:41" ht="14.25" customHeight="1" x14ac:dyDescent="0.35">
      <c r="AO338" s="29"/>
    </row>
    <row r="339" spans="41:41" ht="14.25" customHeight="1" x14ac:dyDescent="0.35">
      <c r="AO339" s="29"/>
    </row>
    <row r="340" spans="41:41" ht="14.25" customHeight="1" x14ac:dyDescent="0.35">
      <c r="AO340" s="29"/>
    </row>
    <row r="341" spans="41:41" ht="14.25" customHeight="1" x14ac:dyDescent="0.35">
      <c r="AO341" s="29"/>
    </row>
    <row r="342" spans="41:41" ht="14.25" customHeight="1" x14ac:dyDescent="0.35">
      <c r="AO342" s="29"/>
    </row>
    <row r="343" spans="41:41" ht="14.25" customHeight="1" x14ac:dyDescent="0.35">
      <c r="AO343" s="29"/>
    </row>
    <row r="344" spans="41:41" ht="14.25" customHeight="1" x14ac:dyDescent="0.35">
      <c r="AO344" s="29"/>
    </row>
    <row r="345" spans="41:41" ht="14.25" customHeight="1" x14ac:dyDescent="0.35">
      <c r="AO345" s="29"/>
    </row>
    <row r="346" spans="41:41" ht="14.25" customHeight="1" x14ac:dyDescent="0.35">
      <c r="AO346" s="29"/>
    </row>
    <row r="347" spans="41:41" ht="14.25" customHeight="1" x14ac:dyDescent="0.35">
      <c r="AO347" s="29"/>
    </row>
    <row r="348" spans="41:41" ht="14.25" customHeight="1" x14ac:dyDescent="0.35">
      <c r="AO348" s="29"/>
    </row>
    <row r="349" spans="41:41" ht="14.25" customHeight="1" x14ac:dyDescent="0.35">
      <c r="AO349" s="29"/>
    </row>
    <row r="350" spans="41:41" ht="14.25" customHeight="1" x14ac:dyDescent="0.35">
      <c r="AO350" s="29"/>
    </row>
    <row r="351" spans="41:41" ht="14.25" customHeight="1" x14ac:dyDescent="0.35">
      <c r="AO351" s="29"/>
    </row>
    <row r="352" spans="41:41" ht="14.25" customHeight="1" x14ac:dyDescent="0.35">
      <c r="AO352" s="29"/>
    </row>
    <row r="353" spans="41:41" ht="14.25" customHeight="1" x14ac:dyDescent="0.35">
      <c r="AO353" s="29"/>
    </row>
    <row r="354" spans="41:41" ht="14.25" customHeight="1" x14ac:dyDescent="0.35">
      <c r="AO354" s="29"/>
    </row>
    <row r="355" spans="41:41" ht="14.25" customHeight="1" x14ac:dyDescent="0.35">
      <c r="AO355" s="29"/>
    </row>
    <row r="356" spans="41:41" ht="14.25" customHeight="1" x14ac:dyDescent="0.35">
      <c r="AO356" s="29"/>
    </row>
    <row r="357" spans="41:41" ht="14.25" customHeight="1" x14ac:dyDescent="0.35">
      <c r="AO357" s="29"/>
    </row>
    <row r="358" spans="41:41" ht="14.25" customHeight="1" x14ac:dyDescent="0.35">
      <c r="AO358" s="29"/>
    </row>
    <row r="359" spans="41:41" ht="14.25" customHeight="1" x14ac:dyDescent="0.35">
      <c r="AO359" s="29"/>
    </row>
    <row r="360" spans="41:41" ht="14.25" customHeight="1" x14ac:dyDescent="0.35">
      <c r="AO360" s="29"/>
    </row>
    <row r="361" spans="41:41" ht="14.25" customHeight="1" x14ac:dyDescent="0.35">
      <c r="AO361" s="29"/>
    </row>
    <row r="362" spans="41:41" ht="14.25" customHeight="1" x14ac:dyDescent="0.35">
      <c r="AO362" s="29"/>
    </row>
    <row r="363" spans="41:41" ht="14.25" customHeight="1" x14ac:dyDescent="0.35">
      <c r="AO363" s="29"/>
    </row>
    <row r="364" spans="41:41" ht="14.25" customHeight="1" x14ac:dyDescent="0.35">
      <c r="AO364" s="29"/>
    </row>
    <row r="365" spans="41:41" ht="14.25" customHeight="1" x14ac:dyDescent="0.35">
      <c r="AO365" s="29"/>
    </row>
    <row r="366" spans="41:41" ht="14.25" customHeight="1" x14ac:dyDescent="0.35">
      <c r="AO366" s="29"/>
    </row>
    <row r="367" spans="41:41" ht="14.25" customHeight="1" x14ac:dyDescent="0.35">
      <c r="AO367" s="29"/>
    </row>
    <row r="368" spans="41:41" ht="14.25" customHeight="1" x14ac:dyDescent="0.35">
      <c r="AO368" s="29"/>
    </row>
    <row r="369" spans="41:41" ht="14.25" customHeight="1" x14ac:dyDescent="0.35">
      <c r="AO369" s="29"/>
    </row>
    <row r="370" spans="41:41" ht="14.25" customHeight="1" x14ac:dyDescent="0.35">
      <c r="AO370" s="29"/>
    </row>
    <row r="371" spans="41:41" ht="14.25" customHeight="1" x14ac:dyDescent="0.35">
      <c r="AO371" s="29"/>
    </row>
    <row r="372" spans="41:41" ht="14.25" customHeight="1" x14ac:dyDescent="0.35">
      <c r="AO372" s="29"/>
    </row>
    <row r="373" spans="41:41" ht="14.25" customHeight="1" x14ac:dyDescent="0.35">
      <c r="AO373" s="29"/>
    </row>
    <row r="374" spans="41:41" ht="14.25" customHeight="1" x14ac:dyDescent="0.35">
      <c r="AO374" s="29"/>
    </row>
    <row r="375" spans="41:41" ht="14.25" customHeight="1" x14ac:dyDescent="0.35">
      <c r="AO375" s="29"/>
    </row>
    <row r="376" spans="41:41" ht="14.25" customHeight="1" x14ac:dyDescent="0.35">
      <c r="AO376" s="29"/>
    </row>
    <row r="377" spans="41:41" ht="14.25" customHeight="1" x14ac:dyDescent="0.35">
      <c r="AO377" s="29"/>
    </row>
    <row r="378" spans="41:41" ht="14.25" customHeight="1" x14ac:dyDescent="0.35">
      <c r="AO378" s="29"/>
    </row>
    <row r="379" spans="41:41" ht="14.25" customHeight="1" x14ac:dyDescent="0.35">
      <c r="AO379" s="29"/>
    </row>
    <row r="380" spans="41:41" ht="14.25" customHeight="1" x14ac:dyDescent="0.35">
      <c r="AO380" s="29"/>
    </row>
    <row r="381" spans="41:41" ht="14.25" customHeight="1" x14ac:dyDescent="0.35">
      <c r="AO381" s="29"/>
    </row>
    <row r="382" spans="41:41" ht="14.25" customHeight="1" x14ac:dyDescent="0.35">
      <c r="AO382" s="29"/>
    </row>
    <row r="383" spans="41:41" ht="14.25" customHeight="1" x14ac:dyDescent="0.35">
      <c r="AO383" s="29"/>
    </row>
    <row r="384" spans="41:41" ht="14.25" customHeight="1" x14ac:dyDescent="0.35">
      <c r="AO384" s="29"/>
    </row>
    <row r="385" spans="41:41" ht="14.25" customHeight="1" x14ac:dyDescent="0.35">
      <c r="AO385" s="29"/>
    </row>
    <row r="386" spans="41:41" ht="14.25" customHeight="1" x14ac:dyDescent="0.35">
      <c r="AO386" s="29"/>
    </row>
    <row r="387" spans="41:41" ht="14.25" customHeight="1" x14ac:dyDescent="0.35">
      <c r="AO387" s="29"/>
    </row>
    <row r="388" spans="41:41" ht="14.25" customHeight="1" x14ac:dyDescent="0.35">
      <c r="AO388" s="29"/>
    </row>
    <row r="389" spans="41:41" ht="14.25" customHeight="1" x14ac:dyDescent="0.35">
      <c r="AO389" s="29"/>
    </row>
    <row r="390" spans="41:41" ht="14.25" customHeight="1" x14ac:dyDescent="0.35">
      <c r="AO390" s="29"/>
    </row>
    <row r="391" spans="41:41" ht="14.25" customHeight="1" x14ac:dyDescent="0.35">
      <c r="AO391" s="29"/>
    </row>
    <row r="392" spans="41:41" ht="14.25" customHeight="1" x14ac:dyDescent="0.35">
      <c r="AO392" s="29"/>
    </row>
    <row r="393" spans="41:41" ht="14.25" customHeight="1" x14ac:dyDescent="0.35">
      <c r="AO393" s="29"/>
    </row>
    <row r="394" spans="41:41" ht="14.25" customHeight="1" x14ac:dyDescent="0.35">
      <c r="AO394" s="29"/>
    </row>
    <row r="395" spans="41:41" ht="14.25" customHeight="1" x14ac:dyDescent="0.35">
      <c r="AO395" s="29"/>
    </row>
    <row r="396" spans="41:41" ht="14.25" customHeight="1" x14ac:dyDescent="0.35">
      <c r="AO396" s="29"/>
    </row>
    <row r="397" spans="41:41" ht="14.25" customHeight="1" x14ac:dyDescent="0.35">
      <c r="AO397" s="29"/>
    </row>
    <row r="398" spans="41:41" ht="14.25" customHeight="1" x14ac:dyDescent="0.35">
      <c r="AO398" s="29"/>
    </row>
    <row r="399" spans="41:41" ht="14.25" customHeight="1" x14ac:dyDescent="0.35">
      <c r="AO399" s="29"/>
    </row>
    <row r="400" spans="41:41" ht="14.25" customHeight="1" x14ac:dyDescent="0.35">
      <c r="AO400" s="29"/>
    </row>
    <row r="401" spans="41:41" ht="14.25" customHeight="1" x14ac:dyDescent="0.35">
      <c r="AO401" s="29"/>
    </row>
    <row r="402" spans="41:41" ht="14.25" customHeight="1" x14ac:dyDescent="0.35">
      <c r="AO402" s="29"/>
    </row>
    <row r="403" spans="41:41" ht="14.25" customHeight="1" x14ac:dyDescent="0.35">
      <c r="AO403" s="29"/>
    </row>
    <row r="404" spans="41:41" ht="14.25" customHeight="1" x14ac:dyDescent="0.35">
      <c r="AO404" s="29"/>
    </row>
    <row r="405" spans="41:41" ht="14.25" customHeight="1" x14ac:dyDescent="0.35">
      <c r="AO405" s="29"/>
    </row>
    <row r="406" spans="41:41" ht="14.25" customHeight="1" x14ac:dyDescent="0.35">
      <c r="AO406" s="29"/>
    </row>
    <row r="407" spans="41:41" ht="14.25" customHeight="1" x14ac:dyDescent="0.35">
      <c r="AO407" s="29"/>
    </row>
    <row r="408" spans="41:41" ht="14.25" customHeight="1" x14ac:dyDescent="0.35">
      <c r="AO408" s="29"/>
    </row>
    <row r="409" spans="41:41" ht="14.25" customHeight="1" x14ac:dyDescent="0.35">
      <c r="AO409" s="29"/>
    </row>
    <row r="410" spans="41:41" ht="14.25" customHeight="1" x14ac:dyDescent="0.35">
      <c r="AO410" s="29"/>
    </row>
    <row r="411" spans="41:41" ht="14.25" customHeight="1" x14ac:dyDescent="0.35">
      <c r="AO411" s="29"/>
    </row>
    <row r="412" spans="41:41" ht="14.25" customHeight="1" x14ac:dyDescent="0.35">
      <c r="AO412" s="29"/>
    </row>
    <row r="413" spans="41:41" ht="14.25" customHeight="1" x14ac:dyDescent="0.35">
      <c r="AO413" s="29"/>
    </row>
    <row r="414" spans="41:41" ht="14.25" customHeight="1" x14ac:dyDescent="0.35">
      <c r="AO414" s="29"/>
    </row>
    <row r="415" spans="41:41" ht="14.25" customHeight="1" x14ac:dyDescent="0.35">
      <c r="AO415" s="29"/>
    </row>
    <row r="416" spans="41:41" ht="14.25" customHeight="1" x14ac:dyDescent="0.35">
      <c r="AO416" s="29"/>
    </row>
    <row r="417" spans="41:41" ht="14.25" customHeight="1" x14ac:dyDescent="0.35">
      <c r="AO417" s="29"/>
    </row>
    <row r="418" spans="41:41" ht="14.25" customHeight="1" x14ac:dyDescent="0.35">
      <c r="AO418" s="29"/>
    </row>
    <row r="419" spans="41:41" ht="14.25" customHeight="1" x14ac:dyDescent="0.35">
      <c r="AO419" s="29"/>
    </row>
    <row r="420" spans="41:41" ht="14.25" customHeight="1" x14ac:dyDescent="0.35">
      <c r="AO420" s="29"/>
    </row>
    <row r="421" spans="41:41" ht="14.25" customHeight="1" x14ac:dyDescent="0.35">
      <c r="AO421" s="29"/>
    </row>
    <row r="422" spans="41:41" ht="14.25" customHeight="1" x14ac:dyDescent="0.35">
      <c r="AO422" s="29"/>
    </row>
    <row r="423" spans="41:41" ht="14.25" customHeight="1" x14ac:dyDescent="0.35">
      <c r="AO423" s="29"/>
    </row>
    <row r="424" spans="41:41" ht="14.25" customHeight="1" x14ac:dyDescent="0.35">
      <c r="AO424" s="29"/>
    </row>
    <row r="425" spans="41:41" ht="14.25" customHeight="1" x14ac:dyDescent="0.35">
      <c r="AO425" s="29"/>
    </row>
    <row r="426" spans="41:41" ht="14.25" customHeight="1" x14ac:dyDescent="0.35">
      <c r="AO426" s="29"/>
    </row>
    <row r="427" spans="41:41" ht="14.25" customHeight="1" x14ac:dyDescent="0.35">
      <c r="AO427" s="29"/>
    </row>
    <row r="428" spans="41:41" ht="14.25" customHeight="1" x14ac:dyDescent="0.35">
      <c r="AO428" s="29"/>
    </row>
    <row r="429" spans="41:41" ht="14.25" customHeight="1" x14ac:dyDescent="0.35">
      <c r="AO429" s="29"/>
    </row>
    <row r="430" spans="41:41" ht="14.25" customHeight="1" x14ac:dyDescent="0.35">
      <c r="AO430" s="29"/>
    </row>
    <row r="431" spans="41:41" ht="14.25" customHeight="1" x14ac:dyDescent="0.35">
      <c r="AO431" s="29"/>
    </row>
    <row r="432" spans="41:41" ht="14.25" customHeight="1" x14ac:dyDescent="0.35">
      <c r="AO432" s="29"/>
    </row>
    <row r="433" spans="41:41" ht="14.25" customHeight="1" x14ac:dyDescent="0.35">
      <c r="AO433" s="29"/>
    </row>
    <row r="434" spans="41:41" ht="14.25" customHeight="1" x14ac:dyDescent="0.35">
      <c r="AO434" s="29"/>
    </row>
    <row r="435" spans="41:41" ht="14.25" customHeight="1" x14ac:dyDescent="0.35">
      <c r="AO435" s="29"/>
    </row>
    <row r="436" spans="41:41" ht="14.25" customHeight="1" x14ac:dyDescent="0.35">
      <c r="AO436" s="29"/>
    </row>
    <row r="437" spans="41:41" ht="14.25" customHeight="1" x14ac:dyDescent="0.35">
      <c r="AO437" s="29"/>
    </row>
    <row r="438" spans="41:41" ht="14.25" customHeight="1" x14ac:dyDescent="0.35">
      <c r="AO438" s="29"/>
    </row>
    <row r="439" spans="41:41" ht="14.25" customHeight="1" x14ac:dyDescent="0.35">
      <c r="AO439" s="29"/>
    </row>
    <row r="440" spans="41:41" ht="14.25" customHeight="1" x14ac:dyDescent="0.35">
      <c r="AO440" s="29"/>
    </row>
    <row r="441" spans="41:41" ht="14.25" customHeight="1" x14ac:dyDescent="0.35">
      <c r="AO441" s="29"/>
    </row>
    <row r="442" spans="41:41" ht="14.25" customHeight="1" x14ac:dyDescent="0.35">
      <c r="AO442" s="29"/>
    </row>
    <row r="443" spans="41:41" ht="14.25" customHeight="1" x14ac:dyDescent="0.35">
      <c r="AO443" s="29"/>
    </row>
    <row r="444" spans="41:41" ht="14.25" customHeight="1" x14ac:dyDescent="0.35">
      <c r="AO444" s="29"/>
    </row>
    <row r="445" spans="41:41" ht="14.25" customHeight="1" x14ac:dyDescent="0.35">
      <c r="AO445" s="29"/>
    </row>
    <row r="446" spans="41:41" ht="14.25" customHeight="1" x14ac:dyDescent="0.35">
      <c r="AO446" s="29"/>
    </row>
    <row r="447" spans="41:41" ht="14.25" customHeight="1" x14ac:dyDescent="0.35">
      <c r="AO447" s="29"/>
    </row>
    <row r="448" spans="41:41" ht="14.25" customHeight="1" x14ac:dyDescent="0.35">
      <c r="AO448" s="29"/>
    </row>
    <row r="449" spans="41:41" ht="14.25" customHeight="1" x14ac:dyDescent="0.35">
      <c r="AO449" s="29"/>
    </row>
    <row r="450" spans="41:41" ht="14.25" customHeight="1" x14ac:dyDescent="0.35">
      <c r="AO450" s="29"/>
    </row>
    <row r="451" spans="41:41" ht="14.25" customHeight="1" x14ac:dyDescent="0.35">
      <c r="AO451" s="29"/>
    </row>
    <row r="452" spans="41:41" ht="14.25" customHeight="1" x14ac:dyDescent="0.35">
      <c r="AO452" s="29"/>
    </row>
    <row r="453" spans="41:41" ht="14.25" customHeight="1" x14ac:dyDescent="0.35">
      <c r="AO453" s="29"/>
    </row>
    <row r="454" spans="41:41" ht="14.25" customHeight="1" x14ac:dyDescent="0.35">
      <c r="AO454" s="29"/>
    </row>
    <row r="455" spans="41:41" ht="14.25" customHeight="1" x14ac:dyDescent="0.35">
      <c r="AO455" s="29"/>
    </row>
    <row r="456" spans="41:41" ht="14.25" customHeight="1" x14ac:dyDescent="0.35">
      <c r="AO456" s="29"/>
    </row>
    <row r="457" spans="41:41" ht="14.25" customHeight="1" x14ac:dyDescent="0.35">
      <c r="AO457" s="29"/>
    </row>
    <row r="458" spans="41:41" ht="14.25" customHeight="1" x14ac:dyDescent="0.35">
      <c r="AO458" s="29"/>
    </row>
    <row r="459" spans="41:41" ht="14.25" customHeight="1" x14ac:dyDescent="0.35">
      <c r="AO459" s="29"/>
    </row>
    <row r="460" spans="41:41" ht="14.25" customHeight="1" x14ac:dyDescent="0.35">
      <c r="AO460" s="29"/>
    </row>
    <row r="461" spans="41:41" ht="14.25" customHeight="1" x14ac:dyDescent="0.35">
      <c r="AO461" s="29"/>
    </row>
    <row r="462" spans="41:41" ht="14.25" customHeight="1" x14ac:dyDescent="0.35">
      <c r="AO462" s="29"/>
    </row>
    <row r="463" spans="41:41" ht="14.25" customHeight="1" x14ac:dyDescent="0.35">
      <c r="AO463" s="29"/>
    </row>
    <row r="464" spans="41:41" ht="14.25" customHeight="1" x14ac:dyDescent="0.35">
      <c r="AO464" s="29"/>
    </row>
    <row r="465" spans="41:41" ht="14.25" customHeight="1" x14ac:dyDescent="0.35">
      <c r="AO465" s="29"/>
    </row>
    <row r="466" spans="41:41" ht="14.25" customHeight="1" x14ac:dyDescent="0.35">
      <c r="AO466" s="29"/>
    </row>
    <row r="467" spans="41:41" ht="14.25" customHeight="1" x14ac:dyDescent="0.35">
      <c r="AO467" s="29"/>
    </row>
    <row r="468" spans="41:41" ht="14.25" customHeight="1" x14ac:dyDescent="0.35">
      <c r="AO468" s="29"/>
    </row>
    <row r="469" spans="41:41" ht="14.25" customHeight="1" x14ac:dyDescent="0.35">
      <c r="AO469" s="29"/>
    </row>
    <row r="470" spans="41:41" ht="14.25" customHeight="1" x14ac:dyDescent="0.35">
      <c r="AO470" s="29"/>
    </row>
    <row r="471" spans="41:41" ht="14.25" customHeight="1" x14ac:dyDescent="0.35">
      <c r="AO471" s="29"/>
    </row>
    <row r="472" spans="41:41" ht="14.25" customHeight="1" x14ac:dyDescent="0.35">
      <c r="AO472" s="29"/>
    </row>
    <row r="473" spans="41:41" ht="14.25" customHeight="1" x14ac:dyDescent="0.35">
      <c r="AO473" s="29"/>
    </row>
    <row r="474" spans="41:41" ht="14.25" customHeight="1" x14ac:dyDescent="0.35">
      <c r="AO474" s="29"/>
    </row>
    <row r="475" spans="41:41" ht="14.25" customHeight="1" x14ac:dyDescent="0.35">
      <c r="AO475" s="29"/>
    </row>
    <row r="476" spans="41:41" ht="14.25" customHeight="1" x14ac:dyDescent="0.35">
      <c r="AO476" s="29"/>
    </row>
    <row r="477" spans="41:41" ht="14.25" customHeight="1" x14ac:dyDescent="0.35">
      <c r="AO477" s="29"/>
    </row>
    <row r="478" spans="41:41" ht="14.25" customHeight="1" x14ac:dyDescent="0.35">
      <c r="AO478" s="29"/>
    </row>
    <row r="479" spans="41:41" ht="14.25" customHeight="1" x14ac:dyDescent="0.35">
      <c r="AO479" s="29"/>
    </row>
    <row r="480" spans="41:41" ht="14.25" customHeight="1" x14ac:dyDescent="0.35">
      <c r="AO480" s="29"/>
    </row>
    <row r="481" spans="41:41" ht="14.25" customHeight="1" x14ac:dyDescent="0.35">
      <c r="AO481" s="29"/>
    </row>
    <row r="482" spans="41:41" ht="14.25" customHeight="1" x14ac:dyDescent="0.35">
      <c r="AO482" s="29"/>
    </row>
    <row r="483" spans="41:41" ht="14.25" customHeight="1" x14ac:dyDescent="0.35">
      <c r="AO483" s="29"/>
    </row>
    <row r="484" spans="41:41" ht="14.25" customHeight="1" x14ac:dyDescent="0.35">
      <c r="AO484" s="29"/>
    </row>
    <row r="485" spans="41:41" ht="14.25" customHeight="1" x14ac:dyDescent="0.35">
      <c r="AO485" s="29"/>
    </row>
    <row r="486" spans="41:41" ht="14.25" customHeight="1" x14ac:dyDescent="0.35">
      <c r="AO486" s="29"/>
    </row>
    <row r="487" spans="41:41" ht="14.25" customHeight="1" x14ac:dyDescent="0.35">
      <c r="AO487" s="29"/>
    </row>
    <row r="488" spans="41:41" ht="14.25" customHeight="1" x14ac:dyDescent="0.35">
      <c r="AO488" s="29"/>
    </row>
    <row r="489" spans="41:41" ht="14.25" customHeight="1" x14ac:dyDescent="0.35">
      <c r="AO489" s="29"/>
    </row>
    <row r="490" spans="41:41" ht="14.25" customHeight="1" x14ac:dyDescent="0.35">
      <c r="AO490" s="29"/>
    </row>
    <row r="491" spans="41:41" ht="14.25" customHeight="1" x14ac:dyDescent="0.35">
      <c r="AO491" s="29"/>
    </row>
    <row r="492" spans="41:41" ht="14.25" customHeight="1" x14ac:dyDescent="0.35">
      <c r="AO492" s="29"/>
    </row>
    <row r="493" spans="41:41" ht="14.25" customHeight="1" x14ac:dyDescent="0.35">
      <c r="AO493" s="29"/>
    </row>
    <row r="494" spans="41:41" ht="14.25" customHeight="1" x14ac:dyDescent="0.35">
      <c r="AO494" s="29"/>
    </row>
    <row r="495" spans="41:41" ht="14.25" customHeight="1" x14ac:dyDescent="0.35">
      <c r="AO495" s="29"/>
    </row>
    <row r="496" spans="41:41" ht="14.25" customHeight="1" x14ac:dyDescent="0.35">
      <c r="AO496" s="29"/>
    </row>
    <row r="497" spans="41:41" ht="14.25" customHeight="1" x14ac:dyDescent="0.35">
      <c r="AO497" s="29"/>
    </row>
    <row r="498" spans="41:41" ht="14.25" customHeight="1" x14ac:dyDescent="0.35">
      <c r="AO498" s="29"/>
    </row>
    <row r="499" spans="41:41" ht="14.25" customHeight="1" x14ac:dyDescent="0.35">
      <c r="AO499" s="29"/>
    </row>
    <row r="500" spans="41:41" ht="14.25" customHeight="1" x14ac:dyDescent="0.35">
      <c r="AO500" s="29"/>
    </row>
    <row r="501" spans="41:41" ht="14.25" customHeight="1" x14ac:dyDescent="0.35">
      <c r="AO501" s="29"/>
    </row>
    <row r="502" spans="41:41" ht="14.25" customHeight="1" x14ac:dyDescent="0.35">
      <c r="AO502" s="29"/>
    </row>
    <row r="503" spans="41:41" ht="14.25" customHeight="1" x14ac:dyDescent="0.35">
      <c r="AO503" s="29"/>
    </row>
    <row r="504" spans="41:41" ht="14.25" customHeight="1" x14ac:dyDescent="0.35">
      <c r="AO504" s="29"/>
    </row>
    <row r="505" spans="41:41" ht="14.25" customHeight="1" x14ac:dyDescent="0.35">
      <c r="AO505" s="29"/>
    </row>
    <row r="506" spans="41:41" ht="14.25" customHeight="1" x14ac:dyDescent="0.35">
      <c r="AO506" s="29"/>
    </row>
    <row r="507" spans="41:41" ht="14.25" customHeight="1" x14ac:dyDescent="0.35">
      <c r="AO507" s="29"/>
    </row>
    <row r="508" spans="41:41" ht="14.25" customHeight="1" x14ac:dyDescent="0.35">
      <c r="AO508" s="29"/>
    </row>
    <row r="509" spans="41:41" ht="14.25" customHeight="1" x14ac:dyDescent="0.35">
      <c r="AO509" s="29"/>
    </row>
    <row r="510" spans="41:41" ht="14.25" customHeight="1" x14ac:dyDescent="0.35">
      <c r="AO510" s="29"/>
    </row>
    <row r="511" spans="41:41" ht="14.25" customHeight="1" x14ac:dyDescent="0.35">
      <c r="AO511" s="29"/>
    </row>
    <row r="512" spans="41:41" ht="14.25" customHeight="1" x14ac:dyDescent="0.35">
      <c r="AO512" s="29"/>
    </row>
    <row r="513" spans="41:41" ht="14.25" customHeight="1" x14ac:dyDescent="0.35">
      <c r="AO513" s="29"/>
    </row>
    <row r="514" spans="41:41" ht="14.25" customHeight="1" x14ac:dyDescent="0.35">
      <c r="AO514" s="29"/>
    </row>
    <row r="515" spans="41:41" ht="14.25" customHeight="1" x14ac:dyDescent="0.35">
      <c r="AO515" s="29"/>
    </row>
    <row r="516" spans="41:41" ht="14.25" customHeight="1" x14ac:dyDescent="0.35">
      <c r="AO516" s="29"/>
    </row>
    <row r="517" spans="41:41" ht="14.25" customHeight="1" x14ac:dyDescent="0.35">
      <c r="AO517" s="29"/>
    </row>
    <row r="518" spans="41:41" ht="14.25" customHeight="1" x14ac:dyDescent="0.35">
      <c r="AO518" s="29"/>
    </row>
    <row r="519" spans="41:41" ht="14.25" customHeight="1" x14ac:dyDescent="0.35">
      <c r="AO519" s="29"/>
    </row>
    <row r="520" spans="41:41" ht="14.25" customHeight="1" x14ac:dyDescent="0.35">
      <c r="AO520" s="29"/>
    </row>
    <row r="521" spans="41:41" ht="14.25" customHeight="1" x14ac:dyDescent="0.35">
      <c r="AO521" s="29"/>
    </row>
    <row r="522" spans="41:41" ht="14.25" customHeight="1" x14ac:dyDescent="0.35">
      <c r="AO522" s="29"/>
    </row>
    <row r="523" spans="41:41" ht="14.25" customHeight="1" x14ac:dyDescent="0.35">
      <c r="AO523" s="29"/>
    </row>
    <row r="524" spans="41:41" ht="14.25" customHeight="1" x14ac:dyDescent="0.35">
      <c r="AO524" s="29"/>
    </row>
    <row r="525" spans="41:41" ht="14.25" customHeight="1" x14ac:dyDescent="0.35">
      <c r="AO525" s="29"/>
    </row>
    <row r="526" spans="41:41" ht="14.25" customHeight="1" x14ac:dyDescent="0.35">
      <c r="AO526" s="29"/>
    </row>
    <row r="527" spans="41:41" ht="14.25" customHeight="1" x14ac:dyDescent="0.35">
      <c r="AO527" s="29"/>
    </row>
    <row r="528" spans="41:41" ht="14.25" customHeight="1" x14ac:dyDescent="0.35">
      <c r="AO528" s="29"/>
    </row>
    <row r="529" spans="41:41" ht="14.25" customHeight="1" x14ac:dyDescent="0.35">
      <c r="AO529" s="29"/>
    </row>
    <row r="530" spans="41:41" ht="14.25" customHeight="1" x14ac:dyDescent="0.35">
      <c r="AO530" s="29"/>
    </row>
    <row r="531" spans="41:41" ht="14.25" customHeight="1" x14ac:dyDescent="0.35">
      <c r="AO531" s="29"/>
    </row>
    <row r="532" spans="41:41" ht="14.25" customHeight="1" x14ac:dyDescent="0.35">
      <c r="AO532" s="29"/>
    </row>
    <row r="533" spans="41:41" ht="14.25" customHeight="1" x14ac:dyDescent="0.35">
      <c r="AO533" s="29"/>
    </row>
    <row r="534" spans="41:41" ht="14.25" customHeight="1" x14ac:dyDescent="0.35">
      <c r="AO534" s="29"/>
    </row>
    <row r="535" spans="41:41" ht="14.25" customHeight="1" x14ac:dyDescent="0.35">
      <c r="AO535" s="29"/>
    </row>
    <row r="536" spans="41:41" ht="14.25" customHeight="1" x14ac:dyDescent="0.35">
      <c r="AO536" s="29"/>
    </row>
    <row r="537" spans="41:41" ht="14.25" customHeight="1" x14ac:dyDescent="0.35">
      <c r="AO537" s="29"/>
    </row>
    <row r="538" spans="41:41" ht="14.25" customHeight="1" x14ac:dyDescent="0.35">
      <c r="AO538" s="29"/>
    </row>
    <row r="539" spans="41:41" ht="14.25" customHeight="1" x14ac:dyDescent="0.35">
      <c r="AO539" s="29"/>
    </row>
    <row r="540" spans="41:41" ht="14.25" customHeight="1" x14ac:dyDescent="0.35">
      <c r="AO540" s="29"/>
    </row>
    <row r="541" spans="41:41" ht="14.25" customHeight="1" x14ac:dyDescent="0.35">
      <c r="AO541" s="29"/>
    </row>
    <row r="542" spans="41:41" ht="14.25" customHeight="1" x14ac:dyDescent="0.35">
      <c r="AO542" s="29"/>
    </row>
    <row r="543" spans="41:41" ht="14.25" customHeight="1" x14ac:dyDescent="0.35">
      <c r="AO543" s="29"/>
    </row>
    <row r="544" spans="41:41" ht="14.25" customHeight="1" x14ac:dyDescent="0.35">
      <c r="AO544" s="29"/>
    </row>
    <row r="545" spans="41:41" ht="14.25" customHeight="1" x14ac:dyDescent="0.35">
      <c r="AO545" s="29"/>
    </row>
    <row r="546" spans="41:41" ht="14.25" customHeight="1" x14ac:dyDescent="0.35">
      <c r="AO546" s="29"/>
    </row>
    <row r="547" spans="41:41" ht="14.25" customHeight="1" x14ac:dyDescent="0.35">
      <c r="AO547" s="29"/>
    </row>
    <row r="548" spans="41:41" ht="14.25" customHeight="1" x14ac:dyDescent="0.35">
      <c r="AO548" s="29"/>
    </row>
    <row r="549" spans="41:41" ht="14.25" customHeight="1" x14ac:dyDescent="0.35">
      <c r="AO549" s="29"/>
    </row>
    <row r="550" spans="41:41" ht="14.25" customHeight="1" x14ac:dyDescent="0.35">
      <c r="AO550" s="29"/>
    </row>
    <row r="551" spans="41:41" ht="14.25" customHeight="1" x14ac:dyDescent="0.35">
      <c r="AO551" s="29"/>
    </row>
    <row r="552" spans="41:41" ht="14.25" customHeight="1" x14ac:dyDescent="0.35">
      <c r="AO552" s="29"/>
    </row>
    <row r="553" spans="41:41" ht="14.25" customHeight="1" x14ac:dyDescent="0.35">
      <c r="AO553" s="29"/>
    </row>
    <row r="554" spans="41:41" ht="14.25" customHeight="1" x14ac:dyDescent="0.35">
      <c r="AO554" s="29"/>
    </row>
    <row r="555" spans="41:41" ht="14.25" customHeight="1" x14ac:dyDescent="0.35">
      <c r="AO555" s="29"/>
    </row>
    <row r="556" spans="41:41" ht="14.25" customHeight="1" x14ac:dyDescent="0.35">
      <c r="AO556" s="29"/>
    </row>
    <row r="557" spans="41:41" ht="14.25" customHeight="1" x14ac:dyDescent="0.35">
      <c r="AO557" s="29"/>
    </row>
    <row r="558" spans="41:41" ht="14.25" customHeight="1" x14ac:dyDescent="0.35">
      <c r="AO558" s="29"/>
    </row>
    <row r="559" spans="41:41" ht="14.25" customHeight="1" x14ac:dyDescent="0.35">
      <c r="AO559" s="29"/>
    </row>
    <row r="560" spans="41:41" ht="14.25" customHeight="1" x14ac:dyDescent="0.35">
      <c r="AO560" s="29"/>
    </row>
    <row r="561" spans="41:41" ht="14.25" customHeight="1" x14ac:dyDescent="0.35">
      <c r="AO561" s="29"/>
    </row>
    <row r="562" spans="41:41" ht="14.25" customHeight="1" x14ac:dyDescent="0.35">
      <c r="AO562" s="29"/>
    </row>
    <row r="563" spans="41:41" ht="14.25" customHeight="1" x14ac:dyDescent="0.35">
      <c r="AO563" s="29"/>
    </row>
    <row r="564" spans="41:41" ht="14.25" customHeight="1" x14ac:dyDescent="0.35">
      <c r="AO564" s="29"/>
    </row>
    <row r="565" spans="41:41" ht="14.25" customHeight="1" x14ac:dyDescent="0.35">
      <c r="AO565" s="29"/>
    </row>
    <row r="566" spans="41:41" ht="14.25" customHeight="1" x14ac:dyDescent="0.35">
      <c r="AO566" s="29"/>
    </row>
    <row r="567" spans="41:41" ht="14.25" customHeight="1" x14ac:dyDescent="0.35">
      <c r="AO567" s="29"/>
    </row>
    <row r="568" spans="41:41" ht="14.25" customHeight="1" x14ac:dyDescent="0.35">
      <c r="AO568" s="29"/>
    </row>
    <row r="569" spans="41:41" ht="14.25" customHeight="1" x14ac:dyDescent="0.35">
      <c r="AO569" s="29"/>
    </row>
    <row r="570" spans="41:41" ht="14.25" customHeight="1" x14ac:dyDescent="0.35">
      <c r="AO570" s="29"/>
    </row>
    <row r="571" spans="41:41" ht="14.25" customHeight="1" x14ac:dyDescent="0.35">
      <c r="AO571" s="29"/>
    </row>
    <row r="572" spans="41:41" ht="14.25" customHeight="1" x14ac:dyDescent="0.35">
      <c r="AO572" s="29"/>
    </row>
    <row r="573" spans="41:41" ht="14.25" customHeight="1" x14ac:dyDescent="0.35">
      <c r="AO573" s="29"/>
    </row>
    <row r="574" spans="41:41" ht="14.25" customHeight="1" x14ac:dyDescent="0.35">
      <c r="AO574" s="29"/>
    </row>
    <row r="575" spans="41:41" ht="14.25" customHeight="1" x14ac:dyDescent="0.35">
      <c r="AO575" s="29"/>
    </row>
    <row r="576" spans="41:41" ht="14.25" customHeight="1" x14ac:dyDescent="0.35">
      <c r="AO576" s="29"/>
    </row>
    <row r="577" spans="41:41" ht="14.25" customHeight="1" x14ac:dyDescent="0.35">
      <c r="AO577" s="29"/>
    </row>
    <row r="578" spans="41:41" ht="14.25" customHeight="1" x14ac:dyDescent="0.35">
      <c r="AO578" s="29"/>
    </row>
    <row r="579" spans="41:41" ht="14.25" customHeight="1" x14ac:dyDescent="0.35">
      <c r="AO579" s="29"/>
    </row>
    <row r="580" spans="41:41" ht="14.25" customHeight="1" x14ac:dyDescent="0.35">
      <c r="AO580" s="29"/>
    </row>
    <row r="581" spans="41:41" ht="14.25" customHeight="1" x14ac:dyDescent="0.35">
      <c r="AO581" s="29"/>
    </row>
    <row r="582" spans="41:41" ht="14.25" customHeight="1" x14ac:dyDescent="0.35">
      <c r="AO582" s="29"/>
    </row>
    <row r="583" spans="41:41" ht="14.25" customHeight="1" x14ac:dyDescent="0.35">
      <c r="AO583" s="29"/>
    </row>
    <row r="584" spans="41:41" ht="14.25" customHeight="1" x14ac:dyDescent="0.35">
      <c r="AO584" s="29"/>
    </row>
    <row r="585" spans="41:41" ht="14.25" customHeight="1" x14ac:dyDescent="0.35">
      <c r="AO585" s="29"/>
    </row>
    <row r="586" spans="41:41" ht="14.25" customHeight="1" x14ac:dyDescent="0.35">
      <c r="AO586" s="29"/>
    </row>
    <row r="587" spans="41:41" ht="14.25" customHeight="1" x14ac:dyDescent="0.35">
      <c r="AO587" s="29"/>
    </row>
    <row r="588" spans="41:41" ht="14.25" customHeight="1" x14ac:dyDescent="0.35">
      <c r="AO588" s="29"/>
    </row>
    <row r="589" spans="41:41" ht="14.25" customHeight="1" x14ac:dyDescent="0.35">
      <c r="AO589" s="29"/>
    </row>
    <row r="590" spans="41:41" ht="14.25" customHeight="1" x14ac:dyDescent="0.35">
      <c r="AO590" s="29"/>
    </row>
    <row r="591" spans="41:41" ht="14.25" customHeight="1" x14ac:dyDescent="0.35">
      <c r="AO591" s="29"/>
    </row>
    <row r="592" spans="41:41" ht="14.25" customHeight="1" x14ac:dyDescent="0.35">
      <c r="AO592" s="29"/>
    </row>
    <row r="593" spans="41:41" ht="14.25" customHeight="1" x14ac:dyDescent="0.35">
      <c r="AO593" s="29"/>
    </row>
    <row r="594" spans="41:41" ht="14.25" customHeight="1" x14ac:dyDescent="0.35">
      <c r="AO594" s="29"/>
    </row>
    <row r="595" spans="41:41" ht="14.25" customHeight="1" x14ac:dyDescent="0.35">
      <c r="AO595" s="29"/>
    </row>
    <row r="596" spans="41:41" ht="14.25" customHeight="1" x14ac:dyDescent="0.35">
      <c r="AO596" s="29"/>
    </row>
    <row r="597" spans="41:41" ht="14.25" customHeight="1" x14ac:dyDescent="0.35">
      <c r="AO597" s="29"/>
    </row>
    <row r="598" spans="41:41" ht="14.25" customHeight="1" x14ac:dyDescent="0.35">
      <c r="AO598" s="29"/>
    </row>
    <row r="599" spans="41:41" ht="14.25" customHeight="1" x14ac:dyDescent="0.35">
      <c r="AO599" s="29"/>
    </row>
    <row r="600" spans="41:41" ht="14.25" customHeight="1" x14ac:dyDescent="0.35">
      <c r="AO600" s="29"/>
    </row>
    <row r="601" spans="41:41" ht="14.25" customHeight="1" x14ac:dyDescent="0.35">
      <c r="AO601" s="29"/>
    </row>
    <row r="602" spans="41:41" ht="14.25" customHeight="1" x14ac:dyDescent="0.35">
      <c r="AO602" s="29"/>
    </row>
    <row r="603" spans="41:41" ht="14.25" customHeight="1" x14ac:dyDescent="0.35">
      <c r="AO603" s="29"/>
    </row>
    <row r="604" spans="41:41" ht="14.25" customHeight="1" x14ac:dyDescent="0.35">
      <c r="AO604" s="29"/>
    </row>
    <row r="605" spans="41:41" ht="14.25" customHeight="1" x14ac:dyDescent="0.35">
      <c r="AO605" s="29"/>
    </row>
    <row r="606" spans="41:41" ht="14.25" customHeight="1" x14ac:dyDescent="0.35">
      <c r="AO606" s="29"/>
    </row>
    <row r="607" spans="41:41" ht="14.25" customHeight="1" x14ac:dyDescent="0.35">
      <c r="AO607" s="29"/>
    </row>
    <row r="608" spans="41:41" ht="14.25" customHeight="1" x14ac:dyDescent="0.35">
      <c r="AO608" s="29"/>
    </row>
    <row r="609" spans="41:41" ht="14.25" customHeight="1" x14ac:dyDescent="0.35">
      <c r="AO609" s="29"/>
    </row>
    <row r="610" spans="41:41" ht="14.25" customHeight="1" x14ac:dyDescent="0.35">
      <c r="AO610" s="29"/>
    </row>
    <row r="611" spans="41:41" ht="14.25" customHeight="1" x14ac:dyDescent="0.35">
      <c r="AO611" s="29"/>
    </row>
    <row r="612" spans="41:41" ht="14.25" customHeight="1" x14ac:dyDescent="0.35">
      <c r="AO612" s="29"/>
    </row>
    <row r="613" spans="41:41" ht="14.25" customHeight="1" x14ac:dyDescent="0.35">
      <c r="AO613" s="29"/>
    </row>
    <row r="614" spans="41:41" ht="14.25" customHeight="1" x14ac:dyDescent="0.35">
      <c r="AO614" s="29"/>
    </row>
    <row r="615" spans="41:41" ht="14.25" customHeight="1" x14ac:dyDescent="0.35">
      <c r="AO615" s="29"/>
    </row>
    <row r="616" spans="41:41" ht="14.25" customHeight="1" x14ac:dyDescent="0.35">
      <c r="AO616" s="29"/>
    </row>
    <row r="617" spans="41:41" ht="14.25" customHeight="1" x14ac:dyDescent="0.35">
      <c r="AO617" s="29"/>
    </row>
    <row r="618" spans="41:41" ht="14.25" customHeight="1" x14ac:dyDescent="0.35">
      <c r="AO618" s="29"/>
    </row>
    <row r="619" spans="41:41" ht="14.25" customHeight="1" x14ac:dyDescent="0.35">
      <c r="AO619" s="29"/>
    </row>
    <row r="620" spans="41:41" ht="14.25" customHeight="1" x14ac:dyDescent="0.35">
      <c r="AO620" s="29"/>
    </row>
    <row r="621" spans="41:41" ht="14.25" customHeight="1" x14ac:dyDescent="0.35">
      <c r="AO621" s="29"/>
    </row>
    <row r="622" spans="41:41" ht="14.25" customHeight="1" x14ac:dyDescent="0.35">
      <c r="AO622" s="29"/>
    </row>
    <row r="623" spans="41:41" ht="14.25" customHeight="1" x14ac:dyDescent="0.35">
      <c r="AO623" s="29"/>
    </row>
    <row r="624" spans="41:41" ht="14.25" customHeight="1" x14ac:dyDescent="0.35">
      <c r="AO624" s="29"/>
    </row>
    <row r="625" spans="41:41" ht="14.25" customHeight="1" x14ac:dyDescent="0.35">
      <c r="AO625" s="29"/>
    </row>
    <row r="626" spans="41:41" ht="14.25" customHeight="1" x14ac:dyDescent="0.35">
      <c r="AO626" s="29"/>
    </row>
    <row r="627" spans="41:41" ht="14.25" customHeight="1" x14ac:dyDescent="0.35">
      <c r="AO627" s="29"/>
    </row>
    <row r="628" spans="41:41" ht="14.25" customHeight="1" x14ac:dyDescent="0.35">
      <c r="AO628" s="29"/>
    </row>
    <row r="629" spans="41:41" ht="14.25" customHeight="1" x14ac:dyDescent="0.35">
      <c r="AO629" s="29"/>
    </row>
    <row r="630" spans="41:41" ht="14.25" customHeight="1" x14ac:dyDescent="0.35">
      <c r="AO630" s="29"/>
    </row>
    <row r="631" spans="41:41" ht="14.25" customHeight="1" x14ac:dyDescent="0.35">
      <c r="AO631" s="29"/>
    </row>
    <row r="632" spans="41:41" ht="14.25" customHeight="1" x14ac:dyDescent="0.35">
      <c r="AO632" s="29"/>
    </row>
    <row r="633" spans="41:41" ht="14.25" customHeight="1" x14ac:dyDescent="0.35">
      <c r="AO633" s="29"/>
    </row>
    <row r="634" spans="41:41" ht="14.25" customHeight="1" x14ac:dyDescent="0.35">
      <c r="AO634" s="29"/>
    </row>
    <row r="635" spans="41:41" ht="14.25" customHeight="1" x14ac:dyDescent="0.35">
      <c r="AO635" s="29"/>
    </row>
    <row r="636" spans="41:41" ht="14.25" customHeight="1" x14ac:dyDescent="0.35">
      <c r="AO636" s="29"/>
    </row>
    <row r="637" spans="41:41" ht="14.25" customHeight="1" x14ac:dyDescent="0.35">
      <c r="AO637" s="29"/>
    </row>
    <row r="638" spans="41:41" ht="14.25" customHeight="1" x14ac:dyDescent="0.35">
      <c r="AO638" s="29"/>
    </row>
    <row r="639" spans="41:41" ht="14.25" customHeight="1" x14ac:dyDescent="0.35">
      <c r="AO639" s="29"/>
    </row>
    <row r="640" spans="41:41" ht="14.25" customHeight="1" x14ac:dyDescent="0.35">
      <c r="AO640" s="29"/>
    </row>
    <row r="641" spans="41:41" ht="14.25" customHeight="1" x14ac:dyDescent="0.35">
      <c r="AO641" s="29"/>
    </row>
    <row r="642" spans="41:41" ht="14.25" customHeight="1" x14ac:dyDescent="0.35">
      <c r="AO642" s="29"/>
    </row>
    <row r="643" spans="41:41" ht="14.25" customHeight="1" x14ac:dyDescent="0.35">
      <c r="AO643" s="29"/>
    </row>
    <row r="644" spans="41:41" ht="14.25" customHeight="1" x14ac:dyDescent="0.35">
      <c r="AO644" s="29"/>
    </row>
    <row r="645" spans="41:41" ht="14.25" customHeight="1" x14ac:dyDescent="0.35">
      <c r="AO645" s="29"/>
    </row>
    <row r="646" spans="41:41" ht="14.25" customHeight="1" x14ac:dyDescent="0.35">
      <c r="AO646" s="29"/>
    </row>
    <row r="647" spans="41:41" ht="14.25" customHeight="1" x14ac:dyDescent="0.35">
      <c r="AO647" s="29"/>
    </row>
    <row r="648" spans="41:41" ht="14.25" customHeight="1" x14ac:dyDescent="0.35">
      <c r="AO648" s="29"/>
    </row>
    <row r="649" spans="41:41" ht="14.25" customHeight="1" x14ac:dyDescent="0.35">
      <c r="AO649" s="29"/>
    </row>
    <row r="650" spans="41:41" ht="14.25" customHeight="1" x14ac:dyDescent="0.35">
      <c r="AO650" s="29"/>
    </row>
    <row r="651" spans="41:41" ht="14.25" customHeight="1" x14ac:dyDescent="0.35">
      <c r="AO651" s="29"/>
    </row>
    <row r="652" spans="41:41" ht="14.25" customHeight="1" x14ac:dyDescent="0.35">
      <c r="AO652" s="29"/>
    </row>
    <row r="653" spans="41:41" ht="14.25" customHeight="1" x14ac:dyDescent="0.35">
      <c r="AO653" s="29"/>
    </row>
    <row r="654" spans="41:41" ht="14.25" customHeight="1" x14ac:dyDescent="0.35">
      <c r="AO654" s="29"/>
    </row>
    <row r="655" spans="41:41" ht="14.25" customHeight="1" x14ac:dyDescent="0.35">
      <c r="AO655" s="29"/>
    </row>
    <row r="656" spans="41:41" ht="14.25" customHeight="1" x14ac:dyDescent="0.35">
      <c r="AO656" s="29"/>
    </row>
    <row r="657" spans="41:41" ht="14.25" customHeight="1" x14ac:dyDescent="0.35">
      <c r="AO657" s="29"/>
    </row>
    <row r="658" spans="41:41" ht="14.25" customHeight="1" x14ac:dyDescent="0.35">
      <c r="AO658" s="29"/>
    </row>
    <row r="659" spans="41:41" ht="14.25" customHeight="1" x14ac:dyDescent="0.35">
      <c r="AO659" s="29"/>
    </row>
    <row r="660" spans="41:41" ht="14.25" customHeight="1" x14ac:dyDescent="0.35">
      <c r="AO660" s="29"/>
    </row>
    <row r="661" spans="41:41" ht="14.25" customHeight="1" x14ac:dyDescent="0.35">
      <c r="AO661" s="29"/>
    </row>
    <row r="662" spans="41:41" ht="14.25" customHeight="1" x14ac:dyDescent="0.35">
      <c r="AO662" s="29"/>
    </row>
    <row r="663" spans="41:41" ht="14.25" customHeight="1" x14ac:dyDescent="0.35">
      <c r="AO663" s="29"/>
    </row>
    <row r="664" spans="41:41" ht="14.25" customHeight="1" x14ac:dyDescent="0.35">
      <c r="AO664" s="29"/>
    </row>
    <row r="665" spans="41:41" ht="14.25" customHeight="1" x14ac:dyDescent="0.35">
      <c r="AO665" s="29"/>
    </row>
    <row r="666" spans="41:41" ht="14.25" customHeight="1" x14ac:dyDescent="0.35">
      <c r="AO666" s="29"/>
    </row>
    <row r="667" spans="41:41" ht="14.25" customHeight="1" x14ac:dyDescent="0.35">
      <c r="AO667" s="29"/>
    </row>
    <row r="668" spans="41:41" ht="14.25" customHeight="1" x14ac:dyDescent="0.35">
      <c r="AO668" s="29"/>
    </row>
    <row r="669" spans="41:41" ht="14.25" customHeight="1" x14ac:dyDescent="0.35">
      <c r="AO669" s="29"/>
    </row>
    <row r="670" spans="41:41" ht="14.25" customHeight="1" x14ac:dyDescent="0.35">
      <c r="AO670" s="29"/>
    </row>
    <row r="671" spans="41:41" ht="14.25" customHeight="1" x14ac:dyDescent="0.35">
      <c r="AO671" s="29"/>
    </row>
    <row r="672" spans="41:41" ht="14.25" customHeight="1" x14ac:dyDescent="0.35">
      <c r="AO672" s="29"/>
    </row>
    <row r="673" spans="41:41" ht="14.25" customHeight="1" x14ac:dyDescent="0.35">
      <c r="AO673" s="29"/>
    </row>
    <row r="674" spans="41:41" ht="14.25" customHeight="1" x14ac:dyDescent="0.35">
      <c r="AO674" s="29"/>
    </row>
    <row r="675" spans="41:41" ht="14.25" customHeight="1" x14ac:dyDescent="0.35">
      <c r="AO675" s="29"/>
    </row>
    <row r="676" spans="41:41" ht="14.25" customHeight="1" x14ac:dyDescent="0.35">
      <c r="AO676" s="29"/>
    </row>
    <row r="677" spans="41:41" ht="14.25" customHeight="1" x14ac:dyDescent="0.35">
      <c r="AO677" s="29"/>
    </row>
    <row r="678" spans="41:41" ht="14.25" customHeight="1" x14ac:dyDescent="0.35">
      <c r="AO678" s="29"/>
    </row>
    <row r="679" spans="41:41" ht="14.25" customHeight="1" x14ac:dyDescent="0.35">
      <c r="AO679" s="29"/>
    </row>
    <row r="680" spans="41:41" ht="14.25" customHeight="1" x14ac:dyDescent="0.35">
      <c r="AO680" s="29"/>
    </row>
    <row r="681" spans="41:41" ht="14.25" customHeight="1" x14ac:dyDescent="0.35">
      <c r="AO681" s="29"/>
    </row>
    <row r="682" spans="41:41" ht="14.25" customHeight="1" x14ac:dyDescent="0.35">
      <c r="AO682" s="29"/>
    </row>
    <row r="683" spans="41:41" ht="14.25" customHeight="1" x14ac:dyDescent="0.35">
      <c r="AO683" s="29"/>
    </row>
    <row r="684" spans="41:41" ht="14.25" customHeight="1" x14ac:dyDescent="0.35">
      <c r="AO684" s="29"/>
    </row>
    <row r="685" spans="41:41" ht="14.25" customHeight="1" x14ac:dyDescent="0.35">
      <c r="AO685" s="29"/>
    </row>
    <row r="686" spans="41:41" ht="14.25" customHeight="1" x14ac:dyDescent="0.35">
      <c r="AO686" s="29"/>
    </row>
    <row r="687" spans="41:41" ht="14.25" customHeight="1" x14ac:dyDescent="0.35">
      <c r="AO687" s="29"/>
    </row>
    <row r="688" spans="41:41" ht="14.25" customHeight="1" x14ac:dyDescent="0.35">
      <c r="AO688" s="29"/>
    </row>
    <row r="689" spans="41:41" ht="14.25" customHeight="1" x14ac:dyDescent="0.35">
      <c r="AO689" s="29"/>
    </row>
    <row r="690" spans="41:41" ht="14.25" customHeight="1" x14ac:dyDescent="0.35">
      <c r="AO690" s="29"/>
    </row>
    <row r="691" spans="41:41" ht="14.25" customHeight="1" x14ac:dyDescent="0.35">
      <c r="AO691" s="29"/>
    </row>
    <row r="692" spans="41:41" ht="14.25" customHeight="1" x14ac:dyDescent="0.35">
      <c r="AO692" s="29"/>
    </row>
    <row r="693" spans="41:41" ht="14.25" customHeight="1" x14ac:dyDescent="0.35">
      <c r="AO693" s="29"/>
    </row>
    <row r="694" spans="41:41" ht="14.25" customHeight="1" x14ac:dyDescent="0.35">
      <c r="AO694" s="29"/>
    </row>
    <row r="695" spans="41:41" ht="14.25" customHeight="1" x14ac:dyDescent="0.35">
      <c r="AO695" s="29"/>
    </row>
    <row r="696" spans="41:41" ht="14.25" customHeight="1" x14ac:dyDescent="0.35">
      <c r="AO696" s="29"/>
    </row>
    <row r="697" spans="41:41" ht="14.25" customHeight="1" x14ac:dyDescent="0.35">
      <c r="AO697" s="29"/>
    </row>
    <row r="698" spans="41:41" ht="14.25" customHeight="1" x14ac:dyDescent="0.35">
      <c r="AO698" s="29"/>
    </row>
    <row r="699" spans="41:41" ht="14.25" customHeight="1" x14ac:dyDescent="0.35">
      <c r="AO699" s="29"/>
    </row>
    <row r="700" spans="41:41" ht="14.25" customHeight="1" x14ac:dyDescent="0.35">
      <c r="AO700" s="29"/>
    </row>
    <row r="701" spans="41:41" ht="14.25" customHeight="1" x14ac:dyDescent="0.35">
      <c r="AO701" s="29"/>
    </row>
    <row r="702" spans="41:41" ht="14.25" customHeight="1" x14ac:dyDescent="0.35">
      <c r="AO702" s="29"/>
    </row>
    <row r="703" spans="41:41" ht="14.25" customHeight="1" x14ac:dyDescent="0.35">
      <c r="AO703" s="29"/>
    </row>
    <row r="704" spans="41:41" ht="14.25" customHeight="1" x14ac:dyDescent="0.35">
      <c r="AO704" s="29"/>
    </row>
    <row r="705" spans="41:41" ht="14.25" customHeight="1" x14ac:dyDescent="0.35">
      <c r="AO705" s="29"/>
    </row>
    <row r="706" spans="41:41" ht="14.25" customHeight="1" x14ac:dyDescent="0.35">
      <c r="AO706" s="29"/>
    </row>
    <row r="707" spans="41:41" ht="14.25" customHeight="1" x14ac:dyDescent="0.35">
      <c r="AO707" s="29"/>
    </row>
    <row r="708" spans="41:41" ht="14.25" customHeight="1" x14ac:dyDescent="0.35">
      <c r="AO708" s="29"/>
    </row>
    <row r="709" spans="41:41" ht="14.25" customHeight="1" x14ac:dyDescent="0.35">
      <c r="AO709" s="29"/>
    </row>
    <row r="710" spans="41:41" ht="14.25" customHeight="1" x14ac:dyDescent="0.35">
      <c r="AO710" s="29"/>
    </row>
    <row r="711" spans="41:41" ht="14.25" customHeight="1" x14ac:dyDescent="0.35">
      <c r="AO711" s="29"/>
    </row>
    <row r="712" spans="41:41" ht="14.25" customHeight="1" x14ac:dyDescent="0.35">
      <c r="AO712" s="29"/>
    </row>
    <row r="713" spans="41:41" ht="14.25" customHeight="1" x14ac:dyDescent="0.35">
      <c r="AO713" s="29"/>
    </row>
    <row r="714" spans="41:41" ht="14.25" customHeight="1" x14ac:dyDescent="0.35">
      <c r="AO714" s="29"/>
    </row>
    <row r="715" spans="41:41" ht="14.25" customHeight="1" x14ac:dyDescent="0.35">
      <c r="AO715" s="29"/>
    </row>
    <row r="716" spans="41:41" ht="14.25" customHeight="1" x14ac:dyDescent="0.35">
      <c r="AO716" s="29"/>
    </row>
    <row r="717" spans="41:41" ht="14.25" customHeight="1" x14ac:dyDescent="0.35">
      <c r="AO717" s="29"/>
    </row>
    <row r="718" spans="41:41" ht="14.25" customHeight="1" x14ac:dyDescent="0.35">
      <c r="AO718" s="29"/>
    </row>
    <row r="719" spans="41:41" ht="14.25" customHeight="1" x14ac:dyDescent="0.35">
      <c r="AO719" s="29"/>
    </row>
    <row r="720" spans="41:41" ht="14.25" customHeight="1" x14ac:dyDescent="0.35">
      <c r="AO720" s="29"/>
    </row>
    <row r="721" spans="41:41" ht="14.25" customHeight="1" x14ac:dyDescent="0.35">
      <c r="AO721" s="29"/>
    </row>
    <row r="722" spans="41:41" ht="14.25" customHeight="1" x14ac:dyDescent="0.35">
      <c r="AO722" s="29"/>
    </row>
    <row r="723" spans="41:41" ht="14.25" customHeight="1" x14ac:dyDescent="0.35">
      <c r="AO723" s="29"/>
    </row>
    <row r="724" spans="41:41" ht="14.25" customHeight="1" x14ac:dyDescent="0.35">
      <c r="AO724" s="29"/>
    </row>
    <row r="725" spans="41:41" ht="14.25" customHeight="1" x14ac:dyDescent="0.35">
      <c r="AO725" s="29"/>
    </row>
    <row r="726" spans="41:41" ht="14.25" customHeight="1" x14ac:dyDescent="0.35">
      <c r="AO726" s="29"/>
    </row>
    <row r="727" spans="41:41" ht="14.25" customHeight="1" x14ac:dyDescent="0.35">
      <c r="AO727" s="29"/>
    </row>
    <row r="728" spans="41:41" ht="14.25" customHeight="1" x14ac:dyDescent="0.35">
      <c r="AO728" s="29"/>
    </row>
    <row r="729" spans="41:41" ht="14.25" customHeight="1" x14ac:dyDescent="0.35">
      <c r="AO729" s="29"/>
    </row>
    <row r="730" spans="41:41" ht="14.25" customHeight="1" x14ac:dyDescent="0.35">
      <c r="AO730" s="29"/>
    </row>
    <row r="731" spans="41:41" ht="14.25" customHeight="1" x14ac:dyDescent="0.35">
      <c r="AO731" s="29"/>
    </row>
    <row r="732" spans="41:41" ht="14.25" customHeight="1" x14ac:dyDescent="0.35">
      <c r="AO732" s="29"/>
    </row>
    <row r="733" spans="41:41" ht="14.25" customHeight="1" x14ac:dyDescent="0.35">
      <c r="AO733" s="29"/>
    </row>
    <row r="734" spans="41:41" ht="14.25" customHeight="1" x14ac:dyDescent="0.35">
      <c r="AO734" s="29"/>
    </row>
    <row r="735" spans="41:41" ht="14.25" customHeight="1" x14ac:dyDescent="0.35">
      <c r="AO735" s="29"/>
    </row>
    <row r="736" spans="41:41" ht="14.25" customHeight="1" x14ac:dyDescent="0.35">
      <c r="AO736" s="29"/>
    </row>
    <row r="737" spans="41:41" ht="14.25" customHeight="1" x14ac:dyDescent="0.35">
      <c r="AO737" s="29"/>
    </row>
    <row r="738" spans="41:41" ht="14.25" customHeight="1" x14ac:dyDescent="0.35">
      <c r="AO738" s="29"/>
    </row>
    <row r="739" spans="41:41" ht="14.25" customHeight="1" x14ac:dyDescent="0.35">
      <c r="AO739" s="29"/>
    </row>
    <row r="740" spans="41:41" ht="14.25" customHeight="1" x14ac:dyDescent="0.35">
      <c r="AO740" s="29"/>
    </row>
    <row r="741" spans="41:41" ht="14.25" customHeight="1" x14ac:dyDescent="0.35">
      <c r="AO741" s="29"/>
    </row>
    <row r="742" spans="41:41" ht="14.25" customHeight="1" x14ac:dyDescent="0.35">
      <c r="AO742" s="29"/>
    </row>
    <row r="743" spans="41:41" ht="14.25" customHeight="1" x14ac:dyDescent="0.35">
      <c r="AO743" s="29"/>
    </row>
    <row r="744" spans="41:41" ht="14.25" customHeight="1" x14ac:dyDescent="0.35">
      <c r="AO744" s="29"/>
    </row>
    <row r="745" spans="41:41" ht="14.25" customHeight="1" x14ac:dyDescent="0.35">
      <c r="AO745" s="29"/>
    </row>
    <row r="746" spans="41:41" ht="14.25" customHeight="1" x14ac:dyDescent="0.35">
      <c r="AO746" s="29"/>
    </row>
    <row r="747" spans="41:41" ht="14.25" customHeight="1" x14ac:dyDescent="0.35">
      <c r="AO747" s="29"/>
    </row>
    <row r="748" spans="41:41" ht="14.25" customHeight="1" x14ac:dyDescent="0.35">
      <c r="AO748" s="29"/>
    </row>
    <row r="749" spans="41:41" ht="14.25" customHeight="1" x14ac:dyDescent="0.35">
      <c r="AO749" s="29"/>
    </row>
    <row r="750" spans="41:41" ht="14.25" customHeight="1" x14ac:dyDescent="0.35">
      <c r="AO750" s="29"/>
    </row>
    <row r="751" spans="41:41" ht="14.25" customHeight="1" x14ac:dyDescent="0.35">
      <c r="AO751" s="29"/>
    </row>
    <row r="752" spans="41:41" ht="14.25" customHeight="1" x14ac:dyDescent="0.35">
      <c r="AO752" s="29"/>
    </row>
    <row r="753" spans="41:41" ht="14.25" customHeight="1" x14ac:dyDescent="0.35">
      <c r="AO753" s="29"/>
    </row>
    <row r="754" spans="41:41" ht="14.25" customHeight="1" x14ac:dyDescent="0.35">
      <c r="AO754" s="29"/>
    </row>
    <row r="755" spans="41:41" ht="14.25" customHeight="1" x14ac:dyDescent="0.35">
      <c r="AO755" s="29"/>
    </row>
    <row r="756" spans="41:41" ht="14.25" customHeight="1" x14ac:dyDescent="0.35">
      <c r="AO756" s="29"/>
    </row>
    <row r="757" spans="41:41" ht="14.25" customHeight="1" x14ac:dyDescent="0.35">
      <c r="AO757" s="29"/>
    </row>
    <row r="758" spans="41:41" ht="14.25" customHeight="1" x14ac:dyDescent="0.35">
      <c r="AO758" s="29"/>
    </row>
    <row r="759" spans="41:41" ht="14.25" customHeight="1" x14ac:dyDescent="0.35">
      <c r="AO759" s="29"/>
    </row>
    <row r="760" spans="41:41" ht="14.25" customHeight="1" x14ac:dyDescent="0.35">
      <c r="AO760" s="29"/>
    </row>
    <row r="761" spans="41:41" ht="14.25" customHeight="1" x14ac:dyDescent="0.35">
      <c r="AO761" s="29"/>
    </row>
    <row r="762" spans="41:41" ht="14.25" customHeight="1" x14ac:dyDescent="0.35">
      <c r="AO762" s="29"/>
    </row>
    <row r="763" spans="41:41" ht="14.25" customHeight="1" x14ac:dyDescent="0.35">
      <c r="AO763" s="29"/>
    </row>
    <row r="764" spans="41:41" ht="14.25" customHeight="1" x14ac:dyDescent="0.35">
      <c r="AO764" s="29"/>
    </row>
    <row r="765" spans="41:41" ht="14.25" customHeight="1" x14ac:dyDescent="0.35">
      <c r="AO765" s="29"/>
    </row>
    <row r="766" spans="41:41" ht="14.25" customHeight="1" x14ac:dyDescent="0.35">
      <c r="AO766" s="29"/>
    </row>
    <row r="767" spans="41:41" ht="14.25" customHeight="1" x14ac:dyDescent="0.35">
      <c r="AO767" s="29"/>
    </row>
    <row r="768" spans="41:41" ht="14.25" customHeight="1" x14ac:dyDescent="0.35">
      <c r="AO768" s="29"/>
    </row>
    <row r="769" spans="41:41" ht="14.25" customHeight="1" x14ac:dyDescent="0.35">
      <c r="AO769" s="29"/>
    </row>
    <row r="770" spans="41:41" ht="14.25" customHeight="1" x14ac:dyDescent="0.35">
      <c r="AO770" s="29"/>
    </row>
    <row r="771" spans="41:41" ht="14.25" customHeight="1" x14ac:dyDescent="0.35">
      <c r="AO771" s="29"/>
    </row>
    <row r="772" spans="41:41" ht="14.25" customHeight="1" x14ac:dyDescent="0.35">
      <c r="AO772" s="29"/>
    </row>
    <row r="773" spans="41:41" ht="14.25" customHeight="1" x14ac:dyDescent="0.35">
      <c r="AO773" s="29"/>
    </row>
    <row r="774" spans="41:41" ht="14.25" customHeight="1" x14ac:dyDescent="0.35">
      <c r="AO774" s="29"/>
    </row>
    <row r="775" spans="41:41" ht="14.25" customHeight="1" x14ac:dyDescent="0.35">
      <c r="AO775" s="29"/>
    </row>
    <row r="776" spans="41:41" ht="14.25" customHeight="1" x14ac:dyDescent="0.35">
      <c r="AO776" s="29"/>
    </row>
    <row r="777" spans="41:41" ht="14.25" customHeight="1" x14ac:dyDescent="0.35">
      <c r="AO777" s="29"/>
    </row>
    <row r="778" spans="41:41" ht="14.25" customHeight="1" x14ac:dyDescent="0.35">
      <c r="AO778" s="29"/>
    </row>
    <row r="779" spans="41:41" ht="14.25" customHeight="1" x14ac:dyDescent="0.35">
      <c r="AO779" s="29"/>
    </row>
    <row r="780" spans="41:41" ht="14.25" customHeight="1" x14ac:dyDescent="0.35">
      <c r="AO780" s="29"/>
    </row>
    <row r="781" spans="41:41" ht="14.25" customHeight="1" x14ac:dyDescent="0.35">
      <c r="AO781" s="29"/>
    </row>
    <row r="782" spans="41:41" ht="14.25" customHeight="1" x14ac:dyDescent="0.35">
      <c r="AO782" s="29"/>
    </row>
    <row r="783" spans="41:41" ht="14.25" customHeight="1" x14ac:dyDescent="0.35">
      <c r="AO783" s="29"/>
    </row>
    <row r="784" spans="41:41" ht="14.25" customHeight="1" x14ac:dyDescent="0.35">
      <c r="AO784" s="29"/>
    </row>
    <row r="785" spans="41:41" ht="14.25" customHeight="1" x14ac:dyDescent="0.35">
      <c r="AO785" s="29"/>
    </row>
    <row r="786" spans="41:41" ht="14.25" customHeight="1" x14ac:dyDescent="0.35">
      <c r="AO786" s="29"/>
    </row>
    <row r="787" spans="41:41" ht="14.25" customHeight="1" x14ac:dyDescent="0.35">
      <c r="AO787" s="29"/>
    </row>
    <row r="788" spans="41:41" ht="14.25" customHeight="1" x14ac:dyDescent="0.35">
      <c r="AO788" s="29"/>
    </row>
    <row r="789" spans="41:41" ht="14.25" customHeight="1" x14ac:dyDescent="0.35">
      <c r="AO789" s="29"/>
    </row>
    <row r="790" spans="41:41" ht="14.25" customHeight="1" x14ac:dyDescent="0.35">
      <c r="AO790" s="29"/>
    </row>
    <row r="791" spans="41:41" ht="14.25" customHeight="1" x14ac:dyDescent="0.35">
      <c r="AO791" s="29"/>
    </row>
    <row r="792" spans="41:41" ht="14.25" customHeight="1" x14ac:dyDescent="0.35">
      <c r="AO792" s="29"/>
    </row>
    <row r="793" spans="41:41" ht="14.25" customHeight="1" x14ac:dyDescent="0.35">
      <c r="AO793" s="29"/>
    </row>
    <row r="794" spans="41:41" ht="14.25" customHeight="1" x14ac:dyDescent="0.35">
      <c r="AO794" s="29"/>
    </row>
    <row r="795" spans="41:41" ht="14.25" customHeight="1" x14ac:dyDescent="0.35">
      <c r="AO795" s="29"/>
    </row>
    <row r="796" spans="41:41" ht="14.25" customHeight="1" x14ac:dyDescent="0.35">
      <c r="AO796" s="29"/>
    </row>
    <row r="797" spans="41:41" ht="14.25" customHeight="1" x14ac:dyDescent="0.35">
      <c r="AO797" s="29"/>
    </row>
    <row r="798" spans="41:41" ht="14.25" customHeight="1" x14ac:dyDescent="0.35">
      <c r="AO798" s="29"/>
    </row>
    <row r="799" spans="41:41" ht="14.25" customHeight="1" x14ac:dyDescent="0.35">
      <c r="AO799" s="29"/>
    </row>
    <row r="800" spans="41:41" ht="14.25" customHeight="1" x14ac:dyDescent="0.35">
      <c r="AO800" s="29"/>
    </row>
    <row r="801" spans="41:41" ht="14.25" customHeight="1" x14ac:dyDescent="0.35">
      <c r="AO801" s="29"/>
    </row>
    <row r="802" spans="41:41" ht="14.25" customHeight="1" x14ac:dyDescent="0.35">
      <c r="AO802" s="29"/>
    </row>
    <row r="803" spans="41:41" ht="14.25" customHeight="1" x14ac:dyDescent="0.35">
      <c r="AO803" s="29"/>
    </row>
    <row r="804" spans="41:41" ht="14.25" customHeight="1" x14ac:dyDescent="0.35">
      <c r="AO804" s="29"/>
    </row>
    <row r="805" spans="41:41" ht="14.25" customHeight="1" x14ac:dyDescent="0.35">
      <c r="AO805" s="29"/>
    </row>
    <row r="806" spans="41:41" ht="14.25" customHeight="1" x14ac:dyDescent="0.35">
      <c r="AO806" s="29"/>
    </row>
    <row r="807" spans="41:41" ht="14.25" customHeight="1" x14ac:dyDescent="0.35">
      <c r="AO807" s="29"/>
    </row>
    <row r="808" spans="41:41" ht="14.25" customHeight="1" x14ac:dyDescent="0.35">
      <c r="AO808" s="29"/>
    </row>
    <row r="809" spans="41:41" ht="14.25" customHeight="1" x14ac:dyDescent="0.35">
      <c r="AO809" s="29"/>
    </row>
    <row r="810" spans="41:41" ht="14.25" customHeight="1" x14ac:dyDescent="0.35">
      <c r="AO810" s="29"/>
    </row>
    <row r="811" spans="41:41" ht="14.25" customHeight="1" x14ac:dyDescent="0.35">
      <c r="AO811" s="29"/>
    </row>
    <row r="812" spans="41:41" ht="14.25" customHeight="1" x14ac:dyDescent="0.35">
      <c r="AO812" s="29"/>
    </row>
    <row r="813" spans="41:41" ht="14.25" customHeight="1" x14ac:dyDescent="0.35">
      <c r="AO813" s="29"/>
    </row>
    <row r="814" spans="41:41" ht="14.25" customHeight="1" x14ac:dyDescent="0.35">
      <c r="AO814" s="29"/>
    </row>
    <row r="815" spans="41:41" ht="14.25" customHeight="1" x14ac:dyDescent="0.35">
      <c r="AO815" s="29"/>
    </row>
    <row r="816" spans="41:41" ht="14.25" customHeight="1" x14ac:dyDescent="0.35">
      <c r="AO816" s="29"/>
    </row>
    <row r="817" spans="41:41" ht="14.25" customHeight="1" x14ac:dyDescent="0.35">
      <c r="AO817" s="29"/>
    </row>
    <row r="818" spans="41:41" ht="14.25" customHeight="1" x14ac:dyDescent="0.35">
      <c r="AO818" s="29"/>
    </row>
    <row r="819" spans="41:41" ht="14.25" customHeight="1" x14ac:dyDescent="0.35">
      <c r="AO819" s="29"/>
    </row>
    <row r="820" spans="41:41" ht="14.25" customHeight="1" x14ac:dyDescent="0.35">
      <c r="AO820" s="29"/>
    </row>
    <row r="821" spans="41:41" ht="14.25" customHeight="1" x14ac:dyDescent="0.35">
      <c r="AO821" s="29"/>
    </row>
    <row r="822" spans="41:41" ht="14.25" customHeight="1" x14ac:dyDescent="0.35">
      <c r="AO822" s="29"/>
    </row>
    <row r="823" spans="41:41" ht="14.25" customHeight="1" x14ac:dyDescent="0.35">
      <c r="AO823" s="29"/>
    </row>
    <row r="824" spans="41:41" ht="14.25" customHeight="1" x14ac:dyDescent="0.35">
      <c r="AO824" s="29"/>
    </row>
    <row r="825" spans="41:41" ht="14.25" customHeight="1" x14ac:dyDescent="0.35">
      <c r="AO825" s="29"/>
    </row>
    <row r="826" spans="41:41" ht="14.25" customHeight="1" x14ac:dyDescent="0.35">
      <c r="AO826" s="29"/>
    </row>
    <row r="827" spans="41:41" ht="14.25" customHeight="1" x14ac:dyDescent="0.35">
      <c r="AO827" s="29"/>
    </row>
    <row r="828" spans="41:41" ht="14.25" customHeight="1" x14ac:dyDescent="0.35">
      <c r="AO828" s="29"/>
    </row>
    <row r="829" spans="41:41" ht="14.25" customHeight="1" x14ac:dyDescent="0.35">
      <c r="AO829" s="29"/>
    </row>
    <row r="830" spans="41:41" ht="14.25" customHeight="1" x14ac:dyDescent="0.35">
      <c r="AO830" s="29"/>
    </row>
    <row r="831" spans="41:41" ht="14.25" customHeight="1" x14ac:dyDescent="0.35">
      <c r="AO831" s="29"/>
    </row>
    <row r="832" spans="41:41" ht="14.25" customHeight="1" x14ac:dyDescent="0.35">
      <c r="AO832" s="29"/>
    </row>
    <row r="833" spans="41:41" ht="14.25" customHeight="1" x14ac:dyDescent="0.35">
      <c r="AO833" s="29"/>
    </row>
    <row r="834" spans="41:41" ht="14.25" customHeight="1" x14ac:dyDescent="0.35">
      <c r="AO834" s="29"/>
    </row>
    <row r="835" spans="41:41" ht="14.25" customHeight="1" x14ac:dyDescent="0.35">
      <c r="AO835" s="29"/>
    </row>
    <row r="836" spans="41:41" ht="14.25" customHeight="1" x14ac:dyDescent="0.35">
      <c r="AO836" s="29"/>
    </row>
    <row r="837" spans="41:41" ht="14.25" customHeight="1" x14ac:dyDescent="0.35">
      <c r="AO837" s="29"/>
    </row>
    <row r="838" spans="41:41" ht="14.25" customHeight="1" x14ac:dyDescent="0.35">
      <c r="AO838" s="29"/>
    </row>
    <row r="839" spans="41:41" ht="14.25" customHeight="1" x14ac:dyDescent="0.35">
      <c r="AO839" s="29"/>
    </row>
    <row r="840" spans="41:41" ht="14.25" customHeight="1" x14ac:dyDescent="0.35">
      <c r="AO840" s="29"/>
    </row>
    <row r="841" spans="41:41" ht="14.25" customHeight="1" x14ac:dyDescent="0.35">
      <c r="AO841" s="29"/>
    </row>
    <row r="842" spans="41:41" ht="14.25" customHeight="1" x14ac:dyDescent="0.35">
      <c r="AO842" s="29"/>
    </row>
    <row r="843" spans="41:41" ht="14.25" customHeight="1" x14ac:dyDescent="0.35">
      <c r="AO843" s="29"/>
    </row>
    <row r="844" spans="41:41" ht="14.25" customHeight="1" x14ac:dyDescent="0.35">
      <c r="AO844" s="29"/>
    </row>
    <row r="845" spans="41:41" ht="14.25" customHeight="1" x14ac:dyDescent="0.35">
      <c r="AO845" s="29"/>
    </row>
    <row r="846" spans="41:41" ht="14.25" customHeight="1" x14ac:dyDescent="0.35">
      <c r="AO846" s="29"/>
    </row>
    <row r="847" spans="41:41" ht="14.25" customHeight="1" x14ac:dyDescent="0.35">
      <c r="AO847" s="29"/>
    </row>
    <row r="848" spans="41:41" ht="14.25" customHeight="1" x14ac:dyDescent="0.35">
      <c r="AO848" s="29"/>
    </row>
    <row r="849" spans="41:41" ht="14.25" customHeight="1" x14ac:dyDescent="0.35">
      <c r="AO849" s="29"/>
    </row>
    <row r="850" spans="41:41" ht="14.25" customHeight="1" x14ac:dyDescent="0.35">
      <c r="AO850" s="29"/>
    </row>
    <row r="851" spans="41:41" ht="14.25" customHeight="1" x14ac:dyDescent="0.35">
      <c r="AO851" s="29"/>
    </row>
    <row r="852" spans="41:41" ht="14.25" customHeight="1" x14ac:dyDescent="0.35">
      <c r="AO852" s="29"/>
    </row>
    <row r="853" spans="41:41" ht="14.25" customHeight="1" x14ac:dyDescent="0.35">
      <c r="AO853" s="29"/>
    </row>
    <row r="854" spans="41:41" ht="14.25" customHeight="1" x14ac:dyDescent="0.35">
      <c r="AO854" s="29"/>
    </row>
    <row r="855" spans="41:41" ht="14.25" customHeight="1" x14ac:dyDescent="0.35">
      <c r="AO855" s="29"/>
    </row>
    <row r="856" spans="41:41" ht="14.25" customHeight="1" x14ac:dyDescent="0.35">
      <c r="AO856" s="29"/>
    </row>
    <row r="857" spans="41:41" ht="14.25" customHeight="1" x14ac:dyDescent="0.35">
      <c r="AO857" s="29"/>
    </row>
    <row r="858" spans="41:41" ht="14.25" customHeight="1" x14ac:dyDescent="0.35">
      <c r="AO858" s="29"/>
    </row>
    <row r="859" spans="41:41" ht="14.25" customHeight="1" x14ac:dyDescent="0.35">
      <c r="AO859" s="29"/>
    </row>
    <row r="860" spans="41:41" ht="14.25" customHeight="1" x14ac:dyDescent="0.35">
      <c r="AO860" s="29"/>
    </row>
    <row r="861" spans="41:41" ht="14.25" customHeight="1" x14ac:dyDescent="0.35">
      <c r="AO861" s="29"/>
    </row>
    <row r="862" spans="41:41" ht="14.25" customHeight="1" x14ac:dyDescent="0.35">
      <c r="AO862" s="29"/>
    </row>
    <row r="863" spans="41:41" ht="14.25" customHeight="1" x14ac:dyDescent="0.35">
      <c r="AO863" s="29"/>
    </row>
    <row r="864" spans="41:41" ht="14.25" customHeight="1" x14ac:dyDescent="0.35">
      <c r="AO864" s="29"/>
    </row>
    <row r="865" spans="41:41" ht="14.25" customHeight="1" x14ac:dyDescent="0.35">
      <c r="AO865" s="29"/>
    </row>
    <row r="866" spans="41:41" ht="14.25" customHeight="1" x14ac:dyDescent="0.35">
      <c r="AO866" s="29"/>
    </row>
    <row r="867" spans="41:41" ht="14.25" customHeight="1" x14ac:dyDescent="0.35">
      <c r="AO867" s="29"/>
    </row>
    <row r="868" spans="41:41" ht="14.25" customHeight="1" x14ac:dyDescent="0.35">
      <c r="AO868" s="29"/>
    </row>
    <row r="869" spans="41:41" ht="14.25" customHeight="1" x14ac:dyDescent="0.35">
      <c r="AO869" s="29"/>
    </row>
    <row r="870" spans="41:41" ht="14.25" customHeight="1" x14ac:dyDescent="0.35">
      <c r="AO870" s="29"/>
    </row>
    <row r="871" spans="41:41" ht="14.25" customHeight="1" x14ac:dyDescent="0.35">
      <c r="AO871" s="29"/>
    </row>
    <row r="872" spans="41:41" ht="14.25" customHeight="1" x14ac:dyDescent="0.35">
      <c r="AO872" s="29"/>
    </row>
    <row r="873" spans="41:41" ht="14.25" customHeight="1" x14ac:dyDescent="0.35">
      <c r="AO873" s="29"/>
    </row>
    <row r="874" spans="41:41" ht="14.25" customHeight="1" x14ac:dyDescent="0.35">
      <c r="AO874" s="29"/>
    </row>
    <row r="875" spans="41:41" ht="14.25" customHeight="1" x14ac:dyDescent="0.35">
      <c r="AO875" s="29"/>
    </row>
    <row r="876" spans="41:41" ht="14.25" customHeight="1" x14ac:dyDescent="0.35">
      <c r="AO876" s="29"/>
    </row>
    <row r="877" spans="41:41" ht="14.25" customHeight="1" x14ac:dyDescent="0.35">
      <c r="AO877" s="29"/>
    </row>
    <row r="878" spans="41:41" ht="14.25" customHeight="1" x14ac:dyDescent="0.35">
      <c r="AO878" s="29"/>
    </row>
    <row r="879" spans="41:41" ht="14.25" customHeight="1" x14ac:dyDescent="0.35">
      <c r="AO879" s="29"/>
    </row>
    <row r="880" spans="41:41" ht="14.25" customHeight="1" x14ac:dyDescent="0.35">
      <c r="AO880" s="29"/>
    </row>
    <row r="881" spans="41:41" ht="14.25" customHeight="1" x14ac:dyDescent="0.35">
      <c r="AO881" s="29"/>
    </row>
    <row r="882" spans="41:41" ht="14.25" customHeight="1" x14ac:dyDescent="0.35">
      <c r="AO882" s="29"/>
    </row>
    <row r="883" spans="41:41" ht="14.25" customHeight="1" x14ac:dyDescent="0.35">
      <c r="AO883" s="29"/>
    </row>
    <row r="884" spans="41:41" ht="14.25" customHeight="1" x14ac:dyDescent="0.35">
      <c r="AO884" s="29"/>
    </row>
    <row r="885" spans="41:41" ht="14.25" customHeight="1" x14ac:dyDescent="0.35">
      <c r="AO885" s="29"/>
    </row>
    <row r="886" spans="41:41" ht="14.25" customHeight="1" x14ac:dyDescent="0.35">
      <c r="AO886" s="29"/>
    </row>
    <row r="887" spans="41:41" ht="14.25" customHeight="1" x14ac:dyDescent="0.35">
      <c r="AO887" s="29"/>
    </row>
    <row r="888" spans="41:41" ht="14.25" customHeight="1" x14ac:dyDescent="0.35">
      <c r="AO888" s="29"/>
    </row>
    <row r="889" spans="41:41" ht="14.25" customHeight="1" x14ac:dyDescent="0.35">
      <c r="AO889" s="29"/>
    </row>
    <row r="890" spans="41:41" ht="14.25" customHeight="1" x14ac:dyDescent="0.35">
      <c r="AO890" s="29"/>
    </row>
    <row r="891" spans="41:41" ht="14.25" customHeight="1" x14ac:dyDescent="0.35">
      <c r="AO891" s="29"/>
    </row>
    <row r="892" spans="41:41" ht="14.25" customHeight="1" x14ac:dyDescent="0.35">
      <c r="AO892" s="29"/>
    </row>
    <row r="893" spans="41:41" ht="14.25" customHeight="1" x14ac:dyDescent="0.35">
      <c r="AO893" s="29"/>
    </row>
    <row r="894" spans="41:41" ht="14.25" customHeight="1" x14ac:dyDescent="0.35">
      <c r="AO894" s="29"/>
    </row>
    <row r="895" spans="41:41" ht="14.25" customHeight="1" x14ac:dyDescent="0.35">
      <c r="AO895" s="29"/>
    </row>
    <row r="896" spans="41:41" ht="14.25" customHeight="1" x14ac:dyDescent="0.35">
      <c r="AO896" s="29"/>
    </row>
    <row r="897" spans="41:41" ht="14.25" customHeight="1" x14ac:dyDescent="0.35">
      <c r="AO897" s="29"/>
    </row>
    <row r="898" spans="41:41" ht="14.25" customHeight="1" x14ac:dyDescent="0.35">
      <c r="AO898" s="29"/>
    </row>
    <row r="899" spans="41:41" ht="14.25" customHeight="1" x14ac:dyDescent="0.35">
      <c r="AO899" s="29"/>
    </row>
    <row r="900" spans="41:41" ht="14.25" customHeight="1" x14ac:dyDescent="0.35">
      <c r="AO900" s="29"/>
    </row>
    <row r="901" spans="41:41" ht="14.25" customHeight="1" x14ac:dyDescent="0.35">
      <c r="AO901" s="29"/>
    </row>
    <row r="902" spans="41:41" ht="14.25" customHeight="1" x14ac:dyDescent="0.35">
      <c r="AO902" s="29"/>
    </row>
    <row r="903" spans="41:41" ht="14.25" customHeight="1" x14ac:dyDescent="0.35">
      <c r="AO903" s="29"/>
    </row>
    <row r="904" spans="41:41" ht="14.25" customHeight="1" x14ac:dyDescent="0.35">
      <c r="AO904" s="29"/>
    </row>
    <row r="905" spans="41:41" ht="14.25" customHeight="1" x14ac:dyDescent="0.35">
      <c r="AO905" s="29"/>
    </row>
    <row r="906" spans="41:41" ht="14.25" customHeight="1" x14ac:dyDescent="0.35">
      <c r="AO906" s="29"/>
    </row>
    <row r="907" spans="41:41" ht="14.25" customHeight="1" x14ac:dyDescent="0.35">
      <c r="AO907" s="29"/>
    </row>
    <row r="908" spans="41:41" ht="14.25" customHeight="1" x14ac:dyDescent="0.35">
      <c r="AO908" s="29"/>
    </row>
    <row r="909" spans="41:41" ht="14.25" customHeight="1" x14ac:dyDescent="0.35">
      <c r="AO909" s="29"/>
    </row>
    <row r="910" spans="41:41" ht="14.25" customHeight="1" x14ac:dyDescent="0.35">
      <c r="AO910" s="29"/>
    </row>
    <row r="911" spans="41:41" ht="14.25" customHeight="1" x14ac:dyDescent="0.35">
      <c r="AO911" s="29"/>
    </row>
    <row r="912" spans="41:41" ht="14.25" customHeight="1" x14ac:dyDescent="0.35">
      <c r="AO912" s="29"/>
    </row>
    <row r="913" spans="41:41" ht="14.25" customHeight="1" x14ac:dyDescent="0.35">
      <c r="AO913" s="29"/>
    </row>
    <row r="914" spans="41:41" ht="14.25" customHeight="1" x14ac:dyDescent="0.35">
      <c r="AO914" s="29"/>
    </row>
    <row r="915" spans="41:41" ht="14.25" customHeight="1" x14ac:dyDescent="0.35">
      <c r="AO915" s="29"/>
    </row>
    <row r="916" spans="41:41" ht="14.25" customHeight="1" x14ac:dyDescent="0.35">
      <c r="AO916" s="29"/>
    </row>
    <row r="917" spans="41:41" ht="14.25" customHeight="1" x14ac:dyDescent="0.35">
      <c r="AO917" s="29"/>
    </row>
    <row r="918" spans="41:41" ht="14.25" customHeight="1" x14ac:dyDescent="0.35">
      <c r="AO918" s="29"/>
    </row>
    <row r="919" spans="41:41" ht="14.25" customHeight="1" x14ac:dyDescent="0.35">
      <c r="AO919" s="29"/>
    </row>
    <row r="920" spans="41:41" ht="14.25" customHeight="1" x14ac:dyDescent="0.35">
      <c r="AO920" s="29"/>
    </row>
    <row r="921" spans="41:41" ht="14.25" customHeight="1" x14ac:dyDescent="0.35">
      <c r="AO921" s="29"/>
    </row>
    <row r="922" spans="41:41" ht="14.25" customHeight="1" x14ac:dyDescent="0.35">
      <c r="AO922" s="29"/>
    </row>
    <row r="923" spans="41:41" ht="14.25" customHeight="1" x14ac:dyDescent="0.35">
      <c r="AO923" s="29"/>
    </row>
    <row r="924" spans="41:41" ht="14.25" customHeight="1" x14ac:dyDescent="0.35">
      <c r="AO924" s="29"/>
    </row>
    <row r="925" spans="41:41" ht="14.25" customHeight="1" x14ac:dyDescent="0.35">
      <c r="AO925" s="29"/>
    </row>
    <row r="926" spans="41:41" ht="14.25" customHeight="1" x14ac:dyDescent="0.35">
      <c r="AO926" s="29"/>
    </row>
    <row r="927" spans="41:41" ht="14.25" customHeight="1" x14ac:dyDescent="0.35">
      <c r="AO927" s="29"/>
    </row>
    <row r="928" spans="41:41" ht="14.25" customHeight="1" x14ac:dyDescent="0.35">
      <c r="AO928" s="29"/>
    </row>
    <row r="929" spans="41:41" ht="14.25" customHeight="1" x14ac:dyDescent="0.35">
      <c r="AO929" s="29"/>
    </row>
    <row r="930" spans="41:41" ht="14.25" customHeight="1" x14ac:dyDescent="0.35">
      <c r="AO930" s="29"/>
    </row>
    <row r="931" spans="41:41" ht="14.25" customHeight="1" x14ac:dyDescent="0.35">
      <c r="AO931" s="29"/>
    </row>
    <row r="932" spans="41:41" ht="14.25" customHeight="1" x14ac:dyDescent="0.35">
      <c r="AO932" s="29"/>
    </row>
    <row r="933" spans="41:41" ht="14.25" customHeight="1" x14ac:dyDescent="0.35">
      <c r="AO933" s="29"/>
    </row>
    <row r="934" spans="41:41" ht="14.25" customHeight="1" x14ac:dyDescent="0.35">
      <c r="AO934" s="29"/>
    </row>
    <row r="935" spans="41:41" ht="14.25" customHeight="1" x14ac:dyDescent="0.35">
      <c r="AO935" s="29"/>
    </row>
    <row r="936" spans="41:41" ht="14.25" customHeight="1" x14ac:dyDescent="0.35">
      <c r="AO936" s="29"/>
    </row>
    <row r="937" spans="41:41" ht="14.25" customHeight="1" x14ac:dyDescent="0.35">
      <c r="AO937" s="29"/>
    </row>
    <row r="938" spans="41:41" ht="14.25" customHeight="1" x14ac:dyDescent="0.35">
      <c r="AO938" s="29"/>
    </row>
    <row r="939" spans="41:41" ht="14.25" customHeight="1" x14ac:dyDescent="0.35">
      <c r="AO939" s="29"/>
    </row>
    <row r="940" spans="41:41" ht="14.25" customHeight="1" x14ac:dyDescent="0.35">
      <c r="AO940" s="29"/>
    </row>
    <row r="941" spans="41:41" ht="14.25" customHeight="1" x14ac:dyDescent="0.35">
      <c r="AO941" s="29"/>
    </row>
    <row r="942" spans="41:41" ht="14.25" customHeight="1" x14ac:dyDescent="0.35">
      <c r="AO942" s="29"/>
    </row>
    <row r="943" spans="41:41" ht="14.25" customHeight="1" x14ac:dyDescent="0.35">
      <c r="AO943" s="29"/>
    </row>
    <row r="944" spans="41:41" ht="14.25" customHeight="1" x14ac:dyDescent="0.35">
      <c r="AO944" s="29"/>
    </row>
    <row r="945" spans="41:41" ht="14.25" customHeight="1" x14ac:dyDescent="0.35">
      <c r="AO945" s="29"/>
    </row>
    <row r="946" spans="41:41" ht="14.25" customHeight="1" x14ac:dyDescent="0.35">
      <c r="AO946" s="29"/>
    </row>
    <row r="947" spans="41:41" ht="14.25" customHeight="1" x14ac:dyDescent="0.35">
      <c r="AO947" s="29"/>
    </row>
    <row r="948" spans="41:41" ht="14.25" customHeight="1" x14ac:dyDescent="0.35">
      <c r="AO948" s="29"/>
    </row>
    <row r="949" spans="41:41" ht="14.25" customHeight="1" x14ac:dyDescent="0.35">
      <c r="AO949" s="29"/>
    </row>
    <row r="950" spans="41:41" ht="14.25" customHeight="1" x14ac:dyDescent="0.35">
      <c r="AO950" s="29"/>
    </row>
    <row r="951" spans="41:41" ht="14.25" customHeight="1" x14ac:dyDescent="0.35">
      <c r="AO951" s="29"/>
    </row>
    <row r="952" spans="41:41" ht="14.25" customHeight="1" x14ac:dyDescent="0.35">
      <c r="AO952" s="29"/>
    </row>
    <row r="953" spans="41:41" ht="14.25" customHeight="1" x14ac:dyDescent="0.35">
      <c r="AO953" s="29"/>
    </row>
    <row r="954" spans="41:41" ht="14.25" customHeight="1" x14ac:dyDescent="0.35">
      <c r="AO954" s="29"/>
    </row>
    <row r="955" spans="41:41" ht="14.25" customHeight="1" x14ac:dyDescent="0.35">
      <c r="AO955" s="29"/>
    </row>
    <row r="956" spans="41:41" ht="14.25" customHeight="1" x14ac:dyDescent="0.35">
      <c r="AO956" s="29"/>
    </row>
    <row r="957" spans="41:41" ht="14.25" customHeight="1" x14ac:dyDescent="0.35">
      <c r="AO957" s="29"/>
    </row>
    <row r="958" spans="41:41" ht="14.25" customHeight="1" x14ac:dyDescent="0.35">
      <c r="AO958" s="29"/>
    </row>
    <row r="959" spans="41:41" ht="14.25" customHeight="1" x14ac:dyDescent="0.35">
      <c r="AO959" s="29"/>
    </row>
    <row r="960" spans="41:41" ht="14.25" customHeight="1" x14ac:dyDescent="0.35">
      <c r="AO960" s="29"/>
    </row>
    <row r="961" spans="41:41" ht="14.25" customHeight="1" x14ac:dyDescent="0.35">
      <c r="AO961" s="29"/>
    </row>
    <row r="962" spans="41:41" ht="14.25" customHeight="1" x14ac:dyDescent="0.35">
      <c r="AO962" s="29"/>
    </row>
    <row r="963" spans="41:41" ht="14.25" customHeight="1" x14ac:dyDescent="0.35">
      <c r="AO963" s="29"/>
    </row>
    <row r="964" spans="41:41" ht="14.25" customHeight="1" x14ac:dyDescent="0.35">
      <c r="AO964" s="29"/>
    </row>
    <row r="965" spans="41:41" ht="14.25" customHeight="1" x14ac:dyDescent="0.35">
      <c r="AO965" s="29"/>
    </row>
    <row r="966" spans="41:41" ht="14.25" customHeight="1" x14ac:dyDescent="0.35">
      <c r="AO966" s="29"/>
    </row>
    <row r="967" spans="41:41" ht="14.25" customHeight="1" x14ac:dyDescent="0.35">
      <c r="AO967" s="29"/>
    </row>
    <row r="968" spans="41:41" ht="14.25" customHeight="1" x14ac:dyDescent="0.35">
      <c r="AO968" s="29"/>
    </row>
    <row r="969" spans="41:41" ht="14.25" customHeight="1" x14ac:dyDescent="0.35">
      <c r="AO969" s="29"/>
    </row>
    <row r="970" spans="41:41" ht="14.25" customHeight="1" x14ac:dyDescent="0.35">
      <c r="AO970" s="29"/>
    </row>
    <row r="971" spans="41:41" ht="14.25" customHeight="1" x14ac:dyDescent="0.35">
      <c r="AO971" s="29"/>
    </row>
    <row r="972" spans="41:41" ht="14.25" customHeight="1" x14ac:dyDescent="0.35">
      <c r="AO972" s="29"/>
    </row>
    <row r="973" spans="41:41" ht="14.25" customHeight="1" x14ac:dyDescent="0.35">
      <c r="AO973" s="29"/>
    </row>
    <row r="974" spans="41:41" ht="14.25" customHeight="1" x14ac:dyDescent="0.35">
      <c r="AO974" s="29"/>
    </row>
    <row r="975" spans="41:41" ht="14.25" customHeight="1" x14ac:dyDescent="0.35">
      <c r="AO975" s="29"/>
    </row>
    <row r="976" spans="41:41" ht="14.25" customHeight="1" x14ac:dyDescent="0.35">
      <c r="AO976" s="29"/>
    </row>
    <row r="977" spans="41:41" ht="14.25" customHeight="1" x14ac:dyDescent="0.35">
      <c r="AO977" s="29"/>
    </row>
    <row r="978" spans="41:41" ht="14.25" customHeight="1" x14ac:dyDescent="0.35">
      <c r="AO978" s="29"/>
    </row>
    <row r="979" spans="41:41" ht="14.25" customHeight="1" x14ac:dyDescent="0.35">
      <c r="AO979" s="29"/>
    </row>
    <row r="980" spans="41:41" ht="14.25" customHeight="1" x14ac:dyDescent="0.35">
      <c r="AO980" s="29"/>
    </row>
    <row r="981" spans="41:41" ht="14.25" customHeight="1" x14ac:dyDescent="0.35">
      <c r="AO981" s="29"/>
    </row>
    <row r="982" spans="41:41" ht="14.25" customHeight="1" x14ac:dyDescent="0.35">
      <c r="AO982" s="29"/>
    </row>
    <row r="983" spans="41:41" ht="14.25" customHeight="1" x14ac:dyDescent="0.35">
      <c r="AO983" s="29"/>
    </row>
    <row r="984" spans="41:41" ht="14.25" customHeight="1" x14ac:dyDescent="0.35">
      <c r="AO984" s="29"/>
    </row>
    <row r="985" spans="41:41" ht="14.25" customHeight="1" x14ac:dyDescent="0.35">
      <c r="AO985" s="29"/>
    </row>
    <row r="986" spans="41:41" ht="14.25" customHeight="1" x14ac:dyDescent="0.35">
      <c r="AO986" s="29"/>
    </row>
    <row r="987" spans="41:41" ht="14.25" customHeight="1" x14ac:dyDescent="0.35">
      <c r="AO987" s="29"/>
    </row>
    <row r="988" spans="41:41" ht="14.25" customHeight="1" x14ac:dyDescent="0.35">
      <c r="AO988" s="29"/>
    </row>
    <row r="989" spans="41:41" ht="14.25" customHeight="1" x14ac:dyDescent="0.35">
      <c r="AO989" s="29"/>
    </row>
    <row r="990" spans="41:41" ht="14.25" customHeight="1" x14ac:dyDescent="0.35">
      <c r="AO990" s="29"/>
    </row>
    <row r="991" spans="41:41" ht="14.25" customHeight="1" x14ac:dyDescent="0.35">
      <c r="AO991" s="29"/>
    </row>
    <row r="992" spans="41:41" ht="14.25" customHeight="1" x14ac:dyDescent="0.35">
      <c r="AO992" s="29"/>
    </row>
    <row r="993" spans="41:41" ht="14.25" customHeight="1" x14ac:dyDescent="0.35">
      <c r="AO993" s="29"/>
    </row>
    <row r="994" spans="41:41" ht="14.25" customHeight="1" x14ac:dyDescent="0.35">
      <c r="AO994" s="29"/>
    </row>
    <row r="995" spans="41:41" ht="14.25" customHeight="1" x14ac:dyDescent="0.35">
      <c r="AO995" s="29"/>
    </row>
    <row r="996" spans="41:41" ht="14.25" customHeight="1" x14ac:dyDescent="0.35">
      <c r="AO996" s="29"/>
    </row>
    <row r="997" spans="41:41" ht="14.25" customHeight="1" x14ac:dyDescent="0.35">
      <c r="AO997" s="29"/>
    </row>
    <row r="998" spans="41:41" ht="14.25" customHeight="1" x14ac:dyDescent="0.35">
      <c r="AO998" s="29"/>
    </row>
    <row r="999" spans="41:41" ht="14.25" customHeight="1" x14ac:dyDescent="0.35">
      <c r="AO999" s="29"/>
    </row>
    <row r="1000" spans="41:41" ht="14.25" customHeight="1" x14ac:dyDescent="0.35">
      <c r="AO1000" s="29"/>
    </row>
  </sheetData>
  <mergeCells count="26">
    <mergeCell ref="AQ4:AR4"/>
    <mergeCell ref="AU4:AX4"/>
    <mergeCell ref="AY4:BB4"/>
    <mergeCell ref="C4:G4"/>
    <mergeCell ref="J4:N4"/>
    <mergeCell ref="P4:Q4"/>
    <mergeCell ref="AD4:AF4"/>
    <mergeCell ref="AH4:AI4"/>
    <mergeCell ref="AB2:AF2"/>
    <mergeCell ref="AK2:AL2"/>
    <mergeCell ref="AN2:AO2"/>
    <mergeCell ref="AT2:BB2"/>
    <mergeCell ref="B3:G3"/>
    <mergeCell ref="I3:N3"/>
    <mergeCell ref="S3:T3"/>
    <mergeCell ref="V3:W3"/>
    <mergeCell ref="Y3:Z3"/>
    <mergeCell ref="AB3:AF3"/>
    <mergeCell ref="AK3:AL3"/>
    <mergeCell ref="AN3:AO3"/>
    <mergeCell ref="AT3:BB3"/>
    <mergeCell ref="B2:G2"/>
    <mergeCell ref="I2:N2"/>
    <mergeCell ref="S2:T2"/>
    <mergeCell ref="V2:W2"/>
    <mergeCell ref="Y2:Z2"/>
  </mergeCell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Q1000"/>
  <sheetViews>
    <sheetView showGridLines="0" zoomScaleNormal="100" workbookViewId="0"/>
  </sheetViews>
  <sheetFormatPr defaultColWidth="14.453125" defaultRowHeight="14.5" x14ac:dyDescent="0.35"/>
  <cols>
    <col min="1" max="17" width="9.26953125" customWidth="1"/>
    <col min="18" max="26" width="8.7265625" customWidth="1"/>
  </cols>
  <sheetData>
    <row r="1" spans="1:17" ht="14.25" customHeight="1" x14ac:dyDescent="0.35">
      <c r="A1" s="37" t="s">
        <v>55</v>
      </c>
      <c r="B1" s="37" t="s">
        <v>42</v>
      </c>
      <c r="C1" s="37" t="s">
        <v>56</v>
      </c>
      <c r="D1" s="37" t="s">
        <v>57</v>
      </c>
      <c r="E1" s="37" t="s">
        <v>58</v>
      </c>
      <c r="F1" s="37" t="s">
        <v>59</v>
      </c>
      <c r="G1" s="37" t="s">
        <v>60</v>
      </c>
      <c r="H1" s="37" t="s">
        <v>61</v>
      </c>
      <c r="I1" s="37" t="s">
        <v>62</v>
      </c>
      <c r="J1" s="37" t="s">
        <v>63</v>
      </c>
      <c r="K1" s="37" t="s">
        <v>64</v>
      </c>
      <c r="L1" s="37" t="s">
        <v>65</v>
      </c>
      <c r="M1" s="37" t="s">
        <v>66</v>
      </c>
      <c r="N1" s="37" t="s">
        <v>67</v>
      </c>
      <c r="O1" s="37" t="s">
        <v>68</v>
      </c>
      <c r="P1" s="37" t="s">
        <v>69</v>
      </c>
      <c r="Q1" s="37" t="s">
        <v>70</v>
      </c>
    </row>
    <row r="2" spans="1:17" ht="14.25" customHeight="1" x14ac:dyDescent="0.35">
      <c r="A2" s="37">
        <v>2</v>
      </c>
      <c r="B2" s="45">
        <v>2.121</v>
      </c>
      <c r="C2" s="45">
        <v>1.88</v>
      </c>
      <c r="D2" s="45">
        <v>2.6589999999999998</v>
      </c>
      <c r="E2" s="45">
        <v>0.79790000000000005</v>
      </c>
      <c r="F2" s="45">
        <v>1.2533000000000001</v>
      </c>
      <c r="G2" s="45">
        <v>0</v>
      </c>
      <c r="H2" s="45">
        <v>3.2669999999999999</v>
      </c>
      <c r="I2" s="45">
        <v>0</v>
      </c>
      <c r="J2" s="45">
        <v>2.6059999999999999</v>
      </c>
      <c r="K2" s="45">
        <v>1.1279999999999999</v>
      </c>
      <c r="L2" s="45">
        <v>0.88649999999999995</v>
      </c>
      <c r="M2" s="45">
        <v>0.85299999999999998</v>
      </c>
      <c r="N2" s="45">
        <v>0</v>
      </c>
      <c r="O2" s="45">
        <v>3.6859999999999999</v>
      </c>
      <c r="P2" s="45">
        <v>0</v>
      </c>
      <c r="Q2" s="45">
        <v>3.2669999999999999</v>
      </c>
    </row>
    <row r="3" spans="1:17" ht="14.25" customHeight="1" x14ac:dyDescent="0.35">
      <c r="A3" s="37">
        <v>3</v>
      </c>
      <c r="B3" s="45">
        <v>1.732</v>
      </c>
      <c r="C3" s="45">
        <v>1.0229999999999999</v>
      </c>
      <c r="D3" s="45">
        <v>1.954</v>
      </c>
      <c r="E3" s="45">
        <v>0.88619999999999999</v>
      </c>
      <c r="F3" s="45">
        <v>1.1284000000000001</v>
      </c>
      <c r="G3" s="45">
        <v>0</v>
      </c>
      <c r="H3" s="45">
        <v>2.5680000000000001</v>
      </c>
      <c r="I3" s="45">
        <v>0</v>
      </c>
      <c r="J3" s="45">
        <v>2.2759999999999998</v>
      </c>
      <c r="K3" s="45">
        <v>1.6930000000000001</v>
      </c>
      <c r="L3" s="45">
        <v>0.5907</v>
      </c>
      <c r="M3" s="45">
        <v>0.88800000000000001</v>
      </c>
      <c r="N3" s="45">
        <v>0</v>
      </c>
      <c r="O3" s="45">
        <v>4.3579999999999997</v>
      </c>
      <c r="P3" s="45">
        <v>0</v>
      </c>
      <c r="Q3" s="45">
        <v>2.5739999999999998</v>
      </c>
    </row>
    <row r="4" spans="1:17" ht="14.25" customHeight="1" x14ac:dyDescent="0.35">
      <c r="A4" s="37">
        <v>4</v>
      </c>
      <c r="B4" s="45">
        <v>1.5</v>
      </c>
      <c r="C4" s="45">
        <v>0.72899999999999998</v>
      </c>
      <c r="D4" s="45">
        <v>1.6279999999999999</v>
      </c>
      <c r="E4" s="45">
        <v>0.92130000000000001</v>
      </c>
      <c r="F4" s="45">
        <v>1.0853999999999999</v>
      </c>
      <c r="G4" s="45">
        <v>0</v>
      </c>
      <c r="H4" s="45">
        <v>2.266</v>
      </c>
      <c r="I4" s="45">
        <v>0</v>
      </c>
      <c r="J4" s="45">
        <v>2.0880000000000001</v>
      </c>
      <c r="K4" s="45">
        <v>2.0590000000000002</v>
      </c>
      <c r="L4" s="45">
        <v>0.48570000000000002</v>
      </c>
      <c r="M4" s="45">
        <v>0.88</v>
      </c>
      <c r="N4" s="45">
        <v>0</v>
      </c>
      <c r="O4" s="45">
        <v>4.6980000000000004</v>
      </c>
      <c r="P4" s="45">
        <v>0</v>
      </c>
      <c r="Q4" s="45">
        <v>2.282</v>
      </c>
    </row>
    <row r="5" spans="1:17" ht="14.25" customHeight="1" x14ac:dyDescent="0.35">
      <c r="A5" s="37">
        <v>5</v>
      </c>
      <c r="B5" s="45">
        <v>1.3420000000000001</v>
      </c>
      <c r="C5" s="45">
        <v>0.57699999999999996</v>
      </c>
      <c r="D5" s="45">
        <v>1.427</v>
      </c>
      <c r="E5" s="45">
        <v>0.94</v>
      </c>
      <c r="F5" s="45">
        <v>1.0638000000000001</v>
      </c>
      <c r="G5" s="45">
        <v>0</v>
      </c>
      <c r="H5" s="45">
        <v>2.089</v>
      </c>
      <c r="I5" s="45">
        <v>0</v>
      </c>
      <c r="J5" s="45">
        <v>1.964</v>
      </c>
      <c r="K5" s="45">
        <v>2.3260000000000001</v>
      </c>
      <c r="L5" s="45">
        <v>0.4299</v>
      </c>
      <c r="M5" s="45">
        <v>0.86399999999999999</v>
      </c>
      <c r="N5" s="45">
        <v>0</v>
      </c>
      <c r="O5" s="45">
        <v>4.9180000000000001</v>
      </c>
      <c r="P5" s="45">
        <v>0</v>
      </c>
      <c r="Q5" s="45">
        <v>2.1139999999999999</v>
      </c>
    </row>
    <row r="6" spans="1:17" ht="14.25" customHeight="1" x14ac:dyDescent="0.35">
      <c r="A6" s="37">
        <v>6</v>
      </c>
      <c r="B6" s="45">
        <v>1.2250000000000001</v>
      </c>
      <c r="C6" s="45">
        <v>0.48299999999999998</v>
      </c>
      <c r="D6" s="45">
        <v>1.2869999999999999</v>
      </c>
      <c r="E6" s="45">
        <v>0.95150000000000001</v>
      </c>
      <c r="F6" s="45">
        <v>1.0509999999999999</v>
      </c>
      <c r="G6" s="45">
        <v>0.03</v>
      </c>
      <c r="H6" s="45">
        <v>1.97</v>
      </c>
      <c r="I6" s="45">
        <v>2.9000000000000001E-2</v>
      </c>
      <c r="J6" s="45">
        <v>1.8740000000000001</v>
      </c>
      <c r="K6" s="45">
        <v>2.5339999999999998</v>
      </c>
      <c r="L6" s="45">
        <v>0.39460000000000001</v>
      </c>
      <c r="M6" s="45">
        <v>0.84799999999999998</v>
      </c>
      <c r="N6" s="45">
        <v>0</v>
      </c>
      <c r="O6" s="45">
        <v>5.0780000000000003</v>
      </c>
      <c r="P6" s="45">
        <v>0</v>
      </c>
      <c r="Q6" s="45">
        <v>2.004</v>
      </c>
    </row>
    <row r="7" spans="1:17" ht="14.25" customHeight="1" x14ac:dyDescent="0.35">
      <c r="A7" s="37">
        <v>7</v>
      </c>
      <c r="B7" s="45">
        <v>1.1339999999999999</v>
      </c>
      <c r="C7" s="45">
        <v>0.41899999999999998</v>
      </c>
      <c r="D7" s="45">
        <v>1.1819999999999999</v>
      </c>
      <c r="E7" s="45">
        <v>0.95940000000000003</v>
      </c>
      <c r="F7" s="45">
        <v>1.0423</v>
      </c>
      <c r="G7" s="45">
        <v>0.11799999999999999</v>
      </c>
      <c r="H7" s="45">
        <v>1.8819999999999999</v>
      </c>
      <c r="I7" s="45">
        <v>0.113</v>
      </c>
      <c r="J7" s="45">
        <v>1.806</v>
      </c>
      <c r="K7" s="45">
        <v>2.7040000000000002</v>
      </c>
      <c r="L7" s="45">
        <v>0.36980000000000002</v>
      </c>
      <c r="M7" s="45">
        <v>0.83299999999999996</v>
      </c>
      <c r="N7" s="45">
        <v>0.20399999999999999</v>
      </c>
      <c r="O7" s="45">
        <v>5.2039999999999997</v>
      </c>
      <c r="P7" s="45">
        <v>7.5999999999999998E-2</v>
      </c>
      <c r="Q7" s="45">
        <v>1.9239999999999999</v>
      </c>
    </row>
    <row r="8" spans="1:17" ht="14.25" customHeight="1" x14ac:dyDescent="0.35">
      <c r="A8" s="37">
        <v>8</v>
      </c>
      <c r="B8" s="45">
        <v>1.0609999999999999</v>
      </c>
      <c r="C8" s="45">
        <v>0.373</v>
      </c>
      <c r="D8" s="45">
        <v>1.099</v>
      </c>
      <c r="E8" s="45">
        <v>0.96499999999999997</v>
      </c>
      <c r="F8" s="45">
        <v>1.0363</v>
      </c>
      <c r="G8" s="45">
        <v>0.185</v>
      </c>
      <c r="H8" s="45">
        <v>1.8149999999999999</v>
      </c>
      <c r="I8" s="45">
        <v>0.17899999999999999</v>
      </c>
      <c r="J8" s="45">
        <v>1.7509999999999999</v>
      </c>
      <c r="K8" s="45">
        <v>2.847</v>
      </c>
      <c r="L8" s="45">
        <v>0.35120000000000001</v>
      </c>
      <c r="M8" s="45">
        <v>0.82</v>
      </c>
      <c r="N8" s="45">
        <v>0.38800000000000001</v>
      </c>
      <c r="O8" s="45">
        <v>5.306</v>
      </c>
      <c r="P8" s="45">
        <v>0.13600000000000001</v>
      </c>
      <c r="Q8" s="45">
        <v>1.8640000000000001</v>
      </c>
    </row>
    <row r="9" spans="1:17" ht="14.25" customHeight="1" x14ac:dyDescent="0.35">
      <c r="A9" s="37">
        <v>9</v>
      </c>
      <c r="B9" s="45">
        <v>1</v>
      </c>
      <c r="C9" s="45">
        <v>0.33700000000000002</v>
      </c>
      <c r="D9" s="45">
        <v>1.032</v>
      </c>
      <c r="E9" s="45">
        <v>0.96930000000000005</v>
      </c>
      <c r="F9" s="45">
        <v>1.0317000000000001</v>
      </c>
      <c r="G9" s="45">
        <v>0.23899999999999999</v>
      </c>
      <c r="H9" s="45">
        <v>1.7609999999999999</v>
      </c>
      <c r="I9" s="45">
        <v>0.23200000000000001</v>
      </c>
      <c r="J9" s="45">
        <v>1.7070000000000001</v>
      </c>
      <c r="K9" s="45">
        <v>2.97</v>
      </c>
      <c r="L9" s="45">
        <v>0.3367</v>
      </c>
      <c r="M9" s="45">
        <v>0.80800000000000005</v>
      </c>
      <c r="N9" s="45">
        <v>0.54700000000000004</v>
      </c>
      <c r="O9" s="45">
        <v>5.3929999999999998</v>
      </c>
      <c r="P9" s="45">
        <v>0.184</v>
      </c>
      <c r="Q9" s="45">
        <v>1.8160000000000001</v>
      </c>
    </row>
    <row r="10" spans="1:17" ht="14.25" customHeight="1" x14ac:dyDescent="0.35">
      <c r="A10" s="37">
        <v>10</v>
      </c>
      <c r="B10" s="45">
        <v>0.94899999999999995</v>
      </c>
      <c r="C10" s="45">
        <v>0.308</v>
      </c>
      <c r="D10" s="45">
        <v>0.97499999999999998</v>
      </c>
      <c r="E10" s="45">
        <v>0.97270000000000001</v>
      </c>
      <c r="F10" s="45">
        <v>1.0281</v>
      </c>
      <c r="G10" s="45">
        <v>0.28399999999999997</v>
      </c>
      <c r="H10" s="45">
        <v>1.716</v>
      </c>
      <c r="I10" s="45">
        <v>0.27600000000000002</v>
      </c>
      <c r="J10" s="45">
        <v>1.669</v>
      </c>
      <c r="K10" s="45">
        <v>3.0779999999999998</v>
      </c>
      <c r="L10" s="45">
        <v>0.32490000000000002</v>
      </c>
      <c r="M10" s="45">
        <v>0.79700000000000004</v>
      </c>
      <c r="N10" s="45">
        <v>0.68700000000000006</v>
      </c>
      <c r="O10" s="45">
        <v>5.4690000000000003</v>
      </c>
      <c r="P10" s="45">
        <v>0.223</v>
      </c>
      <c r="Q10" s="45">
        <v>1.7769999999999999</v>
      </c>
    </row>
    <row r="11" spans="1:17" ht="14.25" customHeight="1" x14ac:dyDescent="0.35">
      <c r="A11" s="37">
        <v>11</v>
      </c>
      <c r="B11" s="45">
        <v>0.90500000000000003</v>
      </c>
      <c r="C11" s="45">
        <v>0.28499999999999998</v>
      </c>
      <c r="D11" s="45">
        <v>0.92700000000000005</v>
      </c>
      <c r="E11" s="45">
        <v>0.97540000000000004</v>
      </c>
      <c r="F11" s="45">
        <v>1.0251999999999999</v>
      </c>
      <c r="G11" s="45">
        <v>0.32100000000000001</v>
      </c>
      <c r="H11" s="45">
        <v>1.679</v>
      </c>
      <c r="I11" s="45">
        <v>0.313</v>
      </c>
      <c r="J11" s="45">
        <v>1.637</v>
      </c>
      <c r="K11" s="45">
        <v>3.173</v>
      </c>
      <c r="L11" s="45">
        <v>0.31519999999999998</v>
      </c>
      <c r="M11" s="45">
        <v>0.78700000000000003</v>
      </c>
      <c r="N11" s="45">
        <v>0.81100000000000005</v>
      </c>
      <c r="O11" s="45">
        <v>5.5350000000000001</v>
      </c>
      <c r="P11" s="45">
        <v>0.25600000000000001</v>
      </c>
      <c r="Q11" s="45">
        <v>1.744</v>
      </c>
    </row>
    <row r="12" spans="1:17" ht="14.25" customHeight="1" x14ac:dyDescent="0.35">
      <c r="A12" s="37">
        <v>12</v>
      </c>
      <c r="B12" s="45">
        <v>0.86599999999999999</v>
      </c>
      <c r="C12" s="45">
        <v>0.26600000000000001</v>
      </c>
      <c r="D12" s="45">
        <v>0.88600000000000001</v>
      </c>
      <c r="E12" s="45">
        <v>0.97760000000000002</v>
      </c>
      <c r="F12" s="45">
        <v>1.0228999999999999</v>
      </c>
      <c r="G12" s="45">
        <v>0.35399999999999998</v>
      </c>
      <c r="H12" s="45">
        <v>1.6459999999999999</v>
      </c>
      <c r="I12" s="45">
        <v>0.34599999999999997</v>
      </c>
      <c r="J12" s="45">
        <v>1.61</v>
      </c>
      <c r="K12" s="45">
        <v>3.258</v>
      </c>
      <c r="L12" s="45">
        <v>0.30690000000000001</v>
      </c>
      <c r="M12" s="45">
        <v>0.77800000000000002</v>
      </c>
      <c r="N12" s="45">
        <v>0.92200000000000004</v>
      </c>
      <c r="O12" s="45">
        <v>5.5940000000000003</v>
      </c>
      <c r="P12" s="45">
        <v>0.28299999999999997</v>
      </c>
      <c r="Q12" s="45">
        <v>1.7170000000000001</v>
      </c>
    </row>
    <row r="13" spans="1:17" ht="14.25" customHeight="1" x14ac:dyDescent="0.35">
      <c r="A13" s="37">
        <v>13</v>
      </c>
      <c r="B13" s="45">
        <v>0.83199999999999996</v>
      </c>
      <c r="C13" s="45">
        <v>0.249</v>
      </c>
      <c r="D13" s="45">
        <v>0.85</v>
      </c>
      <c r="E13" s="45">
        <v>0.97940000000000005</v>
      </c>
      <c r="F13" s="45">
        <v>1.0209999999999999</v>
      </c>
      <c r="G13" s="45">
        <v>0.38200000000000001</v>
      </c>
      <c r="H13" s="45">
        <v>1.6180000000000001</v>
      </c>
      <c r="I13" s="45">
        <v>0.374</v>
      </c>
      <c r="J13" s="45">
        <v>1.585</v>
      </c>
      <c r="K13" s="45">
        <v>3.3359999999999999</v>
      </c>
      <c r="L13" s="45">
        <v>0.29980000000000001</v>
      </c>
      <c r="M13" s="45">
        <v>0.77</v>
      </c>
      <c r="N13" s="45">
        <v>1.0249999999999999</v>
      </c>
      <c r="O13" s="45">
        <v>5.6470000000000002</v>
      </c>
      <c r="P13" s="45">
        <v>0.307</v>
      </c>
      <c r="Q13" s="45">
        <v>1.6930000000000001</v>
      </c>
    </row>
    <row r="14" spans="1:17" ht="14.25" customHeight="1" x14ac:dyDescent="0.35">
      <c r="A14" s="37">
        <v>14</v>
      </c>
      <c r="B14" s="45">
        <v>0.80200000000000005</v>
      </c>
      <c r="C14" s="45">
        <v>0.23499999999999999</v>
      </c>
      <c r="D14" s="45">
        <v>0.81699999999999995</v>
      </c>
      <c r="E14" s="45">
        <v>0.98099999999999998</v>
      </c>
      <c r="F14" s="45">
        <v>1.0194000000000001</v>
      </c>
      <c r="G14" s="45">
        <v>0.40600000000000003</v>
      </c>
      <c r="H14" s="45">
        <v>1.5940000000000001</v>
      </c>
      <c r="I14" s="45">
        <v>0.39900000000000002</v>
      </c>
      <c r="J14" s="45">
        <v>1.5629999999999999</v>
      </c>
      <c r="K14" s="45">
        <v>3.407</v>
      </c>
      <c r="L14" s="45">
        <v>0.29349999999999998</v>
      </c>
      <c r="M14" s="45">
        <v>0.76300000000000001</v>
      </c>
      <c r="N14" s="45">
        <v>1.1180000000000001</v>
      </c>
      <c r="O14" s="45">
        <v>5.6959999999999997</v>
      </c>
      <c r="P14" s="45">
        <v>0.32800000000000001</v>
      </c>
      <c r="Q14" s="45">
        <v>1.6719999999999999</v>
      </c>
    </row>
    <row r="15" spans="1:17" ht="14.25" customHeight="1" x14ac:dyDescent="0.35">
      <c r="A15" s="37">
        <v>15</v>
      </c>
      <c r="B15" s="45">
        <v>0.77500000000000002</v>
      </c>
      <c r="C15" s="45">
        <v>0.223</v>
      </c>
      <c r="D15" s="45">
        <v>0.78900000000000003</v>
      </c>
      <c r="E15" s="45">
        <v>0.98229999999999995</v>
      </c>
      <c r="F15" s="45">
        <v>1.018</v>
      </c>
      <c r="G15" s="45">
        <v>0.42799999999999999</v>
      </c>
      <c r="H15" s="45">
        <v>1.5720000000000001</v>
      </c>
      <c r="I15" s="45">
        <v>0.42099999999999999</v>
      </c>
      <c r="J15" s="45">
        <v>1.544</v>
      </c>
      <c r="K15" s="45">
        <v>3.472</v>
      </c>
      <c r="L15" s="45">
        <v>0.28799999999999998</v>
      </c>
      <c r="M15" s="45">
        <v>0.75600000000000001</v>
      </c>
      <c r="N15" s="45">
        <v>1.2030000000000001</v>
      </c>
      <c r="O15" s="45">
        <v>5.7409999999999997</v>
      </c>
      <c r="P15" s="45">
        <v>0.34699999999999998</v>
      </c>
      <c r="Q15" s="45">
        <v>1.653</v>
      </c>
    </row>
    <row r="16" spans="1:17" ht="14.25" customHeight="1" x14ac:dyDescent="0.35">
      <c r="A16" s="37">
        <v>16</v>
      </c>
      <c r="B16" s="45">
        <v>0.75</v>
      </c>
      <c r="C16" s="45">
        <v>0.21199999999999999</v>
      </c>
      <c r="D16" s="45">
        <v>0.76300000000000001</v>
      </c>
      <c r="E16" s="45">
        <v>0.98350000000000004</v>
      </c>
      <c r="F16" s="45">
        <v>1.0167999999999999</v>
      </c>
      <c r="G16" s="45">
        <v>0.44800000000000001</v>
      </c>
      <c r="H16" s="45">
        <v>1.552</v>
      </c>
      <c r="I16" s="45">
        <v>0.44</v>
      </c>
      <c r="J16" s="45">
        <v>1.526</v>
      </c>
      <c r="K16" s="45">
        <v>3.532</v>
      </c>
      <c r="L16" s="45">
        <v>0.28310000000000002</v>
      </c>
      <c r="M16" s="45">
        <v>0.75</v>
      </c>
      <c r="N16" s="45">
        <v>1.282</v>
      </c>
      <c r="O16" s="45">
        <v>5.782</v>
      </c>
      <c r="P16" s="45">
        <v>0.36299999999999999</v>
      </c>
      <c r="Q16" s="45">
        <v>1.637</v>
      </c>
    </row>
    <row r="17" spans="1:17" ht="14.25" customHeight="1" x14ac:dyDescent="0.35">
      <c r="A17" s="37">
        <v>17</v>
      </c>
      <c r="B17" s="45">
        <v>0.72799999999999998</v>
      </c>
      <c r="C17" s="45">
        <v>0.20300000000000001</v>
      </c>
      <c r="D17" s="45">
        <v>0.73899999999999999</v>
      </c>
      <c r="E17" s="45">
        <v>0.98450000000000004</v>
      </c>
      <c r="F17" s="45">
        <v>1.0157</v>
      </c>
      <c r="G17" s="45">
        <v>0.46600000000000003</v>
      </c>
      <c r="H17" s="45">
        <v>1.534</v>
      </c>
      <c r="I17" s="45">
        <v>0.45800000000000002</v>
      </c>
      <c r="J17" s="45">
        <v>1.5109999999999999</v>
      </c>
      <c r="K17" s="45">
        <v>3.5880000000000001</v>
      </c>
      <c r="L17" s="45">
        <v>0.2787</v>
      </c>
      <c r="M17" s="45">
        <v>0.74399999999999999</v>
      </c>
      <c r="N17" s="45">
        <v>1.3560000000000001</v>
      </c>
      <c r="O17" s="45">
        <v>5.82</v>
      </c>
      <c r="P17" s="45">
        <v>0.378</v>
      </c>
      <c r="Q17" s="45">
        <v>1.6220000000000001</v>
      </c>
    </row>
    <row r="18" spans="1:17" ht="14.25" customHeight="1" x14ac:dyDescent="0.35">
      <c r="A18" s="37">
        <v>18</v>
      </c>
      <c r="B18" s="45">
        <v>0.70699999999999996</v>
      </c>
      <c r="C18" s="45">
        <v>0.19400000000000001</v>
      </c>
      <c r="D18" s="45">
        <v>0.71799999999999997</v>
      </c>
      <c r="E18" s="45">
        <v>0.98540000000000005</v>
      </c>
      <c r="F18" s="45">
        <v>1.0147999999999999</v>
      </c>
      <c r="G18" s="45">
        <v>0.48199999999999998</v>
      </c>
      <c r="H18" s="45">
        <v>1.518</v>
      </c>
      <c r="I18" s="45">
        <v>0.47499999999999998</v>
      </c>
      <c r="J18" s="45">
        <v>1.496</v>
      </c>
      <c r="K18" s="45">
        <v>3.64</v>
      </c>
      <c r="L18" s="45">
        <v>0.2747</v>
      </c>
      <c r="M18" s="45">
        <v>0.73899999999999999</v>
      </c>
      <c r="N18" s="45">
        <v>1.4239999999999999</v>
      </c>
      <c r="O18" s="45">
        <v>5.8559999999999999</v>
      </c>
      <c r="P18" s="45">
        <v>0.39100000000000001</v>
      </c>
      <c r="Q18" s="45">
        <v>1.6080000000000001</v>
      </c>
    </row>
    <row r="19" spans="1:17" ht="14.25" customHeight="1" x14ac:dyDescent="0.35">
      <c r="A19" s="37">
        <v>19</v>
      </c>
      <c r="B19" s="45">
        <v>0.68799999999999994</v>
      </c>
      <c r="C19" s="45">
        <v>0.187</v>
      </c>
      <c r="D19" s="45">
        <v>0.69799999999999995</v>
      </c>
      <c r="E19" s="45">
        <v>0.98619999999999997</v>
      </c>
      <c r="F19" s="45">
        <v>1.014</v>
      </c>
      <c r="G19" s="45">
        <v>0.497</v>
      </c>
      <c r="H19" s="45">
        <v>1.5029999999999999</v>
      </c>
      <c r="I19" s="45">
        <v>0.49</v>
      </c>
      <c r="J19" s="45">
        <v>1.4830000000000001</v>
      </c>
      <c r="K19" s="45">
        <v>3.6890000000000001</v>
      </c>
      <c r="L19" s="45">
        <v>0.27110000000000001</v>
      </c>
      <c r="M19" s="45">
        <v>0.73399999999999999</v>
      </c>
      <c r="N19" s="45">
        <v>1.4870000000000001</v>
      </c>
      <c r="O19" s="45">
        <v>5.891</v>
      </c>
      <c r="P19" s="45">
        <v>0.40300000000000002</v>
      </c>
      <c r="Q19" s="45">
        <v>1.597</v>
      </c>
    </row>
    <row r="20" spans="1:17" ht="14.25" customHeight="1" x14ac:dyDescent="0.35">
      <c r="A20" s="37">
        <v>20</v>
      </c>
      <c r="B20" s="45">
        <v>0.67100000000000004</v>
      </c>
      <c r="C20" s="45">
        <v>0.18</v>
      </c>
      <c r="D20" s="45">
        <v>0.68</v>
      </c>
      <c r="E20" s="45">
        <v>0.9869</v>
      </c>
      <c r="F20" s="45">
        <v>1.0133000000000001</v>
      </c>
      <c r="G20" s="45">
        <v>0.51</v>
      </c>
      <c r="H20" s="45">
        <v>1.49</v>
      </c>
      <c r="I20" s="45">
        <v>0.504</v>
      </c>
      <c r="J20" s="45">
        <v>1.47</v>
      </c>
      <c r="K20" s="45">
        <v>3.7349999999999999</v>
      </c>
      <c r="L20" s="45">
        <v>0.26769999999999999</v>
      </c>
      <c r="M20" s="45">
        <v>0.72899999999999998</v>
      </c>
      <c r="N20" s="45">
        <v>1.5489999999999999</v>
      </c>
      <c r="O20" s="45">
        <v>5.9210000000000003</v>
      </c>
      <c r="P20" s="45">
        <v>0.41499999999999998</v>
      </c>
      <c r="Q20" s="45">
        <v>1.585</v>
      </c>
    </row>
    <row r="21" spans="1:17" ht="14.25" customHeight="1" x14ac:dyDescent="0.35">
      <c r="A21" s="37">
        <v>21</v>
      </c>
      <c r="B21" s="45">
        <v>0.65500000000000003</v>
      </c>
      <c r="C21" s="45">
        <v>0.17299999999999999</v>
      </c>
      <c r="D21" s="45">
        <v>0.66300000000000003</v>
      </c>
      <c r="E21" s="45">
        <v>0.98760000000000003</v>
      </c>
      <c r="F21" s="45">
        <v>1.0125999999999999</v>
      </c>
      <c r="G21" s="45">
        <v>0.52300000000000002</v>
      </c>
      <c r="H21" s="45">
        <v>1.4770000000000001</v>
      </c>
      <c r="I21" s="45">
        <v>0.51600000000000001</v>
      </c>
      <c r="J21" s="45">
        <v>1.4590000000000001</v>
      </c>
      <c r="K21" s="45">
        <v>3.778</v>
      </c>
      <c r="L21" s="45">
        <v>0.26469999999999999</v>
      </c>
      <c r="M21" s="45">
        <v>0.72399999999999998</v>
      </c>
      <c r="N21" s="45">
        <v>1.605</v>
      </c>
      <c r="O21" s="45">
        <v>5.9509999999999996</v>
      </c>
      <c r="P21" s="45">
        <v>0.42499999999999999</v>
      </c>
      <c r="Q21" s="45">
        <v>1.575</v>
      </c>
    </row>
    <row r="22" spans="1:17" ht="14.25" customHeight="1" x14ac:dyDescent="0.35">
      <c r="A22" s="37">
        <v>22</v>
      </c>
      <c r="B22" s="45">
        <v>0.64</v>
      </c>
      <c r="C22" s="45">
        <v>0.16700000000000001</v>
      </c>
      <c r="D22" s="45">
        <v>0.64700000000000002</v>
      </c>
      <c r="E22" s="45">
        <v>0.98819999999999997</v>
      </c>
      <c r="F22" s="45">
        <v>1.0119</v>
      </c>
      <c r="G22" s="45">
        <v>0.53400000000000003</v>
      </c>
      <c r="H22" s="45">
        <v>1.466</v>
      </c>
      <c r="I22" s="45">
        <v>0.52800000000000002</v>
      </c>
      <c r="J22" s="45">
        <v>1.448</v>
      </c>
      <c r="K22" s="45">
        <v>3.819</v>
      </c>
      <c r="L22" s="45">
        <v>0.26179999999999998</v>
      </c>
      <c r="M22" s="45">
        <v>0.72</v>
      </c>
      <c r="N22" s="45">
        <v>1.659</v>
      </c>
      <c r="O22" s="45">
        <v>5.9790000000000001</v>
      </c>
      <c r="P22" s="45">
        <v>0.434</v>
      </c>
      <c r="Q22" s="45">
        <v>1.5660000000000001</v>
      </c>
    </row>
    <row r="23" spans="1:17" ht="14.25" customHeight="1" x14ac:dyDescent="0.35">
      <c r="A23" s="37">
        <v>23</v>
      </c>
      <c r="B23" s="45">
        <v>0.626</v>
      </c>
      <c r="C23" s="45">
        <v>0.16200000000000001</v>
      </c>
      <c r="D23" s="45">
        <v>0.63300000000000001</v>
      </c>
      <c r="E23" s="45">
        <v>0.98870000000000002</v>
      </c>
      <c r="F23" s="45">
        <v>1.0114000000000001</v>
      </c>
      <c r="G23" s="45">
        <v>0.54500000000000004</v>
      </c>
      <c r="H23" s="45">
        <v>1.4550000000000001</v>
      </c>
      <c r="I23" s="45">
        <v>0.53900000000000003</v>
      </c>
      <c r="J23" s="45">
        <v>1.4379999999999999</v>
      </c>
      <c r="K23" s="45">
        <v>3.8580000000000001</v>
      </c>
      <c r="L23" s="45">
        <v>0.25919999999999999</v>
      </c>
      <c r="M23" s="45">
        <v>0.71599999999999997</v>
      </c>
      <c r="N23" s="45">
        <v>1.71</v>
      </c>
      <c r="O23" s="45">
        <v>6.0060000000000002</v>
      </c>
      <c r="P23" s="45">
        <v>0.443</v>
      </c>
      <c r="Q23" s="45">
        <v>1.5569999999999999</v>
      </c>
    </row>
    <row r="24" spans="1:17" ht="14.25" customHeight="1" x14ac:dyDescent="0.35">
      <c r="A24" s="37">
        <v>24</v>
      </c>
      <c r="B24" s="45">
        <v>0.61199999999999999</v>
      </c>
      <c r="C24" s="45">
        <v>0.157</v>
      </c>
      <c r="D24" s="45">
        <v>0.61899999999999999</v>
      </c>
      <c r="E24" s="45">
        <v>0.98919999999999997</v>
      </c>
      <c r="F24" s="45">
        <v>1.0108999999999999</v>
      </c>
      <c r="G24" s="45">
        <v>0.55500000000000005</v>
      </c>
      <c r="H24" s="45">
        <v>1.4450000000000001</v>
      </c>
      <c r="I24" s="45">
        <v>0.54900000000000004</v>
      </c>
      <c r="J24" s="45">
        <v>1.429</v>
      </c>
      <c r="K24" s="45">
        <v>3.895</v>
      </c>
      <c r="L24" s="45">
        <v>0.25669999999999998</v>
      </c>
      <c r="M24" s="45">
        <v>0.71199999999999997</v>
      </c>
      <c r="N24" s="45">
        <v>1.7589999999999999</v>
      </c>
      <c r="O24" s="45">
        <v>6.0309999999999997</v>
      </c>
      <c r="P24" s="45">
        <v>0.45100000000000001</v>
      </c>
      <c r="Q24" s="45">
        <v>1.548</v>
      </c>
    </row>
    <row r="25" spans="1:17" ht="14.25" customHeight="1" x14ac:dyDescent="0.35">
      <c r="A25" s="37">
        <v>25</v>
      </c>
      <c r="B25" s="45">
        <v>0.6</v>
      </c>
      <c r="C25" s="45">
        <v>0.153</v>
      </c>
      <c r="D25" s="45">
        <v>0.60599999999999998</v>
      </c>
      <c r="E25" s="45">
        <v>0.98960000000000004</v>
      </c>
      <c r="F25" s="45">
        <v>1.0105</v>
      </c>
      <c r="G25" s="45">
        <v>0.56499999999999995</v>
      </c>
      <c r="H25" s="45">
        <v>1.4350000000000001</v>
      </c>
      <c r="I25" s="45">
        <v>0.55900000000000005</v>
      </c>
      <c r="J25" s="45">
        <v>1.42</v>
      </c>
      <c r="K25" s="45">
        <v>3.931</v>
      </c>
      <c r="L25" s="45">
        <v>0.25440000000000002</v>
      </c>
      <c r="M25" s="45">
        <v>0.70799999999999996</v>
      </c>
      <c r="N25" s="45">
        <v>1.806</v>
      </c>
      <c r="O25" s="45">
        <v>6.056</v>
      </c>
      <c r="P25" s="45">
        <v>0.45900000000000002</v>
      </c>
      <c r="Q25" s="45">
        <v>1.5409999999999999</v>
      </c>
    </row>
    <row r="26" spans="1:17" ht="14.25" customHeight="1" x14ac:dyDescent="0.35"/>
    <row r="27" spans="1:17" ht="14.25" customHeight="1" x14ac:dyDescent="0.35"/>
    <row r="28" spans="1:17" ht="14.25" customHeight="1" x14ac:dyDescent="0.35"/>
    <row r="29" spans="1:17" ht="14.25" customHeight="1" x14ac:dyDescent="0.35"/>
    <row r="30" spans="1:17" ht="14.25" customHeight="1" x14ac:dyDescent="0.35"/>
    <row r="31" spans="1:17" ht="14.25" customHeight="1" x14ac:dyDescent="0.35"/>
    <row r="32" spans="1: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zoomScaleNormal="100" workbookViewId="0">
      <selection activeCell="D32" sqref="D32"/>
    </sheetView>
  </sheetViews>
  <sheetFormatPr defaultColWidth="14.453125" defaultRowHeight="14.5" x14ac:dyDescent="0.35"/>
  <cols>
    <col min="1" max="1" width="1.7265625" customWidth="1"/>
    <col min="2" max="2" width="11.26953125" customWidth="1"/>
    <col min="3" max="3" width="17.453125" customWidth="1"/>
    <col min="4" max="4" width="142.453125" customWidth="1"/>
    <col min="5" max="5" width="1.7265625" customWidth="1"/>
    <col min="6" max="6" width="35" hidden="1" customWidth="1"/>
    <col min="7" max="26" width="8.7265625" customWidth="1"/>
  </cols>
  <sheetData>
    <row r="1" spans="1:26" ht="14.25" customHeight="1" x14ac:dyDescent="0.65">
      <c r="A1" s="44"/>
      <c r="B1" s="46" t="s">
        <v>71</v>
      </c>
      <c r="C1" s="46"/>
      <c r="D1" s="44"/>
      <c r="E1" s="44"/>
      <c r="F1" s="44"/>
      <c r="G1" s="44"/>
      <c r="H1" s="44"/>
      <c r="I1" s="44"/>
      <c r="J1" s="44"/>
      <c r="K1" s="44"/>
      <c r="L1" s="44"/>
      <c r="M1" s="44"/>
      <c r="N1" s="44"/>
      <c r="O1" s="44"/>
      <c r="P1" s="44"/>
      <c r="Q1" s="44"/>
      <c r="R1" s="44"/>
      <c r="S1" s="44"/>
      <c r="T1" s="44"/>
      <c r="U1" s="44"/>
      <c r="V1" s="44"/>
      <c r="W1" s="44"/>
      <c r="X1" s="44"/>
      <c r="Y1" s="44"/>
      <c r="Z1" s="44"/>
    </row>
    <row r="2" spans="1:26" ht="14.25" customHeight="1" x14ac:dyDescent="0.35">
      <c r="A2" s="44"/>
      <c r="B2" s="47" t="s">
        <v>72</v>
      </c>
      <c r="C2" s="48"/>
      <c r="D2" s="48"/>
      <c r="E2" s="44"/>
      <c r="F2" s="44"/>
      <c r="G2" s="44"/>
      <c r="H2" s="44"/>
      <c r="I2" s="44"/>
      <c r="J2" s="44"/>
      <c r="K2" s="44"/>
      <c r="L2" s="44"/>
      <c r="M2" s="44"/>
      <c r="N2" s="44"/>
      <c r="O2" s="44"/>
      <c r="P2" s="44"/>
      <c r="Q2" s="44"/>
      <c r="R2" s="44"/>
      <c r="S2" s="44"/>
      <c r="T2" s="44"/>
      <c r="U2" s="44"/>
      <c r="V2" s="44"/>
      <c r="W2" s="44"/>
      <c r="X2" s="44"/>
      <c r="Y2" s="44"/>
      <c r="Z2" s="44"/>
    </row>
    <row r="3" spans="1:26" ht="14.25" customHeight="1" x14ac:dyDescent="0.35">
      <c r="A3" s="44"/>
      <c r="B3" s="44"/>
      <c r="C3" s="49"/>
      <c r="D3" s="44"/>
      <c r="E3" s="44"/>
      <c r="F3" s="44"/>
      <c r="G3" s="44"/>
      <c r="H3" s="44"/>
      <c r="I3" s="44"/>
      <c r="J3" s="44"/>
      <c r="K3" s="44"/>
      <c r="L3" s="44"/>
      <c r="M3" s="44"/>
      <c r="N3" s="44"/>
      <c r="O3" s="44"/>
      <c r="P3" s="44"/>
      <c r="Q3" s="44"/>
      <c r="R3" s="44"/>
      <c r="S3" s="44"/>
      <c r="T3" s="44"/>
      <c r="U3" s="44"/>
      <c r="V3" s="44"/>
      <c r="W3" s="44"/>
      <c r="X3" s="44"/>
      <c r="Y3" s="44"/>
      <c r="Z3" s="44"/>
    </row>
    <row r="4" spans="1:26" ht="14.25" customHeight="1" x14ac:dyDescent="0.35">
      <c r="A4" s="44"/>
      <c r="B4" s="50" t="s">
        <v>73</v>
      </c>
      <c r="C4" s="51"/>
      <c r="D4" s="51"/>
      <c r="E4" s="44"/>
      <c r="F4" s="44"/>
      <c r="G4" s="44"/>
      <c r="H4" s="44"/>
      <c r="I4" s="44"/>
      <c r="J4" s="44"/>
      <c r="K4" s="44"/>
      <c r="L4" s="44"/>
      <c r="M4" s="44"/>
      <c r="N4" s="44"/>
      <c r="O4" s="44"/>
      <c r="P4" s="44"/>
      <c r="Q4" s="44"/>
      <c r="R4" s="44"/>
      <c r="S4" s="44"/>
      <c r="T4" s="44"/>
      <c r="U4" s="44"/>
      <c r="V4" s="44"/>
      <c r="W4" s="44"/>
      <c r="X4" s="44"/>
      <c r="Y4" s="44"/>
      <c r="Z4" s="44"/>
    </row>
    <row r="5" spans="1:26" ht="14.25" customHeight="1" x14ac:dyDescent="0.35">
      <c r="A5" s="44"/>
      <c r="B5" s="105" t="s">
        <v>74</v>
      </c>
      <c r="C5" s="105"/>
      <c r="D5" s="105"/>
      <c r="E5" s="44"/>
      <c r="F5" s="44"/>
      <c r="G5" s="44"/>
      <c r="H5" s="44"/>
      <c r="I5" s="44"/>
      <c r="J5" s="44"/>
      <c r="K5" s="44"/>
      <c r="L5" s="44"/>
      <c r="M5" s="44"/>
      <c r="N5" s="44"/>
      <c r="O5" s="44"/>
      <c r="P5" s="44"/>
      <c r="Q5" s="44"/>
      <c r="R5" s="44"/>
      <c r="S5" s="44"/>
      <c r="T5" s="44"/>
      <c r="U5" s="44"/>
      <c r="V5" s="44"/>
      <c r="W5" s="44"/>
      <c r="X5" s="44"/>
      <c r="Y5" s="44"/>
      <c r="Z5" s="44"/>
    </row>
    <row r="6" spans="1:26" ht="14.25" customHeight="1" x14ac:dyDescent="0.35">
      <c r="A6" s="44"/>
      <c r="B6" s="52" t="s">
        <v>75</v>
      </c>
      <c r="C6" s="53"/>
      <c r="D6" s="53"/>
      <c r="E6" s="44"/>
      <c r="F6" s="44"/>
      <c r="G6" s="44"/>
      <c r="H6" s="44"/>
      <c r="I6" s="44"/>
      <c r="J6" s="44"/>
      <c r="K6" s="44"/>
      <c r="L6" s="44"/>
      <c r="M6" s="44"/>
      <c r="N6" s="44"/>
      <c r="O6" s="44"/>
      <c r="P6" s="44"/>
      <c r="Q6" s="44"/>
      <c r="R6" s="44"/>
      <c r="S6" s="44"/>
      <c r="T6" s="44"/>
      <c r="U6" s="44"/>
      <c r="V6" s="44"/>
      <c r="W6" s="44"/>
      <c r="X6" s="44"/>
      <c r="Y6" s="44"/>
      <c r="Z6" s="44"/>
    </row>
    <row r="7" spans="1:26" ht="14.25" customHeight="1" x14ac:dyDescent="0.35">
      <c r="A7" s="44"/>
      <c r="B7" s="44"/>
      <c r="C7" s="44"/>
      <c r="D7" s="44"/>
      <c r="E7" s="44"/>
      <c r="F7" s="44"/>
      <c r="G7" s="44"/>
      <c r="H7" s="44"/>
      <c r="I7" s="44"/>
      <c r="J7" s="44"/>
      <c r="K7" s="44"/>
      <c r="L7" s="44"/>
      <c r="M7" s="44"/>
      <c r="N7" s="44"/>
      <c r="O7" s="44"/>
      <c r="P7" s="44"/>
      <c r="Q7" s="44"/>
      <c r="R7" s="44"/>
      <c r="S7" s="44"/>
      <c r="T7" s="44"/>
      <c r="U7" s="44"/>
      <c r="V7" s="44"/>
      <c r="W7" s="44"/>
      <c r="X7" s="44"/>
      <c r="Y7" s="44"/>
      <c r="Z7" s="44"/>
    </row>
    <row r="8" spans="1:26" ht="14.25" customHeight="1" x14ac:dyDescent="0.35">
      <c r="A8" s="44"/>
      <c r="B8" s="47" t="s">
        <v>76</v>
      </c>
      <c r="C8" s="48"/>
      <c r="D8" s="48"/>
      <c r="E8" s="44"/>
      <c r="F8" s="44"/>
      <c r="G8" s="44"/>
      <c r="H8" s="44"/>
      <c r="I8" s="44"/>
      <c r="J8" s="44"/>
      <c r="K8" s="44"/>
      <c r="L8" s="44"/>
      <c r="M8" s="44"/>
      <c r="N8" s="44"/>
      <c r="O8" s="44"/>
      <c r="P8" s="44"/>
      <c r="Q8" s="44"/>
      <c r="R8" s="44"/>
      <c r="S8" s="44"/>
      <c r="T8" s="44"/>
      <c r="U8" s="44"/>
      <c r="V8" s="44"/>
      <c r="W8" s="44"/>
      <c r="X8" s="44"/>
      <c r="Y8" s="44"/>
      <c r="Z8" s="44"/>
    </row>
    <row r="9" spans="1:26" ht="14.25" customHeight="1" x14ac:dyDescent="0.35">
      <c r="A9" s="44"/>
      <c r="B9" s="54"/>
      <c r="C9" s="55"/>
      <c r="D9" s="55"/>
      <c r="E9" s="44"/>
      <c r="F9" s="44"/>
      <c r="G9" s="44"/>
      <c r="H9" s="44"/>
      <c r="I9" s="44"/>
      <c r="J9" s="44"/>
      <c r="K9" s="44"/>
      <c r="L9" s="44"/>
      <c r="M9" s="44"/>
      <c r="N9" s="44"/>
      <c r="O9" s="44"/>
      <c r="P9" s="44"/>
      <c r="Q9" s="44"/>
      <c r="R9" s="44"/>
      <c r="S9" s="44"/>
      <c r="T9" s="44"/>
      <c r="U9" s="44"/>
      <c r="V9" s="44"/>
      <c r="W9" s="44"/>
      <c r="X9" s="44"/>
      <c r="Y9" s="44"/>
      <c r="Z9" s="44"/>
    </row>
    <row r="10" spans="1:26" ht="14.25" customHeight="1" x14ac:dyDescent="0.35">
      <c r="A10" s="44"/>
      <c r="B10" s="44" t="s">
        <v>77</v>
      </c>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4.25" customHeight="1" x14ac:dyDescent="0.3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ht="14.25" customHeight="1" x14ac:dyDescent="0.35">
      <c r="A12" s="44"/>
      <c r="B12" s="56" t="s">
        <v>78</v>
      </c>
      <c r="C12" s="57" t="s">
        <v>79</v>
      </c>
      <c r="D12" s="58"/>
      <c r="E12" s="44"/>
      <c r="F12" s="44"/>
      <c r="G12" s="44"/>
      <c r="H12" s="44"/>
      <c r="I12" s="44"/>
      <c r="J12" s="44"/>
      <c r="K12" s="44"/>
      <c r="L12" s="44"/>
      <c r="M12" s="44"/>
      <c r="N12" s="44"/>
      <c r="O12" s="44"/>
      <c r="P12" s="44"/>
      <c r="Q12" s="44"/>
      <c r="R12" s="44"/>
      <c r="S12" s="44"/>
      <c r="T12" s="44"/>
      <c r="U12" s="44"/>
      <c r="V12" s="44"/>
      <c r="W12" s="44"/>
      <c r="X12" s="44"/>
      <c r="Y12" s="44"/>
      <c r="Z12" s="44"/>
    </row>
    <row r="13" spans="1:26" ht="14.25" customHeight="1" x14ac:dyDescent="0.35">
      <c r="A13" s="44"/>
      <c r="B13" s="44"/>
      <c r="C13" s="106" t="s">
        <v>80</v>
      </c>
      <c r="D13" s="106"/>
      <c r="E13" s="44"/>
      <c r="F13" s="44"/>
      <c r="G13" s="44"/>
      <c r="H13" s="44"/>
      <c r="I13" s="44"/>
      <c r="J13" s="44"/>
      <c r="K13" s="44"/>
      <c r="L13" s="44"/>
      <c r="M13" s="44"/>
      <c r="N13" s="44"/>
      <c r="O13" s="44"/>
      <c r="P13" s="44"/>
      <c r="Q13" s="44"/>
      <c r="R13" s="44"/>
      <c r="S13" s="44"/>
      <c r="T13" s="44"/>
      <c r="U13" s="44"/>
      <c r="V13" s="44"/>
      <c r="W13" s="44"/>
      <c r="X13" s="44"/>
      <c r="Y13" s="44"/>
      <c r="Z13" s="44"/>
    </row>
    <row r="14" spans="1:26" ht="14.25" customHeight="1" x14ac:dyDescent="0.35">
      <c r="A14" s="44"/>
      <c r="B14" s="44"/>
      <c r="C14" s="59" t="s">
        <v>81</v>
      </c>
      <c r="D14" s="59"/>
      <c r="E14" s="44"/>
      <c r="F14" s="44"/>
      <c r="G14" s="44"/>
      <c r="H14" s="44"/>
      <c r="I14" s="44"/>
      <c r="J14" s="44"/>
      <c r="K14" s="44"/>
      <c r="L14" s="44"/>
      <c r="M14" s="44"/>
      <c r="N14" s="44"/>
      <c r="O14" s="44"/>
      <c r="P14" s="44"/>
      <c r="Q14" s="44"/>
      <c r="R14" s="44"/>
      <c r="S14" s="44"/>
      <c r="T14" s="44"/>
      <c r="U14" s="44"/>
      <c r="V14" s="44"/>
      <c r="W14" s="44"/>
      <c r="X14" s="44"/>
      <c r="Y14" s="44"/>
      <c r="Z14" s="44"/>
    </row>
    <row r="15" spans="1:26" ht="14.25" customHeight="1" x14ac:dyDescent="0.3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ht="14.25" customHeight="1" x14ac:dyDescent="0.35">
      <c r="A16" s="44"/>
      <c r="B16" s="56" t="s">
        <v>82</v>
      </c>
      <c r="C16" s="60" t="s">
        <v>83</v>
      </c>
      <c r="D16" s="60"/>
      <c r="E16" s="44"/>
      <c r="F16" s="44"/>
      <c r="G16" s="44"/>
      <c r="H16" s="44"/>
      <c r="I16" s="44"/>
      <c r="J16" s="44"/>
      <c r="K16" s="44"/>
      <c r="L16" s="44"/>
      <c r="M16" s="44"/>
      <c r="N16" s="44"/>
      <c r="O16" s="44"/>
      <c r="P16" s="44"/>
      <c r="Q16" s="44"/>
      <c r="R16" s="44"/>
      <c r="S16" s="44"/>
      <c r="T16" s="44"/>
      <c r="U16" s="44"/>
      <c r="V16" s="44"/>
      <c r="W16" s="44"/>
      <c r="X16" s="44"/>
      <c r="Y16" s="44"/>
      <c r="Z16" s="44"/>
    </row>
    <row r="17" spans="1:26" ht="14.25" customHeight="1" x14ac:dyDescent="0.35">
      <c r="A17" s="44"/>
      <c r="B17" s="44"/>
      <c r="C17" s="61" t="s">
        <v>84</v>
      </c>
      <c r="D17" s="61"/>
      <c r="E17" s="44"/>
      <c r="F17" s="44"/>
      <c r="G17" s="44"/>
      <c r="H17" s="44"/>
      <c r="I17" s="44"/>
      <c r="J17" s="44"/>
      <c r="K17" s="44"/>
      <c r="L17" s="44"/>
      <c r="M17" s="44"/>
      <c r="N17" s="44"/>
      <c r="O17" s="44"/>
      <c r="P17" s="44"/>
      <c r="Q17" s="44"/>
      <c r="R17" s="44"/>
      <c r="S17" s="44"/>
      <c r="T17" s="44"/>
      <c r="U17" s="44"/>
      <c r="V17" s="44"/>
      <c r="W17" s="44"/>
      <c r="X17" s="44"/>
      <c r="Y17" s="44"/>
      <c r="Z17" s="44"/>
    </row>
    <row r="18" spans="1:26" ht="14.25" customHeight="1" x14ac:dyDescent="0.35">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4.25" customHeight="1" x14ac:dyDescent="0.35">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4.25" customHeight="1" x14ac:dyDescent="0.35">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4.25" customHeight="1" x14ac:dyDescent="0.35">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14.25" customHeight="1" x14ac:dyDescent="0.35">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4.25" customHeight="1" x14ac:dyDescent="0.35">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4.25" customHeight="1" x14ac:dyDescent="0.35">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4.25" customHeight="1" x14ac:dyDescent="0.3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4.25" customHeight="1" x14ac:dyDescent="0.35">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4.25" customHeight="1" x14ac:dyDescent="0.35">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4.25" customHeight="1" x14ac:dyDescent="0.35">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4.25" customHeight="1" x14ac:dyDescent="0.35">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4.25" customHeight="1" x14ac:dyDescent="0.35">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4.25" customHeight="1" x14ac:dyDescent="0.3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4.25" customHeight="1" x14ac:dyDescent="0.35">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4.25" customHeight="1" x14ac:dyDescent="0.35">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4.25" customHeight="1" x14ac:dyDescent="0.35">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4.25" customHeight="1" x14ac:dyDescent="0.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4.25" customHeight="1" x14ac:dyDescent="0.35">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4.25" customHeight="1" x14ac:dyDescent="0.35">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4.25" customHeight="1" x14ac:dyDescent="0.35">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4.25" customHeight="1" x14ac:dyDescent="0.35">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4.25" customHeight="1" x14ac:dyDescent="0.35">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4.25" customHeight="1" x14ac:dyDescent="0.35">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4.25" customHeight="1" x14ac:dyDescent="0.35">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4.25" customHeight="1" x14ac:dyDescent="0.35">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4.25" customHeight="1" x14ac:dyDescent="0.3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4.25" customHeight="1" x14ac:dyDescent="0.3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4.25" customHeight="1" x14ac:dyDescent="0.35">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4.25" customHeight="1" x14ac:dyDescent="0.35">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4.25" customHeight="1" x14ac:dyDescent="0.35">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4.25" customHeight="1" x14ac:dyDescent="0.35">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4.25" customHeight="1" x14ac:dyDescent="0.35">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4.25" customHeight="1" x14ac:dyDescent="0.35">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4.25" customHeight="1" x14ac:dyDescent="0.35">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4.25" customHeight="1" x14ac:dyDescent="0.35">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4.25" customHeight="1" x14ac:dyDescent="0.35">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4.25" customHeight="1" x14ac:dyDescent="0.3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4.25" customHeight="1" x14ac:dyDescent="0.35">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4.25" customHeight="1" x14ac:dyDescent="0.35">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4.25" customHeight="1" x14ac:dyDescent="0.3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4.25" customHeight="1" x14ac:dyDescent="0.35">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4.25" customHeight="1" x14ac:dyDescent="0.35">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4.25" customHeight="1" x14ac:dyDescent="0.35">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4.25" customHeight="1" x14ac:dyDescent="0.35">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4.25" customHeight="1" x14ac:dyDescent="0.35">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4.25" customHeight="1" x14ac:dyDescent="0.3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4.25" customHeight="1" x14ac:dyDescent="0.3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4.25" customHeight="1" x14ac:dyDescent="0.35">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4.25" customHeight="1" x14ac:dyDescent="0.3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4.25" customHeight="1" x14ac:dyDescent="0.35">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4.25" customHeight="1" x14ac:dyDescent="0.35">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4.25" customHeight="1" x14ac:dyDescent="0.35">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4.25" customHeight="1" x14ac:dyDescent="0.35">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4.25" customHeight="1" x14ac:dyDescent="0.35">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4.25" customHeight="1" x14ac:dyDescent="0.35">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4.25" customHeight="1" x14ac:dyDescent="0.3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4.25" customHeight="1" x14ac:dyDescent="0.3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4.25" customHeight="1" x14ac:dyDescent="0.35">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4.25" customHeight="1" x14ac:dyDescent="0.35">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4.25" customHeight="1" x14ac:dyDescent="0.35">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4.25" customHeight="1" x14ac:dyDescent="0.35">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4.25" customHeight="1" x14ac:dyDescent="0.35">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4.25" customHeight="1" x14ac:dyDescent="0.35">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4.25" customHeight="1" x14ac:dyDescent="0.35">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4.25" customHeight="1" x14ac:dyDescent="0.35">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4.25" customHeight="1" x14ac:dyDescent="0.35">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4.25" customHeight="1" x14ac:dyDescent="0.3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4.25" customHeight="1" x14ac:dyDescent="0.35">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4.25" customHeight="1" x14ac:dyDescent="0.3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4.25" customHeight="1" x14ac:dyDescent="0.35">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4.25" customHeight="1" x14ac:dyDescent="0.35">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4.25" customHeight="1" x14ac:dyDescent="0.35">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4.25" customHeight="1" x14ac:dyDescent="0.35">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4.25" customHeight="1" x14ac:dyDescent="0.3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4.25" customHeight="1" x14ac:dyDescent="0.35">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4.25" customHeight="1" x14ac:dyDescent="0.35">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4.25" customHeight="1" x14ac:dyDescent="0.3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4.25" customHeight="1" x14ac:dyDescent="0.35">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4.25" customHeight="1" x14ac:dyDescent="0.35">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4.25" customHeight="1" x14ac:dyDescent="0.35">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4.25" customHeight="1" x14ac:dyDescent="0.35">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4.25" customHeight="1" x14ac:dyDescent="0.3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4.25" customHeight="1" x14ac:dyDescent="0.3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4.25" customHeight="1" x14ac:dyDescent="0.3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4.25" customHeight="1" x14ac:dyDescent="0.3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4.25" customHeight="1" x14ac:dyDescent="0.3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4.25" customHeight="1" x14ac:dyDescent="0.3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4.25" customHeight="1" x14ac:dyDescent="0.3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4.25" customHeight="1" x14ac:dyDescent="0.3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4.25" customHeight="1" x14ac:dyDescent="0.3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4.25" customHeight="1" x14ac:dyDescent="0.3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4.25" customHeight="1" x14ac:dyDescent="0.3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4.25" customHeight="1" x14ac:dyDescent="0.35">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4.25" customHeight="1" x14ac:dyDescent="0.35">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4.25" customHeight="1" x14ac:dyDescent="0.35">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4.25" customHeight="1" x14ac:dyDescent="0.35">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4.25" customHeight="1" x14ac:dyDescent="0.3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4.25" customHeight="1" x14ac:dyDescent="0.35">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4.25" customHeight="1" x14ac:dyDescent="0.35">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4.25" customHeight="1" x14ac:dyDescent="0.35">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4.25" customHeight="1" x14ac:dyDescent="0.35">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4.25" customHeight="1" x14ac:dyDescent="0.3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4.25" customHeight="1" x14ac:dyDescent="0.35">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4.25" customHeight="1" x14ac:dyDescent="0.3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4.25" customHeight="1" x14ac:dyDescent="0.3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4.25" customHeight="1" x14ac:dyDescent="0.3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4.25" customHeight="1" x14ac:dyDescent="0.3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4.25" customHeight="1" x14ac:dyDescent="0.3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4.25" customHeight="1" x14ac:dyDescent="0.3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4.25" customHeight="1" x14ac:dyDescent="0.3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4.25" customHeight="1" x14ac:dyDescent="0.3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4.25" customHeight="1" x14ac:dyDescent="0.3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4.25" customHeight="1" x14ac:dyDescent="0.35">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4.25" customHeight="1" x14ac:dyDescent="0.3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4.25" customHeight="1" x14ac:dyDescent="0.35">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4.25" customHeight="1" x14ac:dyDescent="0.35">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4.25" customHeight="1" x14ac:dyDescent="0.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4.25" customHeight="1" x14ac:dyDescent="0.35">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4.25" customHeight="1" x14ac:dyDescent="0.35">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4.25" customHeight="1" x14ac:dyDescent="0.35">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4.25" customHeight="1" x14ac:dyDescent="0.35">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4.25" customHeight="1" x14ac:dyDescent="0.35">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4.25" customHeight="1" x14ac:dyDescent="0.35">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4.25" customHeight="1" x14ac:dyDescent="0.35">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4.25" customHeight="1" x14ac:dyDescent="0.35">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4.25" customHeight="1" x14ac:dyDescent="0.35">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4.25" customHeight="1" x14ac:dyDescent="0.3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4.25" customHeight="1" x14ac:dyDescent="0.35">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4.25" customHeight="1" x14ac:dyDescent="0.35">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4.25" customHeight="1" x14ac:dyDescent="0.35">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4.25" customHeight="1" x14ac:dyDescent="0.35">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4.25" customHeight="1" x14ac:dyDescent="0.35">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4.25" customHeight="1" x14ac:dyDescent="0.35">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4.25" customHeight="1" x14ac:dyDescent="0.35">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4.25" customHeight="1" x14ac:dyDescent="0.35">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4.25" customHeight="1" x14ac:dyDescent="0.35">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4.25" customHeight="1" x14ac:dyDescent="0.3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4.25" customHeight="1" x14ac:dyDescent="0.35">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4.25" customHeight="1" x14ac:dyDescent="0.35">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4.25" customHeight="1" x14ac:dyDescent="0.35">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4.25" customHeight="1" x14ac:dyDescent="0.35">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4.25" customHeight="1" x14ac:dyDescent="0.35">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4.25" customHeight="1" x14ac:dyDescent="0.35">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4.25" customHeight="1" x14ac:dyDescent="0.35">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4.25" customHeight="1" x14ac:dyDescent="0.35">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4.25" customHeight="1" x14ac:dyDescent="0.35">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4.25" customHeight="1" x14ac:dyDescent="0.3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4.25" customHeight="1" x14ac:dyDescent="0.35">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4.25" customHeight="1" x14ac:dyDescent="0.35">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4.25" customHeight="1" x14ac:dyDescent="0.35">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4.25" customHeight="1" x14ac:dyDescent="0.35">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4.25" customHeight="1" x14ac:dyDescent="0.35">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4.25" customHeight="1" x14ac:dyDescent="0.35">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4.25" customHeight="1" x14ac:dyDescent="0.35">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4.25" customHeight="1" x14ac:dyDescent="0.35">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4.25" customHeight="1" x14ac:dyDescent="0.35">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4.25" customHeight="1" x14ac:dyDescent="0.3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4.25" customHeight="1" x14ac:dyDescent="0.35">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4.25" customHeight="1" x14ac:dyDescent="0.3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4.25" customHeight="1" x14ac:dyDescent="0.35">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4.25" customHeight="1" x14ac:dyDescent="0.35">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4.25" customHeight="1" x14ac:dyDescent="0.35">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4.25" customHeight="1" x14ac:dyDescent="0.35">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4.25" customHeight="1" x14ac:dyDescent="0.35">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4.25" customHeight="1" x14ac:dyDescent="0.35">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4.25" customHeight="1" x14ac:dyDescent="0.35">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4.25" customHeight="1" x14ac:dyDescent="0.3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4.25" customHeight="1" x14ac:dyDescent="0.35">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4.25" customHeight="1" x14ac:dyDescent="0.35">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4.25" customHeight="1" x14ac:dyDescent="0.35">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4.25" customHeight="1" x14ac:dyDescent="0.35">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4.25" customHeight="1" x14ac:dyDescent="0.35">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4.25" customHeight="1" x14ac:dyDescent="0.35">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4.25" customHeight="1" x14ac:dyDescent="0.35">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4.25" customHeight="1" x14ac:dyDescent="0.35">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4.25" customHeight="1" x14ac:dyDescent="0.35">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4.25" customHeight="1" x14ac:dyDescent="0.3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4.25" customHeight="1" x14ac:dyDescent="0.35">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4.25" customHeight="1" x14ac:dyDescent="0.3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4.25" customHeight="1" x14ac:dyDescent="0.35">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4.25" customHeight="1" x14ac:dyDescent="0.35">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4.25" customHeight="1" x14ac:dyDescent="0.35">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4.25" customHeight="1" x14ac:dyDescent="0.35">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4.25" customHeight="1" x14ac:dyDescent="0.35">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4.25" customHeight="1" x14ac:dyDescent="0.35">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4.25" customHeight="1" x14ac:dyDescent="0.35">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4.25" customHeight="1" x14ac:dyDescent="0.3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4.25" customHeight="1" x14ac:dyDescent="0.35">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4.25" customHeight="1" x14ac:dyDescent="0.35">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4.25" customHeight="1" x14ac:dyDescent="0.35">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4.25" customHeight="1" x14ac:dyDescent="0.35">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4.25" customHeight="1" x14ac:dyDescent="0.35">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4.25" customHeight="1" x14ac:dyDescent="0.35">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4.25" customHeight="1" x14ac:dyDescent="0.35">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4.25" customHeight="1" x14ac:dyDescent="0.35">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4.25" customHeight="1" x14ac:dyDescent="0.35">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4.25" customHeight="1" x14ac:dyDescent="0.3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4.25" customHeight="1" x14ac:dyDescent="0.35">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4.25" customHeight="1" x14ac:dyDescent="0.35">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4.25" customHeight="1" x14ac:dyDescent="0.35">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4.25" customHeight="1" x14ac:dyDescent="0.35">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4.25" customHeight="1" x14ac:dyDescent="0.3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4.25" customHeight="1" x14ac:dyDescent="0.3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4.25" customHeight="1" x14ac:dyDescent="0.3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4.25" customHeight="1" x14ac:dyDescent="0.3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4.25" customHeight="1" x14ac:dyDescent="0.3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4.25" customHeight="1" x14ac:dyDescent="0.3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4.25" customHeight="1" x14ac:dyDescent="0.3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4.25" customHeight="1" x14ac:dyDescent="0.3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4.25" customHeight="1" x14ac:dyDescent="0.3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4.25" customHeight="1" x14ac:dyDescent="0.3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4.25" customHeight="1" x14ac:dyDescent="0.3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4.25" customHeight="1" x14ac:dyDescent="0.3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4.25" customHeight="1" x14ac:dyDescent="0.3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4.25" customHeight="1" x14ac:dyDescent="0.3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4.25" customHeight="1" x14ac:dyDescent="0.3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4.25" customHeight="1" x14ac:dyDescent="0.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4.25" customHeight="1" x14ac:dyDescent="0.3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4.25" customHeight="1" x14ac:dyDescent="0.3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4.25" customHeight="1" x14ac:dyDescent="0.3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4.25" customHeight="1" x14ac:dyDescent="0.3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4.25" customHeight="1" x14ac:dyDescent="0.3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4.25" customHeight="1" x14ac:dyDescent="0.3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4.25" customHeight="1" x14ac:dyDescent="0.3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4.25" customHeight="1" x14ac:dyDescent="0.3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4.25" customHeight="1" x14ac:dyDescent="0.3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4.25" customHeight="1" x14ac:dyDescent="0.3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4.25" customHeight="1" x14ac:dyDescent="0.3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4.25" customHeight="1" x14ac:dyDescent="0.3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4.25" customHeight="1" x14ac:dyDescent="0.3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4.25" customHeight="1" x14ac:dyDescent="0.3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4.25" customHeight="1" x14ac:dyDescent="0.3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4.25" customHeight="1" x14ac:dyDescent="0.3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4.25" customHeight="1" x14ac:dyDescent="0.3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4.25" customHeight="1" x14ac:dyDescent="0.3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4.25" customHeight="1" x14ac:dyDescent="0.3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4.25" customHeight="1" x14ac:dyDescent="0.3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4.25" customHeight="1" x14ac:dyDescent="0.3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4.25" customHeight="1" x14ac:dyDescent="0.3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4.25" customHeight="1" x14ac:dyDescent="0.3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4.25" customHeight="1" x14ac:dyDescent="0.3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4.25" customHeight="1" x14ac:dyDescent="0.3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4.25" customHeight="1" x14ac:dyDescent="0.3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4.25" customHeight="1" x14ac:dyDescent="0.3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4.25" customHeight="1" x14ac:dyDescent="0.3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4.25" customHeight="1" x14ac:dyDescent="0.3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4.25" customHeight="1" x14ac:dyDescent="0.3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4.25" customHeight="1" x14ac:dyDescent="0.3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4.25" customHeight="1" x14ac:dyDescent="0.3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4.25" customHeight="1" x14ac:dyDescent="0.3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4.25" customHeight="1" x14ac:dyDescent="0.3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4.25" customHeight="1" x14ac:dyDescent="0.3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4.25" customHeight="1" x14ac:dyDescent="0.3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4.25" customHeight="1" x14ac:dyDescent="0.3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4.25" customHeight="1" x14ac:dyDescent="0.3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4.25" customHeight="1" x14ac:dyDescent="0.3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4.25" customHeight="1" x14ac:dyDescent="0.3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4.25" customHeight="1" x14ac:dyDescent="0.3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4.25" customHeight="1" x14ac:dyDescent="0.3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4.25" customHeight="1" x14ac:dyDescent="0.3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4.25" customHeight="1" x14ac:dyDescent="0.3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4.25" customHeight="1" x14ac:dyDescent="0.3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4.25" customHeight="1" x14ac:dyDescent="0.3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4.25" customHeight="1" x14ac:dyDescent="0.3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4.25" customHeight="1" x14ac:dyDescent="0.3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4.25" customHeight="1" x14ac:dyDescent="0.3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4.25" customHeight="1" x14ac:dyDescent="0.3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4.25" customHeight="1" x14ac:dyDescent="0.3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4.25" customHeight="1" x14ac:dyDescent="0.3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4.25" customHeight="1" x14ac:dyDescent="0.3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4.25" customHeight="1" x14ac:dyDescent="0.3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4.25" customHeight="1" x14ac:dyDescent="0.3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4.25" customHeight="1" x14ac:dyDescent="0.3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4.25" customHeight="1" x14ac:dyDescent="0.3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4.25" customHeight="1" x14ac:dyDescent="0.3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4.25" customHeight="1" x14ac:dyDescent="0.3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4.25" customHeight="1" x14ac:dyDescent="0.3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4.25" customHeight="1" x14ac:dyDescent="0.3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4.25" customHeight="1" x14ac:dyDescent="0.3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4.25" customHeight="1" x14ac:dyDescent="0.3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4.25" customHeight="1" x14ac:dyDescent="0.3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4.25" customHeight="1" x14ac:dyDescent="0.3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4.25" customHeight="1" x14ac:dyDescent="0.3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4.25" customHeight="1" x14ac:dyDescent="0.3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4.25" customHeight="1" x14ac:dyDescent="0.3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4.25" customHeight="1" x14ac:dyDescent="0.3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4.25" customHeight="1" x14ac:dyDescent="0.3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4.25" customHeight="1" x14ac:dyDescent="0.3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4.25" customHeight="1" x14ac:dyDescent="0.3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4.25" customHeight="1" x14ac:dyDescent="0.3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4.25" customHeight="1" x14ac:dyDescent="0.3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4.25" customHeight="1" x14ac:dyDescent="0.3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4.25" customHeight="1" x14ac:dyDescent="0.3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4.25" customHeight="1" x14ac:dyDescent="0.3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4.25" customHeight="1" x14ac:dyDescent="0.3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4.25" customHeight="1" x14ac:dyDescent="0.3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4.25" customHeight="1" x14ac:dyDescent="0.3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4.25" customHeight="1" x14ac:dyDescent="0.3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4.25" customHeight="1" x14ac:dyDescent="0.3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4.25" customHeight="1" x14ac:dyDescent="0.3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4.25" customHeight="1" x14ac:dyDescent="0.3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4.25" customHeight="1" x14ac:dyDescent="0.3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4.25" customHeight="1" x14ac:dyDescent="0.3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4.25" customHeight="1" x14ac:dyDescent="0.3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4.25" customHeight="1" x14ac:dyDescent="0.3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4.25" customHeight="1" x14ac:dyDescent="0.3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4.25" customHeight="1" x14ac:dyDescent="0.3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4.25" customHeight="1" x14ac:dyDescent="0.3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4.25" customHeight="1" x14ac:dyDescent="0.3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4.25" customHeight="1" x14ac:dyDescent="0.3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4.25" customHeight="1" x14ac:dyDescent="0.3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4.25" customHeight="1" x14ac:dyDescent="0.3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4.25" customHeight="1" x14ac:dyDescent="0.3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4.25" customHeight="1" x14ac:dyDescent="0.3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4.25" customHeight="1" x14ac:dyDescent="0.3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4.25" customHeight="1" x14ac:dyDescent="0.3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4.25" customHeight="1" x14ac:dyDescent="0.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4.25" customHeight="1" x14ac:dyDescent="0.3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4.25" customHeight="1" x14ac:dyDescent="0.3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4.25" customHeight="1" x14ac:dyDescent="0.3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4.25" customHeight="1" x14ac:dyDescent="0.3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4.25" customHeight="1" x14ac:dyDescent="0.3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4.25" customHeight="1" x14ac:dyDescent="0.3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4.25" customHeight="1" x14ac:dyDescent="0.3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4.25" customHeight="1" x14ac:dyDescent="0.3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4.25" customHeight="1" x14ac:dyDescent="0.3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4.25" customHeight="1" x14ac:dyDescent="0.3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4.25" customHeight="1" x14ac:dyDescent="0.3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4.25" customHeight="1" x14ac:dyDescent="0.3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4.25" customHeight="1" x14ac:dyDescent="0.3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4.25" customHeight="1" x14ac:dyDescent="0.3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4.25" customHeight="1" x14ac:dyDescent="0.3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4.25" customHeight="1" x14ac:dyDescent="0.3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4.25" customHeight="1" x14ac:dyDescent="0.3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4.25" customHeight="1" x14ac:dyDescent="0.3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4.25" customHeight="1" x14ac:dyDescent="0.3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4.25" customHeight="1" x14ac:dyDescent="0.3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4.25" customHeight="1" x14ac:dyDescent="0.3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4.25" customHeight="1" x14ac:dyDescent="0.3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4.25" customHeight="1" x14ac:dyDescent="0.3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4.25" customHeight="1" x14ac:dyDescent="0.3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4.25" customHeight="1" x14ac:dyDescent="0.3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4.25" customHeight="1" x14ac:dyDescent="0.3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4.25" customHeight="1" x14ac:dyDescent="0.3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4.25" customHeight="1" x14ac:dyDescent="0.3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4.25" customHeight="1" x14ac:dyDescent="0.3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4.25" customHeight="1" x14ac:dyDescent="0.3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4.25" customHeight="1" x14ac:dyDescent="0.3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4.25" customHeight="1" x14ac:dyDescent="0.3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4.25" customHeight="1" x14ac:dyDescent="0.3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4.25" customHeight="1" x14ac:dyDescent="0.3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4.25" customHeight="1" x14ac:dyDescent="0.3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4.25" customHeight="1" x14ac:dyDescent="0.3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4.25" customHeight="1" x14ac:dyDescent="0.3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4.25" customHeight="1" x14ac:dyDescent="0.3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4.25" customHeight="1" x14ac:dyDescent="0.3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4.25" customHeight="1" x14ac:dyDescent="0.3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4.25" customHeight="1" x14ac:dyDescent="0.3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4.25" customHeight="1" x14ac:dyDescent="0.3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4.25" customHeight="1" x14ac:dyDescent="0.3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4.25" customHeight="1" x14ac:dyDescent="0.3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4.25" customHeight="1" x14ac:dyDescent="0.3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4.25" customHeight="1" x14ac:dyDescent="0.3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4.25" customHeight="1" x14ac:dyDescent="0.3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4.25" customHeight="1" x14ac:dyDescent="0.3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4.25" customHeight="1" x14ac:dyDescent="0.3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4.25" customHeight="1" x14ac:dyDescent="0.3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4.25" customHeight="1" x14ac:dyDescent="0.3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4.25" customHeight="1" x14ac:dyDescent="0.3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4.25" customHeight="1" x14ac:dyDescent="0.3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4.25" customHeight="1" x14ac:dyDescent="0.3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4.25" customHeight="1" x14ac:dyDescent="0.3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4.25" customHeight="1" x14ac:dyDescent="0.3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4.25" customHeight="1" x14ac:dyDescent="0.3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4.25" customHeight="1" x14ac:dyDescent="0.3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4.25" customHeight="1" x14ac:dyDescent="0.3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4.25" customHeight="1" x14ac:dyDescent="0.3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4.25" customHeight="1" x14ac:dyDescent="0.3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4.25" customHeight="1" x14ac:dyDescent="0.3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4.25" customHeight="1" x14ac:dyDescent="0.3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4.25" customHeight="1" x14ac:dyDescent="0.3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4.25" customHeight="1" x14ac:dyDescent="0.3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4.25" customHeight="1" x14ac:dyDescent="0.3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4.25" customHeight="1" x14ac:dyDescent="0.3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4.25" customHeight="1" x14ac:dyDescent="0.3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4.25" customHeight="1" x14ac:dyDescent="0.3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4.25" customHeight="1" x14ac:dyDescent="0.3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4.25" customHeight="1" x14ac:dyDescent="0.3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4.25" customHeight="1" x14ac:dyDescent="0.3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4.25" customHeight="1" x14ac:dyDescent="0.3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4.25" customHeight="1" x14ac:dyDescent="0.3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4.25" customHeight="1" x14ac:dyDescent="0.3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4.25" customHeight="1" x14ac:dyDescent="0.3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4.25" customHeight="1" x14ac:dyDescent="0.3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4.25" customHeight="1" x14ac:dyDescent="0.3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4.25" customHeight="1" x14ac:dyDescent="0.3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4.25" customHeight="1" x14ac:dyDescent="0.3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4.25" customHeight="1" x14ac:dyDescent="0.3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4.25" customHeight="1" x14ac:dyDescent="0.3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4.25" customHeight="1" x14ac:dyDescent="0.3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4.25" customHeight="1" x14ac:dyDescent="0.3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4.25" customHeight="1" x14ac:dyDescent="0.3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4.25" customHeight="1" x14ac:dyDescent="0.3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4.25" customHeight="1" x14ac:dyDescent="0.3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4.25" customHeight="1" x14ac:dyDescent="0.3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4.25" customHeight="1" x14ac:dyDescent="0.3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4.25" customHeight="1" x14ac:dyDescent="0.3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4.25" customHeight="1" x14ac:dyDescent="0.3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4.25" customHeight="1" x14ac:dyDescent="0.3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4.25" customHeight="1" x14ac:dyDescent="0.3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4.25" customHeight="1" x14ac:dyDescent="0.3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4.25" customHeight="1" x14ac:dyDescent="0.3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4.25" customHeight="1" x14ac:dyDescent="0.3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4.25" customHeight="1" x14ac:dyDescent="0.3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4.25" customHeight="1" x14ac:dyDescent="0.3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4.25" customHeight="1" x14ac:dyDescent="0.3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4.25" customHeight="1" x14ac:dyDescent="0.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4.25" customHeight="1" x14ac:dyDescent="0.3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4.25" customHeight="1" x14ac:dyDescent="0.3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4.25" customHeight="1" x14ac:dyDescent="0.3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4.25" customHeight="1" x14ac:dyDescent="0.3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4.25" customHeight="1" x14ac:dyDescent="0.3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4.25" customHeight="1" x14ac:dyDescent="0.3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4.25" customHeight="1" x14ac:dyDescent="0.3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4.25" customHeight="1" x14ac:dyDescent="0.3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4.25" customHeight="1" x14ac:dyDescent="0.3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4.25" customHeight="1" x14ac:dyDescent="0.3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4.25" customHeight="1" x14ac:dyDescent="0.3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4.25" customHeight="1" x14ac:dyDescent="0.3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4.25" customHeight="1" x14ac:dyDescent="0.3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4.25" customHeight="1" x14ac:dyDescent="0.3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4.25" customHeight="1" x14ac:dyDescent="0.3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4.25" customHeight="1" x14ac:dyDescent="0.3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4.25" customHeight="1" x14ac:dyDescent="0.3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4.25" customHeight="1" x14ac:dyDescent="0.3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4.25" customHeight="1" x14ac:dyDescent="0.3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4.25" customHeight="1" x14ac:dyDescent="0.3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4.25" customHeight="1" x14ac:dyDescent="0.3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4.25" customHeight="1" x14ac:dyDescent="0.3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4.25" customHeight="1" x14ac:dyDescent="0.3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4.25" customHeight="1" x14ac:dyDescent="0.3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4.25" customHeight="1" x14ac:dyDescent="0.3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4.25" customHeight="1" x14ac:dyDescent="0.3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4.25" customHeight="1" x14ac:dyDescent="0.3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4.25" customHeight="1" x14ac:dyDescent="0.3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4.25" customHeight="1" x14ac:dyDescent="0.3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4.25" customHeight="1" x14ac:dyDescent="0.3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4.25" customHeight="1" x14ac:dyDescent="0.3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4.25" customHeight="1" x14ac:dyDescent="0.3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4.25" customHeight="1" x14ac:dyDescent="0.3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4.25" customHeight="1" x14ac:dyDescent="0.3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4.25" customHeight="1" x14ac:dyDescent="0.3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4.25" customHeight="1" x14ac:dyDescent="0.3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4.25" customHeight="1" x14ac:dyDescent="0.3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4.25" customHeight="1" x14ac:dyDescent="0.3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4.25" customHeight="1" x14ac:dyDescent="0.3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4.25" customHeight="1" x14ac:dyDescent="0.3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4.25" customHeight="1" x14ac:dyDescent="0.3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4.25" customHeight="1" x14ac:dyDescent="0.3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4.25" customHeight="1" x14ac:dyDescent="0.3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4.25" customHeight="1" x14ac:dyDescent="0.3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4.25" customHeight="1" x14ac:dyDescent="0.3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4.25" customHeight="1" x14ac:dyDescent="0.3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4.25" customHeight="1" x14ac:dyDescent="0.3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4.25" customHeight="1" x14ac:dyDescent="0.3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4.25" customHeight="1" x14ac:dyDescent="0.3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4.25" customHeight="1" x14ac:dyDescent="0.3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4.25" customHeight="1" x14ac:dyDescent="0.3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4.25" customHeight="1" x14ac:dyDescent="0.3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4.25" customHeight="1" x14ac:dyDescent="0.3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4.25" customHeight="1" x14ac:dyDescent="0.3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4.25" customHeight="1" x14ac:dyDescent="0.3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4.25" customHeight="1" x14ac:dyDescent="0.3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4.25" customHeight="1" x14ac:dyDescent="0.3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4.25" customHeight="1" x14ac:dyDescent="0.3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4.25" customHeight="1" x14ac:dyDescent="0.3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4.25" customHeight="1" x14ac:dyDescent="0.3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4.25" customHeight="1" x14ac:dyDescent="0.3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4.25" customHeight="1" x14ac:dyDescent="0.3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4.25" customHeight="1" x14ac:dyDescent="0.3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4.25" customHeight="1" x14ac:dyDescent="0.3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4.25" customHeight="1" x14ac:dyDescent="0.3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4.25" customHeight="1" x14ac:dyDescent="0.3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4.25" customHeight="1" x14ac:dyDescent="0.3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4.25" customHeight="1" x14ac:dyDescent="0.3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4.25" customHeight="1" x14ac:dyDescent="0.3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4.25" customHeight="1" x14ac:dyDescent="0.3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4.25" customHeight="1" x14ac:dyDescent="0.3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4.25" customHeight="1" x14ac:dyDescent="0.3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4.25" customHeight="1" x14ac:dyDescent="0.3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4.25" customHeight="1" x14ac:dyDescent="0.3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4.25" customHeight="1" x14ac:dyDescent="0.3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4.25" customHeight="1" x14ac:dyDescent="0.3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4.25" customHeight="1" x14ac:dyDescent="0.3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4.25" customHeight="1" x14ac:dyDescent="0.3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4.25" customHeight="1" x14ac:dyDescent="0.3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4.25" customHeight="1" x14ac:dyDescent="0.3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4.25" customHeight="1" x14ac:dyDescent="0.3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4.25" customHeight="1" x14ac:dyDescent="0.3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4.25" customHeight="1" x14ac:dyDescent="0.3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4.25" customHeight="1" x14ac:dyDescent="0.3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4.25" customHeight="1" x14ac:dyDescent="0.3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4.25" customHeight="1" x14ac:dyDescent="0.3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4.25" customHeight="1" x14ac:dyDescent="0.3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4.25" customHeight="1" x14ac:dyDescent="0.3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4.25" customHeight="1" x14ac:dyDescent="0.3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4.25" customHeight="1" x14ac:dyDescent="0.3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4.25" customHeight="1" x14ac:dyDescent="0.3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4.25" customHeight="1" x14ac:dyDescent="0.3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4.25" customHeight="1" x14ac:dyDescent="0.3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4.25" customHeight="1" x14ac:dyDescent="0.3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4.25" customHeight="1" x14ac:dyDescent="0.3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4.25" customHeight="1" x14ac:dyDescent="0.3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4.25" customHeight="1" x14ac:dyDescent="0.3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4.25" customHeight="1" x14ac:dyDescent="0.3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4.25" customHeight="1" x14ac:dyDescent="0.3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4.25" customHeight="1" x14ac:dyDescent="0.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4.25" customHeight="1" x14ac:dyDescent="0.3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4.25" customHeight="1" x14ac:dyDescent="0.3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4.25" customHeight="1" x14ac:dyDescent="0.3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4.25" customHeight="1" x14ac:dyDescent="0.3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4.25" customHeight="1" x14ac:dyDescent="0.3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4.25" customHeight="1" x14ac:dyDescent="0.3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4.25" customHeight="1" x14ac:dyDescent="0.3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4.25" customHeight="1" x14ac:dyDescent="0.3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4.25" customHeight="1" x14ac:dyDescent="0.3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4.25" customHeight="1" x14ac:dyDescent="0.3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4.25" customHeight="1" x14ac:dyDescent="0.3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4.25" customHeight="1" x14ac:dyDescent="0.3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4.25" customHeight="1" x14ac:dyDescent="0.3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4.25" customHeight="1" x14ac:dyDescent="0.3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4.25" customHeight="1" x14ac:dyDescent="0.3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4.25" customHeight="1" x14ac:dyDescent="0.3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4.25" customHeight="1" x14ac:dyDescent="0.3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4.25" customHeight="1" x14ac:dyDescent="0.3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4.25" customHeight="1" x14ac:dyDescent="0.3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4.25" customHeight="1" x14ac:dyDescent="0.3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4.25" customHeight="1" x14ac:dyDescent="0.3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4.25" customHeight="1" x14ac:dyDescent="0.3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4.25" customHeight="1" x14ac:dyDescent="0.3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4.25" customHeight="1" x14ac:dyDescent="0.3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4.25" customHeight="1" x14ac:dyDescent="0.3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4.25" customHeight="1" x14ac:dyDescent="0.3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4.25" customHeight="1" x14ac:dyDescent="0.3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4.25" customHeight="1" x14ac:dyDescent="0.3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4.25" customHeight="1" x14ac:dyDescent="0.3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4.25" customHeight="1" x14ac:dyDescent="0.3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4.25" customHeight="1" x14ac:dyDescent="0.3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4.25" customHeight="1" x14ac:dyDescent="0.3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4.25" customHeight="1" x14ac:dyDescent="0.3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4.25" customHeight="1" x14ac:dyDescent="0.3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4.25" customHeight="1" x14ac:dyDescent="0.3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4.25" customHeight="1" x14ac:dyDescent="0.3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4.25" customHeight="1" x14ac:dyDescent="0.3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4.25" customHeight="1" x14ac:dyDescent="0.3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4.25" customHeight="1" x14ac:dyDescent="0.3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4.25" customHeight="1" x14ac:dyDescent="0.3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4.25" customHeight="1" x14ac:dyDescent="0.3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4.25" customHeight="1" x14ac:dyDescent="0.3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4.25" customHeight="1" x14ac:dyDescent="0.3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4.25" customHeight="1" x14ac:dyDescent="0.3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4.25" customHeight="1" x14ac:dyDescent="0.3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4.25" customHeight="1" x14ac:dyDescent="0.3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4.25" customHeight="1" x14ac:dyDescent="0.3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4.25" customHeight="1" x14ac:dyDescent="0.3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4.25" customHeight="1" x14ac:dyDescent="0.3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4.25" customHeight="1" x14ac:dyDescent="0.3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4.25" customHeight="1" x14ac:dyDescent="0.3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4.25" customHeight="1" x14ac:dyDescent="0.3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4.25" customHeight="1" x14ac:dyDescent="0.3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4.25" customHeight="1" x14ac:dyDescent="0.3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4.25" customHeight="1" x14ac:dyDescent="0.3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4.25" customHeight="1" x14ac:dyDescent="0.3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4.25" customHeight="1" x14ac:dyDescent="0.3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4.25" customHeight="1" x14ac:dyDescent="0.3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4.25" customHeight="1" x14ac:dyDescent="0.3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4.25" customHeight="1" x14ac:dyDescent="0.3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4.25" customHeight="1" x14ac:dyDescent="0.3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4.25" customHeight="1" x14ac:dyDescent="0.3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4.25" customHeight="1" x14ac:dyDescent="0.3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4.25" customHeight="1" x14ac:dyDescent="0.3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4.25" customHeight="1" x14ac:dyDescent="0.3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4.25" customHeight="1" x14ac:dyDescent="0.3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4.25" customHeight="1" x14ac:dyDescent="0.3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4.25" customHeight="1" x14ac:dyDescent="0.3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4.25" customHeight="1" x14ac:dyDescent="0.3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4.25" customHeight="1" x14ac:dyDescent="0.3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4.25" customHeight="1" x14ac:dyDescent="0.3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4.25" customHeight="1" x14ac:dyDescent="0.3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4.25" customHeight="1" x14ac:dyDescent="0.3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4.25" customHeight="1" x14ac:dyDescent="0.3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4.25" customHeight="1" x14ac:dyDescent="0.3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4.25" customHeight="1" x14ac:dyDescent="0.3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4.25" customHeight="1" x14ac:dyDescent="0.3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4.25" customHeight="1" x14ac:dyDescent="0.3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4.25" customHeight="1" x14ac:dyDescent="0.3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4.25" customHeight="1" x14ac:dyDescent="0.3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4.25" customHeight="1" x14ac:dyDescent="0.3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4.25" customHeight="1" x14ac:dyDescent="0.3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4.25" customHeight="1" x14ac:dyDescent="0.3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4.25" customHeight="1" x14ac:dyDescent="0.3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4.25" customHeight="1" x14ac:dyDescent="0.3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4.25" customHeight="1" x14ac:dyDescent="0.3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4.25" customHeight="1" x14ac:dyDescent="0.3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4.25" customHeight="1" x14ac:dyDescent="0.3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4.25" customHeight="1" x14ac:dyDescent="0.3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4.25" customHeight="1" x14ac:dyDescent="0.3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4.25" customHeight="1" x14ac:dyDescent="0.3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4.25" customHeight="1" x14ac:dyDescent="0.3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4.25" customHeight="1" x14ac:dyDescent="0.3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4.25" customHeight="1" x14ac:dyDescent="0.3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4.25" customHeight="1" x14ac:dyDescent="0.3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4.25" customHeight="1" x14ac:dyDescent="0.3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4.25" customHeight="1" x14ac:dyDescent="0.3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4.25" customHeight="1" x14ac:dyDescent="0.3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4.25" customHeight="1" x14ac:dyDescent="0.3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4.25" customHeight="1" x14ac:dyDescent="0.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4.25" customHeight="1" x14ac:dyDescent="0.3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4.25" customHeight="1" x14ac:dyDescent="0.3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4.25" customHeight="1" x14ac:dyDescent="0.3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4.25" customHeight="1" x14ac:dyDescent="0.3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4.25" customHeight="1" x14ac:dyDescent="0.3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4.25" customHeight="1" x14ac:dyDescent="0.3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4.25" customHeight="1" x14ac:dyDescent="0.3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4.25" customHeight="1" x14ac:dyDescent="0.3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4.25" customHeight="1" x14ac:dyDescent="0.3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4.25" customHeight="1" x14ac:dyDescent="0.3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4.25" customHeight="1" x14ac:dyDescent="0.3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4.25" customHeight="1" x14ac:dyDescent="0.3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4.25" customHeight="1" x14ac:dyDescent="0.3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4.25" customHeight="1" x14ac:dyDescent="0.3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4.25" customHeight="1" x14ac:dyDescent="0.3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4.25" customHeight="1" x14ac:dyDescent="0.3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4.25" customHeight="1" x14ac:dyDescent="0.3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4.25" customHeight="1" x14ac:dyDescent="0.3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4.25" customHeight="1" x14ac:dyDescent="0.3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4.25" customHeight="1" x14ac:dyDescent="0.3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4.25" customHeight="1" x14ac:dyDescent="0.3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4.25" customHeight="1" x14ac:dyDescent="0.3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4.25" customHeight="1" x14ac:dyDescent="0.3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4.25" customHeight="1" x14ac:dyDescent="0.3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4.25" customHeight="1" x14ac:dyDescent="0.3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4.25" customHeight="1" x14ac:dyDescent="0.3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4.25" customHeight="1" x14ac:dyDescent="0.3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4.25" customHeight="1" x14ac:dyDescent="0.3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4.25" customHeight="1" x14ac:dyDescent="0.3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4.25" customHeight="1" x14ac:dyDescent="0.3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4.25" customHeight="1" x14ac:dyDescent="0.3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4.25" customHeight="1" x14ac:dyDescent="0.3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4.25" customHeight="1" x14ac:dyDescent="0.3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4.25" customHeight="1" x14ac:dyDescent="0.3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4.25" customHeight="1" x14ac:dyDescent="0.3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4.25" customHeight="1" x14ac:dyDescent="0.3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4.25" customHeight="1" x14ac:dyDescent="0.3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4.25" customHeight="1" x14ac:dyDescent="0.3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4.25" customHeight="1" x14ac:dyDescent="0.3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4.25" customHeight="1" x14ac:dyDescent="0.3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4.25" customHeight="1" x14ac:dyDescent="0.3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4.25" customHeight="1" x14ac:dyDescent="0.3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4.25" customHeight="1" x14ac:dyDescent="0.3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4.25" customHeight="1" x14ac:dyDescent="0.3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4.25" customHeight="1" x14ac:dyDescent="0.3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4.25" customHeight="1" x14ac:dyDescent="0.3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4.25" customHeight="1" x14ac:dyDescent="0.3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4.25" customHeight="1" x14ac:dyDescent="0.3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4.25" customHeight="1" x14ac:dyDescent="0.3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4.25" customHeight="1" x14ac:dyDescent="0.3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4.25" customHeight="1" x14ac:dyDescent="0.3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4.25" customHeight="1" x14ac:dyDescent="0.3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4.25" customHeight="1" x14ac:dyDescent="0.3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4.25" customHeight="1" x14ac:dyDescent="0.3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4.25" customHeight="1" x14ac:dyDescent="0.3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4.25" customHeight="1" x14ac:dyDescent="0.3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4.25" customHeight="1" x14ac:dyDescent="0.3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4.25" customHeight="1" x14ac:dyDescent="0.3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4.25" customHeight="1" x14ac:dyDescent="0.3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4.25" customHeight="1" x14ac:dyDescent="0.3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4.25" customHeight="1" x14ac:dyDescent="0.3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4.25" customHeight="1" x14ac:dyDescent="0.3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4.25" customHeight="1" x14ac:dyDescent="0.3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4.25" customHeight="1" x14ac:dyDescent="0.3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4.25" customHeight="1" x14ac:dyDescent="0.3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4.25" customHeight="1" x14ac:dyDescent="0.3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4.25" customHeight="1" x14ac:dyDescent="0.3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4.25" customHeight="1" x14ac:dyDescent="0.3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4.25" customHeight="1" x14ac:dyDescent="0.3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4.25" customHeight="1" x14ac:dyDescent="0.3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4.25" customHeight="1" x14ac:dyDescent="0.3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4.25" customHeight="1" x14ac:dyDescent="0.3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4.25" customHeight="1" x14ac:dyDescent="0.3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4.25" customHeight="1" x14ac:dyDescent="0.3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4.25" customHeight="1" x14ac:dyDescent="0.3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4.25" customHeight="1" x14ac:dyDescent="0.3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4.25" customHeight="1" x14ac:dyDescent="0.3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4.25" customHeight="1" x14ac:dyDescent="0.3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4.25" customHeight="1" x14ac:dyDescent="0.3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4.25" customHeight="1" x14ac:dyDescent="0.3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4.25" customHeight="1" x14ac:dyDescent="0.3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4.25" customHeight="1" x14ac:dyDescent="0.3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4.25" customHeight="1" x14ac:dyDescent="0.3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4.25" customHeight="1" x14ac:dyDescent="0.3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4.25" customHeight="1" x14ac:dyDescent="0.3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4.25" customHeight="1" x14ac:dyDescent="0.3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4.25" customHeight="1" x14ac:dyDescent="0.3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4.25" customHeight="1" x14ac:dyDescent="0.3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4.25" customHeight="1" x14ac:dyDescent="0.3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4.25" customHeight="1" x14ac:dyDescent="0.3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4.25" customHeight="1" x14ac:dyDescent="0.3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4.25" customHeight="1" x14ac:dyDescent="0.3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4.25" customHeight="1" x14ac:dyDescent="0.3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4.25" customHeight="1" x14ac:dyDescent="0.3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4.25" customHeight="1" x14ac:dyDescent="0.3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4.25" customHeight="1" x14ac:dyDescent="0.3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4.25" customHeight="1" x14ac:dyDescent="0.3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4.25" customHeight="1" x14ac:dyDescent="0.3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4.25" customHeight="1" x14ac:dyDescent="0.3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4.25" customHeight="1" x14ac:dyDescent="0.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4.25" customHeight="1" x14ac:dyDescent="0.3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4.25" customHeight="1" x14ac:dyDescent="0.3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4.25" customHeight="1" x14ac:dyDescent="0.3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4.25" customHeight="1" x14ac:dyDescent="0.3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4.25" customHeight="1" x14ac:dyDescent="0.3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4.25" customHeight="1" x14ac:dyDescent="0.3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4.25" customHeight="1" x14ac:dyDescent="0.3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4.25" customHeight="1" x14ac:dyDescent="0.3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4.25" customHeight="1" x14ac:dyDescent="0.3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4.25" customHeight="1" x14ac:dyDescent="0.3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4.25" customHeight="1" x14ac:dyDescent="0.3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4.25" customHeight="1" x14ac:dyDescent="0.3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4.25" customHeight="1" x14ac:dyDescent="0.3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4.25" customHeight="1" x14ac:dyDescent="0.3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4.25" customHeight="1" x14ac:dyDescent="0.3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4.25" customHeight="1" x14ac:dyDescent="0.3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4.25" customHeight="1" x14ac:dyDescent="0.3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4.25" customHeight="1" x14ac:dyDescent="0.3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4.25" customHeight="1" x14ac:dyDescent="0.3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4.25" customHeight="1" x14ac:dyDescent="0.3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4.25" customHeight="1" x14ac:dyDescent="0.3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4.25" customHeight="1" x14ac:dyDescent="0.3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4.25" customHeight="1" x14ac:dyDescent="0.3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4.25" customHeight="1" x14ac:dyDescent="0.3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4.25" customHeight="1" x14ac:dyDescent="0.3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4.25" customHeight="1" x14ac:dyDescent="0.3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4.25" customHeight="1" x14ac:dyDescent="0.3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4.25" customHeight="1" x14ac:dyDescent="0.3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4.25" customHeight="1" x14ac:dyDescent="0.3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4.25" customHeight="1" x14ac:dyDescent="0.3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4.25" customHeight="1" x14ac:dyDescent="0.3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4.25" customHeight="1" x14ac:dyDescent="0.3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4.25" customHeight="1" x14ac:dyDescent="0.3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4.25" customHeight="1" x14ac:dyDescent="0.3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4.25" customHeight="1" x14ac:dyDescent="0.3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4.25" customHeight="1" x14ac:dyDescent="0.3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4.25" customHeight="1" x14ac:dyDescent="0.3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4.25" customHeight="1" x14ac:dyDescent="0.3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4.25" customHeight="1" x14ac:dyDescent="0.3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4.25" customHeight="1" x14ac:dyDescent="0.3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4.25" customHeight="1" x14ac:dyDescent="0.3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4.25" customHeight="1" x14ac:dyDescent="0.3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4.25" customHeight="1" x14ac:dyDescent="0.3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4.25" customHeight="1" x14ac:dyDescent="0.3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4.25" customHeight="1" x14ac:dyDescent="0.3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4.25" customHeight="1" x14ac:dyDescent="0.3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4.25" customHeight="1" x14ac:dyDescent="0.3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4.25" customHeight="1" x14ac:dyDescent="0.3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4.25" customHeight="1" x14ac:dyDescent="0.3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4.25" customHeight="1" x14ac:dyDescent="0.3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4.25" customHeight="1" x14ac:dyDescent="0.3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4.25" customHeight="1" x14ac:dyDescent="0.3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4.25" customHeight="1" x14ac:dyDescent="0.3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4.25" customHeight="1" x14ac:dyDescent="0.3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4.25" customHeight="1" x14ac:dyDescent="0.3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4.25" customHeight="1" x14ac:dyDescent="0.3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4.25" customHeight="1" x14ac:dyDescent="0.3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4.25" customHeight="1" x14ac:dyDescent="0.3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4.25" customHeight="1" x14ac:dyDescent="0.3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4.25" customHeight="1" x14ac:dyDescent="0.3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4.25" customHeight="1" x14ac:dyDescent="0.3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4.25" customHeight="1" x14ac:dyDescent="0.3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4.25" customHeight="1" x14ac:dyDescent="0.3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4.25" customHeight="1" x14ac:dyDescent="0.3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4.25" customHeight="1" x14ac:dyDescent="0.3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4.25" customHeight="1" x14ac:dyDescent="0.3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4.25" customHeight="1" x14ac:dyDescent="0.3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4.25" customHeight="1" x14ac:dyDescent="0.3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4.25" customHeight="1" x14ac:dyDescent="0.3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4.25" customHeight="1" x14ac:dyDescent="0.3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4.25" customHeight="1" x14ac:dyDescent="0.3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4.25" customHeight="1" x14ac:dyDescent="0.3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4.25" customHeight="1" x14ac:dyDescent="0.3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4.25" customHeight="1" x14ac:dyDescent="0.3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4.25" customHeight="1" x14ac:dyDescent="0.3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4.25" customHeight="1" x14ac:dyDescent="0.3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4.25" customHeight="1" x14ac:dyDescent="0.3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4.25" customHeight="1" x14ac:dyDescent="0.3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4.25" customHeight="1" x14ac:dyDescent="0.3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4.25" customHeight="1" x14ac:dyDescent="0.3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4.25" customHeight="1" x14ac:dyDescent="0.3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4.25" customHeight="1" x14ac:dyDescent="0.3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4.25" customHeight="1" x14ac:dyDescent="0.3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4.25" customHeight="1" x14ac:dyDescent="0.3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4.25" customHeight="1" x14ac:dyDescent="0.3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4.25" customHeight="1" x14ac:dyDescent="0.3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4.25" customHeight="1" x14ac:dyDescent="0.3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4.25" customHeight="1" x14ac:dyDescent="0.3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4.25" customHeight="1" x14ac:dyDescent="0.3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4.25" customHeight="1" x14ac:dyDescent="0.3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4.25" customHeight="1" x14ac:dyDescent="0.3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4.25" customHeight="1" x14ac:dyDescent="0.3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4.25" customHeight="1" x14ac:dyDescent="0.3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4.25" customHeight="1" x14ac:dyDescent="0.3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4.25" customHeight="1" x14ac:dyDescent="0.3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4.25" customHeight="1" x14ac:dyDescent="0.3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4.25" customHeight="1" x14ac:dyDescent="0.3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4.25" customHeight="1" x14ac:dyDescent="0.3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4.25" customHeight="1" x14ac:dyDescent="0.3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4.25" customHeight="1" x14ac:dyDescent="0.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4.25" customHeight="1" x14ac:dyDescent="0.3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4.25" customHeight="1" x14ac:dyDescent="0.3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4.25" customHeight="1" x14ac:dyDescent="0.3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4.25" customHeight="1" x14ac:dyDescent="0.3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4.25" customHeight="1" x14ac:dyDescent="0.3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4.25" customHeight="1" x14ac:dyDescent="0.3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4.25" customHeight="1" x14ac:dyDescent="0.3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4.25" customHeight="1" x14ac:dyDescent="0.3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4.25" customHeight="1" x14ac:dyDescent="0.3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4.25" customHeight="1" x14ac:dyDescent="0.3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4.25" customHeight="1" x14ac:dyDescent="0.3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4.25" customHeight="1" x14ac:dyDescent="0.3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4.25" customHeight="1" x14ac:dyDescent="0.3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4.25" customHeight="1" x14ac:dyDescent="0.3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4.25" customHeight="1" x14ac:dyDescent="0.3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4.25" customHeight="1" x14ac:dyDescent="0.3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4.25" customHeight="1" x14ac:dyDescent="0.3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4.25" customHeight="1" x14ac:dyDescent="0.3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4.25" customHeight="1" x14ac:dyDescent="0.3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4.25" customHeight="1" x14ac:dyDescent="0.3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4.25" customHeight="1" x14ac:dyDescent="0.3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4.25" customHeight="1" x14ac:dyDescent="0.3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4.25" customHeight="1" x14ac:dyDescent="0.3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4.25" customHeight="1" x14ac:dyDescent="0.3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4.25" customHeight="1" x14ac:dyDescent="0.3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4.25" customHeight="1" x14ac:dyDescent="0.3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4.25" customHeight="1" x14ac:dyDescent="0.3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4.25" customHeight="1" x14ac:dyDescent="0.3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4.25" customHeight="1" x14ac:dyDescent="0.3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4.25" customHeight="1" x14ac:dyDescent="0.3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4.25" customHeight="1" x14ac:dyDescent="0.3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4.25" customHeight="1" x14ac:dyDescent="0.3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4.25" customHeight="1" x14ac:dyDescent="0.3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4.25" customHeight="1" x14ac:dyDescent="0.3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4.25" customHeight="1" x14ac:dyDescent="0.3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4.25" customHeight="1" x14ac:dyDescent="0.3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4.25" customHeight="1" x14ac:dyDescent="0.3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4.25" customHeight="1" x14ac:dyDescent="0.3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4.25" customHeight="1" x14ac:dyDescent="0.3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4.25" customHeight="1" x14ac:dyDescent="0.3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4.25" customHeight="1" x14ac:dyDescent="0.3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4.25" customHeight="1" x14ac:dyDescent="0.3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4.25" customHeight="1" x14ac:dyDescent="0.3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4.25" customHeight="1" x14ac:dyDescent="0.3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4.25" customHeight="1" x14ac:dyDescent="0.3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4.25" customHeight="1" x14ac:dyDescent="0.3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4.25" customHeight="1" x14ac:dyDescent="0.3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4.25" customHeight="1" x14ac:dyDescent="0.3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4.25" customHeight="1" x14ac:dyDescent="0.3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4.25" customHeight="1" x14ac:dyDescent="0.3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4.25" customHeight="1" x14ac:dyDescent="0.3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4.25" customHeight="1" x14ac:dyDescent="0.3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4.25" customHeight="1" x14ac:dyDescent="0.3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4.25" customHeight="1" x14ac:dyDescent="0.3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4.25" customHeight="1" x14ac:dyDescent="0.3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4.25" customHeight="1" x14ac:dyDescent="0.3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4.25" customHeight="1" x14ac:dyDescent="0.3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4.25" customHeight="1" x14ac:dyDescent="0.3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4.25" customHeight="1" x14ac:dyDescent="0.3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4.25" customHeight="1" x14ac:dyDescent="0.3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4.25" customHeight="1" x14ac:dyDescent="0.3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4.25" customHeight="1" x14ac:dyDescent="0.3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4.25" customHeight="1" x14ac:dyDescent="0.3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4.25" customHeight="1" x14ac:dyDescent="0.3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4.25" customHeight="1" x14ac:dyDescent="0.3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4.25" customHeight="1" x14ac:dyDescent="0.3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4.25" customHeight="1" x14ac:dyDescent="0.3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4.25" customHeight="1" x14ac:dyDescent="0.3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4.25" customHeight="1" x14ac:dyDescent="0.3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4.25" customHeight="1" x14ac:dyDescent="0.3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4.25" customHeight="1" x14ac:dyDescent="0.3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4.25" customHeight="1" x14ac:dyDescent="0.3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4.25" customHeight="1" x14ac:dyDescent="0.3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4.25" customHeight="1" x14ac:dyDescent="0.3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4.25" customHeight="1" x14ac:dyDescent="0.3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4.25" customHeight="1" x14ac:dyDescent="0.3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4.25" customHeight="1" x14ac:dyDescent="0.3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4.25" customHeight="1" x14ac:dyDescent="0.3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4.25" customHeight="1" x14ac:dyDescent="0.3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4.25" customHeight="1" x14ac:dyDescent="0.3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4.25" customHeight="1" x14ac:dyDescent="0.3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4.25" customHeight="1" x14ac:dyDescent="0.3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4.25" customHeight="1" x14ac:dyDescent="0.3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4.25" customHeight="1" x14ac:dyDescent="0.3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4.25" customHeight="1" x14ac:dyDescent="0.3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4.25" customHeight="1" x14ac:dyDescent="0.3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4.25" customHeight="1" x14ac:dyDescent="0.3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4.25" customHeight="1" x14ac:dyDescent="0.3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4.25" customHeight="1" x14ac:dyDescent="0.3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4.25" customHeight="1" x14ac:dyDescent="0.3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4.25" customHeight="1" x14ac:dyDescent="0.3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4.25" customHeight="1" x14ac:dyDescent="0.3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4.25" customHeight="1" x14ac:dyDescent="0.3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4.25" customHeight="1" x14ac:dyDescent="0.3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4.25" customHeight="1" x14ac:dyDescent="0.3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4.25" customHeight="1" x14ac:dyDescent="0.3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4.25" customHeight="1" x14ac:dyDescent="0.3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4.25" customHeight="1" x14ac:dyDescent="0.3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4.25" customHeight="1" x14ac:dyDescent="0.3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4.25" customHeight="1" x14ac:dyDescent="0.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4.25" customHeight="1" x14ac:dyDescent="0.3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4.25" customHeight="1" x14ac:dyDescent="0.3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4.25" customHeight="1" x14ac:dyDescent="0.3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4.25" customHeight="1" x14ac:dyDescent="0.3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4.25" customHeight="1" x14ac:dyDescent="0.3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4.25" customHeight="1" x14ac:dyDescent="0.3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4.25" customHeight="1" x14ac:dyDescent="0.3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4.25" customHeight="1" x14ac:dyDescent="0.3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4.25" customHeight="1" x14ac:dyDescent="0.3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4.25" customHeight="1" x14ac:dyDescent="0.3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4.25" customHeight="1" x14ac:dyDescent="0.3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4.25" customHeight="1" x14ac:dyDescent="0.3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4.25" customHeight="1" x14ac:dyDescent="0.3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4.25" customHeight="1" x14ac:dyDescent="0.3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4.25" customHeight="1" x14ac:dyDescent="0.3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4.25" customHeight="1" x14ac:dyDescent="0.3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4.25" customHeight="1" x14ac:dyDescent="0.3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4.25" customHeight="1" x14ac:dyDescent="0.3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4.25" customHeight="1" x14ac:dyDescent="0.3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4.25" customHeight="1" x14ac:dyDescent="0.3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4.25" customHeight="1" x14ac:dyDescent="0.3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4.25" customHeight="1" x14ac:dyDescent="0.3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4.25" customHeight="1" x14ac:dyDescent="0.3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4.25" customHeight="1" x14ac:dyDescent="0.3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4.25" customHeight="1" x14ac:dyDescent="0.3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4.25" customHeight="1" x14ac:dyDescent="0.3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4.25" customHeight="1" x14ac:dyDescent="0.3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4.25" customHeight="1" x14ac:dyDescent="0.3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4.25" customHeight="1" x14ac:dyDescent="0.3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4.25" customHeight="1" x14ac:dyDescent="0.3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4.25" customHeight="1" x14ac:dyDescent="0.3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4.25" customHeight="1" x14ac:dyDescent="0.3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4.25" customHeight="1" x14ac:dyDescent="0.3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4.25" customHeight="1" x14ac:dyDescent="0.3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4.25" customHeight="1" x14ac:dyDescent="0.3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4.25" customHeight="1" x14ac:dyDescent="0.3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4.25" customHeight="1" x14ac:dyDescent="0.3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4.25" customHeight="1" x14ac:dyDescent="0.3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4.25" customHeight="1" x14ac:dyDescent="0.3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4.25" customHeight="1" x14ac:dyDescent="0.3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4.25" customHeight="1" x14ac:dyDescent="0.3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4.25" customHeight="1" x14ac:dyDescent="0.3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4.25" customHeight="1" x14ac:dyDescent="0.3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4.25" customHeight="1" x14ac:dyDescent="0.3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4.25" customHeight="1" x14ac:dyDescent="0.3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4.25" customHeight="1" x14ac:dyDescent="0.3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4.25" customHeight="1" x14ac:dyDescent="0.3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4.25" customHeight="1" x14ac:dyDescent="0.3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4.25" customHeight="1" x14ac:dyDescent="0.3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4.25" customHeight="1" x14ac:dyDescent="0.3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4.25" customHeight="1" x14ac:dyDescent="0.3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4.25" customHeight="1" x14ac:dyDescent="0.3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4.25" customHeight="1" x14ac:dyDescent="0.3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4.25" customHeight="1" x14ac:dyDescent="0.3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4.25" customHeight="1" x14ac:dyDescent="0.3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4.25" customHeight="1" x14ac:dyDescent="0.3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4.25" customHeight="1" x14ac:dyDescent="0.3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4.25" customHeight="1" x14ac:dyDescent="0.3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4.25" customHeight="1" x14ac:dyDescent="0.3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4.25" customHeight="1" x14ac:dyDescent="0.3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4.25" customHeight="1" x14ac:dyDescent="0.35">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4.25" customHeight="1" x14ac:dyDescent="0.35">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4.25" customHeight="1" x14ac:dyDescent="0.35">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4.25" customHeight="1" x14ac:dyDescent="0.35">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14.25" customHeight="1" x14ac:dyDescent="0.3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2">
    <mergeCell ref="B5:D5"/>
    <mergeCell ref="C13:D13"/>
  </mergeCell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1000"/>
  <sheetViews>
    <sheetView showGridLines="0" zoomScaleNormal="100" workbookViewId="0">
      <selection activeCell="L5" sqref="L5"/>
    </sheetView>
  </sheetViews>
  <sheetFormatPr defaultColWidth="14.453125" defaultRowHeight="14.5" x14ac:dyDescent="0.35"/>
  <cols>
    <col min="1" max="1" width="13.7265625" customWidth="1"/>
    <col min="2" max="2" width="26.453125" customWidth="1"/>
    <col min="3" max="3" width="8.7265625" customWidth="1"/>
    <col min="4" max="7" width="13.54296875" hidden="1" customWidth="1"/>
    <col min="8" max="8" width="8.7265625" hidden="1" customWidth="1"/>
    <col min="9" max="26" width="8.7265625" customWidth="1"/>
  </cols>
  <sheetData>
    <row r="1" spans="1:8" ht="14.25" customHeight="1" x14ac:dyDescent="0.35">
      <c r="A1" s="62" t="s">
        <v>85</v>
      </c>
      <c r="B1" s="63" t="s">
        <v>86</v>
      </c>
    </row>
    <row r="2" spans="1:8" ht="14.25" customHeight="1" x14ac:dyDescent="0.35">
      <c r="A2" s="21" t="s">
        <v>87</v>
      </c>
      <c r="B2" s="64"/>
      <c r="E2" s="44" t="s">
        <v>88</v>
      </c>
    </row>
    <row r="3" spans="1:8" ht="14.25" customHeight="1" x14ac:dyDescent="0.35">
      <c r="A3" s="21" t="s">
        <v>89</v>
      </c>
      <c r="B3" s="64"/>
      <c r="C3" s="25"/>
      <c r="E3" s="44" t="s">
        <v>90</v>
      </c>
      <c r="H3" s="26"/>
    </row>
    <row r="4" spans="1:8" ht="14.25" customHeight="1" x14ac:dyDescent="0.35">
      <c r="A4" s="21" t="s">
        <v>91</v>
      </c>
      <c r="B4" s="64"/>
      <c r="C4" s="25"/>
      <c r="E4" s="44" t="s">
        <v>92</v>
      </c>
      <c r="H4" s="26"/>
    </row>
    <row r="5" spans="1:8" ht="14.25" customHeight="1" x14ac:dyDescent="0.35">
      <c r="A5" s="21" t="s">
        <v>93</v>
      </c>
      <c r="B5" s="64"/>
      <c r="E5" s="44" t="s">
        <v>94</v>
      </c>
      <c r="H5" s="26"/>
    </row>
    <row r="6" spans="1:8" ht="14.25" customHeight="1" x14ac:dyDescent="0.35">
      <c r="A6" s="21" t="s">
        <v>95</v>
      </c>
      <c r="B6" s="64"/>
      <c r="E6" s="44" t="s">
        <v>96</v>
      </c>
      <c r="H6" s="26"/>
    </row>
    <row r="7" spans="1:8" ht="14.25" customHeight="1" x14ac:dyDescent="0.35">
      <c r="A7" s="21" t="s">
        <v>97</v>
      </c>
      <c r="B7" s="64"/>
      <c r="E7" s="44" t="s">
        <v>98</v>
      </c>
      <c r="H7" s="26"/>
    </row>
    <row r="8" spans="1:8" ht="14.25" customHeight="1" x14ac:dyDescent="0.35">
      <c r="A8" s="21" t="s">
        <v>99</v>
      </c>
      <c r="B8" s="64"/>
      <c r="E8" s="44" t="s">
        <v>100</v>
      </c>
      <c r="H8" s="26"/>
    </row>
    <row r="9" spans="1:8" ht="14.25" customHeight="1" x14ac:dyDescent="0.35">
      <c r="A9" s="21" t="s">
        <v>101</v>
      </c>
      <c r="B9" s="64"/>
      <c r="E9" s="44" t="s">
        <v>102</v>
      </c>
      <c r="H9" s="26"/>
    </row>
    <row r="10" spans="1:8" ht="14.25" customHeight="1" x14ac:dyDescent="0.35">
      <c r="A10" s="27"/>
      <c r="B10" s="28"/>
    </row>
    <row r="11" spans="1:8" ht="14.25" customHeight="1" x14ac:dyDescent="0.35">
      <c r="A11" s="27"/>
      <c r="B11" s="28"/>
    </row>
    <row r="12" spans="1:8" ht="14.25" customHeight="1" x14ac:dyDescent="0.35">
      <c r="A12" s="27"/>
      <c r="B12" s="28"/>
    </row>
    <row r="13" spans="1:8" ht="14.25" customHeight="1" x14ac:dyDescent="0.35">
      <c r="A13" s="27"/>
      <c r="B13" s="28"/>
    </row>
    <row r="14" spans="1:8" ht="14.25" customHeight="1" x14ac:dyDescent="0.35">
      <c r="A14" s="27"/>
      <c r="B14" s="28"/>
    </row>
    <row r="15" spans="1:8" ht="14.25" customHeight="1" x14ac:dyDescent="0.35">
      <c r="A15" s="27"/>
      <c r="B15" s="28"/>
    </row>
    <row r="16" spans="1:8" ht="14.25" customHeight="1" x14ac:dyDescent="0.35">
      <c r="A16" s="27"/>
      <c r="B16" s="28"/>
    </row>
    <row r="17" spans="1:2" ht="14.25" customHeight="1" x14ac:dyDescent="0.35">
      <c r="A17" s="27"/>
      <c r="B17" s="28"/>
    </row>
    <row r="18" spans="1:2" ht="14.25" customHeight="1" x14ac:dyDescent="0.35">
      <c r="A18" s="27"/>
      <c r="B18" s="28"/>
    </row>
    <row r="19" spans="1:2" ht="14.25" customHeight="1" x14ac:dyDescent="0.35">
      <c r="A19" s="27"/>
      <c r="B19" s="28"/>
    </row>
    <row r="20" spans="1:2" ht="14.25" customHeight="1" x14ac:dyDescent="0.35">
      <c r="A20" s="27"/>
      <c r="B20" s="28"/>
    </row>
    <row r="21" spans="1:2" ht="14.25" customHeight="1" x14ac:dyDescent="0.35">
      <c r="A21" s="27"/>
      <c r="B21" s="28"/>
    </row>
    <row r="22" spans="1:2" ht="14.25" customHeight="1" x14ac:dyDescent="0.35">
      <c r="A22" s="27"/>
      <c r="B22" s="28"/>
    </row>
    <row r="23" spans="1:2" ht="14.25" customHeight="1" x14ac:dyDescent="0.35">
      <c r="A23" s="27"/>
      <c r="B23" s="28"/>
    </row>
    <row r="24" spans="1:2" ht="14.25" customHeight="1" x14ac:dyDescent="0.35">
      <c r="A24" s="27"/>
      <c r="B24" s="28"/>
    </row>
    <row r="25" spans="1:2" ht="14.25" customHeight="1" x14ac:dyDescent="0.35">
      <c r="A25" s="27"/>
      <c r="B25" s="28"/>
    </row>
    <row r="26" spans="1:2" ht="14.25" customHeight="1" x14ac:dyDescent="0.35">
      <c r="A26" s="27"/>
      <c r="B26" s="28"/>
    </row>
    <row r="27" spans="1:2" ht="14.25" customHeight="1" x14ac:dyDescent="0.35">
      <c r="A27" s="27"/>
      <c r="B27" s="28"/>
    </row>
    <row r="28" spans="1:2" ht="14.25" customHeight="1" x14ac:dyDescent="0.35">
      <c r="A28" s="27"/>
      <c r="B28" s="28"/>
    </row>
    <row r="29" spans="1:2" ht="14.25" customHeight="1" x14ac:dyDescent="0.35">
      <c r="A29" s="27"/>
      <c r="B29" s="28"/>
    </row>
    <row r="30" spans="1:2" ht="14.25" customHeight="1" x14ac:dyDescent="0.35">
      <c r="A30" s="27"/>
      <c r="B30" s="28"/>
    </row>
    <row r="31" spans="1:2" ht="14.25" customHeight="1" x14ac:dyDescent="0.35">
      <c r="A31" s="27"/>
      <c r="B31" s="28"/>
    </row>
    <row r="32" spans="1:2" ht="14.25" customHeight="1" x14ac:dyDescent="0.35">
      <c r="A32" s="27"/>
      <c r="B32" s="28"/>
    </row>
    <row r="33" spans="1:2" ht="14.25" customHeight="1" x14ac:dyDescent="0.35">
      <c r="A33" s="27"/>
      <c r="B33" s="28"/>
    </row>
    <row r="34" spans="1:2" ht="14.25" customHeight="1" x14ac:dyDescent="0.35">
      <c r="A34" s="27"/>
      <c r="B34" s="28"/>
    </row>
    <row r="35" spans="1:2" ht="14.25" customHeight="1" x14ac:dyDescent="0.35">
      <c r="A35" s="27"/>
      <c r="B35" s="28"/>
    </row>
    <row r="36" spans="1:2" ht="14.25" customHeight="1" x14ac:dyDescent="0.35">
      <c r="A36" s="27"/>
      <c r="B36" s="28"/>
    </row>
    <row r="37" spans="1:2" ht="14.25" customHeight="1" x14ac:dyDescent="0.35">
      <c r="A37" s="27"/>
      <c r="B37" s="28"/>
    </row>
    <row r="38" spans="1:2" ht="14.25" customHeight="1" x14ac:dyDescent="0.35">
      <c r="A38" s="27"/>
      <c r="B38" s="28"/>
    </row>
    <row r="39" spans="1:2" ht="14.25" customHeight="1" x14ac:dyDescent="0.35">
      <c r="A39" s="27"/>
      <c r="B39" s="28"/>
    </row>
    <row r="40" spans="1:2" ht="14.25" customHeight="1" x14ac:dyDescent="0.35">
      <c r="A40" s="27"/>
      <c r="B40" s="28"/>
    </row>
    <row r="41" spans="1:2" ht="14.25" customHeight="1" x14ac:dyDescent="0.35">
      <c r="A41" s="27"/>
      <c r="B41" s="28"/>
    </row>
    <row r="42" spans="1:2" ht="14.25" customHeight="1" x14ac:dyDescent="0.35">
      <c r="A42" s="27"/>
      <c r="B42" s="28"/>
    </row>
    <row r="43" spans="1:2" ht="14.25" customHeight="1" x14ac:dyDescent="0.35">
      <c r="A43" s="27"/>
      <c r="B43" s="28"/>
    </row>
    <row r="44" spans="1:2" ht="14.25" customHeight="1" x14ac:dyDescent="0.35">
      <c r="A44" s="27"/>
      <c r="B44" s="28"/>
    </row>
    <row r="45" spans="1:2" ht="14.25" customHeight="1" x14ac:dyDescent="0.35">
      <c r="A45" s="27"/>
      <c r="B45" s="28"/>
    </row>
    <row r="46" spans="1:2" ht="14.25" customHeight="1" x14ac:dyDescent="0.35">
      <c r="A46" s="27"/>
      <c r="B46" s="28"/>
    </row>
    <row r="47" spans="1:2" ht="14.25" customHeight="1" x14ac:dyDescent="0.35">
      <c r="A47" s="27"/>
      <c r="B47" s="28"/>
    </row>
    <row r="48" spans="1:2" ht="14.25" customHeight="1" x14ac:dyDescent="0.35">
      <c r="A48" s="27"/>
      <c r="B48" s="28"/>
    </row>
    <row r="49" spans="1:2" ht="14.25" customHeight="1" x14ac:dyDescent="0.35">
      <c r="A49" s="27"/>
      <c r="B49" s="28"/>
    </row>
    <row r="50" spans="1:2" ht="14.25" customHeight="1" x14ac:dyDescent="0.35">
      <c r="A50" s="27"/>
      <c r="B50" s="28"/>
    </row>
    <row r="51" spans="1:2" ht="14.25" customHeight="1" x14ac:dyDescent="0.35">
      <c r="A51" s="27"/>
      <c r="B51" s="28"/>
    </row>
    <row r="52" spans="1:2" ht="14.25" customHeight="1" x14ac:dyDescent="0.35">
      <c r="A52" s="27"/>
      <c r="B52" s="28"/>
    </row>
    <row r="53" spans="1:2" ht="14.25" customHeight="1" x14ac:dyDescent="0.35">
      <c r="A53" s="27"/>
      <c r="B53" s="28"/>
    </row>
    <row r="54" spans="1:2" ht="14.25" customHeight="1" x14ac:dyDescent="0.35">
      <c r="A54" s="27"/>
      <c r="B54" s="28"/>
    </row>
    <row r="55" spans="1:2" ht="14.25" customHeight="1" x14ac:dyDescent="0.35">
      <c r="A55" s="27"/>
      <c r="B55" s="28"/>
    </row>
    <row r="56" spans="1:2" ht="14.25" customHeight="1" x14ac:dyDescent="0.35">
      <c r="A56" s="27"/>
      <c r="B56" s="28"/>
    </row>
    <row r="57" spans="1:2" ht="14.25" customHeight="1" x14ac:dyDescent="0.35">
      <c r="A57" s="27"/>
      <c r="B57" s="28"/>
    </row>
    <row r="58" spans="1:2" ht="14.25" customHeight="1" x14ac:dyDescent="0.35">
      <c r="A58" s="27"/>
      <c r="B58" s="28"/>
    </row>
    <row r="59" spans="1:2" ht="14.25" customHeight="1" x14ac:dyDescent="0.35">
      <c r="A59" s="27"/>
      <c r="B59" s="28"/>
    </row>
    <row r="60" spans="1:2" ht="14.25" customHeight="1" x14ac:dyDescent="0.35">
      <c r="A60" s="27"/>
      <c r="B60" s="28"/>
    </row>
    <row r="61" spans="1:2" ht="14.25" customHeight="1" x14ac:dyDescent="0.35">
      <c r="A61" s="27"/>
      <c r="B61" s="28"/>
    </row>
    <row r="62" spans="1:2" ht="14.25" customHeight="1" x14ac:dyDescent="0.35">
      <c r="A62" s="27"/>
      <c r="B62" s="28"/>
    </row>
    <row r="63" spans="1:2" ht="14.25" customHeight="1" x14ac:dyDescent="0.35">
      <c r="A63" s="27"/>
      <c r="B63" s="28"/>
    </row>
    <row r="64" spans="1:2" ht="14.25" customHeight="1" x14ac:dyDescent="0.35">
      <c r="A64" s="27"/>
      <c r="B64" s="28"/>
    </row>
    <row r="65" spans="1:2" ht="14.25" customHeight="1" x14ac:dyDescent="0.35">
      <c r="A65" s="27"/>
      <c r="B65" s="28"/>
    </row>
    <row r="66" spans="1:2" ht="14.25" customHeight="1" x14ac:dyDescent="0.35">
      <c r="A66" s="27"/>
      <c r="B66" s="28"/>
    </row>
    <row r="67" spans="1:2" ht="14.25" customHeight="1" x14ac:dyDescent="0.35">
      <c r="A67" s="27"/>
      <c r="B67" s="28"/>
    </row>
    <row r="68" spans="1:2" ht="14.25" customHeight="1" x14ac:dyDescent="0.35">
      <c r="A68" s="27"/>
      <c r="B68" s="28"/>
    </row>
    <row r="69" spans="1:2" ht="14.25" customHeight="1" x14ac:dyDescent="0.35">
      <c r="A69" s="27"/>
      <c r="B69" s="28"/>
    </row>
    <row r="70" spans="1:2" ht="14.25" customHeight="1" x14ac:dyDescent="0.35">
      <c r="A70" s="27"/>
      <c r="B70" s="28"/>
    </row>
    <row r="71" spans="1:2" ht="14.25" customHeight="1" x14ac:dyDescent="0.35">
      <c r="A71" s="27"/>
      <c r="B71" s="28"/>
    </row>
    <row r="72" spans="1:2" ht="14.25" customHeight="1" x14ac:dyDescent="0.35">
      <c r="A72" s="27"/>
      <c r="B72" s="28"/>
    </row>
    <row r="73" spans="1:2" ht="14.25" customHeight="1" x14ac:dyDescent="0.35">
      <c r="A73" s="27"/>
      <c r="B73" s="28"/>
    </row>
    <row r="74" spans="1:2" ht="14.25" customHeight="1" x14ac:dyDescent="0.35">
      <c r="A74" s="27"/>
      <c r="B74" s="28"/>
    </row>
    <row r="75" spans="1:2" ht="14.25" customHeight="1" x14ac:dyDescent="0.35">
      <c r="A75" s="27"/>
      <c r="B75" s="28"/>
    </row>
    <row r="76" spans="1:2" ht="14.25" customHeight="1" x14ac:dyDescent="0.35">
      <c r="A76" s="27"/>
      <c r="B76" s="28"/>
    </row>
    <row r="77" spans="1:2" ht="14.25" customHeight="1" x14ac:dyDescent="0.35">
      <c r="A77" s="27"/>
      <c r="B77" s="28"/>
    </row>
    <row r="78" spans="1:2" ht="14.25" customHeight="1" x14ac:dyDescent="0.35">
      <c r="A78" s="27"/>
      <c r="B78" s="28"/>
    </row>
    <row r="79" spans="1:2" ht="14.25" customHeight="1" x14ac:dyDescent="0.35">
      <c r="A79" s="27"/>
      <c r="B79" s="28"/>
    </row>
    <row r="80" spans="1:2" ht="14.25" customHeight="1" x14ac:dyDescent="0.35">
      <c r="A80" s="27"/>
      <c r="B80" s="28"/>
    </row>
    <row r="81" spans="1:2" ht="14.25" customHeight="1" x14ac:dyDescent="0.35">
      <c r="A81" s="27"/>
      <c r="B81" s="28"/>
    </row>
    <row r="82" spans="1:2" ht="14.25" customHeight="1" x14ac:dyDescent="0.35">
      <c r="A82" s="27"/>
      <c r="B82" s="28"/>
    </row>
    <row r="83" spans="1:2" ht="14.25" customHeight="1" x14ac:dyDescent="0.35">
      <c r="A83" s="27"/>
      <c r="B83" s="28"/>
    </row>
    <row r="84" spans="1:2" ht="14.25" customHeight="1" x14ac:dyDescent="0.35">
      <c r="A84" s="27"/>
      <c r="B84" s="28"/>
    </row>
    <row r="85" spans="1:2" ht="14.25" customHeight="1" x14ac:dyDescent="0.35">
      <c r="A85" s="27"/>
      <c r="B85" s="28"/>
    </row>
    <row r="86" spans="1:2" ht="14.25" customHeight="1" x14ac:dyDescent="0.35">
      <c r="A86" s="27"/>
      <c r="B86" s="28"/>
    </row>
    <row r="87" spans="1:2" ht="14.25" customHeight="1" x14ac:dyDescent="0.35">
      <c r="A87" s="27"/>
      <c r="B87" s="28"/>
    </row>
    <row r="88" spans="1:2" ht="14.25" customHeight="1" x14ac:dyDescent="0.35">
      <c r="A88" s="27"/>
      <c r="B88" s="28"/>
    </row>
    <row r="89" spans="1:2" ht="14.25" customHeight="1" x14ac:dyDescent="0.35">
      <c r="A89" s="27"/>
      <c r="B89" s="28"/>
    </row>
    <row r="90" spans="1:2" ht="14.25" customHeight="1" x14ac:dyDescent="0.35">
      <c r="A90" s="27"/>
      <c r="B90" s="28"/>
    </row>
    <row r="91" spans="1:2" ht="14.25" customHeight="1" x14ac:dyDescent="0.35">
      <c r="A91" s="27"/>
      <c r="B91" s="28"/>
    </row>
    <row r="92" spans="1:2" ht="14.25" customHeight="1" x14ac:dyDescent="0.35">
      <c r="A92" s="27"/>
      <c r="B92" s="28"/>
    </row>
    <row r="93" spans="1:2" ht="14.25" customHeight="1" x14ac:dyDescent="0.35">
      <c r="A93" s="27"/>
      <c r="B93" s="28"/>
    </row>
    <row r="94" spans="1:2" ht="14.25" customHeight="1" x14ac:dyDescent="0.35">
      <c r="A94" s="27"/>
      <c r="B94" s="28"/>
    </row>
    <row r="95" spans="1:2" ht="14.25" customHeight="1" x14ac:dyDescent="0.35">
      <c r="A95" s="27"/>
      <c r="B95" s="28"/>
    </row>
    <row r="96" spans="1:2" ht="14.25" customHeight="1" x14ac:dyDescent="0.35">
      <c r="A96" s="27"/>
      <c r="B96" s="28"/>
    </row>
    <row r="97" spans="1:2" ht="14.25" customHeight="1" x14ac:dyDescent="0.35">
      <c r="A97" s="27"/>
      <c r="B97" s="28"/>
    </row>
    <row r="98" spans="1:2" ht="14.25" customHeight="1" x14ac:dyDescent="0.35">
      <c r="A98" s="27"/>
      <c r="B98" s="28"/>
    </row>
    <row r="99" spans="1:2" ht="14.25" customHeight="1" x14ac:dyDescent="0.35">
      <c r="A99" s="27"/>
      <c r="B99" s="28"/>
    </row>
    <row r="100" spans="1:2" ht="14.25" customHeight="1" x14ac:dyDescent="0.35">
      <c r="A100" s="27"/>
      <c r="B100" s="28"/>
    </row>
    <row r="101" spans="1:2" ht="14.25" customHeight="1" x14ac:dyDescent="0.35">
      <c r="A101" s="27"/>
      <c r="B101" s="28"/>
    </row>
    <row r="102" spans="1:2" ht="14.25" customHeight="1" x14ac:dyDescent="0.35">
      <c r="A102" s="27"/>
      <c r="B102" s="28"/>
    </row>
    <row r="103" spans="1:2" ht="14.25" customHeight="1" x14ac:dyDescent="0.35">
      <c r="A103" s="27"/>
      <c r="B103" s="28"/>
    </row>
    <row r="104" spans="1:2" ht="14.25" customHeight="1" x14ac:dyDescent="0.35">
      <c r="A104" s="27"/>
      <c r="B104" s="28"/>
    </row>
    <row r="105" spans="1:2" ht="14.25" customHeight="1" x14ac:dyDescent="0.35">
      <c r="A105" s="27"/>
      <c r="B105" s="28"/>
    </row>
    <row r="106" spans="1:2" ht="14.25" customHeight="1" x14ac:dyDescent="0.35">
      <c r="A106" s="27"/>
      <c r="B106" s="28"/>
    </row>
    <row r="107" spans="1:2" ht="14.25" customHeight="1" x14ac:dyDescent="0.35">
      <c r="A107" s="27"/>
      <c r="B107" s="28"/>
    </row>
    <row r="108" spans="1:2" ht="14.25" customHeight="1" x14ac:dyDescent="0.35">
      <c r="A108" s="27"/>
      <c r="B108" s="28"/>
    </row>
    <row r="109" spans="1:2" ht="14.25" customHeight="1" x14ac:dyDescent="0.35">
      <c r="A109" s="27"/>
      <c r="B109" s="28"/>
    </row>
    <row r="110" spans="1:2" ht="14.25" customHeight="1" x14ac:dyDescent="0.35">
      <c r="A110" s="27"/>
      <c r="B110" s="28"/>
    </row>
    <row r="111" spans="1:2" ht="14.25" customHeight="1" x14ac:dyDescent="0.35">
      <c r="A111" s="27"/>
      <c r="B111" s="28"/>
    </row>
    <row r="112" spans="1:2" ht="14.25" customHeight="1" x14ac:dyDescent="0.35">
      <c r="A112" s="27"/>
      <c r="B112" s="28"/>
    </row>
    <row r="113" spans="1:2" ht="14.25" customHeight="1" x14ac:dyDescent="0.35">
      <c r="A113" s="27"/>
      <c r="B113" s="28"/>
    </row>
    <row r="114" spans="1:2" ht="14.25" customHeight="1" x14ac:dyDescent="0.35">
      <c r="A114" s="27"/>
      <c r="B114" s="28"/>
    </row>
    <row r="115" spans="1:2" ht="14.25" customHeight="1" x14ac:dyDescent="0.35">
      <c r="A115" s="27"/>
      <c r="B115" s="28"/>
    </row>
    <row r="116" spans="1:2" ht="14.25" customHeight="1" x14ac:dyDescent="0.35">
      <c r="A116" s="27"/>
      <c r="B116" s="28"/>
    </row>
    <row r="117" spans="1:2" ht="14.25" customHeight="1" x14ac:dyDescent="0.35">
      <c r="A117" s="27"/>
      <c r="B117" s="28"/>
    </row>
    <row r="118" spans="1:2" ht="14.25" customHeight="1" x14ac:dyDescent="0.35">
      <c r="A118" s="27"/>
      <c r="B118" s="28"/>
    </row>
    <row r="119" spans="1:2" ht="14.25" customHeight="1" x14ac:dyDescent="0.35">
      <c r="A119" s="27"/>
      <c r="B119" s="28"/>
    </row>
    <row r="120" spans="1:2" ht="14.25" customHeight="1" x14ac:dyDescent="0.35">
      <c r="A120" s="27"/>
      <c r="B120" s="28"/>
    </row>
    <row r="121" spans="1:2" ht="14.25" customHeight="1" x14ac:dyDescent="0.35">
      <c r="A121" s="27"/>
      <c r="B121" s="28"/>
    </row>
    <row r="122" spans="1:2" ht="14.25" customHeight="1" x14ac:dyDescent="0.35">
      <c r="A122" s="27"/>
      <c r="B122" s="28"/>
    </row>
    <row r="123" spans="1:2" ht="14.25" customHeight="1" x14ac:dyDescent="0.35">
      <c r="A123" s="27"/>
      <c r="B123" s="28"/>
    </row>
    <row r="124" spans="1:2" ht="14.25" customHeight="1" x14ac:dyDescent="0.35">
      <c r="A124" s="27"/>
      <c r="B124" s="28"/>
    </row>
    <row r="125" spans="1:2" ht="14.25" customHeight="1" x14ac:dyDescent="0.35">
      <c r="A125" s="27"/>
      <c r="B125" s="28"/>
    </row>
    <row r="126" spans="1:2" ht="14.25" customHeight="1" x14ac:dyDescent="0.35">
      <c r="A126" s="27"/>
      <c r="B126" s="28"/>
    </row>
    <row r="127" spans="1:2" ht="14.25" customHeight="1" x14ac:dyDescent="0.35">
      <c r="A127" s="27"/>
      <c r="B127" s="28"/>
    </row>
    <row r="128" spans="1:2" ht="14.25" customHeight="1" x14ac:dyDescent="0.35">
      <c r="A128" s="27"/>
      <c r="B128" s="28"/>
    </row>
    <row r="129" spans="1:2" ht="14.25" customHeight="1" x14ac:dyDescent="0.35">
      <c r="A129" s="27"/>
      <c r="B129" s="28"/>
    </row>
    <row r="130" spans="1:2" ht="14.25" customHeight="1" x14ac:dyDescent="0.35">
      <c r="A130" s="27"/>
      <c r="B130" s="28"/>
    </row>
    <row r="131" spans="1:2" ht="14.25" customHeight="1" x14ac:dyDescent="0.35">
      <c r="A131" s="27"/>
      <c r="B131" s="28"/>
    </row>
    <row r="132" spans="1:2" ht="14.25" customHeight="1" x14ac:dyDescent="0.35">
      <c r="A132" s="27"/>
      <c r="B132" s="28"/>
    </row>
    <row r="133" spans="1:2" ht="14.25" customHeight="1" x14ac:dyDescent="0.35">
      <c r="A133" s="27"/>
      <c r="B133" s="28"/>
    </row>
    <row r="134" spans="1:2" ht="14.25" customHeight="1" x14ac:dyDescent="0.35">
      <c r="A134" s="27"/>
      <c r="B134" s="28"/>
    </row>
    <row r="135" spans="1:2" ht="14.25" customHeight="1" x14ac:dyDescent="0.35">
      <c r="A135" s="27"/>
      <c r="B135" s="28"/>
    </row>
    <row r="136" spans="1:2" ht="14.25" customHeight="1" x14ac:dyDescent="0.35">
      <c r="A136" s="27"/>
      <c r="B136" s="28"/>
    </row>
    <row r="137" spans="1:2" ht="14.25" customHeight="1" x14ac:dyDescent="0.35">
      <c r="A137" s="27"/>
      <c r="B137" s="28"/>
    </row>
    <row r="138" spans="1:2" ht="14.25" customHeight="1" x14ac:dyDescent="0.35">
      <c r="A138" s="27"/>
      <c r="B138" s="28"/>
    </row>
    <row r="139" spans="1:2" ht="14.25" customHeight="1" x14ac:dyDescent="0.35">
      <c r="A139" s="27"/>
      <c r="B139" s="28"/>
    </row>
    <row r="140" spans="1:2" ht="14.25" customHeight="1" x14ac:dyDescent="0.35">
      <c r="A140" s="27"/>
      <c r="B140" s="28"/>
    </row>
    <row r="141" spans="1:2" ht="14.25" customHeight="1" x14ac:dyDescent="0.35">
      <c r="A141" s="27"/>
      <c r="B141" s="28"/>
    </row>
    <row r="142" spans="1:2" ht="14.25" customHeight="1" x14ac:dyDescent="0.35">
      <c r="A142" s="27"/>
      <c r="B142" s="28"/>
    </row>
    <row r="143" spans="1:2" ht="14.25" customHeight="1" x14ac:dyDescent="0.35">
      <c r="A143" s="27"/>
      <c r="B143" s="28"/>
    </row>
    <row r="144" spans="1:2" ht="14.25" customHeight="1" x14ac:dyDescent="0.35">
      <c r="A144" s="27"/>
      <c r="B144" s="28"/>
    </row>
    <row r="145" spans="1:2" ht="14.25" customHeight="1" x14ac:dyDescent="0.35">
      <c r="A145" s="27"/>
      <c r="B145" s="28"/>
    </row>
    <row r="146" spans="1:2" ht="14.25" customHeight="1" x14ac:dyDescent="0.35">
      <c r="A146" s="27"/>
      <c r="B146" s="28"/>
    </row>
    <row r="147" spans="1:2" ht="14.25" customHeight="1" x14ac:dyDescent="0.35">
      <c r="A147" s="27"/>
      <c r="B147" s="28"/>
    </row>
    <row r="148" spans="1:2" ht="14.25" customHeight="1" x14ac:dyDescent="0.35">
      <c r="A148" s="27"/>
      <c r="B148" s="28"/>
    </row>
    <row r="149" spans="1:2" ht="14.25" customHeight="1" x14ac:dyDescent="0.35">
      <c r="A149" s="27"/>
      <c r="B149" s="28"/>
    </row>
    <row r="150" spans="1:2" ht="14.25" customHeight="1" x14ac:dyDescent="0.35">
      <c r="A150" s="27"/>
      <c r="B150" s="28"/>
    </row>
    <row r="151" spans="1:2" ht="14.25" customHeight="1" x14ac:dyDescent="0.35">
      <c r="A151" s="27"/>
      <c r="B151" s="28"/>
    </row>
    <row r="152" spans="1:2" ht="14.25" customHeight="1" x14ac:dyDescent="0.35">
      <c r="A152" s="27"/>
      <c r="B152" s="28"/>
    </row>
    <row r="153" spans="1:2" ht="14.25" customHeight="1" x14ac:dyDescent="0.35">
      <c r="A153" s="27"/>
      <c r="B153" s="28"/>
    </row>
    <row r="154" spans="1:2" ht="14.25" customHeight="1" x14ac:dyDescent="0.35">
      <c r="A154" s="27"/>
      <c r="B154" s="28"/>
    </row>
    <row r="155" spans="1:2" ht="14.25" customHeight="1" x14ac:dyDescent="0.35">
      <c r="A155" s="27"/>
      <c r="B155" s="28"/>
    </row>
    <row r="156" spans="1:2" ht="14.25" customHeight="1" x14ac:dyDescent="0.35">
      <c r="A156" s="27"/>
      <c r="B156" s="28"/>
    </row>
    <row r="157" spans="1:2" ht="14.25" customHeight="1" x14ac:dyDescent="0.35">
      <c r="A157" s="27"/>
      <c r="B157" s="28"/>
    </row>
    <row r="158" spans="1:2" ht="14.25" customHeight="1" x14ac:dyDescent="0.35">
      <c r="A158" s="27"/>
      <c r="B158" s="28"/>
    </row>
    <row r="159" spans="1:2" ht="14.25" customHeight="1" x14ac:dyDescent="0.35">
      <c r="A159" s="27"/>
      <c r="B159" s="28"/>
    </row>
    <row r="160" spans="1:2" ht="14.25" customHeight="1" x14ac:dyDescent="0.35">
      <c r="A160" s="27"/>
      <c r="B160" s="28"/>
    </row>
    <row r="161" spans="1:2" ht="14.25" customHeight="1" x14ac:dyDescent="0.35">
      <c r="A161" s="27"/>
      <c r="B161" s="28"/>
    </row>
    <row r="162" spans="1:2" ht="14.25" customHeight="1" x14ac:dyDescent="0.35">
      <c r="A162" s="27"/>
      <c r="B162" s="28"/>
    </row>
    <row r="163" spans="1:2" ht="14.25" customHeight="1" x14ac:dyDescent="0.35">
      <c r="A163" s="27"/>
      <c r="B163" s="28"/>
    </row>
    <row r="164" spans="1:2" ht="14.25" customHeight="1" x14ac:dyDescent="0.35">
      <c r="A164" s="27"/>
      <c r="B164" s="28"/>
    </row>
    <row r="165" spans="1:2" ht="14.25" customHeight="1" x14ac:dyDescent="0.35">
      <c r="A165" s="27"/>
      <c r="B165" s="28"/>
    </row>
    <row r="166" spans="1:2" ht="14.25" customHeight="1" x14ac:dyDescent="0.35">
      <c r="A166" s="27"/>
      <c r="B166" s="28"/>
    </row>
    <row r="167" spans="1:2" ht="14.25" customHeight="1" x14ac:dyDescent="0.35">
      <c r="A167" s="27"/>
      <c r="B167" s="28"/>
    </row>
    <row r="168" spans="1:2" ht="14.25" customHeight="1" x14ac:dyDescent="0.35">
      <c r="A168" s="27"/>
      <c r="B168" s="28"/>
    </row>
    <row r="169" spans="1:2" ht="14.25" customHeight="1" x14ac:dyDescent="0.35">
      <c r="A169" s="27"/>
      <c r="B169" s="28"/>
    </row>
    <row r="170" spans="1:2" ht="14.25" customHeight="1" x14ac:dyDescent="0.35">
      <c r="A170" s="27"/>
      <c r="B170" s="28"/>
    </row>
    <row r="171" spans="1:2" ht="14.25" customHeight="1" x14ac:dyDescent="0.35">
      <c r="A171" s="27"/>
      <c r="B171" s="28"/>
    </row>
    <row r="172" spans="1:2" ht="14.25" customHeight="1" x14ac:dyDescent="0.35">
      <c r="A172" s="27"/>
      <c r="B172" s="28"/>
    </row>
    <row r="173" spans="1:2" ht="14.25" customHeight="1" x14ac:dyDescent="0.35">
      <c r="A173" s="27"/>
      <c r="B173" s="28"/>
    </row>
    <row r="174" spans="1:2" ht="14.25" customHeight="1" x14ac:dyDescent="0.35">
      <c r="A174" s="27"/>
      <c r="B174" s="28"/>
    </row>
    <row r="175" spans="1:2" ht="14.25" customHeight="1" x14ac:dyDescent="0.35">
      <c r="A175" s="27"/>
      <c r="B175" s="28"/>
    </row>
    <row r="176" spans="1:2" ht="14.25" customHeight="1" x14ac:dyDescent="0.35">
      <c r="A176" s="27"/>
      <c r="B176" s="28"/>
    </row>
    <row r="177" spans="1:2" ht="14.25" customHeight="1" x14ac:dyDescent="0.35">
      <c r="A177" s="27"/>
      <c r="B177" s="28"/>
    </row>
    <row r="178" spans="1:2" ht="14.25" customHeight="1" x14ac:dyDescent="0.35">
      <c r="A178" s="27"/>
      <c r="B178" s="28"/>
    </row>
    <row r="179" spans="1:2" ht="14.25" customHeight="1" x14ac:dyDescent="0.35">
      <c r="A179" s="27"/>
      <c r="B179" s="28"/>
    </row>
    <row r="180" spans="1:2" ht="14.25" customHeight="1" x14ac:dyDescent="0.35">
      <c r="A180" s="27"/>
      <c r="B180" s="28"/>
    </row>
    <row r="181" spans="1:2" ht="14.25" customHeight="1" x14ac:dyDescent="0.35">
      <c r="A181" s="27"/>
      <c r="B181" s="28"/>
    </row>
    <row r="182" spans="1:2" ht="14.25" customHeight="1" x14ac:dyDescent="0.35">
      <c r="A182" s="27"/>
      <c r="B182" s="28"/>
    </row>
    <row r="183" spans="1:2" ht="14.25" customHeight="1" x14ac:dyDescent="0.35">
      <c r="A183" s="27"/>
      <c r="B183" s="28"/>
    </row>
    <row r="184" spans="1:2" ht="14.25" customHeight="1" x14ac:dyDescent="0.35">
      <c r="A184" s="27"/>
      <c r="B184" s="28"/>
    </row>
    <row r="185" spans="1:2" ht="14.25" customHeight="1" x14ac:dyDescent="0.35">
      <c r="A185" s="27"/>
      <c r="B185" s="28"/>
    </row>
    <row r="186" spans="1:2" ht="14.25" customHeight="1" x14ac:dyDescent="0.35">
      <c r="A186" s="27"/>
      <c r="B186" s="28"/>
    </row>
    <row r="187" spans="1:2" ht="14.25" customHeight="1" x14ac:dyDescent="0.35">
      <c r="A187" s="27"/>
      <c r="B187" s="28"/>
    </row>
    <row r="188" spans="1:2" ht="14.25" customHeight="1" x14ac:dyDescent="0.35">
      <c r="A188" s="27"/>
      <c r="B188" s="28"/>
    </row>
    <row r="189" spans="1:2" ht="14.25" customHeight="1" x14ac:dyDescent="0.35">
      <c r="A189" s="27"/>
      <c r="B189" s="28"/>
    </row>
    <row r="190" spans="1:2" ht="14.25" customHeight="1" x14ac:dyDescent="0.35">
      <c r="A190" s="27"/>
      <c r="B190" s="28"/>
    </row>
    <row r="191" spans="1:2" ht="14.25" customHeight="1" x14ac:dyDescent="0.35">
      <c r="A191" s="27"/>
      <c r="B191" s="28"/>
    </row>
    <row r="192" spans="1:2" ht="14.25" customHeight="1" x14ac:dyDescent="0.35">
      <c r="A192" s="27"/>
      <c r="B192" s="28"/>
    </row>
    <row r="193" spans="1:2" ht="14.25" customHeight="1" x14ac:dyDescent="0.35">
      <c r="A193" s="27"/>
      <c r="B193" s="28"/>
    </row>
    <row r="194" spans="1:2" ht="14.25" customHeight="1" x14ac:dyDescent="0.35">
      <c r="A194" s="27"/>
      <c r="B194" s="28"/>
    </row>
    <row r="195" spans="1:2" ht="14.25" customHeight="1" x14ac:dyDescent="0.35">
      <c r="A195" s="27"/>
      <c r="B195" s="28"/>
    </row>
    <row r="196" spans="1:2" ht="14.25" customHeight="1" x14ac:dyDescent="0.35">
      <c r="A196" s="27"/>
      <c r="B196" s="28"/>
    </row>
    <row r="197" spans="1:2" ht="14.25" customHeight="1" x14ac:dyDescent="0.35">
      <c r="A197" s="27"/>
      <c r="B197" s="28"/>
    </row>
    <row r="198" spans="1:2" ht="14.25" customHeight="1" x14ac:dyDescent="0.35">
      <c r="A198" s="27"/>
      <c r="B198" s="28"/>
    </row>
    <row r="199" spans="1:2" ht="14.25" customHeight="1" x14ac:dyDescent="0.35">
      <c r="A199" s="27"/>
      <c r="B199" s="28"/>
    </row>
    <row r="200" spans="1:2" ht="14.25" customHeight="1" x14ac:dyDescent="0.35">
      <c r="A200" s="27"/>
      <c r="B200" s="28"/>
    </row>
    <row r="201" spans="1:2" ht="14.25" customHeight="1" x14ac:dyDescent="0.35">
      <c r="A201" s="27"/>
      <c r="B201" s="28"/>
    </row>
    <row r="202" spans="1:2" ht="14.25" customHeight="1" x14ac:dyDescent="0.35">
      <c r="A202" s="27"/>
      <c r="B202" s="28"/>
    </row>
    <row r="203" spans="1:2" ht="14.25" customHeight="1" x14ac:dyDescent="0.35">
      <c r="A203" s="27"/>
      <c r="B203" s="28"/>
    </row>
    <row r="204" spans="1:2" ht="14.25" customHeight="1" x14ac:dyDescent="0.35">
      <c r="A204" s="27"/>
      <c r="B204" s="28"/>
    </row>
    <row r="205" spans="1:2" ht="14.25" customHeight="1" x14ac:dyDescent="0.35">
      <c r="A205" s="27"/>
      <c r="B205" s="28"/>
    </row>
    <row r="206" spans="1:2" ht="14.25" customHeight="1" x14ac:dyDescent="0.35">
      <c r="A206" s="27"/>
      <c r="B206" s="28"/>
    </row>
    <row r="207" spans="1:2" ht="14.25" customHeight="1" x14ac:dyDescent="0.35">
      <c r="A207" s="27"/>
      <c r="B207" s="28"/>
    </row>
    <row r="208" spans="1:2" ht="14.25" customHeight="1" x14ac:dyDescent="0.35">
      <c r="A208" s="27"/>
      <c r="B208" s="28"/>
    </row>
    <row r="209" spans="1:2" ht="14.25" customHeight="1" x14ac:dyDescent="0.35">
      <c r="A209" s="27"/>
      <c r="B209" s="28"/>
    </row>
    <row r="210" spans="1:2" ht="14.25" customHeight="1" x14ac:dyDescent="0.35">
      <c r="A210" s="27"/>
      <c r="B210" s="28"/>
    </row>
    <row r="211" spans="1:2" ht="14.25" customHeight="1" x14ac:dyDescent="0.35">
      <c r="A211" s="27"/>
      <c r="B211" s="28"/>
    </row>
    <row r="212" spans="1:2" ht="14.25" customHeight="1" x14ac:dyDescent="0.35">
      <c r="A212" s="27"/>
      <c r="B212" s="28"/>
    </row>
    <row r="213" spans="1:2" ht="14.25" customHeight="1" x14ac:dyDescent="0.35">
      <c r="A213" s="27"/>
      <c r="B213" s="28"/>
    </row>
    <row r="214" spans="1:2" ht="14.25" customHeight="1" x14ac:dyDescent="0.35">
      <c r="A214" s="27"/>
      <c r="B214" s="28"/>
    </row>
    <row r="215" spans="1:2" ht="14.25" customHeight="1" x14ac:dyDescent="0.35">
      <c r="A215" s="27"/>
      <c r="B215" s="28"/>
    </row>
    <row r="216" spans="1:2" ht="14.25" customHeight="1" x14ac:dyDescent="0.35">
      <c r="A216" s="27"/>
      <c r="B216" s="28"/>
    </row>
    <row r="217" spans="1:2" ht="14.25" customHeight="1" x14ac:dyDescent="0.35">
      <c r="A217" s="27"/>
      <c r="B217" s="28"/>
    </row>
    <row r="218" spans="1:2" ht="14.25" customHeight="1" x14ac:dyDescent="0.35">
      <c r="A218" s="27"/>
      <c r="B218" s="28"/>
    </row>
    <row r="219" spans="1:2" ht="14.25" customHeight="1" x14ac:dyDescent="0.35">
      <c r="A219" s="27"/>
      <c r="B219" s="28"/>
    </row>
    <row r="220" spans="1:2" ht="14.25" customHeight="1" x14ac:dyDescent="0.35">
      <c r="A220" s="27"/>
      <c r="B220" s="28"/>
    </row>
    <row r="221" spans="1:2" ht="14.25" customHeight="1" x14ac:dyDescent="0.35">
      <c r="A221" s="27"/>
      <c r="B221" s="28"/>
    </row>
    <row r="222" spans="1:2" ht="14.25" customHeight="1" x14ac:dyDescent="0.35">
      <c r="A222" s="27"/>
      <c r="B222" s="28"/>
    </row>
    <row r="223" spans="1:2" ht="14.25" customHeight="1" x14ac:dyDescent="0.35">
      <c r="A223" s="27"/>
      <c r="B223" s="28"/>
    </row>
    <row r="224" spans="1:2" ht="14.25" customHeight="1" x14ac:dyDescent="0.35">
      <c r="A224" s="27"/>
      <c r="B224" s="28"/>
    </row>
    <row r="225" spans="1:2" ht="14.25" customHeight="1" x14ac:dyDescent="0.35">
      <c r="A225" s="27"/>
      <c r="B225" s="28"/>
    </row>
    <row r="226" spans="1:2" ht="14.25" customHeight="1" x14ac:dyDescent="0.35">
      <c r="A226" s="27"/>
      <c r="B226" s="28"/>
    </row>
    <row r="227" spans="1:2" ht="14.25" customHeight="1" x14ac:dyDescent="0.35">
      <c r="A227" s="27"/>
      <c r="B227" s="28"/>
    </row>
    <row r="228" spans="1:2" ht="14.25" customHeight="1" x14ac:dyDescent="0.35">
      <c r="A228" s="27"/>
      <c r="B228" s="28"/>
    </row>
    <row r="229" spans="1:2" ht="14.25" customHeight="1" x14ac:dyDescent="0.35">
      <c r="A229" s="27"/>
      <c r="B229" s="28"/>
    </row>
    <row r="230" spans="1:2" ht="14.25" customHeight="1" x14ac:dyDescent="0.35">
      <c r="A230" s="27"/>
      <c r="B230" s="28"/>
    </row>
    <row r="231" spans="1:2" ht="14.25" customHeight="1" x14ac:dyDescent="0.35">
      <c r="A231" s="27"/>
      <c r="B231" s="28"/>
    </row>
    <row r="232" spans="1:2" ht="14.25" customHeight="1" x14ac:dyDescent="0.35">
      <c r="A232" s="27"/>
      <c r="B232" s="28"/>
    </row>
    <row r="233" spans="1:2" ht="14.25" customHeight="1" x14ac:dyDescent="0.35">
      <c r="A233" s="27"/>
      <c r="B233" s="28"/>
    </row>
    <row r="234" spans="1:2" ht="14.25" customHeight="1" x14ac:dyDescent="0.35">
      <c r="A234" s="27"/>
      <c r="B234" s="28"/>
    </row>
    <row r="235" spans="1:2" ht="14.25" customHeight="1" x14ac:dyDescent="0.35">
      <c r="A235" s="27"/>
      <c r="B235" s="28"/>
    </row>
    <row r="236" spans="1:2" ht="14.25" customHeight="1" x14ac:dyDescent="0.35">
      <c r="A236" s="27"/>
      <c r="B236" s="28"/>
    </row>
    <row r="237" spans="1:2" ht="14.25" customHeight="1" x14ac:dyDescent="0.35">
      <c r="A237" s="27"/>
      <c r="B237" s="28"/>
    </row>
    <row r="238" spans="1:2" ht="14.25" customHeight="1" x14ac:dyDescent="0.35">
      <c r="A238" s="27"/>
      <c r="B238" s="28"/>
    </row>
    <row r="239" spans="1:2" ht="14.25" customHeight="1" x14ac:dyDescent="0.35">
      <c r="A239" s="27"/>
      <c r="B239" s="28"/>
    </row>
    <row r="240" spans="1:2" ht="14.25" customHeight="1" x14ac:dyDescent="0.35">
      <c r="A240" s="27"/>
      <c r="B240" s="28"/>
    </row>
    <row r="241" spans="1:2" ht="14.25" customHeight="1" x14ac:dyDescent="0.35">
      <c r="A241" s="27"/>
      <c r="B241" s="28"/>
    </row>
    <row r="242" spans="1:2" ht="14.25" customHeight="1" x14ac:dyDescent="0.35">
      <c r="A242" s="27"/>
      <c r="B242" s="28"/>
    </row>
    <row r="243" spans="1:2" ht="14.25" customHeight="1" x14ac:dyDescent="0.35">
      <c r="A243" s="27"/>
      <c r="B243" s="28"/>
    </row>
    <row r="244" spans="1:2" ht="14.25" customHeight="1" x14ac:dyDescent="0.35">
      <c r="A244" s="27"/>
      <c r="B244" s="28"/>
    </row>
    <row r="245" spans="1:2" ht="14.25" customHeight="1" x14ac:dyDescent="0.35">
      <c r="A245" s="27"/>
      <c r="B245" s="28"/>
    </row>
    <row r="246" spans="1:2" ht="14.25" customHeight="1" x14ac:dyDescent="0.35">
      <c r="A246" s="27"/>
      <c r="B246" s="28"/>
    </row>
    <row r="247" spans="1:2" ht="14.25" customHeight="1" x14ac:dyDescent="0.35">
      <c r="A247" s="27"/>
      <c r="B247" s="28"/>
    </row>
    <row r="248" spans="1:2" ht="14.25" customHeight="1" x14ac:dyDescent="0.35">
      <c r="A248" s="27"/>
      <c r="B248" s="28"/>
    </row>
    <row r="249" spans="1:2" ht="14.25" customHeight="1" x14ac:dyDescent="0.35">
      <c r="A249" s="27"/>
      <c r="B249" s="28"/>
    </row>
    <row r="250" spans="1:2" ht="14.25" customHeight="1" x14ac:dyDescent="0.35">
      <c r="A250" s="27"/>
      <c r="B250" s="28"/>
    </row>
    <row r="251" spans="1:2" ht="14.25" customHeight="1" x14ac:dyDescent="0.35">
      <c r="A251" s="27"/>
      <c r="B251" s="28"/>
    </row>
    <row r="252" spans="1:2" ht="14.25" customHeight="1" x14ac:dyDescent="0.35">
      <c r="A252" s="27"/>
      <c r="B252" s="28"/>
    </row>
    <row r="253" spans="1:2" ht="14.25" customHeight="1" x14ac:dyDescent="0.35">
      <c r="A253" s="27"/>
      <c r="B253" s="28"/>
    </row>
    <row r="254" spans="1:2" ht="14.25" customHeight="1" x14ac:dyDescent="0.35">
      <c r="A254" s="27"/>
      <c r="B254" s="28"/>
    </row>
    <row r="255" spans="1:2" ht="14.25" customHeight="1" x14ac:dyDescent="0.35">
      <c r="A255" s="27"/>
      <c r="B255" s="28"/>
    </row>
    <row r="256" spans="1:2" ht="14.25" customHeight="1" x14ac:dyDescent="0.35">
      <c r="A256" s="27"/>
      <c r="B256" s="28"/>
    </row>
    <row r="257" spans="1:2" ht="14.25" customHeight="1" x14ac:dyDescent="0.35">
      <c r="A257" s="27"/>
      <c r="B257" s="28"/>
    </row>
    <row r="258" spans="1:2" ht="14.25" customHeight="1" x14ac:dyDescent="0.35">
      <c r="A258" s="27"/>
      <c r="B258" s="28"/>
    </row>
    <row r="259" spans="1:2" ht="14.25" customHeight="1" x14ac:dyDescent="0.35">
      <c r="A259" s="27"/>
      <c r="B259" s="28"/>
    </row>
    <row r="260" spans="1:2" ht="14.25" customHeight="1" x14ac:dyDescent="0.35">
      <c r="A260" s="27"/>
      <c r="B260" s="28"/>
    </row>
    <row r="261" spans="1:2" ht="14.25" customHeight="1" x14ac:dyDescent="0.35">
      <c r="A261" s="27"/>
      <c r="B261" s="28"/>
    </row>
    <row r="262" spans="1:2" ht="14.25" customHeight="1" x14ac:dyDescent="0.35">
      <c r="A262" s="27"/>
      <c r="B262" s="28"/>
    </row>
    <row r="263" spans="1:2" ht="14.25" customHeight="1" x14ac:dyDescent="0.35">
      <c r="A263" s="27"/>
      <c r="B263" s="28"/>
    </row>
    <row r="264" spans="1:2" ht="14.25" customHeight="1" x14ac:dyDescent="0.35">
      <c r="A264" s="27"/>
      <c r="B264" s="28"/>
    </row>
    <row r="265" spans="1:2" ht="14.25" customHeight="1" x14ac:dyDescent="0.35">
      <c r="A265" s="27"/>
      <c r="B265" s="28"/>
    </row>
    <row r="266" spans="1:2" ht="14.25" customHeight="1" x14ac:dyDescent="0.35">
      <c r="A266" s="27"/>
      <c r="B266" s="28"/>
    </row>
    <row r="267" spans="1:2" ht="14.25" customHeight="1" x14ac:dyDescent="0.35">
      <c r="A267" s="27"/>
      <c r="B267" s="28"/>
    </row>
    <row r="268" spans="1:2" ht="14.25" customHeight="1" x14ac:dyDescent="0.35">
      <c r="A268" s="27"/>
      <c r="B268" s="28"/>
    </row>
    <row r="269" spans="1:2" ht="14.25" customHeight="1" x14ac:dyDescent="0.35">
      <c r="A269" s="27"/>
      <c r="B269" s="28"/>
    </row>
    <row r="270" spans="1:2" ht="14.25" customHeight="1" x14ac:dyDescent="0.35">
      <c r="A270" s="27"/>
      <c r="B270" s="28"/>
    </row>
    <row r="271" spans="1:2" ht="14.25" customHeight="1" x14ac:dyDescent="0.35">
      <c r="A271" s="27"/>
      <c r="B271" s="28"/>
    </row>
    <row r="272" spans="1:2" ht="14.25" customHeight="1" x14ac:dyDescent="0.35">
      <c r="A272" s="27"/>
      <c r="B272" s="28"/>
    </row>
    <row r="273" spans="1:2" ht="14.25" customHeight="1" x14ac:dyDescent="0.35">
      <c r="A273" s="27"/>
      <c r="B273" s="28"/>
    </row>
    <row r="274" spans="1:2" ht="14.25" customHeight="1" x14ac:dyDescent="0.35">
      <c r="A274" s="27"/>
      <c r="B274" s="28"/>
    </row>
    <row r="275" spans="1:2" ht="14.25" customHeight="1" x14ac:dyDescent="0.35">
      <c r="A275" s="27"/>
      <c r="B275" s="28"/>
    </row>
    <row r="276" spans="1:2" ht="14.25" customHeight="1" x14ac:dyDescent="0.35">
      <c r="A276" s="27"/>
      <c r="B276" s="28"/>
    </row>
    <row r="277" spans="1:2" ht="14.25" customHeight="1" x14ac:dyDescent="0.35">
      <c r="A277" s="27"/>
      <c r="B277" s="28"/>
    </row>
    <row r="278" spans="1:2" ht="14.25" customHeight="1" x14ac:dyDescent="0.35">
      <c r="A278" s="27"/>
      <c r="B278" s="28"/>
    </row>
    <row r="279" spans="1:2" ht="14.25" customHeight="1" x14ac:dyDescent="0.35">
      <c r="A279" s="27"/>
      <c r="B279" s="28"/>
    </row>
    <row r="280" spans="1:2" ht="14.25" customHeight="1" x14ac:dyDescent="0.35">
      <c r="A280" s="27"/>
      <c r="B280" s="28"/>
    </row>
    <row r="281" spans="1:2" ht="14.25" customHeight="1" x14ac:dyDescent="0.35">
      <c r="A281" s="27"/>
      <c r="B281" s="28"/>
    </row>
    <row r="282" spans="1:2" ht="14.25" customHeight="1" x14ac:dyDescent="0.35">
      <c r="A282" s="27"/>
      <c r="B282" s="28"/>
    </row>
    <row r="283" spans="1:2" ht="14.25" customHeight="1" x14ac:dyDescent="0.35">
      <c r="A283" s="27"/>
      <c r="B283" s="28"/>
    </row>
    <row r="284" spans="1:2" ht="14.25" customHeight="1" x14ac:dyDescent="0.35">
      <c r="A284" s="27"/>
      <c r="B284" s="28"/>
    </row>
    <row r="285" spans="1:2" ht="14.25" customHeight="1" x14ac:dyDescent="0.35">
      <c r="A285" s="27"/>
      <c r="B285" s="28"/>
    </row>
    <row r="286" spans="1:2" ht="14.25" customHeight="1" x14ac:dyDescent="0.35">
      <c r="A286" s="27"/>
      <c r="B286" s="28"/>
    </row>
    <row r="287" spans="1:2" ht="14.25" customHeight="1" x14ac:dyDescent="0.35">
      <c r="A287" s="27"/>
      <c r="B287" s="28"/>
    </row>
    <row r="288" spans="1:2" ht="14.25" customHeight="1" x14ac:dyDescent="0.35">
      <c r="A288" s="27"/>
      <c r="B288" s="28"/>
    </row>
    <row r="289" spans="1:2" ht="14.25" customHeight="1" x14ac:dyDescent="0.35">
      <c r="A289" s="27"/>
      <c r="B289" s="28"/>
    </row>
    <row r="290" spans="1:2" ht="14.25" customHeight="1" x14ac:dyDescent="0.35">
      <c r="A290" s="27"/>
      <c r="B290" s="28"/>
    </row>
    <row r="291" spans="1:2" ht="14.25" customHeight="1" x14ac:dyDescent="0.35">
      <c r="A291" s="27"/>
      <c r="B291" s="28"/>
    </row>
    <row r="292" spans="1:2" ht="14.25" customHeight="1" x14ac:dyDescent="0.35">
      <c r="A292" s="27"/>
      <c r="B292" s="28"/>
    </row>
    <row r="293" spans="1:2" ht="14.25" customHeight="1" x14ac:dyDescent="0.35">
      <c r="A293" s="27"/>
      <c r="B293" s="28"/>
    </row>
    <row r="294" spans="1:2" ht="14.25" customHeight="1" x14ac:dyDescent="0.35">
      <c r="A294" s="27"/>
      <c r="B294" s="28"/>
    </row>
    <row r="295" spans="1:2" ht="14.25" customHeight="1" x14ac:dyDescent="0.35">
      <c r="A295" s="27"/>
      <c r="B295" s="28"/>
    </row>
    <row r="296" spans="1:2" ht="14.25" customHeight="1" x14ac:dyDescent="0.35">
      <c r="A296" s="27"/>
      <c r="B296" s="28"/>
    </row>
    <row r="297" spans="1:2" ht="14.25" customHeight="1" x14ac:dyDescent="0.35">
      <c r="A297" s="27"/>
      <c r="B297" s="28"/>
    </row>
    <row r="298" spans="1:2" ht="14.25" customHeight="1" x14ac:dyDescent="0.35">
      <c r="A298" s="27"/>
      <c r="B298" s="28"/>
    </row>
    <row r="299" spans="1:2" ht="14.25" customHeight="1" x14ac:dyDescent="0.35">
      <c r="A299" s="27"/>
      <c r="B299" s="28"/>
    </row>
    <row r="300" spans="1:2" ht="14.25" customHeight="1" x14ac:dyDescent="0.35">
      <c r="A300" s="27"/>
      <c r="B300" s="28"/>
    </row>
    <row r="301" spans="1:2" ht="14.25" customHeight="1" x14ac:dyDescent="0.35">
      <c r="A301" s="27"/>
      <c r="B301" s="28"/>
    </row>
    <row r="302" spans="1:2" ht="14.25" customHeight="1" x14ac:dyDescent="0.35">
      <c r="A302" s="27"/>
      <c r="B302" s="28"/>
    </row>
    <row r="303" spans="1:2" ht="14.25" customHeight="1" x14ac:dyDescent="0.35">
      <c r="A303" s="27"/>
      <c r="B303" s="28"/>
    </row>
    <row r="304" spans="1:2" ht="14.25" customHeight="1" x14ac:dyDescent="0.35">
      <c r="A304" s="27"/>
      <c r="B304" s="28"/>
    </row>
    <row r="305" spans="1:2" ht="14.25" customHeight="1" x14ac:dyDescent="0.35">
      <c r="A305" s="27"/>
      <c r="B305" s="28"/>
    </row>
    <row r="306" spans="1:2" ht="14.25" customHeight="1" x14ac:dyDescent="0.35">
      <c r="A306" s="27"/>
      <c r="B306" s="28"/>
    </row>
    <row r="307" spans="1:2" ht="14.25" customHeight="1" x14ac:dyDescent="0.35">
      <c r="A307" s="27"/>
      <c r="B307" s="28"/>
    </row>
    <row r="308" spans="1:2" ht="14.25" customHeight="1" x14ac:dyDescent="0.35">
      <c r="A308" s="27"/>
      <c r="B308" s="28"/>
    </row>
    <row r="309" spans="1:2" ht="14.25" customHeight="1" x14ac:dyDescent="0.35">
      <c r="A309" s="27"/>
      <c r="B309" s="28"/>
    </row>
    <row r="310" spans="1:2" ht="14.25" customHeight="1" x14ac:dyDescent="0.35">
      <c r="A310" s="27"/>
      <c r="B310" s="28"/>
    </row>
    <row r="311" spans="1:2" ht="14.25" customHeight="1" x14ac:dyDescent="0.35">
      <c r="A311" s="27"/>
      <c r="B311" s="28"/>
    </row>
    <row r="312" spans="1:2" ht="14.25" customHeight="1" x14ac:dyDescent="0.35">
      <c r="A312" s="27"/>
      <c r="B312" s="28"/>
    </row>
    <row r="313" spans="1:2" ht="14.25" customHeight="1" x14ac:dyDescent="0.35">
      <c r="A313" s="27"/>
      <c r="B313" s="28"/>
    </row>
    <row r="314" spans="1:2" ht="14.25" customHeight="1" x14ac:dyDescent="0.35">
      <c r="A314" s="27"/>
      <c r="B314" s="28"/>
    </row>
    <row r="315" spans="1:2" ht="14.25" customHeight="1" x14ac:dyDescent="0.35">
      <c r="A315" s="27"/>
      <c r="B315" s="28"/>
    </row>
    <row r="316" spans="1:2" ht="14.25" customHeight="1" x14ac:dyDescent="0.35">
      <c r="A316" s="27"/>
      <c r="B316" s="28"/>
    </row>
    <row r="317" spans="1:2" ht="14.25" customHeight="1" x14ac:dyDescent="0.35">
      <c r="A317" s="27"/>
      <c r="B317" s="28"/>
    </row>
    <row r="318" spans="1:2" ht="14.25" customHeight="1" x14ac:dyDescent="0.35">
      <c r="A318" s="27"/>
      <c r="B318" s="28"/>
    </row>
    <row r="319" spans="1:2" ht="14.25" customHeight="1" x14ac:dyDescent="0.35">
      <c r="A319" s="27"/>
      <c r="B319" s="28"/>
    </row>
    <row r="320" spans="1:2" ht="14.25" customHeight="1" x14ac:dyDescent="0.35">
      <c r="A320" s="27"/>
      <c r="B320" s="28"/>
    </row>
    <row r="321" spans="1:2" ht="14.25" customHeight="1" x14ac:dyDescent="0.35">
      <c r="A321" s="27"/>
      <c r="B321" s="28"/>
    </row>
    <row r="322" spans="1:2" ht="14.25" customHeight="1" x14ac:dyDescent="0.35">
      <c r="A322" s="27"/>
      <c r="B322" s="28"/>
    </row>
    <row r="323" spans="1:2" ht="14.25" customHeight="1" x14ac:dyDescent="0.35">
      <c r="A323" s="27"/>
      <c r="B323" s="28"/>
    </row>
    <row r="324" spans="1:2" ht="14.25" customHeight="1" x14ac:dyDescent="0.35">
      <c r="A324" s="27"/>
      <c r="B324" s="28"/>
    </row>
    <row r="325" spans="1:2" ht="14.25" customHeight="1" x14ac:dyDescent="0.35">
      <c r="A325" s="27"/>
      <c r="B325" s="28"/>
    </row>
    <row r="326" spans="1:2" ht="14.25" customHeight="1" x14ac:dyDescent="0.35">
      <c r="A326" s="27"/>
      <c r="B326" s="28"/>
    </row>
    <row r="327" spans="1:2" ht="14.25" customHeight="1" x14ac:dyDescent="0.35">
      <c r="A327" s="27"/>
      <c r="B327" s="28"/>
    </row>
    <row r="328" spans="1:2" ht="14.25" customHeight="1" x14ac:dyDescent="0.35">
      <c r="A328" s="27"/>
      <c r="B328" s="28"/>
    </row>
    <row r="329" spans="1:2" ht="14.25" customHeight="1" x14ac:dyDescent="0.35">
      <c r="A329" s="27"/>
      <c r="B329" s="28"/>
    </row>
    <row r="330" spans="1:2" ht="14.25" customHeight="1" x14ac:dyDescent="0.35">
      <c r="A330" s="27"/>
      <c r="B330" s="28"/>
    </row>
    <row r="331" spans="1:2" ht="14.25" customHeight="1" x14ac:dyDescent="0.35">
      <c r="A331" s="27"/>
      <c r="B331" s="28"/>
    </row>
    <row r="332" spans="1:2" ht="14.25" customHeight="1" x14ac:dyDescent="0.35">
      <c r="A332" s="27"/>
      <c r="B332" s="28"/>
    </row>
    <row r="333" spans="1:2" ht="14.25" customHeight="1" x14ac:dyDescent="0.35">
      <c r="A333" s="27"/>
      <c r="B333" s="28"/>
    </row>
    <row r="334" spans="1:2" ht="14.25" customHeight="1" x14ac:dyDescent="0.35">
      <c r="A334" s="27"/>
      <c r="B334" s="28"/>
    </row>
    <row r="335" spans="1:2" ht="14.25" customHeight="1" x14ac:dyDescent="0.35">
      <c r="A335" s="27"/>
      <c r="B335" s="28"/>
    </row>
    <row r="336" spans="1:2" ht="14.25" customHeight="1" x14ac:dyDescent="0.35">
      <c r="A336" s="27"/>
      <c r="B336" s="28"/>
    </row>
    <row r="337" spans="1:2" ht="14.25" customHeight="1" x14ac:dyDescent="0.35">
      <c r="A337" s="27"/>
      <c r="B337" s="28"/>
    </row>
    <row r="338" spans="1:2" ht="14.25" customHeight="1" x14ac:dyDescent="0.35">
      <c r="A338" s="27"/>
      <c r="B338" s="28"/>
    </row>
    <row r="339" spans="1:2" ht="14.25" customHeight="1" x14ac:dyDescent="0.35">
      <c r="A339" s="27"/>
      <c r="B339" s="28"/>
    </row>
    <row r="340" spans="1:2" ht="14.25" customHeight="1" x14ac:dyDescent="0.35">
      <c r="A340" s="27"/>
      <c r="B340" s="28"/>
    </row>
    <row r="341" spans="1:2" ht="14.25" customHeight="1" x14ac:dyDescent="0.35">
      <c r="A341" s="27"/>
      <c r="B341" s="28"/>
    </row>
    <row r="342" spans="1:2" ht="14.25" customHeight="1" x14ac:dyDescent="0.35">
      <c r="A342" s="27"/>
      <c r="B342" s="28"/>
    </row>
    <row r="343" spans="1:2" ht="14.25" customHeight="1" x14ac:dyDescent="0.35">
      <c r="A343" s="27"/>
      <c r="B343" s="28"/>
    </row>
    <row r="344" spans="1:2" ht="14.25" customHeight="1" x14ac:dyDescent="0.35">
      <c r="A344" s="27"/>
      <c r="B344" s="28"/>
    </row>
    <row r="345" spans="1:2" ht="14.25" customHeight="1" x14ac:dyDescent="0.35">
      <c r="A345" s="27"/>
      <c r="B345" s="28"/>
    </row>
    <row r="346" spans="1:2" ht="14.25" customHeight="1" x14ac:dyDescent="0.35">
      <c r="A346" s="27"/>
      <c r="B346" s="28"/>
    </row>
    <row r="347" spans="1:2" ht="14.25" customHeight="1" x14ac:dyDescent="0.35">
      <c r="A347" s="27"/>
      <c r="B347" s="28"/>
    </row>
    <row r="348" spans="1:2" ht="14.25" customHeight="1" x14ac:dyDescent="0.35">
      <c r="A348" s="27"/>
      <c r="B348" s="28"/>
    </row>
    <row r="349" spans="1:2" ht="14.25" customHeight="1" x14ac:dyDescent="0.35">
      <c r="A349" s="27"/>
      <c r="B349" s="28"/>
    </row>
    <row r="350" spans="1:2" ht="14.25" customHeight="1" x14ac:dyDescent="0.35">
      <c r="A350" s="27"/>
      <c r="B350" s="28"/>
    </row>
    <row r="351" spans="1:2" ht="14.25" customHeight="1" x14ac:dyDescent="0.35">
      <c r="A351" s="27"/>
      <c r="B351" s="28"/>
    </row>
    <row r="352" spans="1:2" ht="14.25" customHeight="1" x14ac:dyDescent="0.35">
      <c r="A352" s="27"/>
      <c r="B352" s="28"/>
    </row>
    <row r="353" spans="1:2" ht="14.25" customHeight="1" x14ac:dyDescent="0.35">
      <c r="A353" s="27"/>
      <c r="B353" s="28"/>
    </row>
    <row r="354" spans="1:2" ht="14.25" customHeight="1" x14ac:dyDescent="0.35">
      <c r="A354" s="27"/>
      <c r="B354" s="28"/>
    </row>
    <row r="355" spans="1:2" ht="14.25" customHeight="1" x14ac:dyDescent="0.35">
      <c r="A355" s="27"/>
      <c r="B355" s="28"/>
    </row>
    <row r="356" spans="1:2" ht="14.25" customHeight="1" x14ac:dyDescent="0.35">
      <c r="A356" s="27"/>
      <c r="B356" s="28"/>
    </row>
    <row r="357" spans="1:2" ht="14.25" customHeight="1" x14ac:dyDescent="0.35">
      <c r="A357" s="27"/>
      <c r="B357" s="28"/>
    </row>
    <row r="358" spans="1:2" ht="14.25" customHeight="1" x14ac:dyDescent="0.35">
      <c r="A358" s="27"/>
      <c r="B358" s="28"/>
    </row>
    <row r="359" spans="1:2" ht="14.25" customHeight="1" x14ac:dyDescent="0.35">
      <c r="A359" s="27"/>
      <c r="B359" s="28"/>
    </row>
    <row r="360" spans="1:2" ht="14.25" customHeight="1" x14ac:dyDescent="0.35">
      <c r="A360" s="27"/>
      <c r="B360" s="28"/>
    </row>
    <row r="361" spans="1:2" ht="14.25" customHeight="1" x14ac:dyDescent="0.35">
      <c r="A361" s="27"/>
      <c r="B361" s="28"/>
    </row>
    <row r="362" spans="1:2" ht="14.25" customHeight="1" x14ac:dyDescent="0.35">
      <c r="A362" s="27"/>
      <c r="B362" s="28"/>
    </row>
    <row r="363" spans="1:2" ht="14.25" customHeight="1" x14ac:dyDescent="0.35">
      <c r="A363" s="27"/>
      <c r="B363" s="28"/>
    </row>
    <row r="364" spans="1:2" ht="14.25" customHeight="1" x14ac:dyDescent="0.35">
      <c r="A364" s="27"/>
      <c r="B364" s="28"/>
    </row>
    <row r="365" spans="1:2" ht="14.25" customHeight="1" x14ac:dyDescent="0.35">
      <c r="A365" s="27"/>
      <c r="B365" s="28"/>
    </row>
    <row r="366" spans="1:2" ht="14.25" customHeight="1" x14ac:dyDescent="0.35">
      <c r="A366" s="27"/>
      <c r="B366" s="28"/>
    </row>
    <row r="367" spans="1:2" ht="14.25" customHeight="1" x14ac:dyDescent="0.35">
      <c r="A367" s="27"/>
      <c r="B367" s="28"/>
    </row>
    <row r="368" spans="1:2" ht="14.25" customHeight="1" x14ac:dyDescent="0.35">
      <c r="A368" s="27"/>
      <c r="B368" s="28"/>
    </row>
    <row r="369" spans="1:2" ht="14.25" customHeight="1" x14ac:dyDescent="0.35">
      <c r="A369" s="27"/>
      <c r="B369" s="28"/>
    </row>
    <row r="370" spans="1:2" ht="14.25" customHeight="1" x14ac:dyDescent="0.35">
      <c r="A370" s="27"/>
      <c r="B370" s="28"/>
    </row>
    <row r="371" spans="1:2" ht="14.25" customHeight="1" x14ac:dyDescent="0.35">
      <c r="A371" s="27"/>
      <c r="B371" s="28"/>
    </row>
    <row r="372" spans="1:2" ht="14.25" customHeight="1" x14ac:dyDescent="0.35">
      <c r="A372" s="27"/>
      <c r="B372" s="28"/>
    </row>
    <row r="373" spans="1:2" ht="14.25" customHeight="1" x14ac:dyDescent="0.35">
      <c r="A373" s="27"/>
      <c r="B373" s="28"/>
    </row>
    <row r="374" spans="1:2" ht="14.25" customHeight="1" x14ac:dyDescent="0.35">
      <c r="A374" s="27"/>
      <c r="B374" s="28"/>
    </row>
    <row r="375" spans="1:2" ht="14.25" customHeight="1" x14ac:dyDescent="0.35">
      <c r="A375" s="27"/>
      <c r="B375" s="28"/>
    </row>
    <row r="376" spans="1:2" ht="14.25" customHeight="1" x14ac:dyDescent="0.35">
      <c r="A376" s="27"/>
      <c r="B376" s="28"/>
    </row>
    <row r="377" spans="1:2" ht="14.25" customHeight="1" x14ac:dyDescent="0.35">
      <c r="A377" s="27"/>
      <c r="B377" s="28"/>
    </row>
    <row r="378" spans="1:2" ht="14.25" customHeight="1" x14ac:dyDescent="0.35">
      <c r="A378" s="27"/>
      <c r="B378" s="28"/>
    </row>
    <row r="379" spans="1:2" ht="14.25" customHeight="1" x14ac:dyDescent="0.35">
      <c r="A379" s="27"/>
      <c r="B379" s="28"/>
    </row>
    <row r="380" spans="1:2" ht="14.25" customHeight="1" x14ac:dyDescent="0.35">
      <c r="A380" s="27"/>
      <c r="B380" s="28"/>
    </row>
    <row r="381" spans="1:2" ht="14.25" customHeight="1" x14ac:dyDescent="0.35">
      <c r="A381" s="27"/>
      <c r="B381" s="28"/>
    </row>
    <row r="382" spans="1:2" ht="14.25" customHeight="1" x14ac:dyDescent="0.35">
      <c r="A382" s="27"/>
      <c r="B382" s="28"/>
    </row>
    <row r="383" spans="1:2" ht="14.25" customHeight="1" x14ac:dyDescent="0.35">
      <c r="A383" s="27"/>
      <c r="B383" s="28"/>
    </row>
    <row r="384" spans="1:2" ht="14.25" customHeight="1" x14ac:dyDescent="0.35">
      <c r="A384" s="27"/>
      <c r="B384" s="28"/>
    </row>
    <row r="385" spans="1:2" ht="14.25" customHeight="1" x14ac:dyDescent="0.35">
      <c r="A385" s="27"/>
      <c r="B385" s="28"/>
    </row>
    <row r="386" spans="1:2" ht="14.25" customHeight="1" x14ac:dyDescent="0.35">
      <c r="A386" s="27"/>
      <c r="B386" s="28"/>
    </row>
    <row r="387" spans="1:2" ht="14.25" customHeight="1" x14ac:dyDescent="0.35">
      <c r="A387" s="27"/>
      <c r="B387" s="28"/>
    </row>
    <row r="388" spans="1:2" ht="14.25" customHeight="1" x14ac:dyDescent="0.35">
      <c r="A388" s="27"/>
      <c r="B388" s="28"/>
    </row>
    <row r="389" spans="1:2" ht="14.25" customHeight="1" x14ac:dyDescent="0.35">
      <c r="A389" s="27"/>
      <c r="B389" s="28"/>
    </row>
    <row r="390" spans="1:2" ht="14.25" customHeight="1" x14ac:dyDescent="0.35">
      <c r="A390" s="27"/>
      <c r="B390" s="28"/>
    </row>
    <row r="391" spans="1:2" ht="14.25" customHeight="1" x14ac:dyDescent="0.35">
      <c r="A391" s="27"/>
      <c r="B391" s="28"/>
    </row>
    <row r="392" spans="1:2" ht="14.25" customHeight="1" x14ac:dyDescent="0.35">
      <c r="A392" s="27"/>
      <c r="B392" s="28"/>
    </row>
    <row r="393" spans="1:2" ht="14.25" customHeight="1" x14ac:dyDescent="0.35">
      <c r="A393" s="27"/>
      <c r="B393" s="28"/>
    </row>
    <row r="394" spans="1:2" ht="14.25" customHeight="1" x14ac:dyDescent="0.35">
      <c r="A394" s="27"/>
      <c r="B394" s="28"/>
    </row>
    <row r="395" spans="1:2" ht="14.25" customHeight="1" x14ac:dyDescent="0.35">
      <c r="A395" s="27"/>
      <c r="B395" s="28"/>
    </row>
    <row r="396" spans="1:2" ht="14.25" customHeight="1" x14ac:dyDescent="0.35">
      <c r="A396" s="27"/>
      <c r="B396" s="28"/>
    </row>
    <row r="397" spans="1:2" ht="14.25" customHeight="1" x14ac:dyDescent="0.35">
      <c r="A397" s="27"/>
      <c r="B397" s="28"/>
    </row>
    <row r="398" spans="1:2" ht="14.25" customHeight="1" x14ac:dyDescent="0.35">
      <c r="A398" s="27"/>
      <c r="B398" s="28"/>
    </row>
    <row r="399" spans="1:2" ht="14.25" customHeight="1" x14ac:dyDescent="0.35">
      <c r="A399" s="27"/>
      <c r="B399" s="28"/>
    </row>
    <row r="400" spans="1:2" ht="14.25" customHeight="1" x14ac:dyDescent="0.35">
      <c r="A400" s="27"/>
      <c r="B400" s="28"/>
    </row>
    <row r="401" spans="1:2" ht="14.25" customHeight="1" x14ac:dyDescent="0.35">
      <c r="A401" s="27"/>
      <c r="B401" s="28"/>
    </row>
    <row r="402" spans="1:2" ht="14.25" customHeight="1" x14ac:dyDescent="0.35">
      <c r="A402" s="27"/>
      <c r="B402" s="28"/>
    </row>
    <row r="403" spans="1:2" ht="14.25" customHeight="1" x14ac:dyDescent="0.35">
      <c r="A403" s="27"/>
      <c r="B403" s="28"/>
    </row>
    <row r="404" spans="1:2" ht="14.25" customHeight="1" x14ac:dyDescent="0.35">
      <c r="A404" s="27"/>
      <c r="B404" s="28"/>
    </row>
    <row r="405" spans="1:2" ht="14.25" customHeight="1" x14ac:dyDescent="0.35">
      <c r="A405" s="27"/>
      <c r="B405" s="28"/>
    </row>
    <row r="406" spans="1:2" ht="14.25" customHeight="1" x14ac:dyDescent="0.35">
      <c r="A406" s="27"/>
      <c r="B406" s="28"/>
    </row>
    <row r="407" spans="1:2" ht="14.25" customHeight="1" x14ac:dyDescent="0.35">
      <c r="A407" s="27"/>
      <c r="B407" s="28"/>
    </row>
    <row r="408" spans="1:2" ht="14.25" customHeight="1" x14ac:dyDescent="0.35">
      <c r="A408" s="27"/>
      <c r="B408" s="28"/>
    </row>
    <row r="409" spans="1:2" ht="14.25" customHeight="1" x14ac:dyDescent="0.35">
      <c r="A409" s="27"/>
      <c r="B409" s="28"/>
    </row>
    <row r="410" spans="1:2" ht="14.25" customHeight="1" x14ac:dyDescent="0.35">
      <c r="A410" s="27"/>
      <c r="B410" s="28"/>
    </row>
    <row r="411" spans="1:2" ht="14.25" customHeight="1" x14ac:dyDescent="0.35">
      <c r="A411" s="27"/>
      <c r="B411" s="28"/>
    </row>
    <row r="412" spans="1:2" ht="14.25" customHeight="1" x14ac:dyDescent="0.35">
      <c r="A412" s="27"/>
      <c r="B412" s="28"/>
    </row>
    <row r="413" spans="1:2" ht="14.25" customHeight="1" x14ac:dyDescent="0.35">
      <c r="A413" s="27"/>
      <c r="B413" s="28"/>
    </row>
    <row r="414" spans="1:2" ht="14.25" customHeight="1" x14ac:dyDescent="0.35">
      <c r="A414" s="27"/>
      <c r="B414" s="28"/>
    </row>
    <row r="415" spans="1:2" ht="14.25" customHeight="1" x14ac:dyDescent="0.35">
      <c r="A415" s="27"/>
      <c r="B415" s="28"/>
    </row>
    <row r="416" spans="1:2" ht="14.25" customHeight="1" x14ac:dyDescent="0.35">
      <c r="A416" s="27"/>
      <c r="B416" s="28"/>
    </row>
    <row r="417" spans="1:2" ht="14.25" customHeight="1" x14ac:dyDescent="0.35">
      <c r="A417" s="27"/>
      <c r="B417" s="28"/>
    </row>
    <row r="418" spans="1:2" ht="14.25" customHeight="1" x14ac:dyDescent="0.35">
      <c r="A418" s="27"/>
      <c r="B418" s="28"/>
    </row>
    <row r="419" spans="1:2" ht="14.25" customHeight="1" x14ac:dyDescent="0.35">
      <c r="A419" s="27"/>
      <c r="B419" s="28"/>
    </row>
    <row r="420" spans="1:2" ht="14.25" customHeight="1" x14ac:dyDescent="0.35">
      <c r="A420" s="27"/>
      <c r="B420" s="28"/>
    </row>
    <row r="421" spans="1:2" ht="14.25" customHeight="1" x14ac:dyDescent="0.35">
      <c r="A421" s="27"/>
      <c r="B421" s="28"/>
    </row>
    <row r="422" spans="1:2" ht="14.25" customHeight="1" x14ac:dyDescent="0.35">
      <c r="A422" s="27"/>
      <c r="B422" s="28"/>
    </row>
    <row r="423" spans="1:2" ht="14.25" customHeight="1" x14ac:dyDescent="0.35">
      <c r="A423" s="27"/>
      <c r="B423" s="28"/>
    </row>
    <row r="424" spans="1:2" ht="14.25" customHeight="1" x14ac:dyDescent="0.35">
      <c r="A424" s="27"/>
      <c r="B424" s="28"/>
    </row>
    <row r="425" spans="1:2" ht="14.25" customHeight="1" x14ac:dyDescent="0.35">
      <c r="A425" s="27"/>
      <c r="B425" s="28"/>
    </row>
    <row r="426" spans="1:2" ht="14.25" customHeight="1" x14ac:dyDescent="0.35">
      <c r="A426" s="27"/>
      <c r="B426" s="28"/>
    </row>
    <row r="427" spans="1:2" ht="14.25" customHeight="1" x14ac:dyDescent="0.35">
      <c r="A427" s="27"/>
      <c r="B427" s="28"/>
    </row>
    <row r="428" spans="1:2" ht="14.25" customHeight="1" x14ac:dyDescent="0.35">
      <c r="A428" s="27"/>
      <c r="B428" s="28"/>
    </row>
    <row r="429" spans="1:2" ht="14.25" customHeight="1" x14ac:dyDescent="0.35">
      <c r="A429" s="27"/>
      <c r="B429" s="28"/>
    </row>
    <row r="430" spans="1:2" ht="14.25" customHeight="1" x14ac:dyDescent="0.35">
      <c r="A430" s="27"/>
      <c r="B430" s="28"/>
    </row>
    <row r="431" spans="1:2" ht="14.25" customHeight="1" x14ac:dyDescent="0.35">
      <c r="A431" s="27"/>
      <c r="B431" s="28"/>
    </row>
    <row r="432" spans="1:2" ht="14.25" customHeight="1" x14ac:dyDescent="0.35">
      <c r="A432" s="27"/>
      <c r="B432" s="28"/>
    </row>
    <row r="433" spans="1:2" ht="14.25" customHeight="1" x14ac:dyDescent="0.35">
      <c r="A433" s="27"/>
      <c r="B433" s="28"/>
    </row>
    <row r="434" spans="1:2" ht="14.25" customHeight="1" x14ac:dyDescent="0.35">
      <c r="A434" s="27"/>
      <c r="B434" s="28"/>
    </row>
    <row r="435" spans="1:2" ht="14.25" customHeight="1" x14ac:dyDescent="0.35">
      <c r="A435" s="27"/>
      <c r="B435" s="28"/>
    </row>
    <row r="436" spans="1:2" ht="14.25" customHeight="1" x14ac:dyDescent="0.35">
      <c r="A436" s="27"/>
      <c r="B436" s="28"/>
    </row>
    <row r="437" spans="1:2" ht="14.25" customHeight="1" x14ac:dyDescent="0.35">
      <c r="A437" s="27"/>
      <c r="B437" s="28"/>
    </row>
    <row r="438" spans="1:2" ht="14.25" customHeight="1" x14ac:dyDescent="0.35">
      <c r="A438" s="27"/>
      <c r="B438" s="28"/>
    </row>
    <row r="439" spans="1:2" ht="14.25" customHeight="1" x14ac:dyDescent="0.35">
      <c r="A439" s="27"/>
      <c r="B439" s="28"/>
    </row>
    <row r="440" spans="1:2" ht="14.25" customHeight="1" x14ac:dyDescent="0.35">
      <c r="A440" s="27"/>
      <c r="B440" s="28"/>
    </row>
    <row r="441" spans="1:2" ht="14.25" customHeight="1" x14ac:dyDescent="0.35">
      <c r="A441" s="27"/>
      <c r="B441" s="28"/>
    </row>
    <row r="442" spans="1:2" ht="14.25" customHeight="1" x14ac:dyDescent="0.35">
      <c r="A442" s="27"/>
      <c r="B442" s="28"/>
    </row>
    <row r="443" spans="1:2" ht="14.25" customHeight="1" x14ac:dyDescent="0.35">
      <c r="A443" s="27"/>
      <c r="B443" s="28"/>
    </row>
    <row r="444" spans="1:2" ht="14.25" customHeight="1" x14ac:dyDescent="0.35">
      <c r="A444" s="27"/>
      <c r="B444" s="28"/>
    </row>
    <row r="445" spans="1:2" ht="14.25" customHeight="1" x14ac:dyDescent="0.35">
      <c r="A445" s="27"/>
      <c r="B445" s="28"/>
    </row>
    <row r="446" spans="1:2" ht="14.25" customHeight="1" x14ac:dyDescent="0.35">
      <c r="A446" s="27"/>
      <c r="B446" s="28"/>
    </row>
    <row r="447" spans="1:2" ht="14.25" customHeight="1" x14ac:dyDescent="0.35">
      <c r="A447" s="27"/>
      <c r="B447" s="28"/>
    </row>
    <row r="448" spans="1:2" ht="14.25" customHeight="1" x14ac:dyDescent="0.35">
      <c r="A448" s="27"/>
      <c r="B448" s="28"/>
    </row>
    <row r="449" spans="1:2" ht="14.25" customHeight="1" x14ac:dyDescent="0.35">
      <c r="A449" s="27"/>
      <c r="B449" s="28"/>
    </row>
    <row r="450" spans="1:2" ht="14.25" customHeight="1" x14ac:dyDescent="0.35">
      <c r="A450" s="27"/>
      <c r="B450" s="28"/>
    </row>
    <row r="451" spans="1:2" ht="14.25" customHeight="1" x14ac:dyDescent="0.35">
      <c r="A451" s="27"/>
      <c r="B451" s="28"/>
    </row>
    <row r="452" spans="1:2" ht="14.25" customHeight="1" x14ac:dyDescent="0.35">
      <c r="A452" s="27"/>
      <c r="B452" s="28"/>
    </row>
    <row r="453" spans="1:2" ht="14.25" customHeight="1" x14ac:dyDescent="0.35">
      <c r="A453" s="27"/>
      <c r="B453" s="28"/>
    </row>
    <row r="454" spans="1:2" ht="14.25" customHeight="1" x14ac:dyDescent="0.35">
      <c r="A454" s="27"/>
      <c r="B454" s="28"/>
    </row>
    <row r="455" spans="1:2" ht="14.25" customHeight="1" x14ac:dyDescent="0.35">
      <c r="A455" s="27"/>
      <c r="B455" s="28"/>
    </row>
    <row r="456" spans="1:2" ht="14.25" customHeight="1" x14ac:dyDescent="0.35">
      <c r="A456" s="27"/>
      <c r="B456" s="28"/>
    </row>
    <row r="457" spans="1:2" ht="14.25" customHeight="1" x14ac:dyDescent="0.35">
      <c r="A457" s="27"/>
      <c r="B457" s="28"/>
    </row>
    <row r="458" spans="1:2" ht="14.25" customHeight="1" x14ac:dyDescent="0.35">
      <c r="A458" s="27"/>
      <c r="B458" s="28"/>
    </row>
    <row r="459" spans="1:2" ht="14.25" customHeight="1" x14ac:dyDescent="0.35">
      <c r="A459" s="27"/>
      <c r="B459" s="28"/>
    </row>
    <row r="460" spans="1:2" ht="14.25" customHeight="1" x14ac:dyDescent="0.35">
      <c r="A460" s="27"/>
      <c r="B460" s="28"/>
    </row>
    <row r="461" spans="1:2" ht="14.25" customHeight="1" x14ac:dyDescent="0.35">
      <c r="A461" s="27"/>
      <c r="B461" s="28"/>
    </row>
    <row r="462" spans="1:2" ht="14.25" customHeight="1" x14ac:dyDescent="0.35">
      <c r="A462" s="27"/>
      <c r="B462" s="28"/>
    </row>
    <row r="463" spans="1:2" ht="14.25" customHeight="1" x14ac:dyDescent="0.35">
      <c r="A463" s="27"/>
      <c r="B463" s="28"/>
    </row>
    <row r="464" spans="1:2" ht="14.25" customHeight="1" x14ac:dyDescent="0.35">
      <c r="A464" s="27"/>
      <c r="B464" s="28"/>
    </row>
    <row r="465" spans="1:2" ht="14.25" customHeight="1" x14ac:dyDescent="0.35">
      <c r="A465" s="27"/>
      <c r="B465" s="28"/>
    </row>
    <row r="466" spans="1:2" ht="14.25" customHeight="1" x14ac:dyDescent="0.35">
      <c r="A466" s="27"/>
      <c r="B466" s="28"/>
    </row>
    <row r="467" spans="1:2" ht="14.25" customHeight="1" x14ac:dyDescent="0.35">
      <c r="A467" s="27"/>
      <c r="B467" s="28"/>
    </row>
    <row r="468" spans="1:2" ht="14.25" customHeight="1" x14ac:dyDescent="0.35">
      <c r="A468" s="27"/>
      <c r="B468" s="28"/>
    </row>
    <row r="469" spans="1:2" ht="14.25" customHeight="1" x14ac:dyDescent="0.35">
      <c r="A469" s="27"/>
      <c r="B469" s="28"/>
    </row>
    <row r="470" spans="1:2" ht="14.25" customHeight="1" x14ac:dyDescent="0.35">
      <c r="A470" s="27"/>
      <c r="B470" s="28"/>
    </row>
    <row r="471" spans="1:2" ht="14.25" customHeight="1" x14ac:dyDescent="0.35">
      <c r="A471" s="27"/>
      <c r="B471" s="28"/>
    </row>
    <row r="472" spans="1:2" ht="14.25" customHeight="1" x14ac:dyDescent="0.35">
      <c r="A472" s="27"/>
      <c r="B472" s="28"/>
    </row>
    <row r="473" spans="1:2" ht="14.25" customHeight="1" x14ac:dyDescent="0.35">
      <c r="A473" s="27"/>
      <c r="B473" s="28"/>
    </row>
    <row r="474" spans="1:2" ht="14.25" customHeight="1" x14ac:dyDescent="0.35">
      <c r="A474" s="27"/>
      <c r="B474" s="28"/>
    </row>
    <row r="475" spans="1:2" ht="14.25" customHeight="1" x14ac:dyDescent="0.35">
      <c r="A475" s="27"/>
      <c r="B475" s="28"/>
    </row>
    <row r="476" spans="1:2" ht="14.25" customHeight="1" x14ac:dyDescent="0.35">
      <c r="A476" s="27"/>
      <c r="B476" s="28"/>
    </row>
    <row r="477" spans="1:2" ht="14.25" customHeight="1" x14ac:dyDescent="0.35">
      <c r="A477" s="27"/>
      <c r="B477" s="28"/>
    </row>
    <row r="478" spans="1:2" ht="14.25" customHeight="1" x14ac:dyDescent="0.35">
      <c r="A478" s="27"/>
      <c r="B478" s="28"/>
    </row>
    <row r="479" spans="1:2" ht="14.25" customHeight="1" x14ac:dyDescent="0.35">
      <c r="A479" s="27"/>
      <c r="B479" s="28"/>
    </row>
    <row r="480" spans="1:2" ht="14.25" customHeight="1" x14ac:dyDescent="0.35">
      <c r="A480" s="27"/>
      <c r="B480" s="28"/>
    </row>
    <row r="481" spans="1:2" ht="14.25" customHeight="1" x14ac:dyDescent="0.35">
      <c r="A481" s="27"/>
      <c r="B481" s="28"/>
    </row>
    <row r="482" spans="1:2" ht="14.25" customHeight="1" x14ac:dyDescent="0.35">
      <c r="A482" s="27"/>
      <c r="B482" s="28"/>
    </row>
    <row r="483" spans="1:2" ht="14.25" customHeight="1" x14ac:dyDescent="0.35">
      <c r="A483" s="27"/>
      <c r="B483" s="28"/>
    </row>
    <row r="484" spans="1:2" ht="14.25" customHeight="1" x14ac:dyDescent="0.35">
      <c r="A484" s="27"/>
      <c r="B484" s="28"/>
    </row>
    <row r="485" spans="1:2" ht="14.25" customHeight="1" x14ac:dyDescent="0.35">
      <c r="A485" s="27"/>
      <c r="B485" s="28"/>
    </row>
    <row r="486" spans="1:2" ht="14.25" customHeight="1" x14ac:dyDescent="0.35">
      <c r="A486" s="27"/>
      <c r="B486" s="28"/>
    </row>
    <row r="487" spans="1:2" ht="14.25" customHeight="1" x14ac:dyDescent="0.35">
      <c r="A487" s="27"/>
      <c r="B487" s="28"/>
    </row>
    <row r="488" spans="1:2" ht="14.25" customHeight="1" x14ac:dyDescent="0.35">
      <c r="A488" s="27"/>
      <c r="B488" s="28"/>
    </row>
    <row r="489" spans="1:2" ht="14.25" customHeight="1" x14ac:dyDescent="0.35">
      <c r="A489" s="27"/>
      <c r="B489" s="28"/>
    </row>
    <row r="490" spans="1:2" ht="14.25" customHeight="1" x14ac:dyDescent="0.35">
      <c r="A490" s="27"/>
      <c r="B490" s="28"/>
    </row>
    <row r="491" spans="1:2" ht="14.25" customHeight="1" x14ac:dyDescent="0.35">
      <c r="A491" s="27"/>
      <c r="B491" s="28"/>
    </row>
    <row r="492" spans="1:2" ht="14.25" customHeight="1" x14ac:dyDescent="0.35">
      <c r="A492" s="27"/>
      <c r="B492" s="28"/>
    </row>
    <row r="493" spans="1:2" ht="14.25" customHeight="1" x14ac:dyDescent="0.35">
      <c r="A493" s="27"/>
      <c r="B493" s="28"/>
    </row>
    <row r="494" spans="1:2" ht="14.25" customHeight="1" x14ac:dyDescent="0.35">
      <c r="A494" s="27"/>
      <c r="B494" s="28"/>
    </row>
    <row r="495" spans="1:2" ht="14.25" customHeight="1" x14ac:dyDescent="0.35">
      <c r="A495" s="27"/>
      <c r="B495" s="28"/>
    </row>
    <row r="496" spans="1:2" ht="14.25" customHeight="1" x14ac:dyDescent="0.35">
      <c r="A496" s="27"/>
      <c r="B496" s="28"/>
    </row>
    <row r="497" spans="1:2" ht="14.25" customHeight="1" x14ac:dyDescent="0.35">
      <c r="A497" s="27"/>
      <c r="B497" s="28"/>
    </row>
    <row r="498" spans="1:2" ht="14.25" customHeight="1" x14ac:dyDescent="0.35">
      <c r="A498" s="27"/>
      <c r="B498" s="28"/>
    </row>
    <row r="499" spans="1:2" ht="14.25" customHeight="1" x14ac:dyDescent="0.35">
      <c r="A499" s="27"/>
      <c r="B499" s="28"/>
    </row>
    <row r="500" spans="1:2" ht="14.25" customHeight="1" x14ac:dyDescent="0.35">
      <c r="A500" s="27"/>
      <c r="B500" s="28"/>
    </row>
    <row r="501" spans="1:2" ht="14.25" customHeight="1" x14ac:dyDescent="0.35">
      <c r="A501" s="27"/>
      <c r="B501" s="28"/>
    </row>
    <row r="502" spans="1:2" ht="14.25" customHeight="1" x14ac:dyDescent="0.35">
      <c r="A502" s="27"/>
      <c r="B502" s="28"/>
    </row>
    <row r="503" spans="1:2" ht="14.25" customHeight="1" x14ac:dyDescent="0.35">
      <c r="A503" s="27"/>
      <c r="B503" s="28"/>
    </row>
    <row r="504" spans="1:2" ht="14.25" customHeight="1" x14ac:dyDescent="0.35">
      <c r="A504" s="27"/>
      <c r="B504" s="28"/>
    </row>
    <row r="505" spans="1:2" ht="14.25" customHeight="1" x14ac:dyDescent="0.35">
      <c r="A505" s="27"/>
      <c r="B505" s="28"/>
    </row>
    <row r="506" spans="1:2" ht="14.25" customHeight="1" x14ac:dyDescent="0.35">
      <c r="A506" s="27"/>
      <c r="B506" s="28"/>
    </row>
    <row r="507" spans="1:2" ht="14.25" customHeight="1" x14ac:dyDescent="0.35">
      <c r="A507" s="27"/>
      <c r="B507" s="28"/>
    </row>
    <row r="508" spans="1:2" ht="14.25" customHeight="1" x14ac:dyDescent="0.35">
      <c r="A508" s="27"/>
      <c r="B508" s="28"/>
    </row>
    <row r="509" spans="1:2" ht="14.25" customHeight="1" x14ac:dyDescent="0.35">
      <c r="A509" s="27"/>
      <c r="B509" s="28"/>
    </row>
    <row r="510" spans="1:2" ht="14.25" customHeight="1" x14ac:dyDescent="0.35">
      <c r="A510" s="27"/>
      <c r="B510" s="28"/>
    </row>
    <row r="511" spans="1:2" ht="14.25" customHeight="1" x14ac:dyDescent="0.35">
      <c r="A511" s="27"/>
      <c r="B511" s="28"/>
    </row>
    <row r="512" spans="1:2" ht="14.25" customHeight="1" x14ac:dyDescent="0.35">
      <c r="A512" s="27"/>
      <c r="B512" s="28"/>
    </row>
    <row r="513" spans="1:2" ht="14.25" customHeight="1" x14ac:dyDescent="0.35">
      <c r="A513" s="27"/>
      <c r="B513" s="28"/>
    </row>
    <row r="514" spans="1:2" ht="14.25" customHeight="1" x14ac:dyDescent="0.35">
      <c r="A514" s="27"/>
      <c r="B514" s="28"/>
    </row>
    <row r="515" spans="1:2" ht="14.25" customHeight="1" x14ac:dyDescent="0.35">
      <c r="A515" s="27"/>
      <c r="B515" s="28"/>
    </row>
    <row r="516" spans="1:2" ht="14.25" customHeight="1" x14ac:dyDescent="0.35">
      <c r="A516" s="27"/>
      <c r="B516" s="28"/>
    </row>
    <row r="517" spans="1:2" ht="14.25" customHeight="1" x14ac:dyDescent="0.35">
      <c r="A517" s="27"/>
      <c r="B517" s="28"/>
    </row>
    <row r="518" spans="1:2" ht="14.25" customHeight="1" x14ac:dyDescent="0.35">
      <c r="A518" s="27"/>
      <c r="B518" s="28"/>
    </row>
    <row r="519" spans="1:2" ht="14.25" customHeight="1" x14ac:dyDescent="0.35">
      <c r="A519" s="27"/>
      <c r="B519" s="28"/>
    </row>
    <row r="520" spans="1:2" ht="14.25" customHeight="1" x14ac:dyDescent="0.35">
      <c r="A520" s="27"/>
      <c r="B520" s="28"/>
    </row>
    <row r="521" spans="1:2" ht="14.25" customHeight="1" x14ac:dyDescent="0.35">
      <c r="A521" s="27"/>
      <c r="B521" s="28"/>
    </row>
    <row r="522" spans="1:2" ht="14.25" customHeight="1" x14ac:dyDescent="0.35">
      <c r="A522" s="27"/>
      <c r="B522" s="28"/>
    </row>
    <row r="523" spans="1:2" ht="14.25" customHeight="1" x14ac:dyDescent="0.35">
      <c r="A523" s="27"/>
      <c r="B523" s="28"/>
    </row>
    <row r="524" spans="1:2" ht="14.25" customHeight="1" x14ac:dyDescent="0.35">
      <c r="A524" s="27"/>
      <c r="B524" s="28"/>
    </row>
    <row r="525" spans="1:2" ht="14.25" customHeight="1" x14ac:dyDescent="0.35">
      <c r="A525" s="27"/>
      <c r="B525" s="28"/>
    </row>
    <row r="526" spans="1:2" ht="14.25" customHeight="1" x14ac:dyDescent="0.35">
      <c r="A526" s="27"/>
      <c r="B526" s="28"/>
    </row>
    <row r="527" spans="1:2" ht="14.25" customHeight="1" x14ac:dyDescent="0.35">
      <c r="A527" s="27"/>
      <c r="B527" s="28"/>
    </row>
    <row r="528" spans="1:2" ht="14.25" customHeight="1" x14ac:dyDescent="0.35">
      <c r="A528" s="27"/>
      <c r="B528" s="28"/>
    </row>
    <row r="529" spans="1:2" ht="14.25" customHeight="1" x14ac:dyDescent="0.35">
      <c r="A529" s="27"/>
      <c r="B529" s="28"/>
    </row>
    <row r="530" spans="1:2" ht="14.25" customHeight="1" x14ac:dyDescent="0.35">
      <c r="A530" s="27"/>
      <c r="B530" s="28"/>
    </row>
    <row r="531" spans="1:2" ht="14.25" customHeight="1" x14ac:dyDescent="0.35">
      <c r="A531" s="27"/>
      <c r="B531" s="28"/>
    </row>
    <row r="532" spans="1:2" ht="14.25" customHeight="1" x14ac:dyDescent="0.35">
      <c r="A532" s="27"/>
      <c r="B532" s="28"/>
    </row>
    <row r="533" spans="1:2" ht="14.25" customHeight="1" x14ac:dyDescent="0.35">
      <c r="A533" s="27"/>
      <c r="B533" s="28"/>
    </row>
    <row r="534" spans="1:2" ht="14.25" customHeight="1" x14ac:dyDescent="0.35">
      <c r="A534" s="27"/>
      <c r="B534" s="28"/>
    </row>
    <row r="535" spans="1:2" ht="14.25" customHeight="1" x14ac:dyDescent="0.35">
      <c r="A535" s="27"/>
      <c r="B535" s="28"/>
    </row>
    <row r="536" spans="1:2" ht="14.25" customHeight="1" x14ac:dyDescent="0.35">
      <c r="A536" s="27"/>
      <c r="B536" s="28"/>
    </row>
    <row r="537" spans="1:2" ht="14.25" customHeight="1" x14ac:dyDescent="0.35">
      <c r="A537" s="27"/>
      <c r="B537" s="28"/>
    </row>
    <row r="538" spans="1:2" ht="14.25" customHeight="1" x14ac:dyDescent="0.35">
      <c r="A538" s="27"/>
      <c r="B538" s="28"/>
    </row>
    <row r="539" spans="1:2" ht="14.25" customHeight="1" x14ac:dyDescent="0.35">
      <c r="A539" s="27"/>
      <c r="B539" s="28"/>
    </row>
    <row r="540" spans="1:2" ht="14.25" customHeight="1" x14ac:dyDescent="0.35">
      <c r="A540" s="27"/>
      <c r="B540" s="28"/>
    </row>
    <row r="541" spans="1:2" ht="14.25" customHeight="1" x14ac:dyDescent="0.35">
      <c r="A541" s="27"/>
      <c r="B541" s="28"/>
    </row>
    <row r="542" spans="1:2" ht="14.25" customHeight="1" x14ac:dyDescent="0.35">
      <c r="A542" s="27"/>
      <c r="B542" s="28"/>
    </row>
    <row r="543" spans="1:2" ht="14.25" customHeight="1" x14ac:dyDescent="0.35">
      <c r="A543" s="27"/>
      <c r="B543" s="28"/>
    </row>
    <row r="544" spans="1:2" ht="14.25" customHeight="1" x14ac:dyDescent="0.35">
      <c r="A544" s="27"/>
      <c r="B544" s="28"/>
    </row>
    <row r="545" spans="1:2" ht="14.25" customHeight="1" x14ac:dyDescent="0.35">
      <c r="A545" s="27"/>
      <c r="B545" s="28"/>
    </row>
    <row r="546" spans="1:2" ht="14.25" customHeight="1" x14ac:dyDescent="0.35">
      <c r="A546" s="27"/>
      <c r="B546" s="28"/>
    </row>
    <row r="547" spans="1:2" ht="14.25" customHeight="1" x14ac:dyDescent="0.35">
      <c r="A547" s="27"/>
      <c r="B547" s="28"/>
    </row>
    <row r="548" spans="1:2" ht="14.25" customHeight="1" x14ac:dyDescent="0.35">
      <c r="A548" s="27"/>
      <c r="B548" s="28"/>
    </row>
    <row r="549" spans="1:2" ht="14.25" customHeight="1" x14ac:dyDescent="0.35">
      <c r="A549" s="27"/>
      <c r="B549" s="28"/>
    </row>
    <row r="550" spans="1:2" ht="14.25" customHeight="1" x14ac:dyDescent="0.35">
      <c r="A550" s="27"/>
      <c r="B550" s="28"/>
    </row>
    <row r="551" spans="1:2" ht="14.25" customHeight="1" x14ac:dyDescent="0.35">
      <c r="A551" s="27"/>
      <c r="B551" s="28"/>
    </row>
    <row r="552" spans="1:2" ht="14.25" customHeight="1" x14ac:dyDescent="0.35">
      <c r="A552" s="27"/>
      <c r="B552" s="28"/>
    </row>
    <row r="553" spans="1:2" ht="14.25" customHeight="1" x14ac:dyDescent="0.35">
      <c r="A553" s="27"/>
      <c r="B553" s="28"/>
    </row>
    <row r="554" spans="1:2" ht="14.25" customHeight="1" x14ac:dyDescent="0.35">
      <c r="A554" s="27"/>
      <c r="B554" s="28"/>
    </row>
    <row r="555" spans="1:2" ht="14.25" customHeight="1" x14ac:dyDescent="0.35">
      <c r="A555" s="27"/>
      <c r="B555" s="28"/>
    </row>
    <row r="556" spans="1:2" ht="14.25" customHeight="1" x14ac:dyDescent="0.35">
      <c r="A556" s="27"/>
      <c r="B556" s="28"/>
    </row>
    <row r="557" spans="1:2" ht="14.25" customHeight="1" x14ac:dyDescent="0.35">
      <c r="A557" s="27"/>
      <c r="B557" s="28"/>
    </row>
    <row r="558" spans="1:2" ht="14.25" customHeight="1" x14ac:dyDescent="0.35">
      <c r="A558" s="27"/>
      <c r="B558" s="28"/>
    </row>
    <row r="559" spans="1:2" ht="14.25" customHeight="1" x14ac:dyDescent="0.35">
      <c r="A559" s="27"/>
      <c r="B559" s="28"/>
    </row>
    <row r="560" spans="1:2" ht="14.25" customHeight="1" x14ac:dyDescent="0.35">
      <c r="A560" s="27"/>
      <c r="B560" s="28"/>
    </row>
    <row r="561" spans="1:2" ht="14.25" customHeight="1" x14ac:dyDescent="0.35">
      <c r="A561" s="27"/>
      <c r="B561" s="28"/>
    </row>
    <row r="562" spans="1:2" ht="14.25" customHeight="1" x14ac:dyDescent="0.35">
      <c r="A562" s="27"/>
      <c r="B562" s="28"/>
    </row>
    <row r="563" spans="1:2" ht="14.25" customHeight="1" x14ac:dyDescent="0.35">
      <c r="A563" s="27"/>
      <c r="B563" s="28"/>
    </row>
    <row r="564" spans="1:2" ht="14.25" customHeight="1" x14ac:dyDescent="0.35">
      <c r="A564" s="27"/>
      <c r="B564" s="28"/>
    </row>
    <row r="565" spans="1:2" ht="14.25" customHeight="1" x14ac:dyDescent="0.35">
      <c r="A565" s="27"/>
      <c r="B565" s="28"/>
    </row>
    <row r="566" spans="1:2" ht="14.25" customHeight="1" x14ac:dyDescent="0.35">
      <c r="A566" s="27"/>
      <c r="B566" s="28"/>
    </row>
    <row r="567" spans="1:2" ht="14.25" customHeight="1" x14ac:dyDescent="0.35">
      <c r="A567" s="27"/>
      <c r="B567" s="28"/>
    </row>
    <row r="568" spans="1:2" ht="14.25" customHeight="1" x14ac:dyDescent="0.35">
      <c r="A568" s="27"/>
      <c r="B568" s="28"/>
    </row>
    <row r="569" spans="1:2" ht="14.25" customHeight="1" x14ac:dyDescent="0.35">
      <c r="A569" s="27"/>
      <c r="B569" s="28"/>
    </row>
    <row r="570" spans="1:2" ht="14.25" customHeight="1" x14ac:dyDescent="0.35">
      <c r="A570" s="27"/>
      <c r="B570" s="28"/>
    </row>
    <row r="571" spans="1:2" ht="14.25" customHeight="1" x14ac:dyDescent="0.35">
      <c r="A571" s="27"/>
      <c r="B571" s="28"/>
    </row>
    <row r="572" spans="1:2" ht="14.25" customHeight="1" x14ac:dyDescent="0.35">
      <c r="A572" s="27"/>
      <c r="B572" s="28"/>
    </row>
    <row r="573" spans="1:2" ht="14.25" customHeight="1" x14ac:dyDescent="0.35">
      <c r="A573" s="27"/>
      <c r="B573" s="28"/>
    </row>
    <row r="574" spans="1:2" ht="14.25" customHeight="1" x14ac:dyDescent="0.35">
      <c r="A574" s="27"/>
      <c r="B574" s="28"/>
    </row>
    <row r="575" spans="1:2" ht="14.25" customHeight="1" x14ac:dyDescent="0.35">
      <c r="A575" s="27"/>
      <c r="B575" s="28"/>
    </row>
    <row r="576" spans="1:2" ht="14.25" customHeight="1" x14ac:dyDescent="0.35">
      <c r="A576" s="27"/>
      <c r="B576" s="28"/>
    </row>
    <row r="577" spans="1:2" ht="14.25" customHeight="1" x14ac:dyDescent="0.35">
      <c r="A577" s="27"/>
      <c r="B577" s="28"/>
    </row>
    <row r="578" spans="1:2" ht="14.25" customHeight="1" x14ac:dyDescent="0.35">
      <c r="A578" s="27"/>
      <c r="B578" s="28"/>
    </row>
    <row r="579" spans="1:2" ht="14.25" customHeight="1" x14ac:dyDescent="0.35">
      <c r="A579" s="27"/>
      <c r="B579" s="28"/>
    </row>
    <row r="580" spans="1:2" ht="14.25" customHeight="1" x14ac:dyDescent="0.35">
      <c r="A580" s="27"/>
      <c r="B580" s="28"/>
    </row>
    <row r="581" spans="1:2" ht="14.25" customHeight="1" x14ac:dyDescent="0.35">
      <c r="A581" s="27"/>
      <c r="B581" s="28"/>
    </row>
    <row r="582" spans="1:2" ht="14.25" customHeight="1" x14ac:dyDescent="0.35">
      <c r="A582" s="27"/>
      <c r="B582" s="28"/>
    </row>
    <row r="583" spans="1:2" ht="14.25" customHeight="1" x14ac:dyDescent="0.35">
      <c r="A583" s="27"/>
      <c r="B583" s="28"/>
    </row>
    <row r="584" spans="1:2" ht="14.25" customHeight="1" x14ac:dyDescent="0.35">
      <c r="A584" s="27"/>
      <c r="B584" s="28"/>
    </row>
    <row r="585" spans="1:2" ht="14.25" customHeight="1" x14ac:dyDescent="0.35">
      <c r="A585" s="27"/>
      <c r="B585" s="28"/>
    </row>
    <row r="586" spans="1:2" ht="14.25" customHeight="1" x14ac:dyDescent="0.35">
      <c r="A586" s="27"/>
      <c r="B586" s="28"/>
    </row>
    <row r="587" spans="1:2" ht="14.25" customHeight="1" x14ac:dyDescent="0.35">
      <c r="A587" s="27"/>
      <c r="B587" s="28"/>
    </row>
    <row r="588" spans="1:2" ht="14.25" customHeight="1" x14ac:dyDescent="0.35">
      <c r="A588" s="27"/>
      <c r="B588" s="28"/>
    </row>
    <row r="589" spans="1:2" ht="14.25" customHeight="1" x14ac:dyDescent="0.35">
      <c r="A589" s="27"/>
      <c r="B589" s="28"/>
    </row>
    <row r="590" spans="1:2" ht="14.25" customHeight="1" x14ac:dyDescent="0.35">
      <c r="A590" s="27"/>
      <c r="B590" s="28"/>
    </row>
    <row r="591" spans="1:2" ht="14.25" customHeight="1" x14ac:dyDescent="0.35">
      <c r="A591" s="27"/>
      <c r="B591" s="28"/>
    </row>
    <row r="592" spans="1:2" ht="14.25" customHeight="1" x14ac:dyDescent="0.35">
      <c r="A592" s="27"/>
      <c r="B592" s="28"/>
    </row>
    <row r="593" spans="1:2" ht="14.25" customHeight="1" x14ac:dyDescent="0.35">
      <c r="A593" s="27"/>
      <c r="B593" s="28"/>
    </row>
    <row r="594" spans="1:2" ht="14.25" customHeight="1" x14ac:dyDescent="0.35">
      <c r="A594" s="27"/>
      <c r="B594" s="28"/>
    </row>
    <row r="595" spans="1:2" ht="14.25" customHeight="1" x14ac:dyDescent="0.35">
      <c r="A595" s="27"/>
      <c r="B595" s="28"/>
    </row>
    <row r="596" spans="1:2" ht="14.25" customHeight="1" x14ac:dyDescent="0.35">
      <c r="A596" s="27"/>
      <c r="B596" s="28"/>
    </row>
    <row r="597" spans="1:2" ht="14.25" customHeight="1" x14ac:dyDescent="0.35">
      <c r="A597" s="27"/>
      <c r="B597" s="28"/>
    </row>
    <row r="598" spans="1:2" ht="14.25" customHeight="1" x14ac:dyDescent="0.35">
      <c r="A598" s="27"/>
      <c r="B598" s="28"/>
    </row>
    <row r="599" spans="1:2" ht="14.25" customHeight="1" x14ac:dyDescent="0.35">
      <c r="A599" s="27"/>
      <c r="B599" s="28"/>
    </row>
    <row r="600" spans="1:2" ht="14.25" customHeight="1" x14ac:dyDescent="0.35">
      <c r="A600" s="27"/>
      <c r="B600" s="28"/>
    </row>
    <row r="601" spans="1:2" ht="14.25" customHeight="1" x14ac:dyDescent="0.35">
      <c r="A601" s="27"/>
      <c r="B601" s="28"/>
    </row>
    <row r="602" spans="1:2" ht="14.25" customHeight="1" x14ac:dyDescent="0.35">
      <c r="A602" s="27"/>
      <c r="B602" s="28"/>
    </row>
    <row r="603" spans="1:2" ht="14.25" customHeight="1" x14ac:dyDescent="0.35">
      <c r="A603" s="27"/>
      <c r="B603" s="28"/>
    </row>
    <row r="604" spans="1:2" ht="14.25" customHeight="1" x14ac:dyDescent="0.35">
      <c r="A604" s="27"/>
      <c r="B604" s="28"/>
    </row>
    <row r="605" spans="1:2" ht="14.25" customHeight="1" x14ac:dyDescent="0.35">
      <c r="A605" s="27"/>
      <c r="B605" s="28"/>
    </row>
    <row r="606" spans="1:2" ht="14.25" customHeight="1" x14ac:dyDescent="0.35">
      <c r="A606" s="27"/>
      <c r="B606" s="28"/>
    </row>
    <row r="607" spans="1:2" ht="14.25" customHeight="1" x14ac:dyDescent="0.35">
      <c r="A607" s="27"/>
      <c r="B607" s="28"/>
    </row>
    <row r="608" spans="1:2" ht="14.25" customHeight="1" x14ac:dyDescent="0.35">
      <c r="A608" s="27"/>
      <c r="B608" s="28"/>
    </row>
    <row r="609" spans="1:2" ht="14.25" customHeight="1" x14ac:dyDescent="0.35">
      <c r="A609" s="27"/>
      <c r="B609" s="28"/>
    </row>
    <row r="610" spans="1:2" ht="14.25" customHeight="1" x14ac:dyDescent="0.35">
      <c r="A610" s="27"/>
      <c r="B610" s="28"/>
    </row>
    <row r="611" spans="1:2" ht="14.25" customHeight="1" x14ac:dyDescent="0.35">
      <c r="A611" s="27"/>
      <c r="B611" s="28"/>
    </row>
    <row r="612" spans="1:2" ht="14.25" customHeight="1" x14ac:dyDescent="0.35">
      <c r="A612" s="27"/>
      <c r="B612" s="28"/>
    </row>
    <row r="613" spans="1:2" ht="14.25" customHeight="1" x14ac:dyDescent="0.35">
      <c r="A613" s="27"/>
      <c r="B613" s="28"/>
    </row>
    <row r="614" spans="1:2" ht="14.25" customHeight="1" x14ac:dyDescent="0.35">
      <c r="A614" s="27"/>
      <c r="B614" s="28"/>
    </row>
    <row r="615" spans="1:2" ht="14.25" customHeight="1" x14ac:dyDescent="0.35">
      <c r="A615" s="27"/>
      <c r="B615" s="28"/>
    </row>
    <row r="616" spans="1:2" ht="14.25" customHeight="1" x14ac:dyDescent="0.35">
      <c r="A616" s="27"/>
      <c r="B616" s="28"/>
    </row>
    <row r="617" spans="1:2" ht="14.25" customHeight="1" x14ac:dyDescent="0.35">
      <c r="A617" s="27"/>
      <c r="B617" s="28"/>
    </row>
    <row r="618" spans="1:2" ht="14.25" customHeight="1" x14ac:dyDescent="0.35">
      <c r="A618" s="27"/>
      <c r="B618" s="28"/>
    </row>
    <row r="619" spans="1:2" ht="14.25" customHeight="1" x14ac:dyDescent="0.35">
      <c r="A619" s="27"/>
      <c r="B619" s="28"/>
    </row>
    <row r="620" spans="1:2" ht="14.25" customHeight="1" x14ac:dyDescent="0.35">
      <c r="A620" s="27"/>
      <c r="B620" s="28"/>
    </row>
    <row r="621" spans="1:2" ht="14.25" customHeight="1" x14ac:dyDescent="0.35">
      <c r="A621" s="27"/>
      <c r="B621" s="28"/>
    </row>
    <row r="622" spans="1:2" ht="14.25" customHeight="1" x14ac:dyDescent="0.35">
      <c r="A622" s="27"/>
      <c r="B622" s="28"/>
    </row>
    <row r="623" spans="1:2" ht="14.25" customHeight="1" x14ac:dyDescent="0.35">
      <c r="A623" s="27"/>
      <c r="B623" s="28"/>
    </row>
    <row r="624" spans="1:2" ht="14.25" customHeight="1" x14ac:dyDescent="0.35">
      <c r="A624" s="27"/>
      <c r="B624" s="28"/>
    </row>
    <row r="625" spans="1:2" ht="14.25" customHeight="1" x14ac:dyDescent="0.35">
      <c r="A625" s="27"/>
      <c r="B625" s="28"/>
    </row>
    <row r="626" spans="1:2" ht="14.25" customHeight="1" x14ac:dyDescent="0.35">
      <c r="A626" s="27"/>
      <c r="B626" s="28"/>
    </row>
    <row r="627" spans="1:2" ht="14.25" customHeight="1" x14ac:dyDescent="0.35">
      <c r="A627" s="27"/>
      <c r="B627" s="28"/>
    </row>
    <row r="628" spans="1:2" ht="14.25" customHeight="1" x14ac:dyDescent="0.35">
      <c r="A628" s="27"/>
      <c r="B628" s="28"/>
    </row>
    <row r="629" spans="1:2" ht="14.25" customHeight="1" x14ac:dyDescent="0.35">
      <c r="A629" s="27"/>
      <c r="B629" s="28"/>
    </row>
    <row r="630" spans="1:2" ht="14.25" customHeight="1" x14ac:dyDescent="0.35">
      <c r="A630" s="27"/>
      <c r="B630" s="28"/>
    </row>
    <row r="631" spans="1:2" ht="14.25" customHeight="1" x14ac:dyDescent="0.35">
      <c r="A631" s="27"/>
      <c r="B631" s="28"/>
    </row>
    <row r="632" spans="1:2" ht="14.25" customHeight="1" x14ac:dyDescent="0.35">
      <c r="A632" s="27"/>
      <c r="B632" s="28"/>
    </row>
    <row r="633" spans="1:2" ht="14.25" customHeight="1" x14ac:dyDescent="0.35">
      <c r="A633" s="27"/>
      <c r="B633" s="28"/>
    </row>
    <row r="634" spans="1:2" ht="14.25" customHeight="1" x14ac:dyDescent="0.35">
      <c r="A634" s="27"/>
      <c r="B634" s="28"/>
    </row>
    <row r="635" spans="1:2" ht="14.25" customHeight="1" x14ac:dyDescent="0.35">
      <c r="A635" s="27"/>
      <c r="B635" s="28"/>
    </row>
    <row r="636" spans="1:2" ht="14.25" customHeight="1" x14ac:dyDescent="0.35">
      <c r="A636" s="27"/>
      <c r="B636" s="28"/>
    </row>
    <row r="637" spans="1:2" ht="14.25" customHeight="1" x14ac:dyDescent="0.35">
      <c r="A637" s="27"/>
      <c r="B637" s="28"/>
    </row>
    <row r="638" spans="1:2" ht="14.25" customHeight="1" x14ac:dyDescent="0.35">
      <c r="A638" s="27"/>
      <c r="B638" s="28"/>
    </row>
    <row r="639" spans="1:2" ht="14.25" customHeight="1" x14ac:dyDescent="0.35">
      <c r="A639" s="27"/>
      <c r="B639" s="28"/>
    </row>
    <row r="640" spans="1:2" ht="14.25" customHeight="1" x14ac:dyDescent="0.35">
      <c r="A640" s="27"/>
      <c r="B640" s="28"/>
    </row>
    <row r="641" spans="1:2" ht="14.25" customHeight="1" x14ac:dyDescent="0.35">
      <c r="A641" s="27"/>
      <c r="B641" s="28"/>
    </row>
    <row r="642" spans="1:2" ht="14.25" customHeight="1" x14ac:dyDescent="0.35">
      <c r="A642" s="27"/>
      <c r="B642" s="28"/>
    </row>
    <row r="643" spans="1:2" ht="14.25" customHeight="1" x14ac:dyDescent="0.35">
      <c r="A643" s="27"/>
      <c r="B643" s="28"/>
    </row>
    <row r="644" spans="1:2" ht="14.25" customHeight="1" x14ac:dyDescent="0.35">
      <c r="A644" s="27"/>
      <c r="B644" s="28"/>
    </row>
    <row r="645" spans="1:2" ht="14.25" customHeight="1" x14ac:dyDescent="0.35">
      <c r="A645" s="27"/>
      <c r="B645" s="28"/>
    </row>
    <row r="646" spans="1:2" ht="14.25" customHeight="1" x14ac:dyDescent="0.35">
      <c r="A646" s="27"/>
      <c r="B646" s="28"/>
    </row>
    <row r="647" spans="1:2" ht="14.25" customHeight="1" x14ac:dyDescent="0.35">
      <c r="A647" s="27"/>
      <c r="B647" s="28"/>
    </row>
    <row r="648" spans="1:2" ht="14.25" customHeight="1" x14ac:dyDescent="0.35">
      <c r="A648" s="27"/>
      <c r="B648" s="28"/>
    </row>
    <row r="649" spans="1:2" ht="14.25" customHeight="1" x14ac:dyDescent="0.35">
      <c r="A649" s="27"/>
      <c r="B649" s="28"/>
    </row>
    <row r="650" spans="1:2" ht="14.25" customHeight="1" x14ac:dyDescent="0.35">
      <c r="A650" s="27"/>
      <c r="B650" s="28"/>
    </row>
    <row r="651" spans="1:2" ht="14.25" customHeight="1" x14ac:dyDescent="0.35">
      <c r="A651" s="27"/>
      <c r="B651" s="28"/>
    </row>
    <row r="652" spans="1:2" ht="14.25" customHeight="1" x14ac:dyDescent="0.35">
      <c r="A652" s="27"/>
      <c r="B652" s="28"/>
    </row>
    <row r="653" spans="1:2" ht="14.25" customHeight="1" x14ac:dyDescent="0.35">
      <c r="A653" s="27"/>
      <c r="B653" s="28"/>
    </row>
    <row r="654" spans="1:2" ht="14.25" customHeight="1" x14ac:dyDescent="0.35">
      <c r="A654" s="27"/>
      <c r="B654" s="28"/>
    </row>
    <row r="655" spans="1:2" ht="14.25" customHeight="1" x14ac:dyDescent="0.35">
      <c r="A655" s="27"/>
      <c r="B655" s="28"/>
    </row>
    <row r="656" spans="1:2" ht="14.25" customHeight="1" x14ac:dyDescent="0.35">
      <c r="A656" s="27"/>
      <c r="B656" s="28"/>
    </row>
    <row r="657" spans="1:2" ht="14.25" customHeight="1" x14ac:dyDescent="0.35">
      <c r="A657" s="27"/>
      <c r="B657" s="28"/>
    </row>
    <row r="658" spans="1:2" ht="14.25" customHeight="1" x14ac:dyDescent="0.35">
      <c r="A658" s="27"/>
      <c r="B658" s="28"/>
    </row>
    <row r="659" spans="1:2" ht="14.25" customHeight="1" x14ac:dyDescent="0.35">
      <c r="A659" s="27"/>
      <c r="B659" s="28"/>
    </row>
    <row r="660" spans="1:2" ht="14.25" customHeight="1" x14ac:dyDescent="0.35">
      <c r="A660" s="27"/>
      <c r="B660" s="28"/>
    </row>
    <row r="661" spans="1:2" ht="14.25" customHeight="1" x14ac:dyDescent="0.35">
      <c r="A661" s="27"/>
      <c r="B661" s="28"/>
    </row>
    <row r="662" spans="1:2" ht="14.25" customHeight="1" x14ac:dyDescent="0.35">
      <c r="A662" s="27"/>
      <c r="B662" s="28"/>
    </row>
    <row r="663" spans="1:2" ht="14.25" customHeight="1" x14ac:dyDescent="0.35">
      <c r="A663" s="27"/>
      <c r="B663" s="28"/>
    </row>
    <row r="664" spans="1:2" ht="14.25" customHeight="1" x14ac:dyDescent="0.35">
      <c r="A664" s="27"/>
      <c r="B664" s="28"/>
    </row>
    <row r="665" spans="1:2" ht="14.25" customHeight="1" x14ac:dyDescent="0.35">
      <c r="A665" s="27"/>
      <c r="B665" s="28"/>
    </row>
    <row r="666" spans="1:2" ht="14.25" customHeight="1" x14ac:dyDescent="0.35">
      <c r="A666" s="27"/>
      <c r="B666" s="28"/>
    </row>
    <row r="667" spans="1:2" ht="14.25" customHeight="1" x14ac:dyDescent="0.35">
      <c r="A667" s="27"/>
      <c r="B667" s="28"/>
    </row>
    <row r="668" spans="1:2" ht="14.25" customHeight="1" x14ac:dyDescent="0.35">
      <c r="A668" s="27"/>
      <c r="B668" s="28"/>
    </row>
    <row r="669" spans="1:2" ht="14.25" customHeight="1" x14ac:dyDescent="0.35">
      <c r="A669" s="27"/>
      <c r="B669" s="28"/>
    </row>
    <row r="670" spans="1:2" ht="14.25" customHeight="1" x14ac:dyDescent="0.35">
      <c r="A670" s="27"/>
      <c r="B670" s="28"/>
    </row>
    <row r="671" spans="1:2" ht="14.25" customHeight="1" x14ac:dyDescent="0.35">
      <c r="A671" s="27"/>
      <c r="B671" s="28"/>
    </row>
    <row r="672" spans="1:2" ht="14.25" customHeight="1" x14ac:dyDescent="0.35">
      <c r="A672" s="27"/>
      <c r="B672" s="28"/>
    </row>
    <row r="673" spans="1:2" ht="14.25" customHeight="1" x14ac:dyDescent="0.35">
      <c r="A673" s="27"/>
      <c r="B673" s="28"/>
    </row>
    <row r="674" spans="1:2" ht="14.25" customHeight="1" x14ac:dyDescent="0.35">
      <c r="A674" s="27"/>
      <c r="B674" s="28"/>
    </row>
    <row r="675" spans="1:2" ht="14.25" customHeight="1" x14ac:dyDescent="0.35">
      <c r="A675" s="27"/>
      <c r="B675" s="28"/>
    </row>
    <row r="676" spans="1:2" ht="14.25" customHeight="1" x14ac:dyDescent="0.35">
      <c r="A676" s="27"/>
      <c r="B676" s="28"/>
    </row>
    <row r="677" spans="1:2" ht="14.25" customHeight="1" x14ac:dyDescent="0.35">
      <c r="A677" s="27"/>
      <c r="B677" s="28"/>
    </row>
    <row r="678" spans="1:2" ht="14.25" customHeight="1" x14ac:dyDescent="0.35">
      <c r="A678" s="27"/>
      <c r="B678" s="28"/>
    </row>
    <row r="679" spans="1:2" ht="14.25" customHeight="1" x14ac:dyDescent="0.35">
      <c r="A679" s="27"/>
      <c r="B679" s="28"/>
    </row>
    <row r="680" spans="1:2" ht="14.25" customHeight="1" x14ac:dyDescent="0.35">
      <c r="A680" s="27"/>
      <c r="B680" s="28"/>
    </row>
    <row r="681" spans="1:2" ht="14.25" customHeight="1" x14ac:dyDescent="0.35">
      <c r="A681" s="27"/>
      <c r="B681" s="28"/>
    </row>
    <row r="682" spans="1:2" ht="14.25" customHeight="1" x14ac:dyDescent="0.35">
      <c r="A682" s="27"/>
      <c r="B682" s="28"/>
    </row>
    <row r="683" spans="1:2" ht="14.25" customHeight="1" x14ac:dyDescent="0.35">
      <c r="A683" s="27"/>
      <c r="B683" s="28"/>
    </row>
    <row r="684" spans="1:2" ht="14.25" customHeight="1" x14ac:dyDescent="0.35">
      <c r="A684" s="27"/>
      <c r="B684" s="28"/>
    </row>
    <row r="685" spans="1:2" ht="14.25" customHeight="1" x14ac:dyDescent="0.35">
      <c r="A685" s="27"/>
      <c r="B685" s="28"/>
    </row>
    <row r="686" spans="1:2" ht="14.25" customHeight="1" x14ac:dyDescent="0.35">
      <c r="A686" s="27"/>
      <c r="B686" s="28"/>
    </row>
    <row r="687" spans="1:2" ht="14.25" customHeight="1" x14ac:dyDescent="0.35">
      <c r="A687" s="27"/>
      <c r="B687" s="28"/>
    </row>
    <row r="688" spans="1:2" ht="14.25" customHeight="1" x14ac:dyDescent="0.35">
      <c r="A688" s="27"/>
      <c r="B688" s="28"/>
    </row>
    <row r="689" spans="1:2" ht="14.25" customHeight="1" x14ac:dyDescent="0.35">
      <c r="A689" s="27"/>
      <c r="B689" s="28"/>
    </row>
    <row r="690" spans="1:2" ht="14.25" customHeight="1" x14ac:dyDescent="0.35">
      <c r="A690" s="27"/>
      <c r="B690" s="28"/>
    </row>
    <row r="691" spans="1:2" ht="14.25" customHeight="1" x14ac:dyDescent="0.35">
      <c r="A691" s="27"/>
      <c r="B691" s="28"/>
    </row>
    <row r="692" spans="1:2" ht="14.25" customHeight="1" x14ac:dyDescent="0.35">
      <c r="A692" s="27"/>
      <c r="B692" s="28"/>
    </row>
    <row r="693" spans="1:2" ht="14.25" customHeight="1" x14ac:dyDescent="0.35">
      <c r="A693" s="27"/>
      <c r="B693" s="28"/>
    </row>
    <row r="694" spans="1:2" ht="14.25" customHeight="1" x14ac:dyDescent="0.35">
      <c r="A694" s="27"/>
      <c r="B694" s="28"/>
    </row>
    <row r="695" spans="1:2" ht="14.25" customHeight="1" x14ac:dyDescent="0.35">
      <c r="A695" s="27"/>
      <c r="B695" s="28"/>
    </row>
    <row r="696" spans="1:2" ht="14.25" customHeight="1" x14ac:dyDescent="0.35">
      <c r="A696" s="27"/>
      <c r="B696" s="28"/>
    </row>
    <row r="697" spans="1:2" ht="14.25" customHeight="1" x14ac:dyDescent="0.35">
      <c r="A697" s="27"/>
      <c r="B697" s="28"/>
    </row>
    <row r="698" spans="1:2" ht="14.25" customHeight="1" x14ac:dyDescent="0.35">
      <c r="A698" s="27"/>
      <c r="B698" s="28"/>
    </row>
    <row r="699" spans="1:2" ht="14.25" customHeight="1" x14ac:dyDescent="0.35">
      <c r="A699" s="27"/>
      <c r="B699" s="28"/>
    </row>
    <row r="700" spans="1:2" ht="14.25" customHeight="1" x14ac:dyDescent="0.35">
      <c r="A700" s="27"/>
      <c r="B700" s="28"/>
    </row>
    <row r="701" spans="1:2" ht="14.25" customHeight="1" x14ac:dyDescent="0.35">
      <c r="A701" s="27"/>
      <c r="B701" s="28"/>
    </row>
    <row r="702" spans="1:2" ht="14.25" customHeight="1" x14ac:dyDescent="0.35">
      <c r="A702" s="27"/>
      <c r="B702" s="28"/>
    </row>
    <row r="703" spans="1:2" ht="14.25" customHeight="1" x14ac:dyDescent="0.35">
      <c r="A703" s="27"/>
      <c r="B703" s="28"/>
    </row>
    <row r="704" spans="1:2" ht="14.25" customHeight="1" x14ac:dyDescent="0.35">
      <c r="A704" s="27"/>
      <c r="B704" s="28"/>
    </row>
    <row r="705" spans="1:2" ht="14.25" customHeight="1" x14ac:dyDescent="0.35">
      <c r="A705" s="27"/>
      <c r="B705" s="28"/>
    </row>
    <row r="706" spans="1:2" ht="14.25" customHeight="1" x14ac:dyDescent="0.35">
      <c r="A706" s="27"/>
      <c r="B706" s="28"/>
    </row>
    <row r="707" spans="1:2" ht="14.25" customHeight="1" x14ac:dyDescent="0.35">
      <c r="A707" s="27"/>
      <c r="B707" s="28"/>
    </row>
    <row r="708" spans="1:2" ht="14.25" customHeight="1" x14ac:dyDescent="0.35">
      <c r="A708" s="27"/>
      <c r="B708" s="28"/>
    </row>
    <row r="709" spans="1:2" ht="14.25" customHeight="1" x14ac:dyDescent="0.35">
      <c r="A709" s="27"/>
      <c r="B709" s="28"/>
    </row>
    <row r="710" spans="1:2" ht="14.25" customHeight="1" x14ac:dyDescent="0.35">
      <c r="A710" s="27"/>
      <c r="B710" s="28"/>
    </row>
    <row r="711" spans="1:2" ht="14.25" customHeight="1" x14ac:dyDescent="0.35">
      <c r="A711" s="27"/>
      <c r="B711" s="28"/>
    </row>
    <row r="712" spans="1:2" ht="14.25" customHeight="1" x14ac:dyDescent="0.35">
      <c r="A712" s="27"/>
      <c r="B712" s="28"/>
    </row>
    <row r="713" spans="1:2" ht="14.25" customHeight="1" x14ac:dyDescent="0.35">
      <c r="A713" s="27"/>
      <c r="B713" s="28"/>
    </row>
    <row r="714" spans="1:2" ht="14.25" customHeight="1" x14ac:dyDescent="0.35">
      <c r="A714" s="27"/>
      <c r="B714" s="28"/>
    </row>
    <row r="715" spans="1:2" ht="14.25" customHeight="1" x14ac:dyDescent="0.35">
      <c r="A715" s="27"/>
      <c r="B715" s="28"/>
    </row>
    <row r="716" spans="1:2" ht="14.25" customHeight="1" x14ac:dyDescent="0.35">
      <c r="A716" s="27"/>
      <c r="B716" s="28"/>
    </row>
    <row r="717" spans="1:2" ht="14.25" customHeight="1" x14ac:dyDescent="0.35">
      <c r="A717" s="27"/>
      <c r="B717" s="28"/>
    </row>
    <row r="718" spans="1:2" ht="14.25" customHeight="1" x14ac:dyDescent="0.35">
      <c r="A718" s="27"/>
      <c r="B718" s="28"/>
    </row>
    <row r="719" spans="1:2" ht="14.25" customHeight="1" x14ac:dyDescent="0.35">
      <c r="A719" s="27"/>
      <c r="B719" s="28"/>
    </row>
    <row r="720" spans="1:2" ht="14.25" customHeight="1" x14ac:dyDescent="0.35">
      <c r="A720" s="27"/>
      <c r="B720" s="28"/>
    </row>
    <row r="721" spans="1:2" ht="14.25" customHeight="1" x14ac:dyDescent="0.35">
      <c r="A721" s="27"/>
      <c r="B721" s="28"/>
    </row>
    <row r="722" spans="1:2" ht="14.25" customHeight="1" x14ac:dyDescent="0.35">
      <c r="A722" s="27"/>
      <c r="B722" s="28"/>
    </row>
    <row r="723" spans="1:2" ht="14.25" customHeight="1" x14ac:dyDescent="0.35">
      <c r="A723" s="27"/>
      <c r="B723" s="28"/>
    </row>
    <row r="724" spans="1:2" ht="14.25" customHeight="1" x14ac:dyDescent="0.35">
      <c r="A724" s="27"/>
      <c r="B724" s="28"/>
    </row>
    <row r="725" spans="1:2" ht="14.25" customHeight="1" x14ac:dyDescent="0.35">
      <c r="A725" s="27"/>
      <c r="B725" s="28"/>
    </row>
    <row r="726" spans="1:2" ht="14.25" customHeight="1" x14ac:dyDescent="0.35">
      <c r="A726" s="27"/>
      <c r="B726" s="28"/>
    </row>
    <row r="727" spans="1:2" ht="14.25" customHeight="1" x14ac:dyDescent="0.35">
      <c r="A727" s="27"/>
      <c r="B727" s="28"/>
    </row>
    <row r="728" spans="1:2" ht="14.25" customHeight="1" x14ac:dyDescent="0.35">
      <c r="A728" s="27"/>
      <c r="B728" s="28"/>
    </row>
    <row r="729" spans="1:2" ht="14.25" customHeight="1" x14ac:dyDescent="0.35">
      <c r="A729" s="27"/>
      <c r="B729" s="28"/>
    </row>
    <row r="730" spans="1:2" ht="14.25" customHeight="1" x14ac:dyDescent="0.35">
      <c r="A730" s="27"/>
      <c r="B730" s="28"/>
    </row>
    <row r="731" spans="1:2" ht="14.25" customHeight="1" x14ac:dyDescent="0.35">
      <c r="A731" s="27"/>
      <c r="B731" s="28"/>
    </row>
    <row r="732" spans="1:2" ht="14.25" customHeight="1" x14ac:dyDescent="0.35">
      <c r="A732" s="27"/>
      <c r="B732" s="28"/>
    </row>
    <row r="733" spans="1:2" ht="14.25" customHeight="1" x14ac:dyDescent="0.35">
      <c r="A733" s="27"/>
      <c r="B733" s="28"/>
    </row>
    <row r="734" spans="1:2" ht="14.25" customHeight="1" x14ac:dyDescent="0.35">
      <c r="A734" s="27"/>
      <c r="B734" s="28"/>
    </row>
    <row r="735" spans="1:2" ht="14.25" customHeight="1" x14ac:dyDescent="0.35">
      <c r="A735" s="27"/>
      <c r="B735" s="28"/>
    </row>
    <row r="736" spans="1:2" ht="14.25" customHeight="1" x14ac:dyDescent="0.35">
      <c r="A736" s="27"/>
      <c r="B736" s="28"/>
    </row>
    <row r="737" spans="1:2" ht="14.25" customHeight="1" x14ac:dyDescent="0.35">
      <c r="A737" s="27"/>
      <c r="B737" s="28"/>
    </row>
    <row r="738" spans="1:2" ht="14.25" customHeight="1" x14ac:dyDescent="0.35">
      <c r="A738" s="27"/>
      <c r="B738" s="28"/>
    </row>
    <row r="739" spans="1:2" ht="14.25" customHeight="1" x14ac:dyDescent="0.35">
      <c r="A739" s="27"/>
      <c r="B739" s="28"/>
    </row>
    <row r="740" spans="1:2" ht="14.25" customHeight="1" x14ac:dyDescent="0.35">
      <c r="A740" s="27"/>
      <c r="B740" s="28"/>
    </row>
    <row r="741" spans="1:2" ht="14.25" customHeight="1" x14ac:dyDescent="0.35">
      <c r="A741" s="27"/>
      <c r="B741" s="28"/>
    </row>
    <row r="742" spans="1:2" ht="14.25" customHeight="1" x14ac:dyDescent="0.35">
      <c r="A742" s="27"/>
      <c r="B742" s="28"/>
    </row>
    <row r="743" spans="1:2" ht="14.25" customHeight="1" x14ac:dyDescent="0.35">
      <c r="A743" s="27"/>
      <c r="B743" s="28"/>
    </row>
    <row r="744" spans="1:2" ht="14.25" customHeight="1" x14ac:dyDescent="0.35">
      <c r="A744" s="27"/>
      <c r="B744" s="28"/>
    </row>
    <row r="745" spans="1:2" ht="14.25" customHeight="1" x14ac:dyDescent="0.35">
      <c r="A745" s="27"/>
      <c r="B745" s="28"/>
    </row>
    <row r="746" spans="1:2" ht="14.25" customHeight="1" x14ac:dyDescent="0.35">
      <c r="A746" s="27"/>
      <c r="B746" s="28"/>
    </row>
    <row r="747" spans="1:2" ht="14.25" customHeight="1" x14ac:dyDescent="0.35">
      <c r="A747" s="27"/>
      <c r="B747" s="28"/>
    </row>
    <row r="748" spans="1:2" ht="14.25" customHeight="1" x14ac:dyDescent="0.35">
      <c r="A748" s="27"/>
      <c r="B748" s="28"/>
    </row>
    <row r="749" spans="1:2" ht="14.25" customHeight="1" x14ac:dyDescent="0.35">
      <c r="A749" s="27"/>
      <c r="B749" s="28"/>
    </row>
    <row r="750" spans="1:2" ht="14.25" customHeight="1" x14ac:dyDescent="0.35">
      <c r="A750" s="27"/>
      <c r="B750" s="28"/>
    </row>
    <row r="751" spans="1:2" ht="14.25" customHeight="1" x14ac:dyDescent="0.35">
      <c r="A751" s="27"/>
      <c r="B751" s="28"/>
    </row>
    <row r="752" spans="1:2" ht="14.25" customHeight="1" x14ac:dyDescent="0.35">
      <c r="A752" s="27"/>
      <c r="B752" s="28"/>
    </row>
    <row r="753" spans="1:2" ht="14.25" customHeight="1" x14ac:dyDescent="0.35">
      <c r="A753" s="27"/>
      <c r="B753" s="28"/>
    </row>
    <row r="754" spans="1:2" ht="14.25" customHeight="1" x14ac:dyDescent="0.35">
      <c r="A754" s="27"/>
      <c r="B754" s="28"/>
    </row>
    <row r="755" spans="1:2" ht="14.25" customHeight="1" x14ac:dyDescent="0.35">
      <c r="A755" s="27"/>
      <c r="B755" s="28"/>
    </row>
    <row r="756" spans="1:2" ht="14.25" customHeight="1" x14ac:dyDescent="0.35">
      <c r="A756" s="27"/>
      <c r="B756" s="28"/>
    </row>
    <row r="757" spans="1:2" ht="14.25" customHeight="1" x14ac:dyDescent="0.35">
      <c r="A757" s="27"/>
      <c r="B757" s="28"/>
    </row>
    <row r="758" spans="1:2" ht="14.25" customHeight="1" x14ac:dyDescent="0.35">
      <c r="A758" s="27"/>
      <c r="B758" s="28"/>
    </row>
    <row r="759" spans="1:2" ht="14.25" customHeight="1" x14ac:dyDescent="0.35">
      <c r="A759" s="27"/>
      <c r="B759" s="28"/>
    </row>
    <row r="760" spans="1:2" ht="14.25" customHeight="1" x14ac:dyDescent="0.35">
      <c r="A760" s="27"/>
      <c r="B760" s="28"/>
    </row>
    <row r="761" spans="1:2" ht="14.25" customHeight="1" x14ac:dyDescent="0.35">
      <c r="A761" s="27"/>
      <c r="B761" s="28"/>
    </row>
    <row r="762" spans="1:2" ht="14.25" customHeight="1" x14ac:dyDescent="0.35">
      <c r="A762" s="27"/>
      <c r="B762" s="28"/>
    </row>
    <row r="763" spans="1:2" ht="14.25" customHeight="1" x14ac:dyDescent="0.35">
      <c r="A763" s="27"/>
      <c r="B763" s="28"/>
    </row>
    <row r="764" spans="1:2" ht="14.25" customHeight="1" x14ac:dyDescent="0.35">
      <c r="A764" s="27"/>
      <c r="B764" s="28"/>
    </row>
    <row r="765" spans="1:2" ht="14.25" customHeight="1" x14ac:dyDescent="0.35">
      <c r="A765" s="27"/>
      <c r="B765" s="28"/>
    </row>
    <row r="766" spans="1:2" ht="14.25" customHeight="1" x14ac:dyDescent="0.35">
      <c r="A766" s="27"/>
      <c r="B766" s="28"/>
    </row>
    <row r="767" spans="1:2" ht="14.25" customHeight="1" x14ac:dyDescent="0.35">
      <c r="A767" s="27"/>
      <c r="B767" s="28"/>
    </row>
    <row r="768" spans="1:2" ht="14.25" customHeight="1" x14ac:dyDescent="0.35">
      <c r="A768" s="27"/>
      <c r="B768" s="28"/>
    </row>
    <row r="769" spans="1:2" ht="14.25" customHeight="1" x14ac:dyDescent="0.35">
      <c r="A769" s="27"/>
      <c r="B769" s="28"/>
    </row>
    <row r="770" spans="1:2" ht="14.25" customHeight="1" x14ac:dyDescent="0.35">
      <c r="A770" s="27"/>
      <c r="B770" s="28"/>
    </row>
    <row r="771" spans="1:2" ht="14.25" customHeight="1" x14ac:dyDescent="0.35">
      <c r="A771" s="27"/>
      <c r="B771" s="28"/>
    </row>
    <row r="772" spans="1:2" ht="14.25" customHeight="1" x14ac:dyDescent="0.35">
      <c r="A772" s="27"/>
      <c r="B772" s="28"/>
    </row>
    <row r="773" spans="1:2" ht="14.25" customHeight="1" x14ac:dyDescent="0.35">
      <c r="A773" s="27"/>
      <c r="B773" s="28"/>
    </row>
    <row r="774" spans="1:2" ht="14.25" customHeight="1" x14ac:dyDescent="0.35">
      <c r="A774" s="27"/>
      <c r="B774" s="28"/>
    </row>
    <row r="775" spans="1:2" ht="14.25" customHeight="1" x14ac:dyDescent="0.35">
      <c r="A775" s="27"/>
      <c r="B775" s="28"/>
    </row>
    <row r="776" spans="1:2" ht="14.25" customHeight="1" x14ac:dyDescent="0.35">
      <c r="A776" s="27"/>
      <c r="B776" s="28"/>
    </row>
    <row r="777" spans="1:2" ht="14.25" customHeight="1" x14ac:dyDescent="0.35">
      <c r="A777" s="27"/>
      <c r="B777" s="28"/>
    </row>
    <row r="778" spans="1:2" ht="14.25" customHeight="1" x14ac:dyDescent="0.35">
      <c r="A778" s="27"/>
      <c r="B778" s="28"/>
    </row>
    <row r="779" spans="1:2" ht="14.25" customHeight="1" x14ac:dyDescent="0.35">
      <c r="A779" s="27"/>
      <c r="B779" s="28"/>
    </row>
    <row r="780" spans="1:2" ht="14.25" customHeight="1" x14ac:dyDescent="0.35">
      <c r="A780" s="27"/>
      <c r="B780" s="28"/>
    </row>
    <row r="781" spans="1:2" ht="14.25" customHeight="1" x14ac:dyDescent="0.35">
      <c r="A781" s="27"/>
      <c r="B781" s="28"/>
    </row>
    <row r="782" spans="1:2" ht="14.25" customHeight="1" x14ac:dyDescent="0.35">
      <c r="A782" s="27"/>
      <c r="B782" s="28"/>
    </row>
    <row r="783" spans="1:2" ht="14.25" customHeight="1" x14ac:dyDescent="0.35">
      <c r="A783" s="27"/>
      <c r="B783" s="28"/>
    </row>
    <row r="784" spans="1:2" ht="14.25" customHeight="1" x14ac:dyDescent="0.35">
      <c r="A784" s="27"/>
      <c r="B784" s="28"/>
    </row>
    <row r="785" spans="1:2" ht="14.25" customHeight="1" x14ac:dyDescent="0.35">
      <c r="A785" s="27"/>
      <c r="B785" s="28"/>
    </row>
    <row r="786" spans="1:2" ht="14.25" customHeight="1" x14ac:dyDescent="0.35">
      <c r="A786" s="27"/>
      <c r="B786" s="28"/>
    </row>
    <row r="787" spans="1:2" ht="14.25" customHeight="1" x14ac:dyDescent="0.35">
      <c r="A787" s="27"/>
      <c r="B787" s="28"/>
    </row>
    <row r="788" spans="1:2" ht="14.25" customHeight="1" x14ac:dyDescent="0.35">
      <c r="A788" s="27"/>
      <c r="B788" s="28"/>
    </row>
    <row r="789" spans="1:2" ht="14.25" customHeight="1" x14ac:dyDescent="0.35">
      <c r="A789" s="27"/>
      <c r="B789" s="28"/>
    </row>
    <row r="790" spans="1:2" ht="14.25" customHeight="1" x14ac:dyDescent="0.35">
      <c r="A790" s="27"/>
      <c r="B790" s="28"/>
    </row>
    <row r="791" spans="1:2" ht="14.25" customHeight="1" x14ac:dyDescent="0.35">
      <c r="A791" s="27"/>
      <c r="B791" s="28"/>
    </row>
    <row r="792" spans="1:2" ht="14.25" customHeight="1" x14ac:dyDescent="0.35">
      <c r="A792" s="27"/>
      <c r="B792" s="28"/>
    </row>
    <row r="793" spans="1:2" ht="14.25" customHeight="1" x14ac:dyDescent="0.35">
      <c r="A793" s="27"/>
      <c r="B793" s="28"/>
    </row>
    <row r="794" spans="1:2" ht="14.25" customHeight="1" x14ac:dyDescent="0.35">
      <c r="A794" s="27"/>
      <c r="B794" s="28"/>
    </row>
    <row r="795" spans="1:2" ht="14.25" customHeight="1" x14ac:dyDescent="0.35">
      <c r="A795" s="27"/>
      <c r="B795" s="28"/>
    </row>
    <row r="796" spans="1:2" ht="14.25" customHeight="1" x14ac:dyDescent="0.35">
      <c r="A796" s="27"/>
      <c r="B796" s="28"/>
    </row>
    <row r="797" spans="1:2" ht="14.25" customHeight="1" x14ac:dyDescent="0.35">
      <c r="A797" s="27"/>
      <c r="B797" s="28"/>
    </row>
    <row r="798" spans="1:2" ht="14.25" customHeight="1" x14ac:dyDescent="0.35">
      <c r="A798" s="27"/>
      <c r="B798" s="28"/>
    </row>
    <row r="799" spans="1:2" ht="14.25" customHeight="1" x14ac:dyDescent="0.35">
      <c r="A799" s="27"/>
      <c r="B799" s="28"/>
    </row>
    <row r="800" spans="1:2" ht="14.25" customHeight="1" x14ac:dyDescent="0.35">
      <c r="A800" s="27"/>
      <c r="B800" s="28"/>
    </row>
    <row r="801" spans="1:2" ht="14.25" customHeight="1" x14ac:dyDescent="0.35">
      <c r="A801" s="27"/>
      <c r="B801" s="28"/>
    </row>
    <row r="802" spans="1:2" ht="14.25" customHeight="1" x14ac:dyDescent="0.35">
      <c r="A802" s="27"/>
      <c r="B802" s="28"/>
    </row>
    <row r="803" spans="1:2" ht="14.25" customHeight="1" x14ac:dyDescent="0.35">
      <c r="A803" s="27"/>
      <c r="B803" s="28"/>
    </row>
    <row r="804" spans="1:2" ht="14.25" customHeight="1" x14ac:dyDescent="0.35">
      <c r="A804" s="27"/>
      <c r="B804" s="28"/>
    </row>
    <row r="805" spans="1:2" ht="14.25" customHeight="1" x14ac:dyDescent="0.35">
      <c r="A805" s="27"/>
      <c r="B805" s="28"/>
    </row>
    <row r="806" spans="1:2" ht="14.25" customHeight="1" x14ac:dyDescent="0.35">
      <c r="A806" s="27"/>
      <c r="B806" s="28"/>
    </row>
    <row r="807" spans="1:2" ht="14.25" customHeight="1" x14ac:dyDescent="0.35">
      <c r="A807" s="27"/>
      <c r="B807" s="28"/>
    </row>
    <row r="808" spans="1:2" ht="14.25" customHeight="1" x14ac:dyDescent="0.35">
      <c r="A808" s="27"/>
      <c r="B808" s="28"/>
    </row>
    <row r="809" spans="1:2" ht="14.25" customHeight="1" x14ac:dyDescent="0.35">
      <c r="A809" s="27"/>
      <c r="B809" s="28"/>
    </row>
    <row r="810" spans="1:2" ht="14.25" customHeight="1" x14ac:dyDescent="0.35">
      <c r="A810" s="27"/>
      <c r="B810" s="28"/>
    </row>
    <row r="811" spans="1:2" ht="14.25" customHeight="1" x14ac:dyDescent="0.35">
      <c r="A811" s="27"/>
      <c r="B811" s="28"/>
    </row>
    <row r="812" spans="1:2" ht="14.25" customHeight="1" x14ac:dyDescent="0.35">
      <c r="A812" s="27"/>
      <c r="B812" s="28"/>
    </row>
    <row r="813" spans="1:2" ht="14.25" customHeight="1" x14ac:dyDescent="0.35">
      <c r="A813" s="27"/>
      <c r="B813" s="28"/>
    </row>
    <row r="814" spans="1:2" ht="14.25" customHeight="1" x14ac:dyDescent="0.35">
      <c r="A814" s="27"/>
      <c r="B814" s="28"/>
    </row>
    <row r="815" spans="1:2" ht="14.25" customHeight="1" x14ac:dyDescent="0.35">
      <c r="A815" s="27"/>
      <c r="B815" s="28"/>
    </row>
    <row r="816" spans="1:2" ht="14.25" customHeight="1" x14ac:dyDescent="0.35">
      <c r="A816" s="27"/>
      <c r="B816" s="28"/>
    </row>
    <row r="817" spans="1:2" ht="14.25" customHeight="1" x14ac:dyDescent="0.35">
      <c r="A817" s="27"/>
      <c r="B817" s="28"/>
    </row>
    <row r="818" spans="1:2" ht="14.25" customHeight="1" x14ac:dyDescent="0.35">
      <c r="A818" s="27"/>
      <c r="B818" s="28"/>
    </row>
    <row r="819" spans="1:2" ht="14.25" customHeight="1" x14ac:dyDescent="0.35">
      <c r="A819" s="27"/>
      <c r="B819" s="28"/>
    </row>
    <row r="820" spans="1:2" ht="14.25" customHeight="1" x14ac:dyDescent="0.35">
      <c r="A820" s="27"/>
      <c r="B820" s="28"/>
    </row>
    <row r="821" spans="1:2" ht="14.25" customHeight="1" x14ac:dyDescent="0.35">
      <c r="A821" s="27"/>
      <c r="B821" s="28"/>
    </row>
    <row r="822" spans="1:2" ht="14.25" customHeight="1" x14ac:dyDescent="0.35">
      <c r="A822" s="27"/>
      <c r="B822" s="28"/>
    </row>
    <row r="823" spans="1:2" ht="14.25" customHeight="1" x14ac:dyDescent="0.35">
      <c r="A823" s="27"/>
      <c r="B823" s="28"/>
    </row>
    <row r="824" spans="1:2" ht="14.25" customHeight="1" x14ac:dyDescent="0.35">
      <c r="A824" s="27"/>
      <c r="B824" s="28"/>
    </row>
    <row r="825" spans="1:2" ht="14.25" customHeight="1" x14ac:dyDescent="0.35">
      <c r="A825" s="27"/>
      <c r="B825" s="28"/>
    </row>
    <row r="826" spans="1:2" ht="14.25" customHeight="1" x14ac:dyDescent="0.35">
      <c r="A826" s="27"/>
      <c r="B826" s="28"/>
    </row>
    <row r="827" spans="1:2" ht="14.25" customHeight="1" x14ac:dyDescent="0.35">
      <c r="A827" s="27"/>
      <c r="B827" s="28"/>
    </row>
    <row r="828" spans="1:2" ht="14.25" customHeight="1" x14ac:dyDescent="0.35">
      <c r="A828" s="27"/>
      <c r="B828" s="28"/>
    </row>
    <row r="829" spans="1:2" ht="14.25" customHeight="1" x14ac:dyDescent="0.35">
      <c r="A829" s="27"/>
      <c r="B829" s="28"/>
    </row>
    <row r="830" spans="1:2" ht="14.25" customHeight="1" x14ac:dyDescent="0.35">
      <c r="A830" s="27"/>
      <c r="B830" s="28"/>
    </row>
    <row r="831" spans="1:2" ht="14.25" customHeight="1" x14ac:dyDescent="0.35">
      <c r="A831" s="27"/>
      <c r="B831" s="28"/>
    </row>
    <row r="832" spans="1:2" ht="14.25" customHeight="1" x14ac:dyDescent="0.35">
      <c r="A832" s="27"/>
      <c r="B832" s="28"/>
    </row>
    <row r="833" spans="1:2" ht="14.25" customHeight="1" x14ac:dyDescent="0.35">
      <c r="A833" s="27"/>
      <c r="B833" s="28"/>
    </row>
    <row r="834" spans="1:2" ht="14.25" customHeight="1" x14ac:dyDescent="0.35">
      <c r="A834" s="27"/>
      <c r="B834" s="28"/>
    </row>
    <row r="835" spans="1:2" ht="14.25" customHeight="1" x14ac:dyDescent="0.35">
      <c r="A835" s="27"/>
      <c r="B835" s="28"/>
    </row>
    <row r="836" spans="1:2" ht="14.25" customHeight="1" x14ac:dyDescent="0.35">
      <c r="A836" s="27"/>
      <c r="B836" s="28"/>
    </row>
    <row r="837" spans="1:2" ht="14.25" customHeight="1" x14ac:dyDescent="0.35">
      <c r="A837" s="27"/>
      <c r="B837" s="28"/>
    </row>
    <row r="838" spans="1:2" ht="14.25" customHeight="1" x14ac:dyDescent="0.35">
      <c r="A838" s="27"/>
      <c r="B838" s="28"/>
    </row>
    <row r="839" spans="1:2" ht="14.25" customHeight="1" x14ac:dyDescent="0.35">
      <c r="A839" s="27"/>
      <c r="B839" s="28"/>
    </row>
    <row r="840" spans="1:2" ht="14.25" customHeight="1" x14ac:dyDescent="0.35">
      <c r="A840" s="27"/>
      <c r="B840" s="28"/>
    </row>
    <row r="841" spans="1:2" ht="14.25" customHeight="1" x14ac:dyDescent="0.35">
      <c r="A841" s="27"/>
      <c r="B841" s="28"/>
    </row>
    <row r="842" spans="1:2" ht="14.25" customHeight="1" x14ac:dyDescent="0.35">
      <c r="A842" s="27"/>
      <c r="B842" s="28"/>
    </row>
    <row r="843" spans="1:2" ht="14.25" customHeight="1" x14ac:dyDescent="0.35">
      <c r="A843" s="27"/>
      <c r="B843" s="28"/>
    </row>
    <row r="844" spans="1:2" ht="14.25" customHeight="1" x14ac:dyDescent="0.35">
      <c r="A844" s="27"/>
      <c r="B844" s="28"/>
    </row>
    <row r="845" spans="1:2" ht="14.25" customHeight="1" x14ac:dyDescent="0.35">
      <c r="A845" s="27"/>
      <c r="B845" s="28"/>
    </row>
    <row r="846" spans="1:2" ht="14.25" customHeight="1" x14ac:dyDescent="0.35">
      <c r="A846" s="27"/>
      <c r="B846" s="28"/>
    </row>
    <row r="847" spans="1:2" ht="14.25" customHeight="1" x14ac:dyDescent="0.35">
      <c r="A847" s="27"/>
      <c r="B847" s="28"/>
    </row>
    <row r="848" spans="1:2" ht="14.25" customHeight="1" x14ac:dyDescent="0.35">
      <c r="A848" s="27"/>
      <c r="B848" s="28"/>
    </row>
    <row r="849" spans="1:2" ht="14.25" customHeight="1" x14ac:dyDescent="0.35">
      <c r="A849" s="27"/>
      <c r="B849" s="28"/>
    </row>
    <row r="850" spans="1:2" ht="14.25" customHeight="1" x14ac:dyDescent="0.35">
      <c r="A850" s="27"/>
      <c r="B850" s="28"/>
    </row>
    <row r="851" spans="1:2" ht="14.25" customHeight="1" x14ac:dyDescent="0.35">
      <c r="A851" s="27"/>
      <c r="B851" s="28"/>
    </row>
    <row r="852" spans="1:2" ht="14.25" customHeight="1" x14ac:dyDescent="0.35">
      <c r="A852" s="27"/>
      <c r="B852" s="28"/>
    </row>
    <row r="853" spans="1:2" ht="14.25" customHeight="1" x14ac:dyDescent="0.35">
      <c r="A853" s="27"/>
      <c r="B853" s="28"/>
    </row>
    <row r="854" spans="1:2" ht="14.25" customHeight="1" x14ac:dyDescent="0.35">
      <c r="A854" s="27"/>
      <c r="B854" s="28"/>
    </row>
    <row r="855" spans="1:2" ht="14.25" customHeight="1" x14ac:dyDescent="0.35">
      <c r="A855" s="27"/>
      <c r="B855" s="28"/>
    </row>
    <row r="856" spans="1:2" ht="14.25" customHeight="1" x14ac:dyDescent="0.35">
      <c r="A856" s="27"/>
      <c r="B856" s="28"/>
    </row>
    <row r="857" spans="1:2" ht="14.25" customHeight="1" x14ac:dyDescent="0.35">
      <c r="A857" s="27"/>
      <c r="B857" s="28"/>
    </row>
    <row r="858" spans="1:2" ht="14.25" customHeight="1" x14ac:dyDescent="0.35">
      <c r="A858" s="27"/>
      <c r="B858" s="28"/>
    </row>
    <row r="859" spans="1:2" ht="14.25" customHeight="1" x14ac:dyDescent="0.35">
      <c r="A859" s="27"/>
      <c r="B859" s="28"/>
    </row>
    <row r="860" spans="1:2" ht="14.25" customHeight="1" x14ac:dyDescent="0.35">
      <c r="A860" s="27"/>
      <c r="B860" s="28"/>
    </row>
    <row r="861" spans="1:2" ht="14.25" customHeight="1" x14ac:dyDescent="0.35">
      <c r="A861" s="27"/>
      <c r="B861" s="28"/>
    </row>
    <row r="862" spans="1:2" ht="14.25" customHeight="1" x14ac:dyDescent="0.35">
      <c r="A862" s="27"/>
      <c r="B862" s="28"/>
    </row>
    <row r="863" spans="1:2" ht="14.25" customHeight="1" x14ac:dyDescent="0.35">
      <c r="A863" s="27"/>
      <c r="B863" s="28"/>
    </row>
    <row r="864" spans="1:2" ht="14.25" customHeight="1" x14ac:dyDescent="0.35">
      <c r="A864" s="27"/>
      <c r="B864" s="28"/>
    </row>
    <row r="865" spans="1:2" ht="14.25" customHeight="1" x14ac:dyDescent="0.35">
      <c r="A865" s="27"/>
      <c r="B865" s="28"/>
    </row>
    <row r="866" spans="1:2" ht="14.25" customHeight="1" x14ac:dyDescent="0.35">
      <c r="A866" s="27"/>
      <c r="B866" s="28"/>
    </row>
    <row r="867" spans="1:2" ht="14.25" customHeight="1" x14ac:dyDescent="0.35">
      <c r="A867" s="27"/>
      <c r="B867" s="28"/>
    </row>
    <row r="868" spans="1:2" ht="14.25" customHeight="1" x14ac:dyDescent="0.35">
      <c r="A868" s="27"/>
      <c r="B868" s="28"/>
    </row>
    <row r="869" spans="1:2" ht="14.25" customHeight="1" x14ac:dyDescent="0.35">
      <c r="A869" s="27"/>
      <c r="B869" s="28"/>
    </row>
    <row r="870" spans="1:2" ht="14.25" customHeight="1" x14ac:dyDescent="0.35">
      <c r="A870" s="27"/>
      <c r="B870" s="28"/>
    </row>
    <row r="871" spans="1:2" ht="14.25" customHeight="1" x14ac:dyDescent="0.35">
      <c r="A871" s="27"/>
      <c r="B871" s="28"/>
    </row>
    <row r="872" spans="1:2" ht="14.25" customHeight="1" x14ac:dyDescent="0.35">
      <c r="A872" s="27"/>
      <c r="B872" s="28"/>
    </row>
    <row r="873" spans="1:2" ht="14.25" customHeight="1" x14ac:dyDescent="0.35">
      <c r="A873" s="27"/>
      <c r="B873" s="28"/>
    </row>
    <row r="874" spans="1:2" ht="14.25" customHeight="1" x14ac:dyDescent="0.35">
      <c r="A874" s="27"/>
      <c r="B874" s="28"/>
    </row>
    <row r="875" spans="1:2" ht="14.25" customHeight="1" x14ac:dyDescent="0.35">
      <c r="A875" s="27"/>
      <c r="B875" s="28"/>
    </row>
    <row r="876" spans="1:2" ht="14.25" customHeight="1" x14ac:dyDescent="0.35">
      <c r="A876" s="27"/>
      <c r="B876" s="28"/>
    </row>
    <row r="877" spans="1:2" ht="14.25" customHeight="1" x14ac:dyDescent="0.35">
      <c r="A877" s="27"/>
      <c r="B877" s="28"/>
    </row>
    <row r="878" spans="1:2" ht="14.25" customHeight="1" x14ac:dyDescent="0.35">
      <c r="A878" s="27"/>
      <c r="B878" s="28"/>
    </row>
    <row r="879" spans="1:2" ht="14.25" customHeight="1" x14ac:dyDescent="0.35">
      <c r="A879" s="27"/>
      <c r="B879" s="28"/>
    </row>
    <row r="880" spans="1:2" ht="14.25" customHeight="1" x14ac:dyDescent="0.35">
      <c r="A880" s="27"/>
      <c r="B880" s="28"/>
    </row>
    <row r="881" spans="1:2" ht="14.25" customHeight="1" x14ac:dyDescent="0.35">
      <c r="A881" s="27"/>
      <c r="B881" s="28"/>
    </row>
    <row r="882" spans="1:2" ht="14.25" customHeight="1" x14ac:dyDescent="0.35">
      <c r="A882" s="27"/>
      <c r="B882" s="28"/>
    </row>
    <row r="883" spans="1:2" ht="14.25" customHeight="1" x14ac:dyDescent="0.35">
      <c r="A883" s="27"/>
      <c r="B883" s="28"/>
    </row>
    <row r="884" spans="1:2" ht="14.25" customHeight="1" x14ac:dyDescent="0.35">
      <c r="A884" s="27"/>
      <c r="B884" s="28"/>
    </row>
    <row r="885" spans="1:2" ht="14.25" customHeight="1" x14ac:dyDescent="0.35">
      <c r="A885" s="27"/>
      <c r="B885" s="28"/>
    </row>
    <row r="886" spans="1:2" ht="14.25" customHeight="1" x14ac:dyDescent="0.35">
      <c r="A886" s="27"/>
      <c r="B886" s="28"/>
    </row>
    <row r="887" spans="1:2" ht="14.25" customHeight="1" x14ac:dyDescent="0.35">
      <c r="A887" s="27"/>
      <c r="B887" s="28"/>
    </row>
    <row r="888" spans="1:2" ht="14.25" customHeight="1" x14ac:dyDescent="0.35">
      <c r="A888" s="27"/>
      <c r="B888" s="28"/>
    </row>
    <row r="889" spans="1:2" ht="14.25" customHeight="1" x14ac:dyDescent="0.35">
      <c r="A889" s="27"/>
      <c r="B889" s="28"/>
    </row>
    <row r="890" spans="1:2" ht="14.25" customHeight="1" x14ac:dyDescent="0.35">
      <c r="A890" s="27"/>
      <c r="B890" s="28"/>
    </row>
    <row r="891" spans="1:2" ht="14.25" customHeight="1" x14ac:dyDescent="0.35">
      <c r="A891" s="27"/>
      <c r="B891" s="28"/>
    </row>
    <row r="892" spans="1:2" ht="14.25" customHeight="1" x14ac:dyDescent="0.35">
      <c r="A892" s="27"/>
      <c r="B892" s="28"/>
    </row>
    <row r="893" spans="1:2" ht="14.25" customHeight="1" x14ac:dyDescent="0.35">
      <c r="A893" s="27"/>
      <c r="B893" s="28"/>
    </row>
    <row r="894" spans="1:2" ht="14.25" customHeight="1" x14ac:dyDescent="0.35">
      <c r="A894" s="27"/>
      <c r="B894" s="28"/>
    </row>
    <row r="895" spans="1:2" ht="14.25" customHeight="1" x14ac:dyDescent="0.35">
      <c r="A895" s="27"/>
      <c r="B895" s="28"/>
    </row>
    <row r="896" spans="1:2" ht="14.25" customHeight="1" x14ac:dyDescent="0.35">
      <c r="A896" s="27"/>
      <c r="B896" s="28"/>
    </row>
    <row r="897" spans="1:2" ht="14.25" customHeight="1" x14ac:dyDescent="0.35">
      <c r="A897" s="27"/>
      <c r="B897" s="28"/>
    </row>
    <row r="898" spans="1:2" ht="14.25" customHeight="1" x14ac:dyDescent="0.35">
      <c r="A898" s="27"/>
      <c r="B898" s="28"/>
    </row>
    <row r="899" spans="1:2" ht="14.25" customHeight="1" x14ac:dyDescent="0.35">
      <c r="A899" s="27"/>
      <c r="B899" s="28"/>
    </row>
    <row r="900" spans="1:2" ht="14.25" customHeight="1" x14ac:dyDescent="0.35">
      <c r="A900" s="27"/>
      <c r="B900" s="28"/>
    </row>
    <row r="901" spans="1:2" ht="14.25" customHeight="1" x14ac:dyDescent="0.35">
      <c r="A901" s="27"/>
      <c r="B901" s="28"/>
    </row>
    <row r="902" spans="1:2" ht="14.25" customHeight="1" x14ac:dyDescent="0.35">
      <c r="A902" s="27"/>
      <c r="B902" s="28"/>
    </row>
    <row r="903" spans="1:2" ht="14.25" customHeight="1" x14ac:dyDescent="0.35">
      <c r="A903" s="27"/>
      <c r="B903" s="28"/>
    </row>
    <row r="904" spans="1:2" ht="14.25" customHeight="1" x14ac:dyDescent="0.35">
      <c r="A904" s="27"/>
      <c r="B904" s="28"/>
    </row>
    <row r="905" spans="1:2" ht="14.25" customHeight="1" x14ac:dyDescent="0.35">
      <c r="A905" s="27"/>
      <c r="B905" s="28"/>
    </row>
    <row r="906" spans="1:2" ht="14.25" customHeight="1" x14ac:dyDescent="0.35">
      <c r="A906" s="27"/>
      <c r="B906" s="28"/>
    </row>
    <row r="907" spans="1:2" ht="14.25" customHeight="1" x14ac:dyDescent="0.35">
      <c r="A907" s="27"/>
      <c r="B907" s="28"/>
    </row>
    <row r="908" spans="1:2" ht="14.25" customHeight="1" x14ac:dyDescent="0.35">
      <c r="A908" s="27"/>
      <c r="B908" s="28"/>
    </row>
    <row r="909" spans="1:2" ht="14.25" customHeight="1" x14ac:dyDescent="0.35">
      <c r="A909" s="27"/>
      <c r="B909" s="28"/>
    </row>
    <row r="910" spans="1:2" ht="14.25" customHeight="1" x14ac:dyDescent="0.35">
      <c r="A910" s="27"/>
      <c r="B910" s="28"/>
    </row>
    <row r="911" spans="1:2" ht="14.25" customHeight="1" x14ac:dyDescent="0.35">
      <c r="A911" s="27"/>
      <c r="B911" s="28"/>
    </row>
    <row r="912" spans="1:2" ht="14.25" customHeight="1" x14ac:dyDescent="0.35">
      <c r="A912" s="27"/>
      <c r="B912" s="28"/>
    </row>
    <row r="913" spans="1:2" ht="14.25" customHeight="1" x14ac:dyDescent="0.35">
      <c r="A913" s="27"/>
      <c r="B913" s="28"/>
    </row>
    <row r="914" spans="1:2" ht="14.25" customHeight="1" x14ac:dyDescent="0.35">
      <c r="A914" s="27"/>
      <c r="B914" s="28"/>
    </row>
    <row r="915" spans="1:2" ht="14.25" customHeight="1" x14ac:dyDescent="0.35">
      <c r="A915" s="27"/>
      <c r="B915" s="28"/>
    </row>
    <row r="916" spans="1:2" ht="14.25" customHeight="1" x14ac:dyDescent="0.35">
      <c r="A916" s="27"/>
      <c r="B916" s="28"/>
    </row>
    <row r="917" spans="1:2" ht="14.25" customHeight="1" x14ac:dyDescent="0.35">
      <c r="A917" s="27"/>
      <c r="B917" s="28"/>
    </row>
    <row r="918" spans="1:2" ht="14.25" customHeight="1" x14ac:dyDescent="0.35">
      <c r="A918" s="27"/>
      <c r="B918" s="28"/>
    </row>
    <row r="919" spans="1:2" ht="14.25" customHeight="1" x14ac:dyDescent="0.35">
      <c r="A919" s="27"/>
      <c r="B919" s="28"/>
    </row>
    <row r="920" spans="1:2" ht="14.25" customHeight="1" x14ac:dyDescent="0.35">
      <c r="A920" s="27"/>
      <c r="B920" s="28"/>
    </row>
    <row r="921" spans="1:2" ht="14.25" customHeight="1" x14ac:dyDescent="0.35">
      <c r="A921" s="27"/>
      <c r="B921" s="28"/>
    </row>
    <row r="922" spans="1:2" ht="14.25" customHeight="1" x14ac:dyDescent="0.35">
      <c r="A922" s="27"/>
      <c r="B922" s="28"/>
    </row>
    <row r="923" spans="1:2" ht="14.25" customHeight="1" x14ac:dyDescent="0.35">
      <c r="A923" s="27"/>
      <c r="B923" s="28"/>
    </row>
    <row r="924" spans="1:2" ht="14.25" customHeight="1" x14ac:dyDescent="0.35">
      <c r="A924" s="27"/>
      <c r="B924" s="28"/>
    </row>
    <row r="925" spans="1:2" ht="14.25" customHeight="1" x14ac:dyDescent="0.35">
      <c r="A925" s="27"/>
      <c r="B925" s="28"/>
    </row>
    <row r="926" spans="1:2" ht="14.25" customHeight="1" x14ac:dyDescent="0.35">
      <c r="A926" s="27"/>
      <c r="B926" s="28"/>
    </row>
    <row r="927" spans="1:2" ht="14.25" customHeight="1" x14ac:dyDescent="0.35">
      <c r="A927" s="27"/>
      <c r="B927" s="28"/>
    </row>
    <row r="928" spans="1:2" ht="14.25" customHeight="1" x14ac:dyDescent="0.35">
      <c r="A928" s="27"/>
      <c r="B928" s="28"/>
    </row>
    <row r="929" spans="1:2" ht="14.25" customHeight="1" x14ac:dyDescent="0.35">
      <c r="A929" s="27"/>
      <c r="B929" s="28"/>
    </row>
    <row r="930" spans="1:2" ht="14.25" customHeight="1" x14ac:dyDescent="0.35">
      <c r="A930" s="27"/>
      <c r="B930" s="28"/>
    </row>
    <row r="931" spans="1:2" ht="14.25" customHeight="1" x14ac:dyDescent="0.35">
      <c r="A931" s="27"/>
      <c r="B931" s="28"/>
    </row>
    <row r="932" spans="1:2" ht="14.25" customHeight="1" x14ac:dyDescent="0.35">
      <c r="A932" s="27"/>
      <c r="B932" s="28"/>
    </row>
    <row r="933" spans="1:2" ht="14.25" customHeight="1" x14ac:dyDescent="0.35">
      <c r="A933" s="27"/>
      <c r="B933" s="28"/>
    </row>
    <row r="934" spans="1:2" ht="14.25" customHeight="1" x14ac:dyDescent="0.35">
      <c r="A934" s="27"/>
      <c r="B934" s="28"/>
    </row>
    <row r="935" spans="1:2" ht="14.25" customHeight="1" x14ac:dyDescent="0.35">
      <c r="A935" s="27"/>
      <c r="B935" s="28"/>
    </row>
    <row r="936" spans="1:2" ht="14.25" customHeight="1" x14ac:dyDescent="0.35">
      <c r="A936" s="27"/>
      <c r="B936" s="28"/>
    </row>
    <row r="937" spans="1:2" ht="14.25" customHeight="1" x14ac:dyDescent="0.35">
      <c r="A937" s="27"/>
      <c r="B937" s="28"/>
    </row>
    <row r="938" spans="1:2" ht="14.25" customHeight="1" x14ac:dyDescent="0.35">
      <c r="A938" s="27"/>
      <c r="B938" s="28"/>
    </row>
    <row r="939" spans="1:2" ht="14.25" customHeight="1" x14ac:dyDescent="0.35">
      <c r="A939" s="27"/>
      <c r="B939" s="28"/>
    </row>
    <row r="940" spans="1:2" ht="14.25" customHeight="1" x14ac:dyDescent="0.35">
      <c r="A940" s="27"/>
      <c r="B940" s="28"/>
    </row>
    <row r="941" spans="1:2" ht="14.25" customHeight="1" x14ac:dyDescent="0.35">
      <c r="A941" s="27"/>
      <c r="B941" s="28"/>
    </row>
    <row r="942" spans="1:2" ht="14.25" customHeight="1" x14ac:dyDescent="0.35">
      <c r="A942" s="27"/>
      <c r="B942" s="28"/>
    </row>
    <row r="943" spans="1:2" ht="14.25" customHeight="1" x14ac:dyDescent="0.35">
      <c r="A943" s="27"/>
      <c r="B943" s="28"/>
    </row>
    <row r="944" spans="1:2" ht="14.25" customHeight="1" x14ac:dyDescent="0.35">
      <c r="A944" s="27"/>
      <c r="B944" s="28"/>
    </row>
    <row r="945" spans="1:2" ht="14.25" customHeight="1" x14ac:dyDescent="0.35">
      <c r="A945" s="27"/>
      <c r="B945" s="28"/>
    </row>
    <row r="946" spans="1:2" ht="14.25" customHeight="1" x14ac:dyDescent="0.35">
      <c r="A946" s="27"/>
      <c r="B946" s="28"/>
    </row>
    <row r="947" spans="1:2" ht="14.25" customHeight="1" x14ac:dyDescent="0.35">
      <c r="A947" s="27"/>
      <c r="B947" s="28"/>
    </row>
    <row r="948" spans="1:2" ht="14.25" customHeight="1" x14ac:dyDescent="0.35">
      <c r="A948" s="27"/>
      <c r="B948" s="28"/>
    </row>
    <row r="949" spans="1:2" ht="14.25" customHeight="1" x14ac:dyDescent="0.35">
      <c r="A949" s="27"/>
      <c r="B949" s="28"/>
    </row>
    <row r="950" spans="1:2" ht="14.25" customHeight="1" x14ac:dyDescent="0.35">
      <c r="A950" s="27"/>
      <c r="B950" s="28"/>
    </row>
    <row r="951" spans="1:2" ht="14.25" customHeight="1" x14ac:dyDescent="0.35">
      <c r="A951" s="27"/>
      <c r="B951" s="28"/>
    </row>
    <row r="952" spans="1:2" ht="14.25" customHeight="1" x14ac:dyDescent="0.35">
      <c r="A952" s="27"/>
      <c r="B952" s="28"/>
    </row>
    <row r="953" spans="1:2" ht="14.25" customHeight="1" x14ac:dyDescent="0.35">
      <c r="A953" s="27"/>
      <c r="B953" s="28"/>
    </row>
    <row r="954" spans="1:2" ht="14.25" customHeight="1" x14ac:dyDescent="0.35">
      <c r="A954" s="27"/>
      <c r="B954" s="28"/>
    </row>
    <row r="955" spans="1:2" ht="14.25" customHeight="1" x14ac:dyDescent="0.35">
      <c r="A955" s="27"/>
      <c r="B955" s="28"/>
    </row>
    <row r="956" spans="1:2" ht="14.25" customHeight="1" x14ac:dyDescent="0.35">
      <c r="A956" s="27"/>
      <c r="B956" s="28"/>
    </row>
    <row r="957" spans="1:2" ht="14.25" customHeight="1" x14ac:dyDescent="0.35">
      <c r="A957" s="27"/>
      <c r="B957" s="28"/>
    </row>
    <row r="958" spans="1:2" ht="14.25" customHeight="1" x14ac:dyDescent="0.35">
      <c r="A958" s="27"/>
      <c r="B958" s="28"/>
    </row>
    <row r="959" spans="1:2" ht="14.25" customHeight="1" x14ac:dyDescent="0.35">
      <c r="A959" s="27"/>
      <c r="B959" s="28"/>
    </row>
    <row r="960" spans="1:2" ht="14.25" customHeight="1" x14ac:dyDescent="0.35">
      <c r="A960" s="27"/>
      <c r="B960" s="28"/>
    </row>
    <row r="961" spans="1:2" ht="14.25" customHeight="1" x14ac:dyDescent="0.35">
      <c r="A961" s="27"/>
      <c r="B961" s="28"/>
    </row>
    <row r="962" spans="1:2" ht="14.25" customHeight="1" x14ac:dyDescent="0.35">
      <c r="A962" s="27"/>
      <c r="B962" s="28"/>
    </row>
    <row r="963" spans="1:2" ht="14.25" customHeight="1" x14ac:dyDescent="0.35">
      <c r="A963" s="27"/>
      <c r="B963" s="28"/>
    </row>
    <row r="964" spans="1:2" ht="14.25" customHeight="1" x14ac:dyDescent="0.35">
      <c r="A964" s="27"/>
      <c r="B964" s="28"/>
    </row>
    <row r="965" spans="1:2" ht="14.25" customHeight="1" x14ac:dyDescent="0.35">
      <c r="A965" s="27"/>
      <c r="B965" s="28"/>
    </row>
    <row r="966" spans="1:2" ht="14.25" customHeight="1" x14ac:dyDescent="0.35">
      <c r="A966" s="27"/>
      <c r="B966" s="28"/>
    </row>
    <row r="967" spans="1:2" ht="14.25" customHeight="1" x14ac:dyDescent="0.35">
      <c r="A967" s="27"/>
      <c r="B967" s="28"/>
    </row>
    <row r="968" spans="1:2" ht="14.25" customHeight="1" x14ac:dyDescent="0.35">
      <c r="A968" s="27"/>
      <c r="B968" s="28"/>
    </row>
    <row r="969" spans="1:2" ht="14.25" customHeight="1" x14ac:dyDescent="0.35">
      <c r="A969" s="27"/>
      <c r="B969" s="28"/>
    </row>
    <row r="970" spans="1:2" ht="14.25" customHeight="1" x14ac:dyDescent="0.35">
      <c r="A970" s="27"/>
      <c r="B970" s="28"/>
    </row>
    <row r="971" spans="1:2" ht="14.25" customHeight="1" x14ac:dyDescent="0.35">
      <c r="A971" s="27"/>
      <c r="B971" s="28"/>
    </row>
    <row r="972" spans="1:2" ht="14.25" customHeight="1" x14ac:dyDescent="0.35">
      <c r="A972" s="27"/>
      <c r="B972" s="28"/>
    </row>
    <row r="973" spans="1:2" ht="14.25" customHeight="1" x14ac:dyDescent="0.35">
      <c r="A973" s="27"/>
      <c r="B973" s="28"/>
    </row>
    <row r="974" spans="1:2" ht="14.25" customHeight="1" x14ac:dyDescent="0.35">
      <c r="A974" s="27"/>
      <c r="B974" s="28"/>
    </row>
    <row r="975" spans="1:2" ht="14.25" customHeight="1" x14ac:dyDescent="0.35">
      <c r="A975" s="27"/>
      <c r="B975" s="28"/>
    </row>
    <row r="976" spans="1:2" ht="14.25" customHeight="1" x14ac:dyDescent="0.35">
      <c r="A976" s="27"/>
      <c r="B976" s="28"/>
    </row>
    <row r="977" spans="1:2" ht="14.25" customHeight="1" x14ac:dyDescent="0.35">
      <c r="A977" s="27"/>
      <c r="B977" s="28"/>
    </row>
    <row r="978" spans="1:2" ht="14.25" customHeight="1" x14ac:dyDescent="0.35">
      <c r="A978" s="27"/>
      <c r="B978" s="28"/>
    </row>
    <row r="979" spans="1:2" ht="14.25" customHeight="1" x14ac:dyDescent="0.35">
      <c r="A979" s="27"/>
      <c r="B979" s="28"/>
    </row>
    <row r="980" spans="1:2" ht="14.25" customHeight="1" x14ac:dyDescent="0.35">
      <c r="A980" s="27"/>
      <c r="B980" s="28"/>
    </row>
    <row r="981" spans="1:2" ht="14.25" customHeight="1" x14ac:dyDescent="0.35">
      <c r="A981" s="27"/>
      <c r="B981" s="28"/>
    </row>
    <row r="982" spans="1:2" ht="14.25" customHeight="1" x14ac:dyDescent="0.35">
      <c r="A982" s="27"/>
      <c r="B982" s="28"/>
    </row>
    <row r="983" spans="1:2" ht="14.25" customHeight="1" x14ac:dyDescent="0.35">
      <c r="A983" s="27"/>
      <c r="B983" s="28"/>
    </row>
    <row r="984" spans="1:2" ht="14.25" customHeight="1" x14ac:dyDescent="0.35">
      <c r="A984" s="27"/>
      <c r="B984" s="28"/>
    </row>
    <row r="985" spans="1:2" ht="14.25" customHeight="1" x14ac:dyDescent="0.35">
      <c r="A985" s="27"/>
      <c r="B985" s="28"/>
    </row>
    <row r="986" spans="1:2" ht="14.25" customHeight="1" x14ac:dyDescent="0.35">
      <c r="A986" s="27"/>
      <c r="B986" s="28"/>
    </row>
    <row r="987" spans="1:2" ht="14.25" customHeight="1" x14ac:dyDescent="0.35">
      <c r="A987" s="27"/>
      <c r="B987" s="28"/>
    </row>
    <row r="988" spans="1:2" ht="14.25" customHeight="1" x14ac:dyDescent="0.35">
      <c r="A988" s="27"/>
      <c r="B988" s="28"/>
    </row>
    <row r="989" spans="1:2" ht="14.25" customHeight="1" x14ac:dyDescent="0.35">
      <c r="A989" s="27"/>
      <c r="B989" s="28"/>
    </row>
    <row r="990" spans="1:2" ht="14.25" customHeight="1" x14ac:dyDescent="0.35">
      <c r="A990" s="27"/>
      <c r="B990" s="28"/>
    </row>
    <row r="991" spans="1:2" ht="14.25" customHeight="1" x14ac:dyDescent="0.35">
      <c r="A991" s="27"/>
      <c r="B991" s="28"/>
    </row>
    <row r="992" spans="1:2" ht="14.25" customHeight="1" x14ac:dyDescent="0.35">
      <c r="A992" s="27"/>
      <c r="B992" s="28"/>
    </row>
    <row r="993" spans="1:2" ht="14.25" customHeight="1" x14ac:dyDescent="0.35">
      <c r="A993" s="27"/>
      <c r="B993" s="28"/>
    </row>
    <row r="994" spans="1:2" ht="14.25" customHeight="1" x14ac:dyDescent="0.35">
      <c r="A994" s="27"/>
      <c r="B994" s="28"/>
    </row>
    <row r="995" spans="1:2" ht="14.25" customHeight="1" x14ac:dyDescent="0.35">
      <c r="A995" s="27"/>
      <c r="B995" s="28"/>
    </row>
    <row r="996" spans="1:2" ht="14.25" customHeight="1" x14ac:dyDescent="0.35">
      <c r="A996" s="27"/>
      <c r="B996" s="28"/>
    </row>
    <row r="997" spans="1:2" ht="14.25" customHeight="1" x14ac:dyDescent="0.35">
      <c r="A997" s="27"/>
      <c r="B997" s="28"/>
    </row>
    <row r="998" spans="1:2" ht="14.25" customHeight="1" x14ac:dyDescent="0.35">
      <c r="A998" s="27"/>
      <c r="B998" s="28"/>
    </row>
    <row r="999" spans="1:2" ht="14.25" customHeight="1" x14ac:dyDescent="0.35">
      <c r="A999" s="27"/>
      <c r="B999" s="28"/>
    </row>
    <row r="1000" spans="1:2" ht="14.25" customHeight="1" x14ac:dyDescent="0.35">
      <c r="A1000" s="27"/>
      <c r="B1000" s="28"/>
    </row>
  </sheetData>
  <dataValidations count="1">
    <dataValidation type="list" allowBlank="1" showErrorMessage="1" sqref="B2:B9" xr:uid="{00000000-0002-0000-0500-000000000000}">
      <formula1>$E$2:$E$9</formula1>
      <formula2>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AE1000"/>
  <sheetViews>
    <sheetView showGridLines="0" topLeftCell="K9" zoomScale="83" zoomScaleNormal="83" workbookViewId="0">
      <selection activeCell="AE17" sqref="AE17"/>
    </sheetView>
  </sheetViews>
  <sheetFormatPr defaultColWidth="14.453125" defaultRowHeight="14.5" x14ac:dyDescent="0.35"/>
  <cols>
    <col min="1" max="1" width="8.7265625" customWidth="1"/>
    <col min="2" max="15" width="12.453125" customWidth="1"/>
    <col min="16" max="16" width="12.54296875" customWidth="1"/>
    <col min="17" max="30" width="12.453125" customWidth="1"/>
    <col min="31" max="31" width="12.54296875" customWidth="1"/>
  </cols>
  <sheetData>
    <row r="1" spans="2:30" ht="14.25" customHeight="1" x14ac:dyDescent="0.35"/>
    <row r="2" spans="2:30" ht="14.25" customHeight="1" x14ac:dyDescent="0.35">
      <c r="B2" s="44" t="s">
        <v>85</v>
      </c>
      <c r="C2" s="107" t="s">
        <v>103</v>
      </c>
      <c r="D2" s="107"/>
      <c r="E2" s="107"/>
      <c r="F2" s="107"/>
      <c r="G2" s="107"/>
      <c r="H2" s="107"/>
    </row>
    <row r="3" spans="2:30" ht="14.25" customHeight="1" x14ac:dyDescent="0.35">
      <c r="B3" s="49" t="s">
        <v>104</v>
      </c>
      <c r="Q3" s="49" t="s">
        <v>105</v>
      </c>
    </row>
    <row r="4" spans="2:30" ht="14.25" customHeight="1" x14ac:dyDescent="0.35">
      <c r="B4" s="108" t="s">
        <v>106</v>
      </c>
      <c r="C4" s="108"/>
      <c r="D4" s="108"/>
      <c r="E4" s="108"/>
      <c r="F4" s="108"/>
      <c r="G4" s="108"/>
      <c r="I4" s="108" t="s">
        <v>107</v>
      </c>
      <c r="J4" s="108"/>
      <c r="K4" s="108"/>
      <c r="L4" s="108"/>
      <c r="M4" s="108"/>
      <c r="N4" s="108"/>
      <c r="O4" s="108"/>
      <c r="Q4" s="108" t="s">
        <v>106</v>
      </c>
      <c r="R4" s="108"/>
      <c r="S4" s="108"/>
      <c r="T4" s="108"/>
      <c r="U4" s="108"/>
      <c r="V4" s="108"/>
      <c r="X4" s="108" t="s">
        <v>107</v>
      </c>
      <c r="Y4" s="108"/>
      <c r="Z4" s="108"/>
      <c r="AA4" s="108"/>
      <c r="AB4" s="108"/>
      <c r="AC4" s="108"/>
      <c r="AD4" s="108"/>
    </row>
    <row r="5" spans="2:30" ht="14.25" customHeight="1" x14ac:dyDescent="0.35">
      <c r="B5" s="109" t="s">
        <v>108</v>
      </c>
      <c r="C5" s="109"/>
      <c r="D5" s="109"/>
      <c r="E5" s="109"/>
      <c r="F5" s="109"/>
      <c r="G5" s="109"/>
      <c r="H5" s="29"/>
      <c r="I5" s="109" t="s">
        <v>108</v>
      </c>
      <c r="J5" s="109"/>
      <c r="K5" s="109"/>
      <c r="L5" s="109"/>
      <c r="M5" s="109"/>
      <c r="N5" s="109"/>
      <c r="O5" s="29"/>
      <c r="Q5" s="109" t="s">
        <v>108</v>
      </c>
      <c r="R5" s="109"/>
      <c r="S5" s="109"/>
      <c r="T5" s="109"/>
      <c r="U5" s="109"/>
      <c r="V5" s="109"/>
      <c r="W5" s="29"/>
      <c r="X5" s="109" t="s">
        <v>108</v>
      </c>
      <c r="Y5" s="109"/>
      <c r="Z5" s="109"/>
      <c r="AA5" s="109"/>
      <c r="AB5" s="109"/>
      <c r="AC5" s="109"/>
      <c r="AD5" s="29"/>
    </row>
    <row r="6" spans="2:30" ht="14.25" customHeight="1" x14ac:dyDescent="0.35">
      <c r="B6" s="109" t="s">
        <v>109</v>
      </c>
      <c r="C6" s="109"/>
      <c r="D6" s="109"/>
      <c r="E6" s="109"/>
      <c r="F6" s="109"/>
      <c r="G6" s="109"/>
      <c r="H6" s="29"/>
      <c r="I6" s="109" t="s">
        <v>109</v>
      </c>
      <c r="J6" s="109"/>
      <c r="K6" s="109"/>
      <c r="L6" s="109"/>
      <c r="M6" s="109"/>
      <c r="N6" s="109"/>
      <c r="O6" s="29"/>
      <c r="Q6" s="109" t="s">
        <v>109</v>
      </c>
      <c r="R6" s="109"/>
      <c r="S6" s="109"/>
      <c r="T6" s="109"/>
      <c r="U6" s="109"/>
      <c r="V6" s="109"/>
      <c r="W6" s="29"/>
      <c r="X6" s="109" t="s">
        <v>109</v>
      </c>
      <c r="Y6" s="109"/>
      <c r="Z6" s="109"/>
      <c r="AA6" s="109"/>
      <c r="AB6" s="109"/>
      <c r="AC6" s="109"/>
      <c r="AD6" s="29"/>
    </row>
    <row r="7" spans="2:30" ht="14.25" customHeight="1" x14ac:dyDescent="0.35">
      <c r="B7" s="110" t="s">
        <v>110</v>
      </c>
      <c r="C7" s="110"/>
      <c r="D7" s="110"/>
      <c r="E7" s="110"/>
      <c r="F7" s="110"/>
      <c r="G7" s="110"/>
      <c r="H7" s="29"/>
      <c r="I7" s="110" t="s">
        <v>110</v>
      </c>
      <c r="J7" s="110"/>
      <c r="K7" s="110"/>
      <c r="L7" s="110"/>
      <c r="M7" s="110"/>
      <c r="N7" s="110"/>
      <c r="O7" s="29"/>
      <c r="Q7" s="110" t="s">
        <v>110</v>
      </c>
      <c r="R7" s="110"/>
      <c r="S7" s="110"/>
      <c r="T7" s="110"/>
      <c r="U7" s="110"/>
      <c r="V7" s="110"/>
      <c r="W7" s="29"/>
      <c r="X7" s="110" t="s">
        <v>110</v>
      </c>
      <c r="Y7" s="110"/>
      <c r="Z7" s="110"/>
      <c r="AA7" s="110"/>
      <c r="AB7" s="110"/>
      <c r="AC7" s="110"/>
      <c r="AD7" s="29"/>
    </row>
    <row r="8" spans="2:30" ht="14.25" customHeight="1" x14ac:dyDescent="0.35">
      <c r="B8" s="110" t="s">
        <v>111</v>
      </c>
      <c r="C8" s="110"/>
      <c r="D8" s="110"/>
      <c r="E8" s="110"/>
      <c r="F8" s="110"/>
      <c r="G8" s="110"/>
      <c r="H8" s="29"/>
      <c r="I8" s="110" t="s">
        <v>111</v>
      </c>
      <c r="J8" s="110"/>
      <c r="K8" s="110"/>
      <c r="L8" s="110"/>
      <c r="M8" s="110"/>
      <c r="N8" s="110"/>
      <c r="O8" s="29"/>
      <c r="Q8" s="110" t="s">
        <v>111</v>
      </c>
      <c r="R8" s="110"/>
      <c r="S8" s="110"/>
      <c r="T8" s="110"/>
      <c r="U8" s="110"/>
      <c r="V8" s="110"/>
      <c r="W8" s="29"/>
      <c r="X8" s="110" t="s">
        <v>111</v>
      </c>
      <c r="Y8" s="110"/>
      <c r="Z8" s="110"/>
      <c r="AA8" s="110"/>
      <c r="AB8" s="110"/>
      <c r="AC8" s="110"/>
      <c r="AD8" s="29"/>
    </row>
    <row r="9" spans="2:30" ht="14.25" customHeight="1" x14ac:dyDescent="0.35">
      <c r="B9" s="110" t="s">
        <v>112</v>
      </c>
      <c r="C9" s="110"/>
      <c r="D9" s="110"/>
      <c r="E9" s="110"/>
      <c r="F9" s="110"/>
      <c r="G9" s="110"/>
      <c r="H9" s="29"/>
      <c r="I9" s="110" t="s">
        <v>112</v>
      </c>
      <c r="J9" s="110"/>
      <c r="K9" s="110"/>
      <c r="L9" s="110"/>
      <c r="M9" s="110"/>
      <c r="N9" s="110"/>
      <c r="O9" s="29"/>
      <c r="Q9" s="110" t="s">
        <v>112</v>
      </c>
      <c r="R9" s="110"/>
      <c r="S9" s="110"/>
      <c r="T9" s="110"/>
      <c r="U9" s="110"/>
      <c r="V9" s="110"/>
      <c r="W9" s="29"/>
      <c r="X9" s="110" t="s">
        <v>112</v>
      </c>
      <c r="Y9" s="110"/>
      <c r="Z9" s="110"/>
      <c r="AA9" s="110"/>
      <c r="AB9" s="110"/>
      <c r="AC9" s="110"/>
      <c r="AD9" s="29"/>
    </row>
    <row r="10" spans="2:30" ht="14.25" customHeight="1" x14ac:dyDescent="0.35"/>
    <row r="11" spans="2:30" ht="14.25" customHeight="1" x14ac:dyDescent="0.35"/>
    <row r="12" spans="2:30" ht="14.25" customHeight="1" x14ac:dyDescent="0.35"/>
    <row r="13" spans="2:30" ht="14.25" customHeight="1" x14ac:dyDescent="0.35"/>
    <row r="14" spans="2:30" ht="14.25" customHeight="1" x14ac:dyDescent="0.35"/>
    <row r="15" spans="2:30" ht="14.25" customHeight="1" x14ac:dyDescent="0.35"/>
    <row r="16" spans="2:30" ht="14.25" customHeight="1" x14ac:dyDescent="0.35"/>
    <row r="17" spans="2:30" ht="14.25" customHeight="1" x14ac:dyDescent="0.35"/>
    <row r="18" spans="2:30" ht="14.25" customHeight="1" x14ac:dyDescent="0.35"/>
    <row r="19" spans="2:30" ht="14.25" customHeight="1" x14ac:dyDescent="0.35"/>
    <row r="20" spans="2:30" ht="14.25" customHeight="1" x14ac:dyDescent="0.35"/>
    <row r="21" spans="2:30" ht="14.25" customHeight="1" x14ac:dyDescent="0.35"/>
    <row r="22" spans="2:30" ht="14.25" customHeight="1" x14ac:dyDescent="0.35"/>
    <row r="23" spans="2:30" ht="14.25" customHeight="1" x14ac:dyDescent="0.35"/>
    <row r="24" spans="2:30" ht="14.25" customHeight="1" x14ac:dyDescent="0.35"/>
    <row r="25" spans="2:30" ht="14.25" customHeight="1" x14ac:dyDescent="0.35"/>
    <row r="26" spans="2:30" ht="14.25" customHeight="1" x14ac:dyDescent="0.35"/>
    <row r="27" spans="2:30" ht="14.25" customHeight="1" x14ac:dyDescent="0.35">
      <c r="B27" s="111" t="s">
        <v>113</v>
      </c>
      <c r="C27" s="111"/>
      <c r="D27" s="111"/>
      <c r="E27" s="111"/>
      <c r="F27" s="111"/>
      <c r="G27" s="111"/>
      <c r="H27" s="111"/>
      <c r="I27" s="111"/>
      <c r="J27" s="111"/>
      <c r="K27" s="111"/>
      <c r="L27" s="111"/>
      <c r="M27" s="111"/>
      <c r="N27" s="111"/>
      <c r="O27" s="111"/>
      <c r="Q27" s="111" t="s">
        <v>113</v>
      </c>
      <c r="R27" s="111"/>
      <c r="S27" s="111"/>
      <c r="T27" s="111"/>
      <c r="U27" s="111"/>
      <c r="V27" s="111"/>
      <c r="W27" s="111"/>
      <c r="X27" s="111"/>
      <c r="Y27" s="111"/>
      <c r="Z27" s="111"/>
      <c r="AA27" s="111"/>
      <c r="AB27" s="111"/>
      <c r="AC27" s="111"/>
      <c r="AD27" s="111"/>
    </row>
    <row r="28" spans="2:30" ht="14.25" customHeight="1" x14ac:dyDescent="0.35">
      <c r="B28" s="111"/>
      <c r="C28" s="111"/>
      <c r="D28" s="111"/>
      <c r="E28" s="111"/>
      <c r="F28" s="111"/>
      <c r="G28" s="111"/>
      <c r="H28" s="111"/>
      <c r="I28" s="111"/>
      <c r="J28" s="111"/>
      <c r="K28" s="111"/>
      <c r="L28" s="111"/>
      <c r="M28" s="111"/>
      <c r="N28" s="111"/>
      <c r="O28" s="111"/>
      <c r="Q28" s="111"/>
      <c r="R28" s="111"/>
      <c r="S28" s="111"/>
      <c r="T28" s="111"/>
      <c r="U28" s="111"/>
      <c r="V28" s="111"/>
      <c r="W28" s="111"/>
      <c r="X28" s="111"/>
      <c r="Y28" s="111"/>
      <c r="Z28" s="111"/>
      <c r="AA28" s="111"/>
      <c r="AB28" s="111"/>
      <c r="AC28" s="111"/>
      <c r="AD28" s="111"/>
    </row>
    <row r="29" spans="2:30" ht="14.25" customHeight="1" x14ac:dyDescent="0.35">
      <c r="B29" s="112" t="s">
        <v>114</v>
      </c>
      <c r="C29" s="65" t="s">
        <v>115</v>
      </c>
      <c r="D29" s="66">
        <v>50</v>
      </c>
      <c r="E29" s="67"/>
      <c r="F29" s="67"/>
      <c r="G29" s="67"/>
      <c r="H29" s="67"/>
      <c r="I29" s="67"/>
      <c r="J29" s="67"/>
      <c r="K29" s="67"/>
      <c r="L29" s="67"/>
      <c r="M29" s="67"/>
      <c r="N29" s="67"/>
      <c r="O29" s="67"/>
      <c r="Q29" s="112" t="s">
        <v>114</v>
      </c>
      <c r="R29" s="65" t="s">
        <v>115</v>
      </c>
      <c r="S29" s="66">
        <v>46</v>
      </c>
      <c r="T29" s="67"/>
      <c r="U29" s="67"/>
      <c r="V29" s="67"/>
      <c r="W29" s="67"/>
      <c r="X29" s="67"/>
      <c r="Y29" s="67"/>
      <c r="Z29" s="67"/>
      <c r="AA29" s="67"/>
      <c r="AB29" s="67"/>
      <c r="AC29" s="67"/>
      <c r="AD29" s="67"/>
    </row>
    <row r="30" spans="2:30" ht="14.25" customHeight="1" x14ac:dyDescent="0.35">
      <c r="B30" s="112"/>
      <c r="C30" s="29" t="s">
        <v>55</v>
      </c>
      <c r="D30" s="68">
        <v>5</v>
      </c>
      <c r="E30" s="26"/>
      <c r="F30" s="26"/>
      <c r="G30" s="26"/>
      <c r="H30" s="26"/>
      <c r="I30" s="26"/>
      <c r="J30" s="26"/>
      <c r="K30" s="26"/>
      <c r="L30" s="26"/>
      <c r="M30" s="26"/>
      <c r="N30" s="26"/>
      <c r="O30" s="26"/>
      <c r="Q30" s="112"/>
      <c r="R30" s="29" t="s">
        <v>55</v>
      </c>
      <c r="S30" s="68">
        <v>5</v>
      </c>
      <c r="T30" s="26"/>
      <c r="U30" s="26"/>
      <c r="V30" s="26"/>
      <c r="W30" s="26"/>
      <c r="X30" s="26"/>
      <c r="Y30" s="26"/>
      <c r="Z30" s="26"/>
      <c r="AA30" s="26"/>
      <c r="AB30" s="26"/>
      <c r="AC30" s="26"/>
      <c r="AD30" s="26"/>
    </row>
    <row r="31" spans="2:30" ht="14.25" customHeight="1" x14ac:dyDescent="0.35">
      <c r="B31" s="112"/>
      <c r="C31" s="29" t="s">
        <v>116</v>
      </c>
      <c r="D31" s="69">
        <v>10.491992</v>
      </c>
      <c r="E31" s="70"/>
      <c r="F31" s="70"/>
      <c r="G31" s="70"/>
      <c r="H31" s="70"/>
      <c r="I31" s="70"/>
      <c r="J31" s="70"/>
      <c r="K31" s="70"/>
      <c r="L31" s="70"/>
      <c r="M31" s="70"/>
      <c r="N31" s="70"/>
      <c r="O31" s="70"/>
      <c r="Q31" s="112"/>
      <c r="R31" s="29" t="s">
        <v>116</v>
      </c>
      <c r="S31" s="69">
        <v>10.485874000000001</v>
      </c>
      <c r="T31" s="70"/>
      <c r="U31" s="70"/>
      <c r="V31" s="70"/>
      <c r="W31" s="70"/>
      <c r="X31" s="70"/>
      <c r="Y31" s="70"/>
      <c r="Z31" s="70"/>
      <c r="AA31" s="70"/>
      <c r="AB31" s="70"/>
      <c r="AC31" s="70"/>
      <c r="AD31" s="70"/>
    </row>
    <row r="32" spans="2:30" ht="14.25" customHeight="1" x14ac:dyDescent="0.35">
      <c r="B32" s="112"/>
      <c r="C32" s="29" t="s">
        <v>117</v>
      </c>
      <c r="D32" s="69">
        <v>0.46805999999999998</v>
      </c>
      <c r="E32" s="70"/>
      <c r="F32" s="70"/>
      <c r="G32" s="70"/>
      <c r="H32" s="70"/>
      <c r="I32" s="70"/>
      <c r="J32" s="70"/>
      <c r="K32" s="70"/>
      <c r="L32" s="70"/>
      <c r="M32" s="70"/>
      <c r="N32" s="70"/>
      <c r="O32" s="70"/>
      <c r="Q32" s="112"/>
      <c r="R32" s="29" t="s">
        <v>117</v>
      </c>
      <c r="S32" s="69">
        <v>0.40887000000000001</v>
      </c>
      <c r="T32" s="70"/>
      <c r="U32" s="70"/>
      <c r="V32" s="70"/>
      <c r="W32" s="70"/>
      <c r="X32" s="70"/>
      <c r="Y32" s="70"/>
      <c r="Z32" s="70"/>
      <c r="AA32" s="70"/>
      <c r="AB32" s="70"/>
      <c r="AC32" s="70"/>
      <c r="AD32" s="70"/>
    </row>
    <row r="33" spans="1:31" ht="14.25" customHeight="1" x14ac:dyDescent="0.35">
      <c r="B33" s="112"/>
      <c r="C33" s="29" t="s">
        <v>118</v>
      </c>
      <c r="D33" s="69">
        <v>0.989479</v>
      </c>
      <c r="E33" s="70"/>
      <c r="F33" s="70"/>
      <c r="G33" s="70"/>
      <c r="H33" s="70"/>
      <c r="I33" s="70"/>
      <c r="J33" s="70"/>
      <c r="K33" s="70"/>
      <c r="L33" s="70"/>
      <c r="M33" s="70"/>
      <c r="N33" s="70"/>
      <c r="O33" s="70"/>
      <c r="Q33" s="112"/>
      <c r="R33" s="29" t="s">
        <v>118</v>
      </c>
      <c r="S33" s="69">
        <v>0.86434999999999995</v>
      </c>
      <c r="T33" s="70"/>
      <c r="U33" s="70"/>
      <c r="V33" s="70"/>
      <c r="W33" s="70"/>
      <c r="X33" s="70"/>
      <c r="Y33" s="70"/>
      <c r="Z33" s="70"/>
      <c r="AA33" s="70"/>
      <c r="AB33" s="70"/>
      <c r="AC33" s="70"/>
      <c r="AD33" s="70"/>
    </row>
    <row r="34" spans="1:31" ht="14.25" customHeight="1" x14ac:dyDescent="0.35">
      <c r="B34" s="112"/>
      <c r="C34" s="29" t="s">
        <v>119</v>
      </c>
      <c r="D34" s="69">
        <v>0</v>
      </c>
      <c r="E34" s="70"/>
      <c r="F34" s="70"/>
      <c r="G34" s="70"/>
      <c r="H34" s="70"/>
      <c r="I34" s="70"/>
      <c r="J34" s="70"/>
      <c r="K34" s="70"/>
      <c r="L34" s="70"/>
      <c r="M34" s="70"/>
      <c r="N34" s="70"/>
      <c r="O34" s="70"/>
      <c r="Q34" s="112"/>
      <c r="R34" s="29" t="s">
        <v>119</v>
      </c>
      <c r="S34" s="69">
        <v>0</v>
      </c>
      <c r="T34" s="70"/>
      <c r="U34" s="70"/>
      <c r="V34" s="70"/>
      <c r="W34" s="70"/>
      <c r="X34" s="70"/>
      <c r="Y34" s="70"/>
      <c r="Z34" s="70"/>
      <c r="AA34" s="70"/>
      <c r="AB34" s="70"/>
      <c r="AC34" s="70"/>
      <c r="AD34" s="70"/>
    </row>
    <row r="35" spans="1:31" ht="14.25" customHeight="1" x14ac:dyDescent="0.35">
      <c r="B35" s="112"/>
      <c r="C35" s="29" t="s">
        <v>120</v>
      </c>
      <c r="D35" s="69">
        <v>10.762062999999999</v>
      </c>
      <c r="E35" s="70"/>
      <c r="F35" s="70"/>
      <c r="G35" s="70"/>
      <c r="H35" s="70"/>
      <c r="I35" s="70"/>
      <c r="J35" s="70"/>
      <c r="K35" s="70"/>
      <c r="L35" s="70"/>
      <c r="M35" s="70"/>
      <c r="N35" s="70"/>
      <c r="O35" s="70"/>
      <c r="Q35" s="112"/>
      <c r="R35" s="29" t="s">
        <v>120</v>
      </c>
      <c r="S35" s="69">
        <v>10.721792000000001</v>
      </c>
      <c r="T35" s="70"/>
      <c r="U35" s="70"/>
      <c r="V35" s="70"/>
      <c r="W35" s="70"/>
      <c r="X35" s="70"/>
      <c r="Y35" s="70"/>
      <c r="Z35" s="70"/>
      <c r="AA35" s="70"/>
      <c r="AB35" s="70"/>
      <c r="AC35" s="70"/>
      <c r="AD35" s="70"/>
    </row>
    <row r="36" spans="1:31" ht="14.25" customHeight="1" x14ac:dyDescent="0.35">
      <c r="B36" s="112"/>
      <c r="C36" s="29" t="s">
        <v>121</v>
      </c>
      <c r="D36" s="69">
        <v>10.221921</v>
      </c>
      <c r="E36" s="70"/>
      <c r="F36" s="70"/>
      <c r="G36" s="70"/>
      <c r="H36" s="70"/>
      <c r="I36" s="70"/>
      <c r="J36" s="70"/>
      <c r="K36" s="70"/>
      <c r="L36" s="70"/>
      <c r="M36" s="70"/>
      <c r="N36" s="70"/>
      <c r="O36" s="70"/>
      <c r="Q36" s="112"/>
      <c r="R36" s="29" t="s">
        <v>121</v>
      </c>
      <c r="S36" s="69">
        <v>10.249955999999999</v>
      </c>
      <c r="T36" s="70"/>
      <c r="U36" s="70"/>
      <c r="V36" s="70"/>
      <c r="W36" s="70"/>
      <c r="X36" s="70"/>
      <c r="Y36" s="70"/>
      <c r="Z36" s="70"/>
      <c r="AA36" s="70"/>
      <c r="AB36" s="70"/>
      <c r="AC36" s="70"/>
      <c r="AD36" s="70"/>
    </row>
    <row r="37" spans="1:31" ht="14.25" customHeight="1" x14ac:dyDescent="0.35">
      <c r="B37" s="112"/>
      <c r="C37" s="29" t="s">
        <v>56</v>
      </c>
      <c r="D37" s="70">
        <f>INDEX('Tabel Faktor'!$A$1:$Q$25,MATCH(D30,'Tabel Faktor'!$A$1:$A$25,0),MATCH(C37,'Tabel Faktor'!$A$1:$Q$1,0))</f>
        <v>0.57699999999999996</v>
      </c>
      <c r="E37" s="70"/>
      <c r="F37" s="70"/>
      <c r="G37" s="70"/>
      <c r="H37" s="70"/>
      <c r="I37" s="70"/>
      <c r="J37" s="70"/>
      <c r="K37" s="70"/>
      <c r="L37" s="70"/>
      <c r="M37" s="70"/>
      <c r="N37" s="70"/>
      <c r="O37" s="70"/>
      <c r="Q37" s="112"/>
      <c r="R37" s="29" t="s">
        <v>56</v>
      </c>
      <c r="S37" s="70">
        <f t="array" ref="S37:S39">D37:D39</f>
        <v>0.57699999999999996</v>
      </c>
      <c r="T37" s="70"/>
      <c r="U37" s="70"/>
      <c r="V37" s="70"/>
      <c r="W37" s="70"/>
      <c r="X37" s="70"/>
      <c r="Y37" s="70"/>
      <c r="Z37" s="70"/>
      <c r="AA37" s="70"/>
      <c r="AB37" s="70"/>
      <c r="AC37" s="70"/>
      <c r="AD37" s="70"/>
    </row>
    <row r="38" spans="1:31" ht="14.25" customHeight="1" x14ac:dyDescent="0.35">
      <c r="B38" s="112"/>
      <c r="C38" s="29" t="s">
        <v>70</v>
      </c>
      <c r="D38" s="70">
        <f t="array" ref="D38">INDEX('Tabel Faktor'!$A$1:$Q$25,MATCH(D30,'Tabel Faktor'!$A$1:$A$25,0),MATCH(C38,'Tabel Faktor'!$A$1:$Q$1,0))</f>
        <v>2.1139999999999999</v>
      </c>
      <c r="E38" s="70"/>
      <c r="F38" s="70"/>
      <c r="G38" s="70"/>
      <c r="H38" s="70"/>
      <c r="I38" s="70"/>
      <c r="J38" s="70"/>
      <c r="K38" s="70"/>
      <c r="L38" s="70"/>
      <c r="M38" s="70"/>
      <c r="N38" s="70"/>
      <c r="O38" s="70"/>
      <c r="Q38" s="112"/>
      <c r="R38" s="29" t="s">
        <v>70</v>
      </c>
      <c r="S38" s="70">
        <v>2.1139999999999999</v>
      </c>
      <c r="T38" s="70"/>
      <c r="U38" s="70"/>
      <c r="V38" s="70"/>
      <c r="W38" s="70"/>
      <c r="X38" s="70"/>
      <c r="Y38" s="70"/>
      <c r="Z38" s="70"/>
      <c r="AA38" s="70"/>
      <c r="AB38" s="70"/>
      <c r="AC38" s="70"/>
      <c r="AD38" s="70"/>
    </row>
    <row r="39" spans="1:31" ht="14.25" customHeight="1" x14ac:dyDescent="0.35">
      <c r="B39" s="112"/>
      <c r="C39" s="71" t="s">
        <v>69</v>
      </c>
      <c r="D39" s="72">
        <f t="array" ref="D39">INDEX('Tabel Faktor'!$A$1:$Q$25,MATCH(D30,'Tabel Faktor'!$A$1:$A$25,0),MATCH(C39,'Tabel Faktor'!$A$1:$Q$1,0))</f>
        <v>0</v>
      </c>
      <c r="E39" s="73"/>
      <c r="F39" s="73"/>
      <c r="G39" s="73"/>
      <c r="H39" s="73"/>
      <c r="I39" s="73"/>
      <c r="J39" s="73"/>
      <c r="K39" s="73"/>
      <c r="L39" s="73"/>
      <c r="M39" s="73"/>
      <c r="N39" s="73"/>
      <c r="O39" s="73"/>
      <c r="Q39" s="112"/>
      <c r="R39" s="71" t="s">
        <v>69</v>
      </c>
      <c r="S39" s="72">
        <v>0</v>
      </c>
      <c r="T39" s="73"/>
      <c r="U39" s="73"/>
      <c r="V39" s="73"/>
      <c r="W39" s="73"/>
      <c r="X39" s="73"/>
      <c r="Y39" s="73"/>
      <c r="Z39" s="73"/>
      <c r="AA39" s="73"/>
      <c r="AB39" s="73"/>
      <c r="AC39" s="73"/>
      <c r="AD39" s="73"/>
    </row>
    <row r="40" spans="1:31" ht="14.25" customHeight="1" x14ac:dyDescent="0.35">
      <c r="B40" s="29"/>
      <c r="C40" s="29"/>
      <c r="D40" s="29"/>
      <c r="E40" s="29"/>
      <c r="F40" s="29"/>
      <c r="G40" s="29"/>
      <c r="H40" s="29"/>
      <c r="I40" s="29"/>
      <c r="J40" s="29"/>
      <c r="K40" s="29"/>
      <c r="L40" s="29"/>
      <c r="M40" s="29"/>
      <c r="N40" s="29"/>
      <c r="O40" s="29"/>
      <c r="Q40" s="29"/>
      <c r="R40" s="29"/>
      <c r="S40" s="29"/>
      <c r="T40" s="29"/>
      <c r="U40" s="29"/>
      <c r="V40" s="29"/>
      <c r="W40" s="29"/>
      <c r="X40" s="29"/>
      <c r="Y40" s="29"/>
      <c r="Z40" s="29"/>
      <c r="AA40" s="29"/>
      <c r="AB40" s="29"/>
      <c r="AC40" s="29"/>
      <c r="AD40" s="29"/>
    </row>
    <row r="41" spans="1:31" ht="14.25" customHeight="1" x14ac:dyDescent="0.35">
      <c r="A41" s="28"/>
      <c r="B41" s="32" t="s">
        <v>30</v>
      </c>
      <c r="C41" s="11" t="s">
        <v>31</v>
      </c>
      <c r="D41" s="11"/>
      <c r="E41" s="11"/>
      <c r="F41" s="11"/>
      <c r="G41" s="11"/>
      <c r="H41" s="32" t="s">
        <v>122</v>
      </c>
      <c r="I41" s="32" t="s">
        <v>123</v>
      </c>
      <c r="J41" s="32" t="s">
        <v>124</v>
      </c>
      <c r="K41" s="32" t="s">
        <v>118</v>
      </c>
      <c r="L41" s="32" t="s">
        <v>119</v>
      </c>
      <c r="M41" s="32" t="s">
        <v>125</v>
      </c>
      <c r="N41" s="32" t="s">
        <v>126</v>
      </c>
      <c r="O41" s="32" t="s">
        <v>127</v>
      </c>
      <c r="P41" s="28"/>
      <c r="Q41" s="32" t="s">
        <v>30</v>
      </c>
      <c r="R41" s="11" t="s">
        <v>31</v>
      </c>
      <c r="S41" s="11"/>
      <c r="T41" s="11"/>
      <c r="U41" s="11"/>
      <c r="V41" s="11"/>
      <c r="W41" s="32" t="s">
        <v>122</v>
      </c>
      <c r="X41" s="32" t="s">
        <v>123</v>
      </c>
      <c r="Y41" s="32" t="s">
        <v>124</v>
      </c>
      <c r="Z41" s="32" t="s">
        <v>118</v>
      </c>
      <c r="AA41" s="32" t="s">
        <v>119</v>
      </c>
      <c r="AB41" s="32" t="s">
        <v>125</v>
      </c>
      <c r="AC41" s="32" t="s">
        <v>126</v>
      </c>
      <c r="AD41" s="32" t="s">
        <v>127</v>
      </c>
      <c r="AE41" s="28"/>
    </row>
    <row r="42" spans="1:31" ht="14.25" customHeight="1" x14ac:dyDescent="0.35">
      <c r="B42" s="29">
        <v>1</v>
      </c>
      <c r="C42" s="74">
        <v>9.9760000000000009</v>
      </c>
      <c r="D42" s="74">
        <v>10.694000000000001</v>
      </c>
      <c r="E42" s="74">
        <v>10.368</v>
      </c>
      <c r="F42" s="74">
        <v>10.503</v>
      </c>
      <c r="G42" s="74">
        <v>10.323</v>
      </c>
      <c r="H42" s="74">
        <v>10.3728</v>
      </c>
      <c r="I42" s="75">
        <v>0.71799999999999997</v>
      </c>
      <c r="J42" s="39">
        <v>0.46805999999999998</v>
      </c>
      <c r="K42" s="39">
        <v>0.989479</v>
      </c>
      <c r="L42" s="39">
        <v>0</v>
      </c>
      <c r="M42" s="39">
        <v>10.491992</v>
      </c>
      <c r="N42" s="39">
        <v>10.762062999999999</v>
      </c>
      <c r="O42" s="39">
        <v>10.221921</v>
      </c>
      <c r="Q42" s="29">
        <v>1</v>
      </c>
      <c r="R42" s="74">
        <v>9.9760000000000009</v>
      </c>
      <c r="S42" s="74">
        <v>10.694000000000001</v>
      </c>
      <c r="T42" s="74">
        <v>10.368</v>
      </c>
      <c r="U42" s="74">
        <v>10.503</v>
      </c>
      <c r="V42" s="74">
        <v>10.323</v>
      </c>
      <c r="W42" s="74">
        <v>10.3728</v>
      </c>
      <c r="X42" s="74">
        <v>0.71799999999999997</v>
      </c>
      <c r="Y42" s="39">
        <v>0.40887000000000001</v>
      </c>
      <c r="Z42" s="39">
        <v>0.86434999999999995</v>
      </c>
      <c r="AA42" s="39">
        <v>0</v>
      </c>
      <c r="AB42" s="39">
        <v>10.485874000000001</v>
      </c>
      <c r="AC42" s="39">
        <v>10.721792000000001</v>
      </c>
      <c r="AD42" s="39">
        <v>10.249955999999999</v>
      </c>
    </row>
    <row r="43" spans="1:31" ht="14.25" customHeight="1" x14ac:dyDescent="0.35">
      <c r="B43" s="29">
        <v>2</v>
      </c>
      <c r="C43" s="74">
        <v>10.625999999999999</v>
      </c>
      <c r="D43" s="74">
        <v>10.423999999999999</v>
      </c>
      <c r="E43" s="74">
        <v>11.109</v>
      </c>
      <c r="F43" s="74">
        <v>10.57</v>
      </c>
      <c r="G43" s="74">
        <v>10.132999999999999</v>
      </c>
      <c r="H43" s="74">
        <v>10.5724</v>
      </c>
      <c r="I43" s="75">
        <v>0.97599999999999998</v>
      </c>
      <c r="J43" s="39">
        <v>0.46805999999999998</v>
      </c>
      <c r="K43" s="39">
        <v>0.989479</v>
      </c>
      <c r="L43" s="39">
        <v>0</v>
      </c>
      <c r="M43" s="39">
        <v>10.491992</v>
      </c>
      <c r="N43" s="39">
        <v>10.762062999999999</v>
      </c>
      <c r="O43" s="39">
        <v>10.221921</v>
      </c>
      <c r="Q43" s="29">
        <v>2</v>
      </c>
      <c r="R43" s="74">
        <v>10.625999999999999</v>
      </c>
      <c r="S43" s="74">
        <v>10.423999999999999</v>
      </c>
      <c r="T43" s="74">
        <v>11.109</v>
      </c>
      <c r="U43" s="74">
        <v>10.57</v>
      </c>
      <c r="V43" s="74">
        <v>10.132999999999999</v>
      </c>
      <c r="W43" s="74">
        <v>10.5724</v>
      </c>
      <c r="X43" s="74">
        <v>0.97599999999999998</v>
      </c>
      <c r="Y43" s="39">
        <v>0.40887000000000001</v>
      </c>
      <c r="Z43" s="39">
        <v>0.86434999999999995</v>
      </c>
      <c r="AA43" s="39">
        <v>0</v>
      </c>
      <c r="AB43" s="39">
        <v>10.485874000000001</v>
      </c>
      <c r="AC43" s="39">
        <v>10.721792000000001</v>
      </c>
      <c r="AD43" s="39">
        <v>10.249955999999999</v>
      </c>
    </row>
    <row r="44" spans="1:31" ht="14.25" customHeight="1" x14ac:dyDescent="0.35">
      <c r="B44" s="29">
        <v>3</v>
      </c>
      <c r="C44" s="74">
        <v>10.458</v>
      </c>
      <c r="D44" s="74">
        <v>10.548</v>
      </c>
      <c r="E44" s="74">
        <v>10.760999999999999</v>
      </c>
      <c r="F44" s="74">
        <v>10.301</v>
      </c>
      <c r="G44" s="74">
        <v>10.042999999999999</v>
      </c>
      <c r="H44" s="74">
        <v>10.4222</v>
      </c>
      <c r="I44" s="75">
        <v>0.71799999999999997</v>
      </c>
      <c r="J44" s="39">
        <v>0.46805999999999998</v>
      </c>
      <c r="K44" s="39">
        <v>0.989479</v>
      </c>
      <c r="L44" s="39">
        <v>0</v>
      </c>
      <c r="M44" s="39">
        <v>10.491992</v>
      </c>
      <c r="N44" s="39">
        <v>10.762062999999999</v>
      </c>
      <c r="O44" s="39">
        <v>10.221921</v>
      </c>
      <c r="Q44" s="29">
        <v>3</v>
      </c>
      <c r="R44" s="74">
        <v>10.458</v>
      </c>
      <c r="S44" s="74">
        <v>10.548</v>
      </c>
      <c r="T44" s="74">
        <v>10.760999999999999</v>
      </c>
      <c r="U44" s="74">
        <v>10.301</v>
      </c>
      <c r="V44" s="74">
        <v>10.042999999999999</v>
      </c>
      <c r="W44" s="74">
        <v>10.4222</v>
      </c>
      <c r="X44" s="74">
        <v>0.71799999999999997</v>
      </c>
      <c r="Y44" s="39">
        <v>0.40887000000000001</v>
      </c>
      <c r="Z44" s="39">
        <v>0.86434999999999995</v>
      </c>
      <c r="AA44" s="39">
        <v>0</v>
      </c>
      <c r="AB44" s="39">
        <v>10.485874000000001</v>
      </c>
      <c r="AC44" s="39">
        <v>10.721792000000001</v>
      </c>
      <c r="AD44" s="39">
        <v>10.249955999999999</v>
      </c>
    </row>
    <row r="45" spans="1:31" ht="14.25" customHeight="1" x14ac:dyDescent="0.35">
      <c r="B45" s="29">
        <v>4</v>
      </c>
      <c r="C45" s="74">
        <v>10.648999999999999</v>
      </c>
      <c r="D45" s="74">
        <v>10.727</v>
      </c>
      <c r="E45" s="74">
        <v>10.423999999999999</v>
      </c>
      <c r="F45" s="74">
        <v>10.603999999999999</v>
      </c>
      <c r="G45" s="74">
        <v>10.603999999999999</v>
      </c>
      <c r="H45" s="74">
        <v>10.601599999999999</v>
      </c>
      <c r="I45" s="75">
        <v>0.30299999999999999</v>
      </c>
      <c r="J45" s="39">
        <v>0.46805999999999998</v>
      </c>
      <c r="K45" s="39">
        <v>0.989479</v>
      </c>
      <c r="L45" s="39">
        <v>0</v>
      </c>
      <c r="M45" s="39">
        <v>10.491992</v>
      </c>
      <c r="N45" s="39">
        <v>10.762062999999999</v>
      </c>
      <c r="O45" s="39">
        <v>10.221921</v>
      </c>
      <c r="Q45" s="29">
        <v>4</v>
      </c>
      <c r="R45" s="74">
        <v>10.648999999999999</v>
      </c>
      <c r="S45" s="74">
        <v>10.727</v>
      </c>
      <c r="T45" s="74">
        <v>10.423999999999999</v>
      </c>
      <c r="U45" s="74">
        <v>10.603999999999999</v>
      </c>
      <c r="V45" s="74">
        <v>10.603999999999999</v>
      </c>
      <c r="W45" s="74">
        <v>10.601599999999999</v>
      </c>
      <c r="X45" s="74">
        <v>0.30299999999999999</v>
      </c>
      <c r="Y45" s="39">
        <v>0.40887000000000001</v>
      </c>
      <c r="Z45" s="39">
        <v>0.86434999999999995</v>
      </c>
      <c r="AA45" s="39">
        <v>0</v>
      </c>
      <c r="AB45" s="39">
        <v>10.485874000000001</v>
      </c>
      <c r="AC45" s="39">
        <v>10.721792000000001</v>
      </c>
      <c r="AD45" s="39">
        <v>10.249955999999999</v>
      </c>
    </row>
    <row r="46" spans="1:31" ht="14.25" customHeight="1" x14ac:dyDescent="0.35">
      <c r="B46" s="29">
        <v>5</v>
      </c>
      <c r="C46" s="74">
        <v>10.581</v>
      </c>
      <c r="D46" s="74">
        <v>10.917999999999999</v>
      </c>
      <c r="E46" s="74">
        <v>10.401999999999999</v>
      </c>
      <c r="F46" s="74">
        <v>10.481</v>
      </c>
      <c r="G46" s="74">
        <v>10.795</v>
      </c>
      <c r="H46" s="74">
        <v>10.635400000000001</v>
      </c>
      <c r="I46" s="75">
        <v>0.51600000000000001</v>
      </c>
      <c r="J46" s="39">
        <v>0.46805999999999998</v>
      </c>
      <c r="K46" s="39">
        <v>0.989479</v>
      </c>
      <c r="L46" s="39">
        <v>0</v>
      </c>
      <c r="M46" s="39">
        <v>10.491992</v>
      </c>
      <c r="N46" s="39">
        <v>10.762062999999999</v>
      </c>
      <c r="O46" s="39">
        <v>10.221921</v>
      </c>
      <c r="Q46" s="29">
        <v>5</v>
      </c>
      <c r="R46" s="74">
        <v>10.581</v>
      </c>
      <c r="S46" s="74">
        <v>10.917999999999999</v>
      </c>
      <c r="T46" s="74">
        <v>10.401999999999999</v>
      </c>
      <c r="U46" s="74">
        <v>10.481</v>
      </c>
      <c r="V46" s="74">
        <v>10.795</v>
      </c>
      <c r="W46" s="74">
        <v>10.635400000000001</v>
      </c>
      <c r="X46" s="74">
        <v>0.51600000000000001</v>
      </c>
      <c r="Y46" s="39">
        <v>0.40887000000000001</v>
      </c>
      <c r="Z46" s="39">
        <v>0.86434999999999995</v>
      </c>
      <c r="AA46" s="39">
        <v>0</v>
      </c>
      <c r="AB46" s="39">
        <v>10.485874000000001</v>
      </c>
      <c r="AC46" s="39">
        <v>10.721792000000001</v>
      </c>
      <c r="AD46" s="39">
        <v>10.249955999999999</v>
      </c>
    </row>
    <row r="47" spans="1:31" ht="14.25" customHeight="1" x14ac:dyDescent="0.35">
      <c r="B47" s="29">
        <v>6</v>
      </c>
      <c r="C47" s="74">
        <v>10.436</v>
      </c>
      <c r="D47" s="74">
        <v>10.503</v>
      </c>
      <c r="E47" s="74">
        <v>10.907</v>
      </c>
      <c r="F47" s="74">
        <v>10.458</v>
      </c>
      <c r="G47" s="74">
        <v>9.8070000000000004</v>
      </c>
      <c r="H47" s="74">
        <v>10.4222</v>
      </c>
      <c r="I47" s="75">
        <v>1.1000000000000001</v>
      </c>
      <c r="J47" s="39">
        <v>0.46805999999999998</v>
      </c>
      <c r="K47" s="39">
        <v>0.989479</v>
      </c>
      <c r="L47" s="39">
        <v>0</v>
      </c>
      <c r="M47" s="39">
        <v>10.491992</v>
      </c>
      <c r="N47" s="39">
        <v>10.762062999999999</v>
      </c>
      <c r="O47" s="39">
        <v>10.221921</v>
      </c>
      <c r="Q47" s="29">
        <v>7</v>
      </c>
      <c r="R47" s="74">
        <v>10.682</v>
      </c>
      <c r="S47" s="74">
        <v>10.446999999999999</v>
      </c>
      <c r="T47" s="74">
        <v>10.323</v>
      </c>
      <c r="U47" s="74">
        <v>10.311999999999999</v>
      </c>
      <c r="V47" s="74">
        <v>10.805999999999999</v>
      </c>
      <c r="W47" s="74">
        <v>10.513999999999999</v>
      </c>
      <c r="X47" s="74">
        <v>0.49399999999999999</v>
      </c>
      <c r="Y47" s="39">
        <v>0.40887000000000001</v>
      </c>
      <c r="Z47" s="39">
        <v>0.86434999999999995</v>
      </c>
      <c r="AA47" s="39">
        <v>0</v>
      </c>
      <c r="AB47" s="39">
        <v>10.485874000000001</v>
      </c>
      <c r="AC47" s="39">
        <v>10.721792000000001</v>
      </c>
      <c r="AD47" s="39">
        <v>10.249955999999999</v>
      </c>
    </row>
    <row r="48" spans="1:31" ht="14.25" customHeight="1" x14ac:dyDescent="0.35">
      <c r="B48" s="29">
        <v>7</v>
      </c>
      <c r="C48" s="74">
        <v>10.682</v>
      </c>
      <c r="D48" s="74">
        <v>10.446999999999999</v>
      </c>
      <c r="E48" s="74">
        <v>10.323</v>
      </c>
      <c r="F48" s="74">
        <v>10.311999999999999</v>
      </c>
      <c r="G48" s="74">
        <v>10.805999999999999</v>
      </c>
      <c r="H48" s="74">
        <v>10.513999999999999</v>
      </c>
      <c r="I48" s="75">
        <v>0.49399999999999999</v>
      </c>
      <c r="J48" s="39">
        <v>0.46805999999999998</v>
      </c>
      <c r="K48" s="39">
        <v>0.989479</v>
      </c>
      <c r="L48" s="39">
        <v>0</v>
      </c>
      <c r="M48" s="39">
        <v>10.491992</v>
      </c>
      <c r="N48" s="39">
        <v>10.762062999999999</v>
      </c>
      <c r="O48" s="39">
        <v>10.221921</v>
      </c>
      <c r="Q48" s="29">
        <v>8</v>
      </c>
      <c r="R48" s="74">
        <v>10.356999999999999</v>
      </c>
      <c r="S48" s="74">
        <v>10.481</v>
      </c>
      <c r="T48" s="74">
        <v>10.446999999999999</v>
      </c>
      <c r="U48" s="74">
        <v>10.468999999999999</v>
      </c>
      <c r="V48" s="74">
        <v>10.638</v>
      </c>
      <c r="W48" s="74">
        <v>10.478400000000001</v>
      </c>
      <c r="X48" s="74">
        <v>0.28100000000000003</v>
      </c>
      <c r="Y48" s="39">
        <v>0.40887000000000001</v>
      </c>
      <c r="Z48" s="39">
        <v>0.86434999999999995</v>
      </c>
      <c r="AA48" s="39">
        <v>0</v>
      </c>
      <c r="AB48" s="39">
        <v>10.485874000000001</v>
      </c>
      <c r="AC48" s="39">
        <v>10.721792000000001</v>
      </c>
      <c r="AD48" s="39">
        <v>10.249955999999999</v>
      </c>
    </row>
    <row r="49" spans="2:30" ht="14.25" customHeight="1" x14ac:dyDescent="0.35">
      <c r="B49" s="29">
        <v>8</v>
      </c>
      <c r="C49" s="74">
        <v>10.356999999999999</v>
      </c>
      <c r="D49" s="74">
        <v>10.481</v>
      </c>
      <c r="E49" s="74">
        <v>10.446999999999999</v>
      </c>
      <c r="F49" s="74">
        <v>10.468999999999999</v>
      </c>
      <c r="G49" s="74">
        <v>10.638</v>
      </c>
      <c r="H49" s="74">
        <v>10.478400000000001</v>
      </c>
      <c r="I49" s="75">
        <v>0.28100000000000003</v>
      </c>
      <c r="J49" s="39">
        <v>0.46805999999999998</v>
      </c>
      <c r="K49" s="39">
        <v>0.989479</v>
      </c>
      <c r="L49" s="39">
        <v>0</v>
      </c>
      <c r="M49" s="39">
        <v>10.491992</v>
      </c>
      <c r="N49" s="39">
        <v>10.762062999999999</v>
      </c>
      <c r="O49" s="39">
        <v>10.221921</v>
      </c>
      <c r="Q49" s="29">
        <v>9</v>
      </c>
      <c r="R49" s="74">
        <v>10.682</v>
      </c>
      <c r="S49" s="74">
        <v>10.907</v>
      </c>
      <c r="T49" s="74">
        <v>10.401999999999999</v>
      </c>
      <c r="U49" s="74">
        <v>10.29</v>
      </c>
      <c r="V49" s="74">
        <v>10.581</v>
      </c>
      <c r="W49" s="74">
        <v>10.5724</v>
      </c>
      <c r="X49" s="74">
        <v>0.61699999999999999</v>
      </c>
      <c r="Y49" s="39">
        <v>0.40887000000000001</v>
      </c>
      <c r="Z49" s="39">
        <v>0.86434999999999995</v>
      </c>
      <c r="AA49" s="39">
        <v>0</v>
      </c>
      <c r="AB49" s="39">
        <v>10.485874000000001</v>
      </c>
      <c r="AC49" s="39">
        <v>10.721792000000001</v>
      </c>
      <c r="AD49" s="39">
        <v>10.249955999999999</v>
      </c>
    </row>
    <row r="50" spans="2:30" ht="14.25" customHeight="1" x14ac:dyDescent="0.35">
      <c r="B50" s="29">
        <v>9</v>
      </c>
      <c r="C50" s="74">
        <v>10.682</v>
      </c>
      <c r="D50" s="74">
        <v>10.907</v>
      </c>
      <c r="E50" s="74">
        <v>10.401999999999999</v>
      </c>
      <c r="F50" s="74">
        <v>10.29</v>
      </c>
      <c r="G50" s="74">
        <v>10.581</v>
      </c>
      <c r="H50" s="74">
        <v>10.5724</v>
      </c>
      <c r="I50" s="75">
        <v>0.61699999999999999</v>
      </c>
      <c r="J50" s="39">
        <v>0.46805999999999998</v>
      </c>
      <c r="K50" s="39">
        <v>0.989479</v>
      </c>
      <c r="L50" s="39">
        <v>0</v>
      </c>
      <c r="M50" s="39">
        <v>10.491992</v>
      </c>
      <c r="N50" s="39">
        <v>10.762062999999999</v>
      </c>
      <c r="O50" s="39">
        <v>10.221921</v>
      </c>
      <c r="Q50" s="29">
        <v>10</v>
      </c>
      <c r="R50" s="74">
        <v>10.525</v>
      </c>
      <c r="S50" s="74">
        <v>10.682</v>
      </c>
      <c r="T50" s="74">
        <v>10.581</v>
      </c>
      <c r="U50" s="74">
        <v>10.66</v>
      </c>
      <c r="V50" s="74">
        <v>10.817</v>
      </c>
      <c r="W50" s="74">
        <v>10.653</v>
      </c>
      <c r="X50" s="74">
        <v>0.29199999999999998</v>
      </c>
      <c r="Y50" s="39">
        <v>0.40887000000000001</v>
      </c>
      <c r="Z50" s="39">
        <v>0.86434999999999995</v>
      </c>
      <c r="AA50" s="39">
        <v>0</v>
      </c>
      <c r="AB50" s="39">
        <v>10.485874000000001</v>
      </c>
      <c r="AC50" s="39">
        <v>10.721792000000001</v>
      </c>
      <c r="AD50" s="39">
        <v>10.249955999999999</v>
      </c>
    </row>
    <row r="51" spans="2:30" ht="14.25" customHeight="1" x14ac:dyDescent="0.35">
      <c r="B51" s="29">
        <v>10</v>
      </c>
      <c r="C51" s="74">
        <v>10.525</v>
      </c>
      <c r="D51" s="74">
        <v>10.682</v>
      </c>
      <c r="E51" s="74">
        <v>10.581</v>
      </c>
      <c r="F51" s="74">
        <v>10.66</v>
      </c>
      <c r="G51" s="74">
        <v>10.817</v>
      </c>
      <c r="H51" s="74">
        <v>10.653</v>
      </c>
      <c r="I51" s="75">
        <v>0.29199999999999998</v>
      </c>
      <c r="J51" s="39">
        <v>0.46805999999999998</v>
      </c>
      <c r="K51" s="39">
        <v>0.989479</v>
      </c>
      <c r="L51" s="39">
        <v>0</v>
      </c>
      <c r="M51" s="39">
        <v>10.491992</v>
      </c>
      <c r="N51" s="39">
        <v>10.762062999999999</v>
      </c>
      <c r="O51" s="39">
        <v>10.221921</v>
      </c>
      <c r="Q51" s="29">
        <v>11</v>
      </c>
      <c r="R51" s="74">
        <v>10.795</v>
      </c>
      <c r="S51" s="74">
        <v>10.423999999999999</v>
      </c>
      <c r="T51" s="74">
        <v>10.638</v>
      </c>
      <c r="U51" s="74">
        <v>11.109</v>
      </c>
      <c r="V51" s="74">
        <v>11.109</v>
      </c>
      <c r="W51" s="74">
        <v>10.815</v>
      </c>
      <c r="X51" s="74">
        <v>0.68500000000000005</v>
      </c>
      <c r="Y51" s="39">
        <v>0.40887000000000001</v>
      </c>
      <c r="Z51" s="39">
        <v>0.86434999999999995</v>
      </c>
      <c r="AA51" s="39">
        <v>0</v>
      </c>
      <c r="AB51" s="39">
        <v>10.485874000000001</v>
      </c>
      <c r="AC51" s="39">
        <v>10.721792000000001</v>
      </c>
      <c r="AD51" s="39">
        <v>10.249955999999999</v>
      </c>
    </row>
    <row r="52" spans="2:30" ht="14.25" customHeight="1" x14ac:dyDescent="0.35">
      <c r="B52" s="29">
        <v>11</v>
      </c>
      <c r="C52" s="74">
        <v>10.795</v>
      </c>
      <c r="D52" s="74">
        <v>10.423999999999999</v>
      </c>
      <c r="E52" s="74">
        <v>10.638</v>
      </c>
      <c r="F52" s="74">
        <v>11.109</v>
      </c>
      <c r="G52" s="74">
        <v>11.109</v>
      </c>
      <c r="H52" s="74">
        <v>10.815</v>
      </c>
      <c r="I52" s="75">
        <v>0.68500000000000005</v>
      </c>
      <c r="J52" s="39">
        <v>0.46805999999999998</v>
      </c>
      <c r="K52" s="39">
        <v>0.989479</v>
      </c>
      <c r="L52" s="39">
        <v>0</v>
      </c>
      <c r="M52" s="39">
        <v>10.491992</v>
      </c>
      <c r="N52" s="39">
        <v>10.762062999999999</v>
      </c>
      <c r="O52" s="39">
        <v>10.221921</v>
      </c>
      <c r="Q52" s="29">
        <v>12</v>
      </c>
      <c r="R52" s="74">
        <v>10.581</v>
      </c>
      <c r="S52" s="74">
        <v>10.503</v>
      </c>
      <c r="T52" s="74">
        <v>10.436</v>
      </c>
      <c r="U52" s="74">
        <v>10.38</v>
      </c>
      <c r="V52" s="74">
        <v>10.952</v>
      </c>
      <c r="W52" s="74">
        <v>10.570399999999999</v>
      </c>
      <c r="X52" s="74">
        <v>0.57199999999999995</v>
      </c>
      <c r="Y52" s="39">
        <v>0.40887000000000001</v>
      </c>
      <c r="Z52" s="39">
        <v>0.86434999999999995</v>
      </c>
      <c r="AA52" s="39">
        <v>0</v>
      </c>
      <c r="AB52" s="39">
        <v>10.485874000000001</v>
      </c>
      <c r="AC52" s="39">
        <v>10.721792000000001</v>
      </c>
      <c r="AD52" s="39">
        <v>10.249955999999999</v>
      </c>
    </row>
    <row r="53" spans="2:30" ht="14.25" customHeight="1" x14ac:dyDescent="0.35">
      <c r="B53" s="29">
        <v>12</v>
      </c>
      <c r="C53" s="74">
        <v>10.581</v>
      </c>
      <c r="D53" s="74">
        <v>10.503</v>
      </c>
      <c r="E53" s="74">
        <v>10.436</v>
      </c>
      <c r="F53" s="74">
        <v>10.38</v>
      </c>
      <c r="G53" s="74">
        <v>10.952</v>
      </c>
      <c r="H53" s="74">
        <v>10.570399999999999</v>
      </c>
      <c r="I53" s="75">
        <v>0.57199999999999995</v>
      </c>
      <c r="J53" s="39">
        <v>0.46805999999999998</v>
      </c>
      <c r="K53" s="39">
        <v>0.989479</v>
      </c>
      <c r="L53" s="39">
        <v>0</v>
      </c>
      <c r="M53" s="39">
        <v>10.491992</v>
      </c>
      <c r="N53" s="39">
        <v>10.762062999999999</v>
      </c>
      <c r="O53" s="39">
        <v>10.221921</v>
      </c>
      <c r="Q53" s="29">
        <v>13</v>
      </c>
      <c r="R53" s="74">
        <v>10.705</v>
      </c>
      <c r="S53" s="74">
        <v>10.356999999999999</v>
      </c>
      <c r="T53" s="74">
        <v>10.356999999999999</v>
      </c>
      <c r="U53" s="74">
        <v>10.537000000000001</v>
      </c>
      <c r="V53" s="74">
        <v>10.513999999999999</v>
      </c>
      <c r="W53" s="74">
        <v>10.494</v>
      </c>
      <c r="X53" s="74">
        <v>0.34799999999999998</v>
      </c>
      <c r="Y53" s="39">
        <v>0.40887000000000001</v>
      </c>
      <c r="Z53" s="39">
        <v>0.86434999999999995</v>
      </c>
      <c r="AA53" s="39">
        <v>0</v>
      </c>
      <c r="AB53" s="39">
        <v>10.485874000000001</v>
      </c>
      <c r="AC53" s="39">
        <v>10.721792000000001</v>
      </c>
      <c r="AD53" s="39">
        <v>10.249955999999999</v>
      </c>
    </row>
    <row r="54" spans="2:30" ht="14.25" customHeight="1" x14ac:dyDescent="0.35">
      <c r="B54" s="29">
        <v>13</v>
      </c>
      <c r="C54" s="74">
        <v>10.705</v>
      </c>
      <c r="D54" s="74">
        <v>10.356999999999999</v>
      </c>
      <c r="E54" s="74">
        <v>10.356999999999999</v>
      </c>
      <c r="F54" s="74">
        <v>10.537000000000001</v>
      </c>
      <c r="G54" s="74">
        <v>10.513999999999999</v>
      </c>
      <c r="H54" s="74">
        <v>10.494</v>
      </c>
      <c r="I54" s="75">
        <v>0.34799999999999998</v>
      </c>
      <c r="J54" s="39">
        <v>0.46805999999999998</v>
      </c>
      <c r="K54" s="39">
        <v>0.989479</v>
      </c>
      <c r="L54" s="39">
        <v>0</v>
      </c>
      <c r="M54" s="39">
        <v>10.491992</v>
      </c>
      <c r="N54" s="39">
        <v>10.762062999999999</v>
      </c>
      <c r="O54" s="39">
        <v>10.221921</v>
      </c>
      <c r="Q54" s="29">
        <v>14</v>
      </c>
      <c r="R54" s="74">
        <v>10.413</v>
      </c>
      <c r="S54" s="74">
        <v>10.335000000000001</v>
      </c>
      <c r="T54" s="74">
        <v>10.468999999999999</v>
      </c>
      <c r="U54" s="74">
        <v>10.423999999999999</v>
      </c>
      <c r="V54" s="74">
        <v>10.558999999999999</v>
      </c>
      <c r="W54" s="74">
        <v>10.44</v>
      </c>
      <c r="X54" s="74">
        <v>0.224</v>
      </c>
      <c r="Y54" s="39">
        <v>0.40887000000000001</v>
      </c>
      <c r="Z54" s="39">
        <v>0.86434999999999995</v>
      </c>
      <c r="AA54" s="39">
        <v>0</v>
      </c>
      <c r="AB54" s="39">
        <v>10.485874000000001</v>
      </c>
      <c r="AC54" s="39">
        <v>10.721792000000001</v>
      </c>
      <c r="AD54" s="39">
        <v>10.249955999999999</v>
      </c>
    </row>
    <row r="55" spans="2:30" ht="14.25" customHeight="1" x14ac:dyDescent="0.35">
      <c r="B55" s="29">
        <v>14</v>
      </c>
      <c r="C55" s="74">
        <v>10.413</v>
      </c>
      <c r="D55" s="74">
        <v>10.335000000000001</v>
      </c>
      <c r="E55" s="74">
        <v>10.468999999999999</v>
      </c>
      <c r="F55" s="74">
        <v>10.423999999999999</v>
      </c>
      <c r="G55" s="74">
        <v>10.558999999999999</v>
      </c>
      <c r="H55" s="74">
        <v>10.44</v>
      </c>
      <c r="I55" s="75">
        <v>0.224</v>
      </c>
      <c r="J55" s="39">
        <v>0.46805999999999998</v>
      </c>
      <c r="K55" s="39">
        <v>0.989479</v>
      </c>
      <c r="L55" s="39">
        <v>0</v>
      </c>
      <c r="M55" s="39">
        <v>10.491992</v>
      </c>
      <c r="N55" s="39">
        <v>10.762062999999999</v>
      </c>
      <c r="O55" s="39">
        <v>10.221921</v>
      </c>
      <c r="Q55" s="29">
        <v>15</v>
      </c>
      <c r="R55" s="74">
        <v>10.11</v>
      </c>
      <c r="S55" s="74">
        <v>10.603999999999999</v>
      </c>
      <c r="T55" s="74">
        <v>10.513999999999999</v>
      </c>
      <c r="U55" s="74">
        <v>10.57</v>
      </c>
      <c r="V55" s="74">
        <v>10.503</v>
      </c>
      <c r="W55" s="74">
        <v>10.4602</v>
      </c>
      <c r="X55" s="74">
        <v>0.49399999999999999</v>
      </c>
      <c r="Y55" s="39">
        <v>0.40887000000000001</v>
      </c>
      <c r="Z55" s="39">
        <v>0.86434999999999995</v>
      </c>
      <c r="AA55" s="39">
        <v>0</v>
      </c>
      <c r="AB55" s="39">
        <v>10.485874000000001</v>
      </c>
      <c r="AC55" s="39">
        <v>10.721792000000001</v>
      </c>
      <c r="AD55" s="39">
        <v>10.249955999999999</v>
      </c>
    </row>
    <row r="56" spans="2:30" ht="14.25" customHeight="1" x14ac:dyDescent="0.35">
      <c r="B56" s="29">
        <v>15</v>
      </c>
      <c r="C56" s="74">
        <v>10.11</v>
      </c>
      <c r="D56" s="74">
        <v>10.603999999999999</v>
      </c>
      <c r="E56" s="74">
        <v>10.513999999999999</v>
      </c>
      <c r="F56" s="74">
        <v>10.57</v>
      </c>
      <c r="G56" s="74">
        <v>10.503</v>
      </c>
      <c r="H56" s="74">
        <v>10.4602</v>
      </c>
      <c r="I56" s="75">
        <v>0.49399999999999999</v>
      </c>
      <c r="J56" s="39">
        <v>0.46805999999999998</v>
      </c>
      <c r="K56" s="39">
        <v>0.989479</v>
      </c>
      <c r="L56" s="39">
        <v>0</v>
      </c>
      <c r="M56" s="39">
        <v>10.491992</v>
      </c>
      <c r="N56" s="39">
        <v>10.762062999999999</v>
      </c>
      <c r="O56" s="39">
        <v>10.221921</v>
      </c>
      <c r="Q56" s="29">
        <v>16</v>
      </c>
      <c r="R56" s="74">
        <v>10.57</v>
      </c>
      <c r="S56" s="74">
        <v>10.625999999999999</v>
      </c>
      <c r="T56" s="74">
        <v>10.368</v>
      </c>
      <c r="U56" s="74">
        <v>10.670999999999999</v>
      </c>
      <c r="V56" s="74">
        <v>10.705</v>
      </c>
      <c r="W56" s="74">
        <v>10.587999999999999</v>
      </c>
      <c r="X56" s="74">
        <v>0.33700000000000002</v>
      </c>
      <c r="Y56" s="39">
        <v>0.40887000000000001</v>
      </c>
      <c r="Z56" s="39">
        <v>0.86434999999999995</v>
      </c>
      <c r="AA56" s="39">
        <v>0</v>
      </c>
      <c r="AB56" s="39">
        <v>10.485874000000001</v>
      </c>
      <c r="AC56" s="39">
        <v>10.721792000000001</v>
      </c>
      <c r="AD56" s="39">
        <v>10.249955999999999</v>
      </c>
    </row>
    <row r="57" spans="2:30" ht="14.25" customHeight="1" x14ac:dyDescent="0.35">
      <c r="B57" s="29">
        <v>16</v>
      </c>
      <c r="C57" s="74">
        <v>10.57</v>
      </c>
      <c r="D57" s="74">
        <v>10.625999999999999</v>
      </c>
      <c r="E57" s="74">
        <v>10.368</v>
      </c>
      <c r="F57" s="74">
        <v>10.670999999999999</v>
      </c>
      <c r="G57" s="74">
        <v>10.705</v>
      </c>
      <c r="H57" s="74">
        <v>10.587999999999999</v>
      </c>
      <c r="I57" s="75">
        <v>0.33700000000000002</v>
      </c>
      <c r="J57" s="39">
        <v>0.46805999999999998</v>
      </c>
      <c r="K57" s="39">
        <v>0.989479</v>
      </c>
      <c r="L57" s="39">
        <v>0</v>
      </c>
      <c r="M57" s="39">
        <v>10.491992</v>
      </c>
      <c r="N57" s="39">
        <v>10.762062999999999</v>
      </c>
      <c r="O57" s="39">
        <v>10.221921</v>
      </c>
      <c r="Q57" s="29">
        <v>19</v>
      </c>
      <c r="R57" s="74">
        <v>10.525</v>
      </c>
      <c r="S57" s="74">
        <v>10.705</v>
      </c>
      <c r="T57" s="74">
        <v>10.468999999999999</v>
      </c>
      <c r="U57" s="74">
        <v>10.323</v>
      </c>
      <c r="V57" s="74">
        <v>10.760999999999999</v>
      </c>
      <c r="W57" s="74">
        <v>10.5566</v>
      </c>
      <c r="X57" s="74">
        <v>0.438</v>
      </c>
      <c r="Y57" s="39">
        <v>0.40887000000000001</v>
      </c>
      <c r="Z57" s="39">
        <v>0.86434999999999995</v>
      </c>
      <c r="AA57" s="39">
        <v>0</v>
      </c>
      <c r="AB57" s="39">
        <v>10.485874000000001</v>
      </c>
      <c r="AC57" s="39">
        <v>10.721792000000001</v>
      </c>
      <c r="AD57" s="39">
        <v>10.249955999999999</v>
      </c>
    </row>
    <row r="58" spans="2:30" ht="14.25" customHeight="1" x14ac:dyDescent="0.35">
      <c r="B58" s="29">
        <v>17</v>
      </c>
      <c r="C58" s="74">
        <v>10.727</v>
      </c>
      <c r="D58" s="74">
        <v>10.458</v>
      </c>
      <c r="E58" s="74">
        <v>9.7059999999999995</v>
      </c>
      <c r="F58" s="74">
        <v>10.346</v>
      </c>
      <c r="G58" s="74">
        <v>10.603999999999999</v>
      </c>
      <c r="H58" s="74">
        <v>10.3682</v>
      </c>
      <c r="I58" s="75">
        <v>1.0209999999999999</v>
      </c>
      <c r="J58" s="39">
        <v>0.46805999999999998</v>
      </c>
      <c r="K58" s="39">
        <v>0.989479</v>
      </c>
      <c r="L58" s="39">
        <v>0</v>
      </c>
      <c r="M58" s="39">
        <v>10.491992</v>
      </c>
      <c r="N58" s="39">
        <v>10.762062999999999</v>
      </c>
      <c r="O58" s="39">
        <v>10.221921</v>
      </c>
      <c r="Q58" s="29">
        <v>20</v>
      </c>
      <c r="R58" s="74">
        <v>10.805999999999999</v>
      </c>
      <c r="S58" s="74">
        <v>10.772</v>
      </c>
      <c r="T58" s="74">
        <v>10.75</v>
      </c>
      <c r="U58" s="74">
        <v>10.503</v>
      </c>
      <c r="V58" s="74">
        <v>10.896000000000001</v>
      </c>
      <c r="W58" s="74">
        <v>10.7454</v>
      </c>
      <c r="X58" s="74">
        <v>0.39300000000000002</v>
      </c>
      <c r="Y58" s="39">
        <v>0.40887000000000001</v>
      </c>
      <c r="Z58" s="39">
        <v>0.86434999999999995</v>
      </c>
      <c r="AA58" s="39">
        <v>0</v>
      </c>
      <c r="AB58" s="39">
        <v>10.485874000000001</v>
      </c>
      <c r="AC58" s="39">
        <v>10.721792000000001</v>
      </c>
      <c r="AD58" s="39">
        <v>10.249955999999999</v>
      </c>
    </row>
    <row r="59" spans="2:30" ht="14.25" customHeight="1" x14ac:dyDescent="0.35">
      <c r="B59" s="29">
        <v>18</v>
      </c>
      <c r="C59" s="74">
        <v>10.705</v>
      </c>
      <c r="D59" s="74">
        <v>11.053000000000001</v>
      </c>
      <c r="E59" s="74">
        <v>10.548</v>
      </c>
      <c r="F59" s="74">
        <v>10.346</v>
      </c>
      <c r="G59" s="74">
        <v>9.8859999999999992</v>
      </c>
      <c r="H59" s="74">
        <v>10.5076</v>
      </c>
      <c r="I59" s="75">
        <v>1.167</v>
      </c>
      <c r="J59" s="39">
        <v>0.46805999999999998</v>
      </c>
      <c r="K59" s="39">
        <v>0.989479</v>
      </c>
      <c r="L59" s="39">
        <v>0</v>
      </c>
      <c r="M59" s="39">
        <v>10.491992</v>
      </c>
      <c r="N59" s="39">
        <v>10.762062999999999</v>
      </c>
      <c r="O59" s="39">
        <v>10.221921</v>
      </c>
      <c r="Q59" s="29">
        <v>21</v>
      </c>
      <c r="R59" s="74">
        <v>10.279</v>
      </c>
      <c r="S59" s="74">
        <v>10.715999999999999</v>
      </c>
      <c r="T59" s="74">
        <v>10.57</v>
      </c>
      <c r="U59" s="74">
        <v>10.705</v>
      </c>
      <c r="V59" s="74">
        <v>10.335000000000001</v>
      </c>
      <c r="W59" s="74">
        <v>10.521000000000001</v>
      </c>
      <c r="X59" s="74">
        <v>0.437</v>
      </c>
      <c r="Y59" s="39">
        <v>0.40887000000000001</v>
      </c>
      <c r="Z59" s="39">
        <v>0.86434999999999995</v>
      </c>
      <c r="AA59" s="39">
        <v>0</v>
      </c>
      <c r="AB59" s="39">
        <v>10.485874000000001</v>
      </c>
      <c r="AC59" s="39">
        <v>10.721792000000001</v>
      </c>
      <c r="AD59" s="39">
        <v>10.249955999999999</v>
      </c>
    </row>
    <row r="60" spans="2:30" ht="14.25" customHeight="1" x14ac:dyDescent="0.35">
      <c r="B60" s="29">
        <v>19</v>
      </c>
      <c r="C60" s="74">
        <v>10.525</v>
      </c>
      <c r="D60" s="74">
        <v>10.705</v>
      </c>
      <c r="E60" s="74">
        <v>10.468999999999999</v>
      </c>
      <c r="F60" s="74">
        <v>10.323</v>
      </c>
      <c r="G60" s="74">
        <v>10.760999999999999</v>
      </c>
      <c r="H60" s="74">
        <v>10.5566</v>
      </c>
      <c r="I60" s="75">
        <v>0.438</v>
      </c>
      <c r="J60" s="39">
        <v>0.46805999999999998</v>
      </c>
      <c r="K60" s="39">
        <v>0.989479</v>
      </c>
      <c r="L60" s="39">
        <v>0</v>
      </c>
      <c r="M60" s="39">
        <v>10.491992</v>
      </c>
      <c r="N60" s="39">
        <v>10.762062999999999</v>
      </c>
      <c r="O60" s="39">
        <v>10.221921</v>
      </c>
      <c r="Q60" s="29">
        <v>22</v>
      </c>
      <c r="R60" s="74">
        <v>10.75</v>
      </c>
      <c r="S60" s="74">
        <v>10.593</v>
      </c>
      <c r="T60" s="74">
        <v>10.401999999999999</v>
      </c>
      <c r="U60" s="74">
        <v>10.38</v>
      </c>
      <c r="V60" s="74">
        <v>9.8859999999999992</v>
      </c>
      <c r="W60" s="74">
        <v>10.402200000000001</v>
      </c>
      <c r="X60" s="74">
        <v>0.86399999999999999</v>
      </c>
      <c r="Y60" s="39">
        <v>0.40887000000000001</v>
      </c>
      <c r="Z60" s="39">
        <v>0.86434999999999995</v>
      </c>
      <c r="AA60" s="39">
        <v>0</v>
      </c>
      <c r="AB60" s="39">
        <v>10.485874000000001</v>
      </c>
      <c r="AC60" s="39">
        <v>10.721792000000001</v>
      </c>
      <c r="AD60" s="39">
        <v>10.249955999999999</v>
      </c>
    </row>
    <row r="61" spans="2:30" ht="14.25" customHeight="1" x14ac:dyDescent="0.35">
      <c r="B61" s="29">
        <v>20</v>
      </c>
      <c r="C61" s="74">
        <v>10.805999999999999</v>
      </c>
      <c r="D61" s="74">
        <v>10.772</v>
      </c>
      <c r="E61" s="74">
        <v>10.75</v>
      </c>
      <c r="F61" s="74">
        <v>10.503</v>
      </c>
      <c r="G61" s="74">
        <v>10.896000000000001</v>
      </c>
      <c r="H61" s="74">
        <v>10.7454</v>
      </c>
      <c r="I61" s="75">
        <v>0.39300000000000002</v>
      </c>
      <c r="J61" s="39">
        <v>0.46805999999999998</v>
      </c>
      <c r="K61" s="39">
        <v>0.989479</v>
      </c>
      <c r="L61" s="39">
        <v>0</v>
      </c>
      <c r="M61" s="39">
        <v>10.491992</v>
      </c>
      <c r="N61" s="39">
        <v>10.762062999999999</v>
      </c>
      <c r="O61" s="39">
        <v>10.221921</v>
      </c>
      <c r="Q61" s="29">
        <v>24</v>
      </c>
      <c r="R61" s="74">
        <v>10.705</v>
      </c>
      <c r="S61" s="74">
        <v>10.760999999999999</v>
      </c>
      <c r="T61" s="74">
        <v>10.436</v>
      </c>
      <c r="U61" s="74">
        <v>10.548</v>
      </c>
      <c r="V61" s="74">
        <v>9.8970000000000002</v>
      </c>
      <c r="W61" s="74">
        <v>10.4694</v>
      </c>
      <c r="X61" s="74">
        <v>0.86399999999999999</v>
      </c>
      <c r="Y61" s="39">
        <v>0.40887000000000001</v>
      </c>
      <c r="Z61" s="39">
        <v>0.86434999999999995</v>
      </c>
      <c r="AA61" s="39">
        <v>0</v>
      </c>
      <c r="AB61" s="39">
        <v>10.485874000000001</v>
      </c>
      <c r="AC61" s="39">
        <v>10.721792000000001</v>
      </c>
      <c r="AD61" s="39">
        <v>10.249955999999999</v>
      </c>
    </row>
    <row r="62" spans="2:30" ht="14.25" customHeight="1" x14ac:dyDescent="0.35">
      <c r="B62" s="29">
        <v>21</v>
      </c>
      <c r="C62" s="74">
        <v>10.279</v>
      </c>
      <c r="D62" s="74">
        <v>10.715999999999999</v>
      </c>
      <c r="E62" s="74">
        <v>10.57</v>
      </c>
      <c r="F62" s="74">
        <v>10.705</v>
      </c>
      <c r="G62" s="74">
        <v>10.335000000000001</v>
      </c>
      <c r="H62" s="74">
        <v>10.521000000000001</v>
      </c>
      <c r="I62" s="75">
        <v>0.437</v>
      </c>
      <c r="J62" s="39">
        <v>0.46805999999999998</v>
      </c>
      <c r="K62" s="39">
        <v>0.989479</v>
      </c>
      <c r="L62" s="39">
        <v>0</v>
      </c>
      <c r="M62" s="39">
        <v>10.491992</v>
      </c>
      <c r="N62" s="39">
        <v>10.762062999999999</v>
      </c>
      <c r="O62" s="39">
        <v>10.221921</v>
      </c>
      <c r="Q62" s="29">
        <v>25</v>
      </c>
      <c r="R62" s="74">
        <v>10.244999999999999</v>
      </c>
      <c r="S62" s="74">
        <v>10.525</v>
      </c>
      <c r="T62" s="74">
        <v>10.436</v>
      </c>
      <c r="U62" s="74">
        <v>10.525</v>
      </c>
      <c r="V62" s="74">
        <v>10.346</v>
      </c>
      <c r="W62" s="74">
        <v>10.4154</v>
      </c>
      <c r="X62" s="74">
        <v>0.28000000000000003</v>
      </c>
      <c r="Y62" s="39">
        <v>0.40887000000000001</v>
      </c>
      <c r="Z62" s="39">
        <v>0.86434999999999995</v>
      </c>
      <c r="AA62" s="39">
        <v>0</v>
      </c>
      <c r="AB62" s="39">
        <v>10.485874000000001</v>
      </c>
      <c r="AC62" s="39">
        <v>10.721792000000001</v>
      </c>
      <c r="AD62" s="39">
        <v>10.249955999999999</v>
      </c>
    </row>
    <row r="63" spans="2:30" ht="14.25" customHeight="1" x14ac:dyDescent="0.35">
      <c r="B63" s="29">
        <v>22</v>
      </c>
      <c r="C63" s="74">
        <v>10.75</v>
      </c>
      <c r="D63" s="74">
        <v>10.593</v>
      </c>
      <c r="E63" s="74">
        <v>10.401999999999999</v>
      </c>
      <c r="F63" s="74">
        <v>10.38</v>
      </c>
      <c r="G63" s="74">
        <v>9.8859999999999992</v>
      </c>
      <c r="H63" s="74">
        <v>10.402200000000001</v>
      </c>
      <c r="I63" s="75">
        <v>0.86399999999999999</v>
      </c>
      <c r="J63" s="39">
        <v>0.46805999999999998</v>
      </c>
      <c r="K63" s="39">
        <v>0.989479</v>
      </c>
      <c r="L63" s="39">
        <v>0</v>
      </c>
      <c r="M63" s="39">
        <v>10.491992</v>
      </c>
      <c r="N63" s="39">
        <v>10.762062999999999</v>
      </c>
      <c r="O63" s="39">
        <v>10.221921</v>
      </c>
      <c r="Q63" s="29">
        <v>26</v>
      </c>
      <c r="R63" s="74">
        <v>10.477</v>
      </c>
      <c r="S63" s="74">
        <v>10.499000000000001</v>
      </c>
      <c r="T63" s="74">
        <v>10.577</v>
      </c>
      <c r="U63" s="74">
        <v>10.654</v>
      </c>
      <c r="V63" s="74">
        <v>10.455</v>
      </c>
      <c r="W63" s="74">
        <v>10.532400000000001</v>
      </c>
      <c r="X63" s="74">
        <v>0.19900000000000001</v>
      </c>
      <c r="Y63" s="39">
        <v>0.40887000000000001</v>
      </c>
      <c r="Z63" s="39">
        <v>0.86434999999999995</v>
      </c>
      <c r="AA63" s="39">
        <v>0</v>
      </c>
      <c r="AB63" s="39">
        <v>10.485874000000001</v>
      </c>
      <c r="AC63" s="39">
        <v>10.721792000000001</v>
      </c>
      <c r="AD63" s="39">
        <v>10.249955999999999</v>
      </c>
    </row>
    <row r="64" spans="2:30" ht="14.25" customHeight="1" x14ac:dyDescent="0.35">
      <c r="B64" s="29">
        <v>23</v>
      </c>
      <c r="C64" s="74">
        <v>11.776</v>
      </c>
      <c r="D64" s="74">
        <v>10.468999999999999</v>
      </c>
      <c r="E64" s="74">
        <v>10.956181000000001</v>
      </c>
      <c r="F64" s="74">
        <v>10.762737</v>
      </c>
      <c r="G64" s="74">
        <v>10.793059</v>
      </c>
      <c r="H64" s="74">
        <v>10.951395</v>
      </c>
      <c r="I64" s="75">
        <v>1.3069999999999999</v>
      </c>
      <c r="J64" s="39">
        <v>0.46805999999999998</v>
      </c>
      <c r="K64" s="39">
        <v>0.989479</v>
      </c>
      <c r="L64" s="39">
        <v>0</v>
      </c>
      <c r="M64" s="39">
        <v>10.491992</v>
      </c>
      <c r="N64" s="39">
        <v>10.762062999999999</v>
      </c>
      <c r="O64" s="39">
        <v>10.221921</v>
      </c>
      <c r="Q64" s="29">
        <v>27</v>
      </c>
      <c r="R64" s="74">
        <v>10.298999999999999</v>
      </c>
      <c r="S64" s="74">
        <v>10.321</v>
      </c>
      <c r="T64" s="74">
        <v>10.343</v>
      </c>
      <c r="U64" s="74">
        <v>10.266</v>
      </c>
      <c r="V64" s="74">
        <v>10.542999999999999</v>
      </c>
      <c r="W64" s="74">
        <v>10.3544</v>
      </c>
      <c r="X64" s="74">
        <v>0.27700000000000002</v>
      </c>
      <c r="Y64" s="39">
        <v>0.40887000000000001</v>
      </c>
      <c r="Z64" s="39">
        <v>0.86434999999999995</v>
      </c>
      <c r="AA64" s="39">
        <v>0</v>
      </c>
      <c r="AB64" s="39">
        <v>10.485874000000001</v>
      </c>
      <c r="AC64" s="39">
        <v>10.721792000000001</v>
      </c>
      <c r="AD64" s="39">
        <v>10.249955999999999</v>
      </c>
    </row>
    <row r="65" spans="2:30" ht="14.25" customHeight="1" x14ac:dyDescent="0.35">
      <c r="B65" s="29">
        <v>24</v>
      </c>
      <c r="C65" s="74">
        <v>10.705</v>
      </c>
      <c r="D65" s="74">
        <v>10.760999999999999</v>
      </c>
      <c r="E65" s="74">
        <v>10.436</v>
      </c>
      <c r="F65" s="74">
        <v>10.548</v>
      </c>
      <c r="G65" s="74">
        <v>9.8970000000000002</v>
      </c>
      <c r="H65" s="74">
        <v>10.4694</v>
      </c>
      <c r="I65" s="75">
        <v>0.86399999999999999</v>
      </c>
      <c r="J65" s="39">
        <v>0.46805999999999998</v>
      </c>
      <c r="K65" s="39">
        <v>0.989479</v>
      </c>
      <c r="L65" s="39">
        <v>0</v>
      </c>
      <c r="M65" s="39">
        <v>10.491992</v>
      </c>
      <c r="N65" s="39">
        <v>10.762062999999999</v>
      </c>
      <c r="O65" s="39">
        <v>10.221921</v>
      </c>
      <c r="Q65" s="29">
        <v>28</v>
      </c>
      <c r="R65" s="74">
        <v>10.532</v>
      </c>
      <c r="S65" s="74">
        <v>10.643000000000001</v>
      </c>
      <c r="T65" s="74">
        <v>10.221</v>
      </c>
      <c r="U65" s="74">
        <v>10.210000000000001</v>
      </c>
      <c r="V65" s="74">
        <v>10.41</v>
      </c>
      <c r="W65" s="74">
        <v>10.4032</v>
      </c>
      <c r="X65" s="74">
        <v>0.433</v>
      </c>
      <c r="Y65" s="39">
        <v>0.40887000000000001</v>
      </c>
      <c r="Z65" s="39">
        <v>0.86434999999999995</v>
      </c>
      <c r="AA65" s="39">
        <v>0</v>
      </c>
      <c r="AB65" s="39">
        <v>10.485874000000001</v>
      </c>
      <c r="AC65" s="39">
        <v>10.721792000000001</v>
      </c>
      <c r="AD65" s="39">
        <v>10.249955999999999</v>
      </c>
    </row>
    <row r="66" spans="2:30" ht="14.25" customHeight="1" x14ac:dyDescent="0.35">
      <c r="B66" s="29">
        <v>25</v>
      </c>
      <c r="C66" s="74">
        <v>10.244999999999999</v>
      </c>
      <c r="D66" s="74">
        <v>10.525</v>
      </c>
      <c r="E66" s="74">
        <v>10.436</v>
      </c>
      <c r="F66" s="74">
        <v>10.525</v>
      </c>
      <c r="G66" s="74">
        <v>10.346</v>
      </c>
      <c r="H66" s="74">
        <v>10.4154</v>
      </c>
      <c r="I66" s="75">
        <v>0.28000000000000003</v>
      </c>
      <c r="J66" s="39">
        <v>0.46805999999999998</v>
      </c>
      <c r="K66" s="39">
        <v>0.989479</v>
      </c>
      <c r="L66" s="39">
        <v>0</v>
      </c>
      <c r="M66" s="39">
        <v>10.491992</v>
      </c>
      <c r="N66" s="39">
        <v>10.762062999999999</v>
      </c>
      <c r="O66" s="39">
        <v>10.221921</v>
      </c>
      <c r="Q66" s="76">
        <v>29</v>
      </c>
      <c r="R66" s="76">
        <v>10.465999999999999</v>
      </c>
      <c r="S66" s="76">
        <v>10.266</v>
      </c>
      <c r="T66" s="76">
        <v>10.243</v>
      </c>
      <c r="U66" s="76">
        <v>10.366</v>
      </c>
      <c r="V66" s="76">
        <v>10.41</v>
      </c>
      <c r="W66" s="76">
        <v>10.350199999999999</v>
      </c>
      <c r="X66" s="76">
        <v>0.223</v>
      </c>
      <c r="Y66" s="76">
        <v>0.40887000000000001</v>
      </c>
      <c r="Z66" s="76">
        <v>0.86434999999999995</v>
      </c>
      <c r="AA66" s="76">
        <v>0</v>
      </c>
      <c r="AB66" s="76">
        <v>10.485874000000001</v>
      </c>
      <c r="AC66" s="76">
        <v>10.721792000000001</v>
      </c>
      <c r="AD66" s="76">
        <v>10.249955999999999</v>
      </c>
    </row>
    <row r="67" spans="2:30" ht="14.25" customHeight="1" x14ac:dyDescent="0.35">
      <c r="B67" s="76">
        <v>26</v>
      </c>
      <c r="C67" s="76">
        <v>10.477</v>
      </c>
      <c r="D67" s="76">
        <v>10.499000000000001</v>
      </c>
      <c r="E67" s="76">
        <v>10.577</v>
      </c>
      <c r="F67" s="76">
        <v>10.654</v>
      </c>
      <c r="G67" s="76">
        <v>10.455</v>
      </c>
      <c r="H67" s="76">
        <v>10.532400000000001</v>
      </c>
      <c r="I67" s="76">
        <v>0.19900000000000001</v>
      </c>
      <c r="J67" s="76">
        <v>0.46805999999999998</v>
      </c>
      <c r="K67" s="76">
        <v>0.989479</v>
      </c>
      <c r="L67" s="76">
        <v>0</v>
      </c>
      <c r="M67" s="76">
        <v>10.491992</v>
      </c>
      <c r="N67" s="76">
        <v>10.762062999999999</v>
      </c>
      <c r="O67" s="76">
        <v>10.221921</v>
      </c>
      <c r="Q67">
        <v>30</v>
      </c>
      <c r="R67">
        <v>10.666</v>
      </c>
      <c r="S67">
        <v>10.532</v>
      </c>
      <c r="T67">
        <v>10.398999999999999</v>
      </c>
      <c r="U67">
        <v>10.477</v>
      </c>
      <c r="V67">
        <v>10.388</v>
      </c>
      <c r="W67">
        <v>10.4924</v>
      </c>
      <c r="X67">
        <v>0.27800000000000002</v>
      </c>
      <c r="Y67">
        <v>0.40887000000000001</v>
      </c>
      <c r="Z67">
        <v>0.86434999999999995</v>
      </c>
      <c r="AA67">
        <v>0</v>
      </c>
      <c r="AB67">
        <v>10.485874000000001</v>
      </c>
      <c r="AC67">
        <v>10.721792000000001</v>
      </c>
      <c r="AD67">
        <v>10.249955999999999</v>
      </c>
    </row>
    <row r="68" spans="2:30" ht="14.25" customHeight="1" x14ac:dyDescent="0.35">
      <c r="B68">
        <v>27</v>
      </c>
      <c r="C68">
        <v>10.298999999999999</v>
      </c>
      <c r="D68">
        <v>10.321</v>
      </c>
      <c r="E68">
        <v>10.343</v>
      </c>
      <c r="F68">
        <v>10.266</v>
      </c>
      <c r="G68">
        <v>10.542999999999999</v>
      </c>
      <c r="H68">
        <v>10.3544</v>
      </c>
      <c r="I68">
        <v>0.27700000000000002</v>
      </c>
      <c r="J68">
        <v>0.46805999999999998</v>
      </c>
      <c r="K68">
        <v>0.989479</v>
      </c>
      <c r="L68">
        <v>0</v>
      </c>
      <c r="M68">
        <v>10.491992</v>
      </c>
      <c r="N68">
        <v>10.762062999999999</v>
      </c>
      <c r="O68">
        <v>10.221921</v>
      </c>
      <c r="Q68">
        <v>31</v>
      </c>
      <c r="R68">
        <v>10.343</v>
      </c>
      <c r="S68">
        <v>10.587999999999999</v>
      </c>
      <c r="T68">
        <v>10.276999999999999</v>
      </c>
      <c r="U68">
        <v>10.388</v>
      </c>
      <c r="V68">
        <v>10.398999999999999</v>
      </c>
      <c r="W68">
        <v>10.398999999999999</v>
      </c>
      <c r="X68">
        <v>0.311</v>
      </c>
      <c r="Y68">
        <v>0.40887000000000001</v>
      </c>
      <c r="Z68">
        <v>0.86434999999999995</v>
      </c>
      <c r="AA68">
        <v>0</v>
      </c>
      <c r="AB68">
        <v>10.485874000000001</v>
      </c>
      <c r="AC68">
        <v>10.721792000000001</v>
      </c>
      <c r="AD68">
        <v>10.249955999999999</v>
      </c>
    </row>
    <row r="69" spans="2:30" ht="14.25" customHeight="1" x14ac:dyDescent="0.35">
      <c r="B69">
        <v>28</v>
      </c>
      <c r="C69">
        <v>10.532</v>
      </c>
      <c r="D69">
        <v>10.643000000000001</v>
      </c>
      <c r="E69">
        <v>10.221</v>
      </c>
      <c r="F69">
        <v>10.210000000000001</v>
      </c>
      <c r="G69">
        <v>10.41</v>
      </c>
      <c r="H69">
        <v>10.4032</v>
      </c>
      <c r="I69">
        <v>0.433</v>
      </c>
      <c r="J69">
        <v>0.46805999999999998</v>
      </c>
      <c r="K69">
        <v>0.989479</v>
      </c>
      <c r="L69">
        <v>0</v>
      </c>
      <c r="M69">
        <v>10.491992</v>
      </c>
      <c r="N69">
        <v>10.762062999999999</v>
      </c>
      <c r="O69">
        <v>10.221921</v>
      </c>
      <c r="Q69">
        <v>32</v>
      </c>
      <c r="R69">
        <v>10.51</v>
      </c>
      <c r="S69">
        <v>10.420999999999999</v>
      </c>
      <c r="T69">
        <v>10.221</v>
      </c>
      <c r="U69">
        <v>10.555</v>
      </c>
      <c r="V69">
        <v>10.555</v>
      </c>
      <c r="W69">
        <v>10.452400000000001</v>
      </c>
      <c r="X69">
        <v>0.33400000000000002</v>
      </c>
      <c r="Y69">
        <v>0.40887000000000001</v>
      </c>
      <c r="Z69">
        <v>0.86434999999999995</v>
      </c>
      <c r="AA69">
        <v>0</v>
      </c>
      <c r="AB69">
        <v>10.485874000000001</v>
      </c>
      <c r="AC69">
        <v>10.721792000000001</v>
      </c>
      <c r="AD69">
        <v>10.249955999999999</v>
      </c>
    </row>
    <row r="70" spans="2:30" ht="14.25" customHeight="1" x14ac:dyDescent="0.35">
      <c r="B70">
        <v>29</v>
      </c>
      <c r="C70">
        <v>10.465999999999999</v>
      </c>
      <c r="D70">
        <v>10.266</v>
      </c>
      <c r="E70">
        <v>10.243</v>
      </c>
      <c r="F70">
        <v>10.366</v>
      </c>
      <c r="G70">
        <v>10.41</v>
      </c>
      <c r="H70">
        <v>10.350199999999999</v>
      </c>
      <c r="I70">
        <v>0.223</v>
      </c>
      <c r="J70">
        <v>0.46805999999999998</v>
      </c>
      <c r="K70">
        <v>0.989479</v>
      </c>
      <c r="L70">
        <v>0</v>
      </c>
      <c r="M70">
        <v>10.491992</v>
      </c>
      <c r="N70">
        <v>10.762062999999999</v>
      </c>
      <c r="O70">
        <v>10.221921</v>
      </c>
      <c r="Q70">
        <v>33</v>
      </c>
      <c r="R70">
        <v>10.231999999999999</v>
      </c>
      <c r="S70">
        <v>10.477</v>
      </c>
      <c r="T70">
        <v>10.41</v>
      </c>
      <c r="U70">
        <v>10.542999999999999</v>
      </c>
      <c r="V70">
        <v>10.532</v>
      </c>
      <c r="W70">
        <v>10.438800000000001</v>
      </c>
      <c r="X70">
        <v>0.311</v>
      </c>
      <c r="Y70">
        <v>0.40887000000000001</v>
      </c>
      <c r="Z70">
        <v>0.86434999999999995</v>
      </c>
      <c r="AA70">
        <v>0</v>
      </c>
      <c r="AB70">
        <v>10.485874000000001</v>
      </c>
      <c r="AC70">
        <v>10.721792000000001</v>
      </c>
      <c r="AD70">
        <v>10.249955999999999</v>
      </c>
    </row>
    <row r="71" spans="2:30" ht="14.25" customHeight="1" x14ac:dyDescent="0.35">
      <c r="B71">
        <v>30</v>
      </c>
      <c r="C71">
        <v>10.666</v>
      </c>
      <c r="D71">
        <v>10.532</v>
      </c>
      <c r="E71">
        <v>10.398999999999999</v>
      </c>
      <c r="F71">
        <v>10.477</v>
      </c>
      <c r="G71">
        <v>10.388</v>
      </c>
      <c r="H71">
        <v>10.4924</v>
      </c>
      <c r="I71">
        <v>0.27800000000000002</v>
      </c>
      <c r="J71">
        <v>0.46805999999999998</v>
      </c>
      <c r="K71">
        <v>0.989479</v>
      </c>
      <c r="L71">
        <v>0</v>
      </c>
      <c r="M71">
        <v>10.491992</v>
      </c>
      <c r="N71">
        <v>10.762062999999999</v>
      </c>
      <c r="O71">
        <v>10.221921</v>
      </c>
      <c r="Q71">
        <v>34</v>
      </c>
      <c r="R71">
        <v>10.566000000000001</v>
      </c>
      <c r="S71">
        <v>10.332000000000001</v>
      </c>
      <c r="T71">
        <v>10.332000000000001</v>
      </c>
      <c r="U71">
        <v>10.332000000000001</v>
      </c>
      <c r="V71">
        <v>10.632</v>
      </c>
      <c r="W71">
        <v>10.438800000000001</v>
      </c>
      <c r="X71">
        <v>0.3</v>
      </c>
      <c r="Y71">
        <v>0.40887000000000001</v>
      </c>
      <c r="Z71">
        <v>0.86434999999999995</v>
      </c>
      <c r="AA71">
        <v>0</v>
      </c>
      <c r="AB71">
        <v>10.485874000000001</v>
      </c>
      <c r="AC71">
        <v>10.721792000000001</v>
      </c>
      <c r="AD71">
        <v>10.249955999999999</v>
      </c>
    </row>
    <row r="72" spans="2:30" ht="14.25" customHeight="1" x14ac:dyDescent="0.35">
      <c r="B72">
        <v>31</v>
      </c>
      <c r="C72">
        <v>10.343</v>
      </c>
      <c r="D72">
        <v>10.587999999999999</v>
      </c>
      <c r="E72">
        <v>10.276999999999999</v>
      </c>
      <c r="F72">
        <v>10.388</v>
      </c>
      <c r="G72">
        <v>10.398999999999999</v>
      </c>
      <c r="H72">
        <v>10.398999999999999</v>
      </c>
      <c r="I72">
        <v>0.311</v>
      </c>
      <c r="J72">
        <v>0.46805999999999998</v>
      </c>
      <c r="K72">
        <v>0.989479</v>
      </c>
      <c r="L72">
        <v>0</v>
      </c>
      <c r="M72">
        <v>10.491992</v>
      </c>
      <c r="N72">
        <v>10.762062999999999</v>
      </c>
      <c r="O72">
        <v>10.221921</v>
      </c>
      <c r="Q72">
        <v>35</v>
      </c>
      <c r="R72">
        <v>10.343</v>
      </c>
      <c r="S72">
        <v>10.455</v>
      </c>
      <c r="T72">
        <v>10.587999999999999</v>
      </c>
      <c r="U72">
        <v>10.41</v>
      </c>
      <c r="V72">
        <v>10.210000000000001</v>
      </c>
      <c r="W72">
        <v>10.401199999999999</v>
      </c>
      <c r="X72">
        <v>0.378</v>
      </c>
      <c r="Y72">
        <v>0.40887000000000001</v>
      </c>
      <c r="Z72">
        <v>0.86434999999999995</v>
      </c>
      <c r="AA72">
        <v>0</v>
      </c>
      <c r="AB72">
        <v>10.485874000000001</v>
      </c>
      <c r="AC72">
        <v>10.721792000000001</v>
      </c>
      <c r="AD72">
        <v>10.249955999999999</v>
      </c>
    </row>
    <row r="73" spans="2:30" ht="14.25" customHeight="1" x14ac:dyDescent="0.35">
      <c r="B73">
        <v>32</v>
      </c>
      <c r="C73">
        <v>10.51</v>
      </c>
      <c r="D73">
        <v>10.420999999999999</v>
      </c>
      <c r="E73">
        <v>10.221</v>
      </c>
      <c r="F73">
        <v>10.555</v>
      </c>
      <c r="G73">
        <v>10.555</v>
      </c>
      <c r="H73">
        <v>10.452400000000001</v>
      </c>
      <c r="I73">
        <v>0.33400000000000002</v>
      </c>
      <c r="J73">
        <v>0.46805999999999998</v>
      </c>
      <c r="K73">
        <v>0.989479</v>
      </c>
      <c r="L73">
        <v>0</v>
      </c>
      <c r="M73">
        <v>10.491992</v>
      </c>
      <c r="N73">
        <v>10.762062999999999</v>
      </c>
      <c r="O73">
        <v>10.221921</v>
      </c>
      <c r="Q73">
        <v>36</v>
      </c>
      <c r="R73">
        <v>10.432</v>
      </c>
      <c r="S73">
        <v>10.577</v>
      </c>
      <c r="T73">
        <v>10.255000000000001</v>
      </c>
      <c r="U73">
        <v>10.420999999999999</v>
      </c>
      <c r="V73">
        <v>10.477</v>
      </c>
      <c r="W73">
        <v>10.432399999999999</v>
      </c>
      <c r="X73">
        <v>0.32200000000000001</v>
      </c>
      <c r="Y73">
        <v>0.40887000000000001</v>
      </c>
      <c r="Z73">
        <v>0.86434999999999995</v>
      </c>
      <c r="AA73">
        <v>0</v>
      </c>
      <c r="AB73">
        <v>10.485874000000001</v>
      </c>
      <c r="AC73">
        <v>10.721792000000001</v>
      </c>
      <c r="AD73">
        <v>10.249955999999999</v>
      </c>
    </row>
    <row r="74" spans="2:30" ht="14.25" customHeight="1" x14ac:dyDescent="0.35">
      <c r="B74">
        <v>33</v>
      </c>
      <c r="C74">
        <v>10.231999999999999</v>
      </c>
      <c r="D74">
        <v>10.477</v>
      </c>
      <c r="E74">
        <v>10.41</v>
      </c>
      <c r="F74">
        <v>10.542999999999999</v>
      </c>
      <c r="G74">
        <v>10.532</v>
      </c>
      <c r="H74">
        <v>10.438800000000001</v>
      </c>
      <c r="I74">
        <v>0.311</v>
      </c>
      <c r="J74">
        <v>0.46805999999999998</v>
      </c>
      <c r="K74">
        <v>0.989479</v>
      </c>
      <c r="L74">
        <v>0</v>
      </c>
      <c r="M74">
        <v>10.491992</v>
      </c>
      <c r="N74">
        <v>10.762062999999999</v>
      </c>
      <c r="O74">
        <v>10.221921</v>
      </c>
      <c r="Q74">
        <v>37</v>
      </c>
      <c r="R74">
        <v>10.455</v>
      </c>
      <c r="S74">
        <v>10.61</v>
      </c>
      <c r="T74">
        <v>10.654</v>
      </c>
      <c r="U74">
        <v>10.477</v>
      </c>
      <c r="V74">
        <v>10.398999999999999</v>
      </c>
      <c r="W74">
        <v>10.519</v>
      </c>
      <c r="X74">
        <v>0.255</v>
      </c>
      <c r="Y74">
        <v>0.40887000000000001</v>
      </c>
      <c r="Z74">
        <v>0.86434999999999995</v>
      </c>
      <c r="AA74">
        <v>0</v>
      </c>
      <c r="AB74">
        <v>10.485874000000001</v>
      </c>
      <c r="AC74">
        <v>10.721792000000001</v>
      </c>
      <c r="AD74">
        <v>10.249955999999999</v>
      </c>
    </row>
    <row r="75" spans="2:30" ht="14.25" customHeight="1" x14ac:dyDescent="0.35">
      <c r="B75">
        <v>34</v>
      </c>
      <c r="C75">
        <v>10.566000000000001</v>
      </c>
      <c r="D75">
        <v>10.332000000000001</v>
      </c>
      <c r="E75">
        <v>10.332000000000001</v>
      </c>
      <c r="F75">
        <v>10.332000000000001</v>
      </c>
      <c r="G75">
        <v>10.632</v>
      </c>
      <c r="H75">
        <v>10.438800000000001</v>
      </c>
      <c r="I75">
        <v>0.3</v>
      </c>
      <c r="J75">
        <v>0.46805999999999998</v>
      </c>
      <c r="K75">
        <v>0.989479</v>
      </c>
      <c r="L75">
        <v>0</v>
      </c>
      <c r="M75">
        <v>10.491992</v>
      </c>
      <c r="N75">
        <v>10.762062999999999</v>
      </c>
      <c r="O75">
        <v>10.221921</v>
      </c>
      <c r="Q75">
        <v>38</v>
      </c>
      <c r="R75">
        <v>10.455</v>
      </c>
      <c r="S75">
        <v>10.455</v>
      </c>
      <c r="T75">
        <v>10.432</v>
      </c>
      <c r="U75">
        <v>10.298999999999999</v>
      </c>
      <c r="V75">
        <v>10.231999999999999</v>
      </c>
      <c r="W75">
        <v>10.374599999999999</v>
      </c>
      <c r="X75">
        <v>0.223</v>
      </c>
      <c r="Y75">
        <v>0.40887000000000001</v>
      </c>
      <c r="Z75">
        <v>0.86434999999999995</v>
      </c>
      <c r="AA75">
        <v>0</v>
      </c>
      <c r="AB75">
        <v>10.485874000000001</v>
      </c>
      <c r="AC75">
        <v>10.721792000000001</v>
      </c>
      <c r="AD75">
        <v>10.249955999999999</v>
      </c>
    </row>
    <row r="76" spans="2:30" ht="14.25" customHeight="1" x14ac:dyDescent="0.35">
      <c r="B76">
        <v>35</v>
      </c>
      <c r="C76">
        <v>10.343</v>
      </c>
      <c r="D76">
        <v>10.455</v>
      </c>
      <c r="E76">
        <v>10.587999999999999</v>
      </c>
      <c r="F76">
        <v>10.41</v>
      </c>
      <c r="G76">
        <v>10.210000000000001</v>
      </c>
      <c r="H76">
        <v>10.401199999999999</v>
      </c>
      <c r="I76">
        <v>0.378</v>
      </c>
      <c r="J76">
        <v>0.46805999999999998</v>
      </c>
      <c r="K76">
        <v>0.989479</v>
      </c>
      <c r="L76">
        <v>0</v>
      </c>
      <c r="M76">
        <v>10.491992</v>
      </c>
      <c r="N76">
        <v>10.762062999999999</v>
      </c>
      <c r="O76">
        <v>10.221921</v>
      </c>
      <c r="Q76">
        <v>39</v>
      </c>
      <c r="R76">
        <v>10.587999999999999</v>
      </c>
      <c r="S76">
        <v>10.677</v>
      </c>
      <c r="T76">
        <v>10.231999999999999</v>
      </c>
      <c r="U76">
        <v>10.51</v>
      </c>
      <c r="V76">
        <v>10.632</v>
      </c>
      <c r="W76">
        <v>10.527799999999999</v>
      </c>
      <c r="X76">
        <v>0.44500000000000001</v>
      </c>
      <c r="Y76">
        <v>0.40887000000000001</v>
      </c>
      <c r="Z76">
        <v>0.86434999999999995</v>
      </c>
      <c r="AA76">
        <v>0</v>
      </c>
      <c r="AB76">
        <v>10.485874000000001</v>
      </c>
      <c r="AC76">
        <v>10.721792000000001</v>
      </c>
      <c r="AD76">
        <v>10.249955999999999</v>
      </c>
    </row>
    <row r="77" spans="2:30" ht="14.25" customHeight="1" x14ac:dyDescent="0.35">
      <c r="B77">
        <v>36</v>
      </c>
      <c r="C77">
        <v>10.432</v>
      </c>
      <c r="D77">
        <v>10.577</v>
      </c>
      <c r="E77">
        <v>10.255000000000001</v>
      </c>
      <c r="F77">
        <v>10.420999999999999</v>
      </c>
      <c r="G77">
        <v>10.477</v>
      </c>
      <c r="H77">
        <v>10.432399999999999</v>
      </c>
      <c r="I77">
        <v>0.32200000000000001</v>
      </c>
      <c r="J77">
        <v>0.46805999999999998</v>
      </c>
      <c r="K77">
        <v>0.989479</v>
      </c>
      <c r="L77">
        <v>0</v>
      </c>
      <c r="M77">
        <v>10.491992</v>
      </c>
      <c r="N77">
        <v>10.762062999999999</v>
      </c>
      <c r="O77">
        <v>10.221921</v>
      </c>
      <c r="Q77">
        <v>40</v>
      </c>
      <c r="R77">
        <v>10.398999999999999</v>
      </c>
      <c r="S77">
        <v>10.443</v>
      </c>
      <c r="T77">
        <v>10.532</v>
      </c>
      <c r="U77">
        <v>10.61</v>
      </c>
      <c r="V77">
        <v>10.266</v>
      </c>
      <c r="W77">
        <v>10.45</v>
      </c>
      <c r="X77">
        <v>0.34399999999999997</v>
      </c>
      <c r="Y77">
        <v>0.40887000000000001</v>
      </c>
      <c r="Z77">
        <v>0.86434999999999995</v>
      </c>
      <c r="AA77">
        <v>0</v>
      </c>
      <c r="AB77">
        <v>10.485874000000001</v>
      </c>
      <c r="AC77">
        <v>10.721792000000001</v>
      </c>
      <c r="AD77">
        <v>10.249955999999999</v>
      </c>
    </row>
    <row r="78" spans="2:30" ht="14.25" customHeight="1" x14ac:dyDescent="0.35">
      <c r="B78">
        <v>37</v>
      </c>
      <c r="C78">
        <v>10.455</v>
      </c>
      <c r="D78">
        <v>10.61</v>
      </c>
      <c r="E78">
        <v>10.654</v>
      </c>
      <c r="F78">
        <v>10.477</v>
      </c>
      <c r="G78">
        <v>10.398999999999999</v>
      </c>
      <c r="H78">
        <v>10.519</v>
      </c>
      <c r="I78">
        <v>0.255</v>
      </c>
      <c r="J78">
        <v>0.46805999999999998</v>
      </c>
      <c r="K78">
        <v>0.989479</v>
      </c>
      <c r="L78">
        <v>0</v>
      </c>
      <c r="M78">
        <v>10.491992</v>
      </c>
      <c r="N78">
        <v>10.762062999999999</v>
      </c>
      <c r="O78">
        <v>10.221921</v>
      </c>
      <c r="Q78">
        <v>41</v>
      </c>
      <c r="R78">
        <v>10.666</v>
      </c>
      <c r="S78">
        <v>10.599</v>
      </c>
      <c r="T78">
        <v>10.465999999999999</v>
      </c>
      <c r="U78">
        <v>10.321</v>
      </c>
      <c r="V78">
        <v>10.465999999999999</v>
      </c>
      <c r="W78">
        <v>10.5036</v>
      </c>
      <c r="X78">
        <v>0.34499999999999997</v>
      </c>
      <c r="Y78">
        <v>0.40887000000000001</v>
      </c>
      <c r="Z78">
        <v>0.86434999999999995</v>
      </c>
      <c r="AA78">
        <v>0</v>
      </c>
      <c r="AB78">
        <v>10.485874000000001</v>
      </c>
      <c r="AC78">
        <v>10.721792000000001</v>
      </c>
      <c r="AD78">
        <v>10.249955999999999</v>
      </c>
    </row>
    <row r="79" spans="2:30" ht="14.25" customHeight="1" x14ac:dyDescent="0.35">
      <c r="B79">
        <v>38</v>
      </c>
      <c r="C79">
        <v>10.455</v>
      </c>
      <c r="D79">
        <v>10.455</v>
      </c>
      <c r="E79">
        <v>10.432</v>
      </c>
      <c r="F79">
        <v>10.298999999999999</v>
      </c>
      <c r="G79">
        <v>10.231999999999999</v>
      </c>
      <c r="H79">
        <v>10.374599999999999</v>
      </c>
      <c r="I79">
        <v>0.223</v>
      </c>
      <c r="J79">
        <v>0.46805999999999998</v>
      </c>
      <c r="K79">
        <v>0.989479</v>
      </c>
      <c r="L79">
        <v>0</v>
      </c>
      <c r="M79">
        <v>10.491992</v>
      </c>
      <c r="N79">
        <v>10.762062999999999</v>
      </c>
      <c r="O79">
        <v>10.221921</v>
      </c>
      <c r="Q79">
        <v>42</v>
      </c>
      <c r="R79">
        <v>10.555</v>
      </c>
      <c r="S79">
        <v>10.288</v>
      </c>
      <c r="T79">
        <v>10.465999999999999</v>
      </c>
      <c r="U79">
        <v>10.420999999999999</v>
      </c>
      <c r="V79">
        <v>10.266</v>
      </c>
      <c r="W79">
        <v>10.3992</v>
      </c>
      <c r="X79">
        <v>0.28899999999999998</v>
      </c>
      <c r="Y79">
        <v>0.40887000000000001</v>
      </c>
      <c r="Z79">
        <v>0.86434999999999995</v>
      </c>
      <c r="AA79">
        <v>0</v>
      </c>
      <c r="AB79">
        <v>10.485874000000001</v>
      </c>
      <c r="AC79">
        <v>10.721792000000001</v>
      </c>
      <c r="AD79">
        <v>10.249955999999999</v>
      </c>
    </row>
    <row r="80" spans="2:30" ht="14.25" customHeight="1" x14ac:dyDescent="0.35">
      <c r="B80">
        <v>39</v>
      </c>
      <c r="C80">
        <v>10.587999999999999</v>
      </c>
      <c r="D80">
        <v>10.677</v>
      </c>
      <c r="E80">
        <v>10.231999999999999</v>
      </c>
      <c r="F80">
        <v>10.51</v>
      </c>
      <c r="G80">
        <v>10.632</v>
      </c>
      <c r="H80">
        <v>10.527799999999999</v>
      </c>
      <c r="I80">
        <v>0.44500000000000001</v>
      </c>
      <c r="J80">
        <v>0.46805999999999998</v>
      </c>
      <c r="K80">
        <v>0.989479</v>
      </c>
      <c r="L80">
        <v>0</v>
      </c>
      <c r="M80">
        <v>10.491992</v>
      </c>
      <c r="N80">
        <v>10.762062999999999</v>
      </c>
      <c r="O80">
        <v>10.221921</v>
      </c>
      <c r="Q80">
        <v>43</v>
      </c>
      <c r="R80">
        <v>10.231999999999999</v>
      </c>
      <c r="S80">
        <v>10.332000000000001</v>
      </c>
      <c r="T80">
        <v>10.377000000000001</v>
      </c>
      <c r="U80">
        <v>10.420999999999999</v>
      </c>
      <c r="V80">
        <v>10.266</v>
      </c>
      <c r="W80">
        <v>10.3256</v>
      </c>
      <c r="X80">
        <v>0.189</v>
      </c>
      <c r="Y80">
        <v>0.40887000000000001</v>
      </c>
      <c r="Z80">
        <v>0.86434999999999995</v>
      </c>
      <c r="AA80">
        <v>0</v>
      </c>
      <c r="AB80">
        <v>10.485874000000001</v>
      </c>
      <c r="AC80">
        <v>10.721792000000001</v>
      </c>
      <c r="AD80">
        <v>10.249955999999999</v>
      </c>
    </row>
    <row r="81" spans="2:30" ht="14.25" customHeight="1" x14ac:dyDescent="0.35">
      <c r="B81">
        <v>40</v>
      </c>
      <c r="C81">
        <v>10.398999999999999</v>
      </c>
      <c r="D81">
        <v>10.443</v>
      </c>
      <c r="E81">
        <v>10.532</v>
      </c>
      <c r="F81">
        <v>10.61</v>
      </c>
      <c r="G81">
        <v>10.266</v>
      </c>
      <c r="H81">
        <v>10.45</v>
      </c>
      <c r="I81">
        <v>0.34399999999999997</v>
      </c>
      <c r="J81">
        <v>0.46805999999999998</v>
      </c>
      <c r="K81">
        <v>0.989479</v>
      </c>
      <c r="L81">
        <v>0</v>
      </c>
      <c r="M81">
        <v>10.491992</v>
      </c>
      <c r="N81">
        <v>10.762062999999999</v>
      </c>
      <c r="O81">
        <v>10.221921</v>
      </c>
      <c r="Q81">
        <v>44</v>
      </c>
      <c r="R81">
        <v>10.688000000000001</v>
      </c>
      <c r="S81">
        <v>10.41</v>
      </c>
      <c r="T81">
        <v>10.566000000000001</v>
      </c>
      <c r="U81">
        <v>10.566000000000001</v>
      </c>
      <c r="V81">
        <v>10.566000000000001</v>
      </c>
      <c r="W81">
        <v>10.559200000000001</v>
      </c>
      <c r="X81">
        <v>0.27800000000000002</v>
      </c>
      <c r="Y81">
        <v>0.40887000000000001</v>
      </c>
      <c r="Z81">
        <v>0.86434999999999995</v>
      </c>
      <c r="AA81">
        <v>0</v>
      </c>
      <c r="AB81">
        <v>10.485874000000001</v>
      </c>
      <c r="AC81">
        <v>10.721792000000001</v>
      </c>
      <c r="AD81">
        <v>10.249955999999999</v>
      </c>
    </row>
    <row r="82" spans="2:30" ht="14.25" customHeight="1" x14ac:dyDescent="0.35">
      <c r="B82">
        <v>41</v>
      </c>
      <c r="C82">
        <v>10.666</v>
      </c>
      <c r="D82">
        <v>10.599</v>
      </c>
      <c r="E82">
        <v>10.465999999999999</v>
      </c>
      <c r="F82">
        <v>10.321</v>
      </c>
      <c r="G82">
        <v>10.465999999999999</v>
      </c>
      <c r="H82">
        <v>10.5036</v>
      </c>
      <c r="I82">
        <v>0.34499999999999997</v>
      </c>
      <c r="J82">
        <v>0.46805999999999998</v>
      </c>
      <c r="K82">
        <v>0.989479</v>
      </c>
      <c r="L82">
        <v>0</v>
      </c>
      <c r="M82">
        <v>10.491992</v>
      </c>
      <c r="N82">
        <v>10.762062999999999</v>
      </c>
      <c r="O82">
        <v>10.221921</v>
      </c>
      <c r="Q82">
        <v>45</v>
      </c>
      <c r="R82">
        <v>10.388</v>
      </c>
      <c r="S82">
        <v>10.420999999999999</v>
      </c>
      <c r="T82">
        <v>10.61</v>
      </c>
      <c r="U82">
        <v>10.221</v>
      </c>
      <c r="V82">
        <v>10.288</v>
      </c>
      <c r="W82">
        <v>10.3856</v>
      </c>
      <c r="X82">
        <v>0.38900000000000001</v>
      </c>
      <c r="Y82">
        <v>0.40887000000000001</v>
      </c>
      <c r="Z82">
        <v>0.86434999999999995</v>
      </c>
      <c r="AA82">
        <v>0</v>
      </c>
      <c r="AB82">
        <v>10.485874000000001</v>
      </c>
      <c r="AC82">
        <v>10.721792000000001</v>
      </c>
      <c r="AD82">
        <v>10.249955999999999</v>
      </c>
    </row>
    <row r="83" spans="2:30" ht="14.25" customHeight="1" x14ac:dyDescent="0.35">
      <c r="B83">
        <v>42</v>
      </c>
      <c r="C83">
        <v>10.555</v>
      </c>
      <c r="D83">
        <v>10.288</v>
      </c>
      <c r="E83">
        <v>10.465999999999999</v>
      </c>
      <c r="F83">
        <v>10.420999999999999</v>
      </c>
      <c r="G83">
        <v>10.266</v>
      </c>
      <c r="H83">
        <v>10.3992</v>
      </c>
      <c r="I83">
        <v>0.28899999999999998</v>
      </c>
      <c r="J83">
        <v>0.46805999999999998</v>
      </c>
      <c r="K83">
        <v>0.989479</v>
      </c>
      <c r="L83">
        <v>0</v>
      </c>
      <c r="M83">
        <v>10.491992</v>
      </c>
      <c r="N83">
        <v>10.762062999999999</v>
      </c>
      <c r="O83">
        <v>10.221921</v>
      </c>
      <c r="Q83">
        <v>46</v>
      </c>
      <c r="R83">
        <v>10.621</v>
      </c>
      <c r="S83">
        <v>10.288</v>
      </c>
      <c r="T83">
        <v>10.398999999999999</v>
      </c>
      <c r="U83">
        <v>10.465999999999999</v>
      </c>
      <c r="V83">
        <v>10.343</v>
      </c>
      <c r="W83">
        <v>10.423400000000001</v>
      </c>
      <c r="X83">
        <v>0.33300000000000002</v>
      </c>
      <c r="Y83">
        <v>0.40887000000000001</v>
      </c>
      <c r="Z83">
        <v>0.86434999999999995</v>
      </c>
      <c r="AA83">
        <v>0</v>
      </c>
      <c r="AB83">
        <v>10.485874000000001</v>
      </c>
      <c r="AC83">
        <v>10.721792000000001</v>
      </c>
      <c r="AD83">
        <v>10.249955999999999</v>
      </c>
    </row>
    <row r="84" spans="2:30" ht="14.25" customHeight="1" x14ac:dyDescent="0.35">
      <c r="B84">
        <v>43</v>
      </c>
      <c r="C84">
        <v>10.231999999999999</v>
      </c>
      <c r="D84">
        <v>10.332000000000001</v>
      </c>
      <c r="E84">
        <v>10.377000000000001</v>
      </c>
      <c r="F84">
        <v>10.420999999999999</v>
      </c>
      <c r="G84">
        <v>10.266</v>
      </c>
      <c r="H84">
        <v>10.3256</v>
      </c>
      <c r="I84">
        <v>0.189</v>
      </c>
      <c r="J84">
        <v>0.46805999999999998</v>
      </c>
      <c r="K84">
        <v>0.989479</v>
      </c>
      <c r="L84">
        <v>0</v>
      </c>
      <c r="M84">
        <v>10.491992</v>
      </c>
      <c r="N84">
        <v>10.762062999999999</v>
      </c>
      <c r="O84">
        <v>10.221921</v>
      </c>
      <c r="Q84">
        <v>47</v>
      </c>
      <c r="R84">
        <v>10.677</v>
      </c>
      <c r="S84">
        <v>10.443</v>
      </c>
      <c r="T84">
        <v>10.587999999999999</v>
      </c>
      <c r="U84">
        <v>10.366</v>
      </c>
      <c r="V84">
        <v>10.420999999999999</v>
      </c>
      <c r="W84">
        <v>10.499000000000001</v>
      </c>
      <c r="X84">
        <v>0.311</v>
      </c>
      <c r="Y84">
        <v>0.40887000000000001</v>
      </c>
      <c r="Z84">
        <v>0.86434999999999995</v>
      </c>
      <c r="AA84">
        <v>0</v>
      </c>
      <c r="AB84">
        <v>10.485874000000001</v>
      </c>
      <c r="AC84">
        <v>10.721792000000001</v>
      </c>
      <c r="AD84">
        <v>10.249955999999999</v>
      </c>
    </row>
    <row r="85" spans="2:30" ht="14.25" customHeight="1" x14ac:dyDescent="0.35">
      <c r="B85">
        <v>44</v>
      </c>
      <c r="C85">
        <v>10.688000000000001</v>
      </c>
      <c r="D85">
        <v>10.41</v>
      </c>
      <c r="E85">
        <v>10.566000000000001</v>
      </c>
      <c r="F85">
        <v>10.566000000000001</v>
      </c>
      <c r="G85">
        <v>10.566000000000001</v>
      </c>
      <c r="H85">
        <v>10.559200000000001</v>
      </c>
      <c r="I85">
        <v>0.27800000000000002</v>
      </c>
      <c r="J85">
        <v>0.46805999999999998</v>
      </c>
      <c r="K85">
        <v>0.989479</v>
      </c>
      <c r="L85">
        <v>0</v>
      </c>
      <c r="M85">
        <v>10.491992</v>
      </c>
      <c r="N85">
        <v>10.762062999999999</v>
      </c>
      <c r="O85">
        <v>10.221921</v>
      </c>
      <c r="Q85">
        <v>48</v>
      </c>
      <c r="R85">
        <v>10.666</v>
      </c>
      <c r="S85">
        <v>10.366</v>
      </c>
      <c r="T85">
        <v>10.343</v>
      </c>
      <c r="U85">
        <v>10.210000000000001</v>
      </c>
      <c r="V85">
        <v>10.566000000000001</v>
      </c>
      <c r="W85">
        <v>10.430199999999999</v>
      </c>
      <c r="X85">
        <v>0.45600000000000002</v>
      </c>
      <c r="Y85">
        <v>0.40887000000000001</v>
      </c>
      <c r="Z85">
        <v>0.86434999999999995</v>
      </c>
      <c r="AA85">
        <v>0</v>
      </c>
      <c r="AB85">
        <v>10.485874000000001</v>
      </c>
      <c r="AC85">
        <v>10.721792000000001</v>
      </c>
      <c r="AD85">
        <v>10.249955999999999</v>
      </c>
    </row>
    <row r="86" spans="2:30" ht="14.25" customHeight="1" x14ac:dyDescent="0.35">
      <c r="B86">
        <v>45</v>
      </c>
      <c r="C86">
        <v>10.388</v>
      </c>
      <c r="D86">
        <v>10.420999999999999</v>
      </c>
      <c r="E86">
        <v>10.61</v>
      </c>
      <c r="F86">
        <v>10.221</v>
      </c>
      <c r="G86">
        <v>10.288</v>
      </c>
      <c r="H86">
        <v>10.3856</v>
      </c>
      <c r="I86">
        <v>0.38900000000000001</v>
      </c>
      <c r="J86">
        <v>0.46805999999999998</v>
      </c>
      <c r="K86">
        <v>0.989479</v>
      </c>
      <c r="L86">
        <v>0</v>
      </c>
      <c r="M86">
        <v>10.491992</v>
      </c>
      <c r="N86">
        <v>10.762062999999999</v>
      </c>
      <c r="O86">
        <v>10.221921</v>
      </c>
      <c r="Q86">
        <v>49</v>
      </c>
      <c r="R86">
        <v>10.41</v>
      </c>
      <c r="S86">
        <v>10.677</v>
      </c>
      <c r="T86">
        <v>10.321</v>
      </c>
      <c r="U86">
        <v>10.587999999999999</v>
      </c>
      <c r="V86">
        <v>10.499000000000001</v>
      </c>
      <c r="W86">
        <v>10.499000000000001</v>
      </c>
      <c r="X86">
        <v>0.35599999999999998</v>
      </c>
      <c r="Y86">
        <v>0.40887000000000001</v>
      </c>
      <c r="Z86">
        <v>0.86434999999999995</v>
      </c>
      <c r="AA86">
        <v>0</v>
      </c>
      <c r="AB86">
        <v>10.485874000000001</v>
      </c>
      <c r="AC86">
        <v>10.721792000000001</v>
      </c>
      <c r="AD86">
        <v>10.249955999999999</v>
      </c>
    </row>
    <row r="87" spans="2:30" ht="14.25" customHeight="1" x14ac:dyDescent="0.35">
      <c r="B87">
        <v>46</v>
      </c>
      <c r="C87">
        <v>10.621</v>
      </c>
      <c r="D87">
        <v>10.288</v>
      </c>
      <c r="E87">
        <v>10.398999999999999</v>
      </c>
      <c r="F87">
        <v>10.465999999999999</v>
      </c>
      <c r="G87">
        <v>10.343</v>
      </c>
      <c r="H87">
        <v>10.423400000000001</v>
      </c>
      <c r="I87">
        <v>0.33300000000000002</v>
      </c>
      <c r="J87">
        <v>0.46805999999999998</v>
      </c>
      <c r="K87">
        <v>0.989479</v>
      </c>
      <c r="L87">
        <v>0</v>
      </c>
      <c r="M87">
        <v>10.491992</v>
      </c>
      <c r="N87">
        <v>10.762062999999999</v>
      </c>
      <c r="O87">
        <v>10.221921</v>
      </c>
      <c r="Q87">
        <v>50</v>
      </c>
      <c r="R87">
        <v>10.443</v>
      </c>
      <c r="S87">
        <v>10.31</v>
      </c>
      <c r="T87">
        <v>10.377000000000001</v>
      </c>
      <c r="U87">
        <v>10.688000000000001</v>
      </c>
      <c r="V87">
        <v>10.477</v>
      </c>
      <c r="W87">
        <v>10.459</v>
      </c>
      <c r="X87">
        <v>0.378</v>
      </c>
      <c r="Y87">
        <v>0.40887000000000001</v>
      </c>
      <c r="Z87">
        <v>0.86434999999999995</v>
      </c>
      <c r="AA87">
        <v>0</v>
      </c>
      <c r="AB87">
        <v>10.485874000000001</v>
      </c>
      <c r="AC87">
        <v>10.721792000000001</v>
      </c>
      <c r="AD87">
        <v>10.249955999999999</v>
      </c>
    </row>
    <row r="88" spans="2:30" ht="14.25" customHeight="1" x14ac:dyDescent="0.35">
      <c r="B88">
        <v>47</v>
      </c>
      <c r="C88">
        <v>10.677</v>
      </c>
      <c r="D88">
        <v>10.443</v>
      </c>
      <c r="E88">
        <v>10.587999999999999</v>
      </c>
      <c r="F88">
        <v>10.366</v>
      </c>
      <c r="G88">
        <v>10.420999999999999</v>
      </c>
      <c r="H88">
        <v>10.499000000000001</v>
      </c>
      <c r="I88">
        <v>0.311</v>
      </c>
      <c r="J88">
        <v>0.46805999999999998</v>
      </c>
      <c r="K88">
        <v>0.989479</v>
      </c>
      <c r="L88">
        <v>0</v>
      </c>
      <c r="M88">
        <v>10.491992</v>
      </c>
      <c r="N88">
        <v>10.762062999999999</v>
      </c>
      <c r="O88">
        <v>10.221921</v>
      </c>
    </row>
    <row r="89" spans="2:30" ht="14.25" customHeight="1" x14ac:dyDescent="0.35">
      <c r="B89">
        <v>48</v>
      </c>
      <c r="C89">
        <v>10.666</v>
      </c>
      <c r="D89">
        <v>10.366</v>
      </c>
      <c r="E89">
        <v>10.343</v>
      </c>
      <c r="F89">
        <v>10.210000000000001</v>
      </c>
      <c r="G89">
        <v>10.566000000000001</v>
      </c>
      <c r="H89">
        <v>10.430199999999999</v>
      </c>
      <c r="I89">
        <v>0.45600000000000002</v>
      </c>
      <c r="J89">
        <v>0.46805999999999998</v>
      </c>
      <c r="K89">
        <v>0.989479</v>
      </c>
      <c r="L89">
        <v>0</v>
      </c>
      <c r="M89">
        <v>10.491992</v>
      </c>
      <c r="N89">
        <v>10.762062999999999</v>
      </c>
      <c r="O89">
        <v>10.221921</v>
      </c>
    </row>
    <row r="90" spans="2:30" ht="14.25" customHeight="1" x14ac:dyDescent="0.35">
      <c r="B90">
        <v>49</v>
      </c>
      <c r="C90">
        <v>10.41</v>
      </c>
      <c r="D90">
        <v>10.677</v>
      </c>
      <c r="E90">
        <v>10.321</v>
      </c>
      <c r="F90">
        <v>10.587999999999999</v>
      </c>
      <c r="G90">
        <v>10.499000000000001</v>
      </c>
      <c r="H90">
        <v>10.499000000000001</v>
      </c>
      <c r="I90">
        <v>0.35599999999999998</v>
      </c>
      <c r="J90">
        <v>0.46805999999999998</v>
      </c>
      <c r="K90">
        <v>0.989479</v>
      </c>
      <c r="L90">
        <v>0</v>
      </c>
      <c r="M90">
        <v>10.491992</v>
      </c>
      <c r="N90">
        <v>10.762062999999999</v>
      </c>
      <c r="O90">
        <v>10.221921</v>
      </c>
    </row>
    <row r="91" spans="2:30" ht="14.25" customHeight="1" x14ac:dyDescent="0.35">
      <c r="B91">
        <v>50</v>
      </c>
      <c r="C91">
        <v>10.443</v>
      </c>
      <c r="D91">
        <v>10.31</v>
      </c>
      <c r="E91">
        <v>10.377000000000001</v>
      </c>
      <c r="F91">
        <v>10.688000000000001</v>
      </c>
      <c r="G91">
        <v>10.477</v>
      </c>
      <c r="H91">
        <v>10.459</v>
      </c>
      <c r="I91">
        <v>0.378</v>
      </c>
      <c r="J91">
        <v>0.46805999999999998</v>
      </c>
      <c r="K91">
        <v>0.989479</v>
      </c>
      <c r="L91">
        <v>0</v>
      </c>
      <c r="M91">
        <v>10.491992</v>
      </c>
      <c r="N91">
        <v>10.762062999999999</v>
      </c>
      <c r="O91">
        <v>10.221921</v>
      </c>
    </row>
    <row r="92" spans="2:30" ht="14.25" customHeight="1" x14ac:dyDescent="0.35"/>
    <row r="93" spans="2:30" ht="14.25" customHeight="1" x14ac:dyDescent="0.35"/>
    <row r="94" spans="2:30" ht="14.25" customHeight="1" x14ac:dyDescent="0.35"/>
    <row r="95" spans="2:30" ht="14.25" customHeight="1" x14ac:dyDescent="0.35"/>
    <row r="96" spans="2:30"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31">
    <mergeCell ref="B29:B39"/>
    <mergeCell ref="Q29:Q39"/>
    <mergeCell ref="C41:G41"/>
    <mergeCell ref="R41:V41"/>
    <mergeCell ref="B9:G9"/>
    <mergeCell ref="I9:N9"/>
    <mergeCell ref="Q9:V9"/>
    <mergeCell ref="X9:AC9"/>
    <mergeCell ref="B27:O28"/>
    <mergeCell ref="Q27:AD28"/>
    <mergeCell ref="B7:G7"/>
    <mergeCell ref="I7:N7"/>
    <mergeCell ref="Q7:V7"/>
    <mergeCell ref="X7:AC7"/>
    <mergeCell ref="B8:G8"/>
    <mergeCell ref="I8:N8"/>
    <mergeCell ref="Q8:V8"/>
    <mergeCell ref="X8:AC8"/>
    <mergeCell ref="B5:G5"/>
    <mergeCell ref="I5:N5"/>
    <mergeCell ref="Q5:V5"/>
    <mergeCell ref="X5:AC5"/>
    <mergeCell ref="B6:G6"/>
    <mergeCell ref="I6:N6"/>
    <mergeCell ref="Q6:V6"/>
    <mergeCell ref="X6:AC6"/>
    <mergeCell ref="C2:H2"/>
    <mergeCell ref="B4:G4"/>
    <mergeCell ref="I4:O4"/>
    <mergeCell ref="Q4:V4"/>
    <mergeCell ref="X4:AD4"/>
  </mergeCells>
  <conditionalFormatting sqref="H42:H66">
    <cfRule type="cellIs" dxfId="32" priority="2" operator="greaterThan">
      <formula>$N$42</formula>
    </cfRule>
    <cfRule type="cellIs" dxfId="31" priority="3" operator="lessThan">
      <formula>$O$42</formula>
    </cfRule>
  </conditionalFormatting>
  <conditionalFormatting sqref="I42:I66">
    <cfRule type="cellIs" dxfId="30" priority="4" operator="greaterThan">
      <formula>$K$42</formula>
    </cfRule>
    <cfRule type="cellIs" dxfId="29" priority="5" operator="lessThan">
      <formula>$L$42</formula>
    </cfRule>
  </conditionalFormatting>
  <conditionalFormatting sqref="W42:W65">
    <cfRule type="cellIs" dxfId="28" priority="6" operator="greaterThan">
      <formula>$N$42</formula>
    </cfRule>
    <cfRule type="cellIs" dxfId="27" priority="7" operator="lessThan">
      <formula>$O$42</formula>
    </cfRule>
  </conditionalFormatting>
  <conditionalFormatting sqref="X42:X65">
    <cfRule type="cellIs" dxfId="26" priority="8" operator="greaterThan">
      <formula>$K$42</formula>
    </cfRule>
    <cfRule type="cellIs" dxfId="25" priority="9" operator="lessThan">
      <formula>$L$42</formula>
    </cfRule>
  </conditionalFormatting>
  <pageMargins left="0.7" right="0.7" top="0.75" bottom="0.75" header="0.511811023622047" footer="0.511811023622047"/>
  <pageSetup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AF1000"/>
  <sheetViews>
    <sheetView showGridLines="0" zoomScale="65" zoomScaleNormal="65" workbookViewId="0">
      <selection activeCell="P17" sqref="P17"/>
    </sheetView>
  </sheetViews>
  <sheetFormatPr defaultColWidth="14.453125" defaultRowHeight="14.5" x14ac:dyDescent="0.35"/>
  <cols>
    <col min="1" max="1" width="8.7265625" customWidth="1"/>
    <col min="2" max="15" width="12.453125" customWidth="1"/>
    <col min="16" max="32" width="12.54296875" customWidth="1"/>
  </cols>
  <sheetData>
    <row r="1" spans="2:31" ht="14.25" customHeight="1" x14ac:dyDescent="0.35"/>
    <row r="2" spans="2:31" ht="14.25" customHeight="1" x14ac:dyDescent="0.35">
      <c r="B2" s="44" t="s">
        <v>85</v>
      </c>
      <c r="C2" s="107" t="s">
        <v>103</v>
      </c>
      <c r="D2" s="107"/>
      <c r="E2" s="107"/>
      <c r="F2" s="107"/>
      <c r="G2" s="107"/>
      <c r="H2" s="107"/>
      <c r="R2" s="44" t="s">
        <v>85</v>
      </c>
      <c r="S2" s="107"/>
      <c r="T2" s="107"/>
      <c r="U2" s="107"/>
      <c r="V2" s="107"/>
      <c r="W2" s="107"/>
      <c r="X2" s="107"/>
    </row>
    <row r="3" spans="2:31" ht="14.25" customHeight="1" x14ac:dyDescent="0.35">
      <c r="B3" s="49" t="s">
        <v>104</v>
      </c>
      <c r="R3" s="49" t="s">
        <v>105</v>
      </c>
    </row>
    <row r="4" spans="2:31" ht="14.25" customHeight="1" x14ac:dyDescent="0.35">
      <c r="B4" s="108" t="s">
        <v>128</v>
      </c>
      <c r="C4" s="108"/>
      <c r="D4" s="108"/>
      <c r="E4" s="108"/>
      <c r="F4" s="108"/>
      <c r="G4" s="108"/>
      <c r="I4" s="108" t="s">
        <v>107</v>
      </c>
      <c r="J4" s="108"/>
      <c r="K4" s="108"/>
      <c r="L4" s="108"/>
      <c r="M4" s="108"/>
      <c r="N4" s="108"/>
      <c r="O4" s="108"/>
      <c r="R4" s="108" t="s">
        <v>128</v>
      </c>
      <c r="S4" s="108"/>
      <c r="T4" s="108"/>
      <c r="U4" s="108"/>
      <c r="V4" s="108"/>
      <c r="W4" s="108"/>
      <c r="Y4" s="108" t="s">
        <v>107</v>
      </c>
      <c r="Z4" s="108"/>
      <c r="AA4" s="108"/>
      <c r="AB4" s="108"/>
      <c r="AC4" s="108"/>
      <c r="AD4" s="108"/>
      <c r="AE4" s="108"/>
    </row>
    <row r="5" spans="2:31" ht="14.25" customHeight="1" x14ac:dyDescent="0.35">
      <c r="B5" s="109" t="s">
        <v>108</v>
      </c>
      <c r="C5" s="109"/>
      <c r="D5" s="109"/>
      <c r="E5" s="109"/>
      <c r="F5" s="109"/>
      <c r="G5" s="109"/>
      <c r="H5" s="29"/>
      <c r="I5" s="109" t="s">
        <v>108</v>
      </c>
      <c r="J5" s="109"/>
      <c r="K5" s="109"/>
      <c r="L5" s="109"/>
      <c r="M5" s="109"/>
      <c r="N5" s="109"/>
      <c r="O5" s="29"/>
      <c r="R5" s="109" t="s">
        <v>108</v>
      </c>
      <c r="S5" s="109"/>
      <c r="T5" s="109"/>
      <c r="U5" s="109"/>
      <c r="V5" s="109"/>
      <c r="W5" s="109"/>
      <c r="X5" s="29"/>
      <c r="Y5" s="109" t="s">
        <v>108</v>
      </c>
      <c r="Z5" s="109"/>
      <c r="AA5" s="109"/>
      <c r="AB5" s="109"/>
      <c r="AC5" s="109"/>
      <c r="AD5" s="109"/>
      <c r="AE5" s="29"/>
    </row>
    <row r="6" spans="2:31" ht="14.25" customHeight="1" x14ac:dyDescent="0.35">
      <c r="B6" s="109" t="s">
        <v>109</v>
      </c>
      <c r="C6" s="109"/>
      <c r="D6" s="109"/>
      <c r="E6" s="109"/>
      <c r="F6" s="109"/>
      <c r="G6" s="109"/>
      <c r="H6" s="29"/>
      <c r="I6" s="109" t="s">
        <v>109</v>
      </c>
      <c r="J6" s="109"/>
      <c r="K6" s="109"/>
      <c r="L6" s="109"/>
      <c r="M6" s="109"/>
      <c r="N6" s="109"/>
      <c r="O6" s="29"/>
      <c r="R6" s="109" t="s">
        <v>109</v>
      </c>
      <c r="S6" s="109"/>
      <c r="T6" s="109"/>
      <c r="U6" s="109"/>
      <c r="V6" s="109"/>
      <c r="W6" s="109"/>
      <c r="X6" s="29"/>
      <c r="Y6" s="109" t="s">
        <v>109</v>
      </c>
      <c r="Z6" s="109"/>
      <c r="AA6" s="109"/>
      <c r="AB6" s="109"/>
      <c r="AC6" s="109"/>
      <c r="AD6" s="109"/>
      <c r="AE6" s="29"/>
    </row>
    <row r="7" spans="2:31" ht="14.25" customHeight="1" x14ac:dyDescent="0.35">
      <c r="B7" s="110" t="s">
        <v>110</v>
      </c>
      <c r="C7" s="110"/>
      <c r="D7" s="110"/>
      <c r="E7" s="110"/>
      <c r="F7" s="110"/>
      <c r="G7" s="110"/>
      <c r="H7" s="29"/>
      <c r="I7" s="110" t="s">
        <v>110</v>
      </c>
      <c r="J7" s="110"/>
      <c r="K7" s="110"/>
      <c r="L7" s="110"/>
      <c r="M7" s="110"/>
      <c r="N7" s="110"/>
      <c r="O7" s="29"/>
      <c r="R7" s="110" t="s">
        <v>110</v>
      </c>
      <c r="S7" s="110"/>
      <c r="T7" s="110"/>
      <c r="U7" s="110"/>
      <c r="V7" s="110"/>
      <c r="W7" s="110"/>
      <c r="X7" s="29"/>
      <c r="Y7" s="110" t="s">
        <v>110</v>
      </c>
      <c r="Z7" s="110"/>
      <c r="AA7" s="110"/>
      <c r="AB7" s="110"/>
      <c r="AC7" s="110"/>
      <c r="AD7" s="110"/>
      <c r="AE7" s="29"/>
    </row>
    <row r="8" spans="2:31" ht="14.25" customHeight="1" x14ac:dyDescent="0.35">
      <c r="B8" s="110" t="s">
        <v>111</v>
      </c>
      <c r="C8" s="110"/>
      <c r="D8" s="110"/>
      <c r="E8" s="110"/>
      <c r="F8" s="110"/>
      <c r="G8" s="110"/>
      <c r="H8" s="29"/>
      <c r="I8" s="110" t="s">
        <v>111</v>
      </c>
      <c r="J8" s="110"/>
      <c r="K8" s="110"/>
      <c r="L8" s="110"/>
      <c r="M8" s="110"/>
      <c r="N8" s="110"/>
      <c r="O8" s="29"/>
      <c r="R8" s="110" t="s">
        <v>111</v>
      </c>
      <c r="S8" s="110"/>
      <c r="T8" s="110"/>
      <c r="U8" s="110"/>
      <c r="V8" s="110"/>
      <c r="W8" s="110"/>
      <c r="X8" s="29"/>
      <c r="Y8" s="110" t="s">
        <v>111</v>
      </c>
      <c r="Z8" s="110"/>
      <c r="AA8" s="110"/>
      <c r="AB8" s="110"/>
      <c r="AC8" s="110"/>
      <c r="AD8" s="110"/>
      <c r="AE8" s="29"/>
    </row>
    <row r="9" spans="2:31" ht="14.25" customHeight="1" x14ac:dyDescent="0.35">
      <c r="B9" s="110" t="s">
        <v>112</v>
      </c>
      <c r="C9" s="110"/>
      <c r="D9" s="110"/>
      <c r="E9" s="110"/>
      <c r="F9" s="110"/>
      <c r="G9" s="110"/>
      <c r="H9" s="29"/>
      <c r="I9" s="110" t="s">
        <v>112</v>
      </c>
      <c r="J9" s="110"/>
      <c r="K9" s="110"/>
      <c r="L9" s="110"/>
      <c r="M9" s="110"/>
      <c r="N9" s="110"/>
      <c r="O9" s="29"/>
      <c r="R9" s="110" t="s">
        <v>112</v>
      </c>
      <c r="S9" s="110"/>
      <c r="T9" s="110"/>
      <c r="U9" s="110"/>
      <c r="V9" s="110"/>
      <c r="W9" s="110"/>
      <c r="X9" s="29"/>
      <c r="Y9" s="110" t="s">
        <v>112</v>
      </c>
      <c r="Z9" s="110"/>
      <c r="AA9" s="110"/>
      <c r="AB9" s="110"/>
      <c r="AC9" s="110"/>
      <c r="AD9" s="110"/>
      <c r="AE9" s="29"/>
    </row>
    <row r="10" spans="2:31" ht="14.25" customHeight="1" x14ac:dyDescent="0.35"/>
    <row r="11" spans="2:31" ht="14.25" customHeight="1" x14ac:dyDescent="0.35"/>
    <row r="12" spans="2:31" ht="14.25" customHeight="1" x14ac:dyDescent="0.35"/>
    <row r="13" spans="2:31" ht="14.25" customHeight="1" x14ac:dyDescent="0.35"/>
    <row r="14" spans="2:31" ht="14.25" customHeight="1" x14ac:dyDescent="0.35"/>
    <row r="15" spans="2:31" ht="14.25" customHeight="1" x14ac:dyDescent="0.35"/>
    <row r="16" spans="2:31" ht="14.25" customHeight="1" x14ac:dyDescent="0.35"/>
    <row r="17" spans="2:31" ht="14.25" customHeight="1" x14ac:dyDescent="0.35"/>
    <row r="18" spans="2:31" ht="14.25" customHeight="1" x14ac:dyDescent="0.35"/>
    <row r="19" spans="2:31" ht="14.25" customHeight="1" x14ac:dyDescent="0.35"/>
    <row r="20" spans="2:31" ht="14.25" customHeight="1" x14ac:dyDescent="0.35"/>
    <row r="21" spans="2:31" ht="14.25" customHeight="1" x14ac:dyDescent="0.35"/>
    <row r="22" spans="2:31" ht="14.25" customHeight="1" x14ac:dyDescent="0.35"/>
    <row r="23" spans="2:31" ht="14.25" customHeight="1" x14ac:dyDescent="0.35"/>
    <row r="24" spans="2:31" ht="14.25" customHeight="1" x14ac:dyDescent="0.35"/>
    <row r="25" spans="2:31" ht="14.25" customHeight="1" x14ac:dyDescent="0.35"/>
    <row r="26" spans="2:31" ht="14.25" customHeight="1" x14ac:dyDescent="0.35"/>
    <row r="27" spans="2:31" ht="14.25" customHeight="1" x14ac:dyDescent="0.35">
      <c r="B27" s="111" t="s">
        <v>129</v>
      </c>
      <c r="C27" s="111"/>
      <c r="D27" s="111"/>
      <c r="E27" s="111"/>
      <c r="F27" s="111"/>
      <c r="G27" s="111"/>
      <c r="H27" s="111"/>
      <c r="I27" s="111"/>
      <c r="J27" s="111"/>
      <c r="K27" s="111"/>
      <c r="L27" s="111"/>
      <c r="M27" s="111"/>
      <c r="N27" s="111"/>
      <c r="O27" s="111"/>
      <c r="R27" s="111" t="s">
        <v>129</v>
      </c>
      <c r="S27" s="111"/>
      <c r="T27" s="111"/>
      <c r="U27" s="111"/>
      <c r="V27" s="111"/>
      <c r="W27" s="111"/>
      <c r="X27" s="111"/>
      <c r="Y27" s="111"/>
      <c r="Z27" s="111"/>
      <c r="AA27" s="111"/>
      <c r="AB27" s="111"/>
      <c r="AC27" s="111"/>
      <c r="AD27" s="111"/>
      <c r="AE27" s="111"/>
    </row>
    <row r="28" spans="2:31" ht="14.25" customHeight="1" x14ac:dyDescent="0.35">
      <c r="B28" s="111"/>
      <c r="C28" s="111"/>
      <c r="D28" s="111"/>
      <c r="E28" s="111"/>
      <c r="F28" s="111"/>
      <c r="G28" s="111"/>
      <c r="H28" s="111"/>
      <c r="I28" s="111"/>
      <c r="J28" s="111"/>
      <c r="K28" s="111"/>
      <c r="L28" s="111"/>
      <c r="M28" s="111"/>
      <c r="N28" s="111"/>
      <c r="O28" s="111"/>
      <c r="R28" s="111"/>
      <c r="S28" s="111"/>
      <c r="T28" s="111"/>
      <c r="U28" s="111"/>
      <c r="V28" s="111"/>
      <c r="W28" s="111"/>
      <c r="X28" s="111"/>
      <c r="Y28" s="111"/>
      <c r="Z28" s="111"/>
      <c r="AA28" s="111"/>
      <c r="AB28" s="111"/>
      <c r="AC28" s="111"/>
      <c r="AD28" s="111"/>
      <c r="AE28" s="111"/>
    </row>
    <row r="29" spans="2:31" ht="14.25" customHeight="1" x14ac:dyDescent="0.35">
      <c r="B29" s="112" t="s">
        <v>114</v>
      </c>
      <c r="C29" s="65" t="s">
        <v>115</v>
      </c>
      <c r="D29" s="66">
        <v>50</v>
      </c>
      <c r="E29" s="67"/>
      <c r="F29" s="67"/>
      <c r="G29" s="67"/>
      <c r="H29" s="67"/>
      <c r="I29" s="67"/>
      <c r="J29" s="67"/>
      <c r="K29" s="67"/>
      <c r="L29" s="67"/>
      <c r="M29" s="67"/>
      <c r="N29" s="67"/>
      <c r="O29" s="67"/>
      <c r="R29" s="112" t="s">
        <v>114</v>
      </c>
      <c r="S29" s="65">
        <v>46</v>
      </c>
      <c r="T29" s="66"/>
      <c r="U29" s="67"/>
      <c r="V29" s="67"/>
      <c r="W29" s="67"/>
      <c r="X29" s="67"/>
      <c r="Y29" s="67"/>
      <c r="Z29" s="67"/>
      <c r="AA29" s="67"/>
      <c r="AB29" s="67"/>
      <c r="AC29" s="67"/>
      <c r="AD29" s="67"/>
      <c r="AE29" s="67"/>
    </row>
    <row r="30" spans="2:31" ht="14.25" customHeight="1" x14ac:dyDescent="0.35">
      <c r="B30" s="112"/>
      <c r="C30" s="29" t="s">
        <v>55</v>
      </c>
      <c r="D30" s="68">
        <v>5</v>
      </c>
      <c r="E30" s="26"/>
      <c r="F30" s="26"/>
      <c r="G30" s="26"/>
      <c r="H30" s="26"/>
      <c r="I30" s="26"/>
      <c r="J30" s="26"/>
      <c r="K30" s="26"/>
      <c r="L30" s="26"/>
      <c r="M30" s="26"/>
      <c r="N30" s="26"/>
      <c r="O30" s="26"/>
      <c r="R30" s="112"/>
      <c r="S30" s="29">
        <v>5</v>
      </c>
      <c r="T30" s="68"/>
      <c r="U30" s="26"/>
      <c r="V30" s="26"/>
      <c r="W30" s="26"/>
      <c r="X30" s="26"/>
      <c r="Y30" s="26"/>
      <c r="Z30" s="26"/>
      <c r="AA30" s="26"/>
      <c r="AB30" s="26"/>
      <c r="AC30" s="26"/>
      <c r="AD30" s="26"/>
      <c r="AE30" s="26"/>
    </row>
    <row r="31" spans="2:31" ht="14.25" customHeight="1" x14ac:dyDescent="0.35">
      <c r="B31" s="112"/>
      <c r="C31" s="29" t="s">
        <v>116</v>
      </c>
      <c r="D31" s="69">
        <v>10.491992</v>
      </c>
      <c r="E31" s="70"/>
      <c r="F31" s="70"/>
      <c r="G31" s="70"/>
      <c r="H31" s="70"/>
      <c r="I31" s="70"/>
      <c r="J31" s="70"/>
      <c r="K31" s="70"/>
      <c r="L31" s="70"/>
      <c r="M31" s="70"/>
      <c r="N31" s="70"/>
      <c r="O31" s="70"/>
      <c r="R31" s="112"/>
      <c r="S31" s="29">
        <v>10.485874000000001</v>
      </c>
      <c r="T31" s="69"/>
      <c r="U31" s="70"/>
      <c r="V31" s="70"/>
      <c r="W31" s="70"/>
      <c r="X31" s="70"/>
      <c r="Y31" s="70"/>
      <c r="Z31" s="70"/>
      <c r="AA31" s="70"/>
      <c r="AB31" s="70"/>
      <c r="AC31" s="70"/>
      <c r="AD31" s="70"/>
      <c r="AE31" s="70"/>
    </row>
    <row r="32" spans="2:31" ht="14.25" customHeight="1" x14ac:dyDescent="0.35">
      <c r="B32" s="112"/>
      <c r="C32" s="29" t="s">
        <v>130</v>
      </c>
      <c r="D32" s="69">
        <v>0.184341</v>
      </c>
      <c r="E32" s="70"/>
      <c r="F32" s="70"/>
      <c r="G32" s="70"/>
      <c r="H32" s="70"/>
      <c r="I32" s="70"/>
      <c r="J32" s="70"/>
      <c r="K32" s="70"/>
      <c r="L32" s="70"/>
      <c r="M32" s="70"/>
      <c r="N32" s="70"/>
      <c r="O32" s="70"/>
      <c r="R32" s="112"/>
      <c r="S32" s="29">
        <v>0.163024</v>
      </c>
      <c r="T32" s="69"/>
      <c r="U32" s="70"/>
      <c r="V32" s="70"/>
      <c r="W32" s="70"/>
      <c r="X32" s="70"/>
      <c r="Y32" s="70"/>
      <c r="Z32" s="70"/>
      <c r="AA32" s="70"/>
      <c r="AB32" s="70"/>
      <c r="AC32" s="70"/>
      <c r="AD32" s="70"/>
      <c r="AE32" s="70"/>
    </row>
    <row r="33" spans="1:32" ht="14.25" customHeight="1" x14ac:dyDescent="0.35">
      <c r="B33" s="112"/>
      <c r="C33" s="29" t="s">
        <v>131</v>
      </c>
      <c r="D33" s="69">
        <v>0.38508799999999999</v>
      </c>
      <c r="E33" s="70"/>
      <c r="F33" s="70"/>
      <c r="G33" s="70"/>
      <c r="H33" s="70"/>
      <c r="I33" s="70"/>
      <c r="J33" s="70"/>
      <c r="K33" s="70"/>
      <c r="L33" s="70"/>
      <c r="M33" s="70"/>
      <c r="N33" s="70"/>
      <c r="O33" s="70"/>
      <c r="R33" s="112"/>
      <c r="S33" s="29">
        <v>0.34055600000000003</v>
      </c>
      <c r="T33" s="69"/>
      <c r="U33" s="70"/>
      <c r="V33" s="70"/>
      <c r="W33" s="70"/>
      <c r="X33" s="70"/>
      <c r="Y33" s="70"/>
      <c r="Z33" s="70"/>
      <c r="AA33" s="70"/>
      <c r="AB33" s="70"/>
      <c r="AC33" s="70"/>
      <c r="AD33" s="70"/>
      <c r="AE33" s="70"/>
    </row>
    <row r="34" spans="1:32" ht="14.25" customHeight="1" x14ac:dyDescent="0.35">
      <c r="B34" s="112"/>
      <c r="C34" s="29" t="s">
        <v>132</v>
      </c>
      <c r="D34" s="69">
        <v>0</v>
      </c>
      <c r="E34" s="70"/>
      <c r="F34" s="70"/>
      <c r="G34" s="70"/>
      <c r="H34" s="70"/>
      <c r="I34" s="70"/>
      <c r="J34" s="70"/>
      <c r="K34" s="70"/>
      <c r="L34" s="70"/>
      <c r="M34" s="70"/>
      <c r="N34" s="70"/>
      <c r="O34" s="70"/>
      <c r="R34" s="112"/>
      <c r="S34" s="29">
        <v>0</v>
      </c>
      <c r="T34" s="69"/>
      <c r="U34" s="70"/>
      <c r="V34" s="70"/>
      <c r="W34" s="70"/>
      <c r="X34" s="70"/>
      <c r="Y34" s="70"/>
      <c r="Z34" s="70"/>
      <c r="AA34" s="70"/>
      <c r="AB34" s="70"/>
      <c r="AC34" s="70"/>
      <c r="AD34" s="70"/>
      <c r="AE34" s="70"/>
    </row>
    <row r="35" spans="1:32" ht="14.25" customHeight="1" x14ac:dyDescent="0.35">
      <c r="B35" s="112"/>
      <c r="C35" s="29" t="s">
        <v>120</v>
      </c>
      <c r="D35" s="69">
        <v>10.755046</v>
      </c>
      <c r="E35" s="70"/>
      <c r="F35" s="70"/>
      <c r="G35" s="70"/>
      <c r="H35" s="70"/>
      <c r="I35" s="70"/>
      <c r="J35" s="70"/>
      <c r="K35" s="70"/>
      <c r="L35" s="70"/>
      <c r="M35" s="70"/>
      <c r="N35" s="70"/>
      <c r="O35" s="70"/>
      <c r="R35" s="112"/>
      <c r="S35" s="29">
        <v>10.718508999999999</v>
      </c>
      <c r="T35" s="69"/>
      <c r="U35" s="70"/>
      <c r="V35" s="70"/>
      <c r="W35" s="70"/>
      <c r="X35" s="70"/>
      <c r="Y35" s="70"/>
      <c r="Z35" s="70"/>
      <c r="AA35" s="70"/>
      <c r="AB35" s="70"/>
      <c r="AC35" s="70"/>
      <c r="AD35" s="70"/>
      <c r="AE35" s="70"/>
    </row>
    <row r="36" spans="1:32" ht="14.25" customHeight="1" x14ac:dyDescent="0.35">
      <c r="B36" s="112"/>
      <c r="C36" s="29" t="s">
        <v>121</v>
      </c>
      <c r="D36" s="69">
        <v>10.228937999999999</v>
      </c>
      <c r="E36" s="70"/>
      <c r="F36" s="70"/>
      <c r="G36" s="70"/>
      <c r="H36" s="70"/>
      <c r="I36" s="70"/>
      <c r="J36" s="70"/>
      <c r="K36" s="70"/>
      <c r="L36" s="70"/>
      <c r="M36" s="70"/>
      <c r="N36" s="70"/>
      <c r="O36" s="70"/>
      <c r="R36" s="112"/>
      <c r="S36" s="29">
        <v>10.253239000000001</v>
      </c>
      <c r="T36" s="69"/>
      <c r="U36" s="70"/>
      <c r="V36" s="70"/>
      <c r="W36" s="70"/>
      <c r="X36" s="70"/>
      <c r="Y36" s="70"/>
      <c r="Z36" s="70"/>
      <c r="AA36" s="70"/>
      <c r="AB36" s="70"/>
      <c r="AC36" s="70"/>
      <c r="AD36" s="70"/>
      <c r="AE36" s="70"/>
    </row>
    <row r="37" spans="1:32" ht="14.25" customHeight="1" x14ac:dyDescent="0.35">
      <c r="B37" s="112"/>
      <c r="C37" s="29" t="s">
        <v>57</v>
      </c>
      <c r="D37" s="70">
        <f>INDEX('Tabel Faktor'!$A$1:$Q$25,MATCH(D30,'Tabel Faktor'!$A$1:$A$25,0),MATCH(C37,'Tabel Faktor'!$A$1:$Q$1,0))</f>
        <v>1.427</v>
      </c>
      <c r="E37" s="70"/>
      <c r="F37" s="70"/>
      <c r="G37" s="70"/>
      <c r="H37" s="70"/>
      <c r="I37" s="70"/>
      <c r="J37" s="70"/>
      <c r="K37" s="70"/>
      <c r="L37" s="70"/>
      <c r="M37" s="70"/>
      <c r="N37" s="70"/>
      <c r="O37" s="70"/>
      <c r="R37" s="112"/>
      <c r="S37" s="29" t="s">
        <v>57</v>
      </c>
      <c r="T37" s="70">
        <v>1.427</v>
      </c>
      <c r="U37" s="70"/>
      <c r="V37" s="70"/>
      <c r="W37" s="70"/>
      <c r="X37" s="70"/>
      <c r="Y37" s="70"/>
      <c r="Z37" s="70"/>
      <c r="AA37" s="70"/>
      <c r="AB37" s="70"/>
      <c r="AC37" s="70"/>
      <c r="AD37" s="70"/>
      <c r="AE37" s="70"/>
    </row>
    <row r="38" spans="1:32" ht="14.25" customHeight="1" x14ac:dyDescent="0.35">
      <c r="B38" s="112"/>
      <c r="C38" s="29" t="s">
        <v>61</v>
      </c>
      <c r="D38" s="70">
        <f t="array" ref="D38">INDEX('Tabel Faktor'!$A$1:$Q$25,MATCH(D30,'Tabel Faktor'!$A$1:$A$25,0),MATCH(C38,'Tabel Faktor'!$A$1:$Q$1,0))</f>
        <v>2.089</v>
      </c>
      <c r="E38" s="70"/>
      <c r="F38" s="70"/>
      <c r="G38" s="70"/>
      <c r="H38" s="70"/>
      <c r="I38" s="70"/>
      <c r="J38" s="70"/>
      <c r="K38" s="70"/>
      <c r="L38" s="70"/>
      <c r="M38" s="70"/>
      <c r="N38" s="70"/>
      <c r="O38" s="70"/>
      <c r="R38" s="112"/>
      <c r="S38" s="29" t="s">
        <v>61</v>
      </c>
      <c r="T38" s="70">
        <v>2.089</v>
      </c>
      <c r="U38" s="70"/>
      <c r="V38" s="70"/>
      <c r="W38" s="70"/>
      <c r="X38" s="70"/>
      <c r="Y38" s="70"/>
      <c r="Z38" s="70"/>
      <c r="AA38" s="70"/>
      <c r="AB38" s="70"/>
      <c r="AC38" s="70"/>
      <c r="AD38" s="70"/>
      <c r="AE38" s="70"/>
    </row>
    <row r="39" spans="1:32" ht="14.25" customHeight="1" x14ac:dyDescent="0.35">
      <c r="B39" s="112"/>
      <c r="C39" s="71" t="s">
        <v>60</v>
      </c>
      <c r="D39" s="72">
        <f t="array" ref="D39">INDEX('Tabel Faktor'!$A$1:$Q$25,MATCH(D30,'Tabel Faktor'!$A$1:$A$25,0),MATCH(C39,'Tabel Faktor'!$A$1:$Q$1,0))</f>
        <v>0</v>
      </c>
      <c r="E39" s="73"/>
      <c r="F39" s="73"/>
      <c r="G39" s="73"/>
      <c r="H39" s="73"/>
      <c r="I39" s="73"/>
      <c r="J39" s="73"/>
      <c r="K39" s="73"/>
      <c r="L39" s="73"/>
      <c r="M39" s="73"/>
      <c r="N39" s="73"/>
      <c r="O39" s="73"/>
      <c r="R39" s="112"/>
      <c r="S39" s="71" t="s">
        <v>60</v>
      </c>
      <c r="T39" s="72">
        <v>0</v>
      </c>
      <c r="U39" s="73"/>
      <c r="V39" s="73"/>
      <c r="W39" s="73"/>
      <c r="X39" s="73"/>
      <c r="Y39" s="73"/>
      <c r="Z39" s="73"/>
      <c r="AA39" s="73"/>
      <c r="AB39" s="73"/>
      <c r="AC39" s="73"/>
      <c r="AD39" s="73"/>
      <c r="AE39" s="73"/>
    </row>
    <row r="40" spans="1:32" ht="14.25" customHeight="1" x14ac:dyDescent="0.35">
      <c r="B40" s="29"/>
      <c r="C40" s="29"/>
      <c r="D40" s="29"/>
      <c r="E40" s="29"/>
      <c r="F40" s="29"/>
      <c r="G40" s="29"/>
      <c r="H40" s="29"/>
      <c r="I40" s="29"/>
      <c r="J40" s="29"/>
      <c r="K40" s="29"/>
      <c r="L40" s="29"/>
      <c r="M40" s="29"/>
      <c r="N40" s="29"/>
      <c r="O40" s="29"/>
      <c r="R40" s="29"/>
      <c r="S40" s="29"/>
      <c r="T40" s="29"/>
      <c r="U40" s="29"/>
      <c r="V40" s="29"/>
      <c r="W40" s="29"/>
      <c r="X40" s="29"/>
      <c r="Y40" s="29"/>
      <c r="Z40" s="29"/>
      <c r="AA40" s="29"/>
      <c r="AB40" s="29"/>
      <c r="AC40" s="29"/>
      <c r="AD40" s="29"/>
      <c r="AE40" s="29"/>
    </row>
    <row r="41" spans="1:32" ht="14.25" customHeight="1" x14ac:dyDescent="0.35">
      <c r="A41" s="28"/>
      <c r="B41" s="32" t="s">
        <v>30</v>
      </c>
      <c r="C41" s="11" t="s">
        <v>31</v>
      </c>
      <c r="D41" s="11"/>
      <c r="E41" s="11"/>
      <c r="F41" s="11"/>
      <c r="G41" s="11"/>
      <c r="H41" s="32" t="s">
        <v>122</v>
      </c>
      <c r="I41" s="32" t="s">
        <v>133</v>
      </c>
      <c r="J41" s="32" t="s">
        <v>134</v>
      </c>
      <c r="K41" s="32" t="s">
        <v>131</v>
      </c>
      <c r="L41" s="32" t="s">
        <v>132</v>
      </c>
      <c r="M41" s="32" t="s">
        <v>125</v>
      </c>
      <c r="N41" s="32" t="s">
        <v>126</v>
      </c>
      <c r="O41" s="32" t="s">
        <v>127</v>
      </c>
      <c r="P41" s="28"/>
      <c r="Q41" s="28"/>
      <c r="R41" s="32" t="s">
        <v>30</v>
      </c>
      <c r="S41" s="11" t="s">
        <v>31</v>
      </c>
      <c r="T41" s="11"/>
      <c r="U41" s="11"/>
      <c r="V41" s="11"/>
      <c r="W41" s="11"/>
      <c r="X41" s="32" t="s">
        <v>122</v>
      </c>
      <c r="Y41" s="32" t="s">
        <v>133</v>
      </c>
      <c r="Z41" s="32" t="s">
        <v>134</v>
      </c>
      <c r="AA41" s="32" t="s">
        <v>131</v>
      </c>
      <c r="AB41" s="32" t="s">
        <v>132</v>
      </c>
      <c r="AC41" s="32" t="s">
        <v>125</v>
      </c>
      <c r="AD41" s="32" t="s">
        <v>126</v>
      </c>
      <c r="AE41" s="32" t="s">
        <v>127</v>
      </c>
      <c r="AF41" s="28"/>
    </row>
    <row r="42" spans="1:32" ht="14.25" customHeight="1" x14ac:dyDescent="0.35">
      <c r="B42" s="29">
        <v>1</v>
      </c>
      <c r="C42" s="74">
        <v>9.9760000000000009</v>
      </c>
      <c r="D42" s="74">
        <v>10.694000000000001</v>
      </c>
      <c r="E42" s="74">
        <v>10.368</v>
      </c>
      <c r="F42" s="74">
        <v>10.503</v>
      </c>
      <c r="G42" s="74">
        <v>10.323</v>
      </c>
      <c r="H42" s="39">
        <v>10.3728</v>
      </c>
      <c r="I42" s="39">
        <v>0.26461000000000001</v>
      </c>
      <c r="J42" s="39">
        <v>0.184341</v>
      </c>
      <c r="K42" s="39">
        <v>0.38508799999999999</v>
      </c>
      <c r="L42" s="39">
        <v>0</v>
      </c>
      <c r="M42" s="39">
        <v>10.491992</v>
      </c>
      <c r="N42" s="39">
        <v>10.755046</v>
      </c>
      <c r="O42" s="39">
        <v>10.228937999999999</v>
      </c>
      <c r="Q42">
        <v>1</v>
      </c>
      <c r="R42" s="29">
        <v>9.9760000000000009</v>
      </c>
      <c r="S42" s="74">
        <v>10.694000000000001</v>
      </c>
      <c r="T42" s="74">
        <v>10.368</v>
      </c>
      <c r="U42" s="74">
        <v>10.503</v>
      </c>
      <c r="V42" s="74">
        <v>10.323</v>
      </c>
      <c r="W42" s="74">
        <v>10.3728</v>
      </c>
      <c r="X42" s="39">
        <v>0.26461000000000001</v>
      </c>
      <c r="Y42" s="39">
        <v>0.163024</v>
      </c>
      <c r="Z42" s="39">
        <v>0.34055600000000003</v>
      </c>
      <c r="AA42" s="39">
        <v>0</v>
      </c>
      <c r="AB42" s="39">
        <v>10.485874000000001</v>
      </c>
      <c r="AC42" s="39">
        <v>10.718508999999999</v>
      </c>
      <c r="AD42" s="39">
        <v>10.253239000000001</v>
      </c>
      <c r="AE42" s="39">
        <f t="shared" ref="AE42:AE65" si="0">$T$36</f>
        <v>0</v>
      </c>
    </row>
    <row r="43" spans="1:32" ht="14.25" customHeight="1" x14ac:dyDescent="0.35">
      <c r="B43" s="29">
        <v>2</v>
      </c>
      <c r="C43" s="74">
        <v>10.625999999999999</v>
      </c>
      <c r="D43" s="74">
        <v>10.423999999999999</v>
      </c>
      <c r="E43" s="74">
        <v>11.109</v>
      </c>
      <c r="F43" s="74">
        <v>10.57</v>
      </c>
      <c r="G43" s="74">
        <v>10.132999999999999</v>
      </c>
      <c r="H43" s="39">
        <v>10.5724</v>
      </c>
      <c r="I43" s="39">
        <v>0.35563800000000001</v>
      </c>
      <c r="J43" s="39">
        <v>0.184341</v>
      </c>
      <c r="K43" s="39">
        <v>0.38508799999999999</v>
      </c>
      <c r="L43" s="39">
        <v>0</v>
      </c>
      <c r="M43" s="39">
        <v>10.491992</v>
      </c>
      <c r="N43" s="39">
        <v>10.755046</v>
      </c>
      <c r="O43" s="39">
        <v>10.228937999999999</v>
      </c>
      <c r="Q43">
        <v>2</v>
      </c>
      <c r="R43" s="29">
        <v>10.625999999999999</v>
      </c>
      <c r="S43" s="74">
        <v>10.423999999999999</v>
      </c>
      <c r="T43" s="74">
        <v>11.109</v>
      </c>
      <c r="U43" s="74">
        <v>10.57</v>
      </c>
      <c r="V43" s="74">
        <v>10.132999999999999</v>
      </c>
      <c r="W43" s="74">
        <v>10.5724</v>
      </c>
      <c r="X43" s="39">
        <v>0.35563800000000001</v>
      </c>
      <c r="Y43" s="39">
        <v>0.163024</v>
      </c>
      <c r="Z43" s="39">
        <v>0.34055600000000003</v>
      </c>
      <c r="AA43" s="39">
        <v>0</v>
      </c>
      <c r="AB43" s="39">
        <v>10.485874000000001</v>
      </c>
      <c r="AC43" s="39">
        <v>10.718508999999999</v>
      </c>
      <c r="AD43" s="39">
        <v>10.253239000000001</v>
      </c>
      <c r="AE43" s="39">
        <f t="shared" si="0"/>
        <v>0</v>
      </c>
    </row>
    <row r="44" spans="1:32" ht="14.25" customHeight="1" x14ac:dyDescent="0.35">
      <c r="B44" s="29">
        <v>3</v>
      </c>
      <c r="C44" s="74">
        <v>10.458</v>
      </c>
      <c r="D44" s="74">
        <v>10.548</v>
      </c>
      <c r="E44" s="74">
        <v>10.760999999999999</v>
      </c>
      <c r="F44" s="74">
        <v>10.301</v>
      </c>
      <c r="G44" s="74">
        <v>10.042999999999999</v>
      </c>
      <c r="H44" s="39">
        <v>10.4222</v>
      </c>
      <c r="I44" s="39">
        <v>0.269432</v>
      </c>
      <c r="J44" s="39">
        <v>0.184341</v>
      </c>
      <c r="K44" s="39">
        <v>0.38508799999999999</v>
      </c>
      <c r="L44" s="39">
        <v>0</v>
      </c>
      <c r="M44" s="39">
        <v>10.491992</v>
      </c>
      <c r="N44" s="39">
        <v>10.755046</v>
      </c>
      <c r="O44" s="39">
        <v>10.228937999999999</v>
      </c>
      <c r="Q44">
        <v>3</v>
      </c>
      <c r="R44" s="29">
        <v>10.458</v>
      </c>
      <c r="S44" s="74">
        <v>10.548</v>
      </c>
      <c r="T44" s="74">
        <v>10.760999999999999</v>
      </c>
      <c r="U44" s="74">
        <v>10.301</v>
      </c>
      <c r="V44" s="74">
        <v>10.042999999999999</v>
      </c>
      <c r="W44" s="74">
        <v>10.4222</v>
      </c>
      <c r="X44" s="39">
        <v>0.269432</v>
      </c>
      <c r="Y44" s="39">
        <v>0.163024</v>
      </c>
      <c r="Z44" s="39">
        <v>0.34055600000000003</v>
      </c>
      <c r="AA44" s="39">
        <v>0</v>
      </c>
      <c r="AB44" s="39">
        <v>10.485874000000001</v>
      </c>
      <c r="AC44" s="39">
        <v>10.718508999999999</v>
      </c>
      <c r="AD44" s="39">
        <v>10.253239000000001</v>
      </c>
      <c r="AE44" s="39">
        <f t="shared" si="0"/>
        <v>0</v>
      </c>
    </row>
    <row r="45" spans="1:32" ht="14.25" customHeight="1" x14ac:dyDescent="0.35">
      <c r="B45" s="29">
        <v>4</v>
      </c>
      <c r="C45" s="74">
        <v>10.648999999999999</v>
      </c>
      <c r="D45" s="74">
        <v>10.727</v>
      </c>
      <c r="E45" s="74">
        <v>10.423999999999999</v>
      </c>
      <c r="F45" s="74">
        <v>10.603999999999999</v>
      </c>
      <c r="G45" s="74">
        <v>10.603999999999999</v>
      </c>
      <c r="H45" s="39">
        <v>10.601599999999999</v>
      </c>
      <c r="I45" s="39">
        <v>0.11127099999999999</v>
      </c>
      <c r="J45" s="39">
        <v>0.184341</v>
      </c>
      <c r="K45" s="39">
        <v>0.38508799999999999</v>
      </c>
      <c r="L45" s="39">
        <v>0</v>
      </c>
      <c r="M45" s="39">
        <v>10.491992</v>
      </c>
      <c r="N45" s="39">
        <v>10.755046</v>
      </c>
      <c r="O45" s="39">
        <v>10.228937999999999</v>
      </c>
      <c r="Q45">
        <v>4</v>
      </c>
      <c r="R45" s="29">
        <v>10.648999999999999</v>
      </c>
      <c r="S45" s="74">
        <v>10.727</v>
      </c>
      <c r="T45" s="74">
        <v>10.423999999999999</v>
      </c>
      <c r="U45" s="74">
        <v>10.603999999999999</v>
      </c>
      <c r="V45" s="74">
        <v>10.603999999999999</v>
      </c>
      <c r="W45" s="74">
        <v>10.601599999999999</v>
      </c>
      <c r="X45" s="39">
        <v>0.11127099999999999</v>
      </c>
      <c r="Y45" s="39">
        <v>0.163024</v>
      </c>
      <c r="Z45" s="39">
        <v>0.34055600000000003</v>
      </c>
      <c r="AA45" s="39">
        <v>0</v>
      </c>
      <c r="AB45" s="39">
        <v>10.485874000000001</v>
      </c>
      <c r="AC45" s="39">
        <v>10.718508999999999</v>
      </c>
      <c r="AD45" s="39">
        <v>10.253239000000001</v>
      </c>
      <c r="AE45" s="39">
        <f t="shared" si="0"/>
        <v>0</v>
      </c>
    </row>
    <row r="46" spans="1:32" ht="14.25" customHeight="1" x14ac:dyDescent="0.35">
      <c r="B46" s="29">
        <v>5</v>
      </c>
      <c r="C46" s="74">
        <v>10.581</v>
      </c>
      <c r="D46" s="74">
        <v>10.917999999999999</v>
      </c>
      <c r="E46" s="74">
        <v>10.401999999999999</v>
      </c>
      <c r="F46" s="74">
        <v>10.481</v>
      </c>
      <c r="G46" s="74">
        <v>10.795</v>
      </c>
      <c r="H46" s="39">
        <v>10.635400000000001</v>
      </c>
      <c r="I46" s="39">
        <v>0.21599099999999999</v>
      </c>
      <c r="J46" s="39">
        <v>0.184341</v>
      </c>
      <c r="K46" s="39">
        <v>0.38508799999999999</v>
      </c>
      <c r="L46" s="39">
        <v>0</v>
      </c>
      <c r="M46" s="39">
        <v>10.491992</v>
      </c>
      <c r="N46" s="39">
        <v>10.755046</v>
      </c>
      <c r="O46" s="39">
        <v>10.228937999999999</v>
      </c>
      <c r="Q46">
        <v>5</v>
      </c>
      <c r="R46" s="29">
        <v>10.581</v>
      </c>
      <c r="S46" s="74">
        <v>10.917999999999999</v>
      </c>
      <c r="T46" s="74">
        <v>10.401999999999999</v>
      </c>
      <c r="U46" s="74">
        <v>10.481</v>
      </c>
      <c r="V46" s="74">
        <v>10.795</v>
      </c>
      <c r="W46" s="74">
        <v>10.635400000000001</v>
      </c>
      <c r="X46" s="39">
        <v>0.21599099999999999</v>
      </c>
      <c r="Y46" s="39">
        <v>0.163024</v>
      </c>
      <c r="Z46" s="39">
        <v>0.34055600000000003</v>
      </c>
      <c r="AA46" s="39">
        <v>0</v>
      </c>
      <c r="AB46" s="39">
        <v>10.485874000000001</v>
      </c>
      <c r="AC46" s="39">
        <v>10.718508999999999</v>
      </c>
      <c r="AD46" s="39">
        <v>10.253239000000001</v>
      </c>
      <c r="AE46" s="39">
        <f t="shared" si="0"/>
        <v>0</v>
      </c>
    </row>
    <row r="47" spans="1:32" ht="14.25" customHeight="1" x14ac:dyDescent="0.35">
      <c r="B47" s="29">
        <v>6</v>
      </c>
      <c r="C47" s="74">
        <v>10.436</v>
      </c>
      <c r="D47" s="74">
        <v>10.503</v>
      </c>
      <c r="E47" s="74">
        <v>10.907</v>
      </c>
      <c r="F47" s="74">
        <v>10.458</v>
      </c>
      <c r="G47" s="74">
        <v>9.8070000000000004</v>
      </c>
      <c r="H47" s="39">
        <v>10.4222</v>
      </c>
      <c r="I47" s="39">
        <v>0.394177</v>
      </c>
      <c r="J47" s="39">
        <v>0.184341</v>
      </c>
      <c r="K47" s="39">
        <v>0.38508799999999999</v>
      </c>
      <c r="L47" s="39">
        <v>0</v>
      </c>
      <c r="M47" s="39">
        <v>10.491992</v>
      </c>
      <c r="N47" s="39">
        <v>10.755046</v>
      </c>
      <c r="O47" s="39">
        <v>10.228937999999999</v>
      </c>
      <c r="Q47">
        <v>7</v>
      </c>
      <c r="R47" s="29">
        <v>10.682</v>
      </c>
      <c r="S47" s="74">
        <v>10.446999999999999</v>
      </c>
      <c r="T47" s="74">
        <v>10.323</v>
      </c>
      <c r="U47" s="74">
        <v>10.311999999999999</v>
      </c>
      <c r="V47" s="74">
        <v>10.805999999999999</v>
      </c>
      <c r="W47" s="74">
        <v>10.513999999999999</v>
      </c>
      <c r="X47" s="39">
        <v>0.220942</v>
      </c>
      <c r="Y47" s="39">
        <v>0.163024</v>
      </c>
      <c r="Z47" s="39">
        <v>0.34055600000000003</v>
      </c>
      <c r="AA47" s="39">
        <v>0</v>
      </c>
      <c r="AB47" s="39">
        <v>10.485874000000001</v>
      </c>
      <c r="AC47" s="39">
        <v>10.718508999999999</v>
      </c>
      <c r="AD47" s="39">
        <v>10.253239000000001</v>
      </c>
      <c r="AE47" s="39">
        <f t="shared" si="0"/>
        <v>0</v>
      </c>
    </row>
    <row r="48" spans="1:32" ht="14.25" customHeight="1" x14ac:dyDescent="0.35">
      <c r="B48" s="29">
        <v>7</v>
      </c>
      <c r="C48" s="74">
        <v>10.682</v>
      </c>
      <c r="D48" s="74">
        <v>10.446999999999999</v>
      </c>
      <c r="E48" s="74">
        <v>10.323</v>
      </c>
      <c r="F48" s="74">
        <v>10.311999999999999</v>
      </c>
      <c r="G48" s="74">
        <v>10.805999999999999</v>
      </c>
      <c r="H48" s="39">
        <v>10.513999999999999</v>
      </c>
      <c r="I48" s="39">
        <v>0.220942</v>
      </c>
      <c r="J48" s="39">
        <v>0.184341</v>
      </c>
      <c r="K48" s="39">
        <v>0.38508799999999999</v>
      </c>
      <c r="L48" s="39">
        <v>0</v>
      </c>
      <c r="M48" s="39">
        <v>10.491992</v>
      </c>
      <c r="N48" s="39">
        <v>10.755046</v>
      </c>
      <c r="O48" s="39">
        <v>10.228937999999999</v>
      </c>
      <c r="Q48">
        <v>8</v>
      </c>
      <c r="R48" s="29">
        <v>10.356999999999999</v>
      </c>
      <c r="S48" s="74">
        <v>10.481</v>
      </c>
      <c r="T48" s="74">
        <v>10.446999999999999</v>
      </c>
      <c r="U48" s="74">
        <v>10.468999999999999</v>
      </c>
      <c r="V48" s="74">
        <v>10.638</v>
      </c>
      <c r="W48" s="74">
        <v>10.478400000000001</v>
      </c>
      <c r="X48" s="39">
        <v>0.101601</v>
      </c>
      <c r="Y48" s="39">
        <v>0.163024</v>
      </c>
      <c r="Z48" s="39">
        <v>0.34055600000000003</v>
      </c>
      <c r="AA48" s="39">
        <v>0</v>
      </c>
      <c r="AB48" s="39">
        <v>10.485874000000001</v>
      </c>
      <c r="AC48" s="39">
        <v>10.718508999999999</v>
      </c>
      <c r="AD48" s="39">
        <v>10.253239000000001</v>
      </c>
      <c r="AE48" s="39">
        <f t="shared" si="0"/>
        <v>0</v>
      </c>
    </row>
    <row r="49" spans="2:31" ht="14.25" customHeight="1" x14ac:dyDescent="0.35">
      <c r="B49" s="29">
        <v>8</v>
      </c>
      <c r="C49" s="74">
        <v>10.356999999999999</v>
      </c>
      <c r="D49" s="74">
        <v>10.481</v>
      </c>
      <c r="E49" s="74">
        <v>10.446999999999999</v>
      </c>
      <c r="F49" s="74">
        <v>10.468999999999999</v>
      </c>
      <c r="G49" s="74">
        <v>10.638</v>
      </c>
      <c r="H49" s="39">
        <v>10.478400000000001</v>
      </c>
      <c r="I49" s="39">
        <v>0.101601</v>
      </c>
      <c r="J49" s="39">
        <v>0.184341</v>
      </c>
      <c r="K49" s="39">
        <v>0.38508799999999999</v>
      </c>
      <c r="L49" s="39">
        <v>0</v>
      </c>
      <c r="M49" s="39">
        <v>10.491992</v>
      </c>
      <c r="N49" s="39">
        <v>10.755046</v>
      </c>
      <c r="O49" s="39">
        <v>10.228937999999999</v>
      </c>
      <c r="Q49">
        <v>9</v>
      </c>
      <c r="R49" s="29">
        <v>10.682</v>
      </c>
      <c r="S49" s="74">
        <v>10.907</v>
      </c>
      <c r="T49" s="74">
        <v>10.401999999999999</v>
      </c>
      <c r="U49" s="74">
        <v>10.29</v>
      </c>
      <c r="V49" s="74">
        <v>10.581</v>
      </c>
      <c r="W49" s="74">
        <v>10.5724</v>
      </c>
      <c r="X49" s="39">
        <v>0.241262</v>
      </c>
      <c r="Y49" s="39">
        <v>0.163024</v>
      </c>
      <c r="Z49" s="39">
        <v>0.34055600000000003</v>
      </c>
      <c r="AA49" s="39">
        <v>0</v>
      </c>
      <c r="AB49" s="39">
        <v>10.485874000000001</v>
      </c>
      <c r="AC49" s="39">
        <v>10.718508999999999</v>
      </c>
      <c r="AD49" s="39">
        <v>10.253239000000001</v>
      </c>
      <c r="AE49" s="39">
        <f t="shared" si="0"/>
        <v>0</v>
      </c>
    </row>
    <row r="50" spans="2:31" ht="14.25" customHeight="1" x14ac:dyDescent="0.35">
      <c r="B50" s="29">
        <v>9</v>
      </c>
      <c r="C50" s="74">
        <v>10.682</v>
      </c>
      <c r="D50" s="74">
        <v>10.907</v>
      </c>
      <c r="E50" s="74">
        <v>10.401999999999999</v>
      </c>
      <c r="F50" s="74">
        <v>10.29</v>
      </c>
      <c r="G50" s="74">
        <v>10.581</v>
      </c>
      <c r="H50" s="39">
        <v>10.5724</v>
      </c>
      <c r="I50" s="39">
        <v>0.241262</v>
      </c>
      <c r="J50" s="39">
        <v>0.184341</v>
      </c>
      <c r="K50" s="39">
        <v>0.38508799999999999</v>
      </c>
      <c r="L50" s="39">
        <v>0</v>
      </c>
      <c r="M50" s="39">
        <v>10.491992</v>
      </c>
      <c r="N50" s="39">
        <v>10.755046</v>
      </c>
      <c r="O50" s="39">
        <v>10.228937999999999</v>
      </c>
      <c r="Q50">
        <v>10</v>
      </c>
      <c r="R50" s="29">
        <v>10.525</v>
      </c>
      <c r="S50" s="74">
        <v>10.682</v>
      </c>
      <c r="T50" s="74">
        <v>10.581</v>
      </c>
      <c r="U50" s="74">
        <v>10.66</v>
      </c>
      <c r="V50" s="74">
        <v>10.817</v>
      </c>
      <c r="W50" s="74">
        <v>10.653</v>
      </c>
      <c r="X50" s="39">
        <v>0.111079</v>
      </c>
      <c r="Y50" s="39">
        <v>0.163024</v>
      </c>
      <c r="Z50" s="39">
        <v>0.34055600000000003</v>
      </c>
      <c r="AA50" s="39">
        <v>0</v>
      </c>
      <c r="AB50" s="39">
        <v>10.485874000000001</v>
      </c>
      <c r="AC50" s="39">
        <v>10.718508999999999</v>
      </c>
      <c r="AD50" s="39">
        <v>10.253239000000001</v>
      </c>
      <c r="AE50" s="39">
        <f t="shared" si="0"/>
        <v>0</v>
      </c>
    </row>
    <row r="51" spans="2:31" ht="14.25" customHeight="1" x14ac:dyDescent="0.35">
      <c r="B51" s="29">
        <v>10</v>
      </c>
      <c r="C51" s="74">
        <v>10.525</v>
      </c>
      <c r="D51" s="74">
        <v>10.682</v>
      </c>
      <c r="E51" s="74">
        <v>10.581</v>
      </c>
      <c r="F51" s="74">
        <v>10.66</v>
      </c>
      <c r="G51" s="74">
        <v>10.817</v>
      </c>
      <c r="H51" s="39">
        <v>10.653</v>
      </c>
      <c r="I51" s="39">
        <v>0.111079</v>
      </c>
      <c r="J51" s="39">
        <v>0.184341</v>
      </c>
      <c r="K51" s="39">
        <v>0.38508799999999999</v>
      </c>
      <c r="L51" s="39">
        <v>0</v>
      </c>
      <c r="M51" s="39">
        <v>10.491992</v>
      </c>
      <c r="N51" s="39">
        <v>10.755046</v>
      </c>
      <c r="O51" s="39">
        <v>10.228937999999999</v>
      </c>
      <c r="Q51">
        <v>11</v>
      </c>
      <c r="R51" s="29">
        <v>10.795</v>
      </c>
      <c r="S51" s="74">
        <v>10.423999999999999</v>
      </c>
      <c r="T51" s="74">
        <v>10.638</v>
      </c>
      <c r="U51" s="74">
        <v>11.109</v>
      </c>
      <c r="V51" s="74">
        <v>11.109</v>
      </c>
      <c r="W51" s="74">
        <v>10.815</v>
      </c>
      <c r="X51" s="39">
        <v>0.29894900000000002</v>
      </c>
      <c r="Y51" s="39">
        <v>0.163024</v>
      </c>
      <c r="Z51" s="39">
        <v>0.34055600000000003</v>
      </c>
      <c r="AA51" s="39">
        <v>0</v>
      </c>
      <c r="AB51" s="39">
        <v>10.485874000000001</v>
      </c>
      <c r="AC51" s="39">
        <v>10.718508999999999</v>
      </c>
      <c r="AD51" s="39">
        <v>10.253239000000001</v>
      </c>
      <c r="AE51" s="39">
        <f t="shared" si="0"/>
        <v>0</v>
      </c>
    </row>
    <row r="52" spans="2:31" ht="14.25" customHeight="1" x14ac:dyDescent="0.35">
      <c r="B52" s="29">
        <v>11</v>
      </c>
      <c r="C52" s="74">
        <v>10.795</v>
      </c>
      <c r="D52" s="74">
        <v>10.423999999999999</v>
      </c>
      <c r="E52" s="74">
        <v>10.638</v>
      </c>
      <c r="F52" s="74">
        <v>11.109</v>
      </c>
      <c r="G52" s="74">
        <v>11.109</v>
      </c>
      <c r="H52" s="39">
        <v>10.815</v>
      </c>
      <c r="I52" s="39">
        <v>0.29894900000000002</v>
      </c>
      <c r="J52" s="39">
        <v>0.184341</v>
      </c>
      <c r="K52" s="39">
        <v>0.38508799999999999</v>
      </c>
      <c r="L52" s="39">
        <v>0</v>
      </c>
      <c r="M52" s="39">
        <v>10.491992</v>
      </c>
      <c r="N52" s="39">
        <v>10.755046</v>
      </c>
      <c r="O52" s="39">
        <v>10.228937999999999</v>
      </c>
      <c r="Q52">
        <v>12</v>
      </c>
      <c r="R52" s="29">
        <v>10.581</v>
      </c>
      <c r="S52" s="74">
        <v>10.503</v>
      </c>
      <c r="T52" s="74">
        <v>10.436</v>
      </c>
      <c r="U52" s="74">
        <v>10.38</v>
      </c>
      <c r="V52" s="74">
        <v>10.952</v>
      </c>
      <c r="W52" s="74">
        <v>10.570399999999999</v>
      </c>
      <c r="X52" s="39">
        <v>0.226158</v>
      </c>
      <c r="Y52" s="39">
        <v>0.163024</v>
      </c>
      <c r="Z52" s="39">
        <v>0.34055600000000003</v>
      </c>
      <c r="AA52" s="39">
        <v>0</v>
      </c>
      <c r="AB52" s="39">
        <v>10.485874000000001</v>
      </c>
      <c r="AC52" s="39">
        <v>10.718508999999999</v>
      </c>
      <c r="AD52" s="39">
        <v>10.253239000000001</v>
      </c>
      <c r="AE52" s="39">
        <f t="shared" si="0"/>
        <v>0</v>
      </c>
    </row>
    <row r="53" spans="2:31" ht="14.25" customHeight="1" x14ac:dyDescent="0.35">
      <c r="B53" s="29">
        <v>12</v>
      </c>
      <c r="C53" s="74">
        <v>10.581</v>
      </c>
      <c r="D53" s="74">
        <v>10.503</v>
      </c>
      <c r="E53" s="74">
        <v>10.436</v>
      </c>
      <c r="F53" s="74">
        <v>10.38</v>
      </c>
      <c r="G53" s="74">
        <v>10.952</v>
      </c>
      <c r="H53" s="39">
        <v>10.570399999999999</v>
      </c>
      <c r="I53" s="39">
        <v>0.226158</v>
      </c>
      <c r="J53" s="39">
        <v>0.184341</v>
      </c>
      <c r="K53" s="39">
        <v>0.38508799999999999</v>
      </c>
      <c r="L53" s="39">
        <v>0</v>
      </c>
      <c r="M53" s="39">
        <v>10.491992</v>
      </c>
      <c r="N53" s="39">
        <v>10.755046</v>
      </c>
      <c r="O53" s="39">
        <v>10.228937999999999</v>
      </c>
      <c r="Q53">
        <v>13</v>
      </c>
      <c r="R53" s="29">
        <v>10.705</v>
      </c>
      <c r="S53" s="74">
        <v>10.356999999999999</v>
      </c>
      <c r="T53" s="74">
        <v>10.356999999999999</v>
      </c>
      <c r="U53" s="74">
        <v>10.537000000000001</v>
      </c>
      <c r="V53" s="74">
        <v>10.513999999999999</v>
      </c>
      <c r="W53" s="74">
        <v>10.494</v>
      </c>
      <c r="X53" s="39">
        <v>0.145179</v>
      </c>
      <c r="Y53" s="39">
        <v>0.163024</v>
      </c>
      <c r="Z53" s="39">
        <v>0.34055600000000003</v>
      </c>
      <c r="AA53" s="39">
        <v>0</v>
      </c>
      <c r="AB53" s="39">
        <v>10.485874000000001</v>
      </c>
      <c r="AC53" s="39">
        <v>10.718508999999999</v>
      </c>
      <c r="AD53" s="39">
        <v>10.253239000000001</v>
      </c>
      <c r="AE53" s="39">
        <f t="shared" si="0"/>
        <v>0</v>
      </c>
    </row>
    <row r="54" spans="2:31" ht="14.25" customHeight="1" x14ac:dyDescent="0.35">
      <c r="B54" s="29">
        <v>13</v>
      </c>
      <c r="C54" s="74">
        <v>10.705</v>
      </c>
      <c r="D54" s="74">
        <v>10.356999999999999</v>
      </c>
      <c r="E54" s="74">
        <v>10.356999999999999</v>
      </c>
      <c r="F54" s="74">
        <v>10.537000000000001</v>
      </c>
      <c r="G54" s="74">
        <v>10.513999999999999</v>
      </c>
      <c r="H54" s="39">
        <v>10.494</v>
      </c>
      <c r="I54" s="39">
        <v>0.145179</v>
      </c>
      <c r="J54" s="39">
        <v>0.184341</v>
      </c>
      <c r="K54" s="39">
        <v>0.38508799999999999</v>
      </c>
      <c r="L54" s="39">
        <v>0</v>
      </c>
      <c r="M54" s="39">
        <v>10.491992</v>
      </c>
      <c r="N54" s="39">
        <v>10.755046</v>
      </c>
      <c r="O54" s="39">
        <v>10.228937999999999</v>
      </c>
      <c r="Q54">
        <v>14</v>
      </c>
      <c r="R54" s="29">
        <v>10.413</v>
      </c>
      <c r="S54" s="74">
        <v>10.335000000000001</v>
      </c>
      <c r="T54" s="74">
        <v>10.468999999999999</v>
      </c>
      <c r="U54" s="74">
        <v>10.423999999999999</v>
      </c>
      <c r="V54" s="74">
        <v>10.558999999999999</v>
      </c>
      <c r="W54" s="74">
        <v>10.44</v>
      </c>
      <c r="X54" s="39">
        <v>8.2177E-2</v>
      </c>
      <c r="Y54" s="39">
        <v>0.163024</v>
      </c>
      <c r="Z54" s="39">
        <v>0.34055600000000003</v>
      </c>
      <c r="AA54" s="39">
        <v>0</v>
      </c>
      <c r="AB54" s="39">
        <v>10.485874000000001</v>
      </c>
      <c r="AC54" s="39">
        <v>10.718508999999999</v>
      </c>
      <c r="AD54" s="39">
        <v>10.253239000000001</v>
      </c>
      <c r="AE54" s="39">
        <f t="shared" si="0"/>
        <v>0</v>
      </c>
    </row>
    <row r="55" spans="2:31" ht="14.25" customHeight="1" x14ac:dyDescent="0.35">
      <c r="B55" s="29">
        <v>14</v>
      </c>
      <c r="C55" s="74">
        <v>10.413</v>
      </c>
      <c r="D55" s="74">
        <v>10.335000000000001</v>
      </c>
      <c r="E55" s="74">
        <v>10.468999999999999</v>
      </c>
      <c r="F55" s="74">
        <v>10.423999999999999</v>
      </c>
      <c r="G55" s="74">
        <v>10.558999999999999</v>
      </c>
      <c r="H55" s="39">
        <v>10.44</v>
      </c>
      <c r="I55" s="39">
        <v>8.2177E-2</v>
      </c>
      <c r="J55" s="39">
        <v>0.184341</v>
      </c>
      <c r="K55" s="39">
        <v>0.38508799999999999</v>
      </c>
      <c r="L55" s="39">
        <v>0</v>
      </c>
      <c r="M55" s="39">
        <v>10.491992</v>
      </c>
      <c r="N55" s="39">
        <v>10.755046</v>
      </c>
      <c r="O55" s="39">
        <v>10.228937999999999</v>
      </c>
      <c r="Q55">
        <v>15</v>
      </c>
      <c r="R55" s="29">
        <v>10.11</v>
      </c>
      <c r="S55" s="74">
        <v>10.603999999999999</v>
      </c>
      <c r="T55" s="74">
        <v>10.513999999999999</v>
      </c>
      <c r="U55" s="74">
        <v>10.57</v>
      </c>
      <c r="V55" s="74">
        <v>10.503</v>
      </c>
      <c r="W55" s="74">
        <v>10.4602</v>
      </c>
      <c r="X55" s="39">
        <v>0.20006299999999999</v>
      </c>
      <c r="Y55" s="39">
        <v>0.163024</v>
      </c>
      <c r="Z55" s="39">
        <v>0.34055600000000003</v>
      </c>
      <c r="AA55" s="39">
        <v>0</v>
      </c>
      <c r="AB55" s="39">
        <v>10.485874000000001</v>
      </c>
      <c r="AC55" s="39">
        <v>10.718508999999999</v>
      </c>
      <c r="AD55" s="39">
        <v>10.253239000000001</v>
      </c>
      <c r="AE55" s="39">
        <f t="shared" si="0"/>
        <v>0</v>
      </c>
    </row>
    <row r="56" spans="2:31" ht="14.25" customHeight="1" x14ac:dyDescent="0.35">
      <c r="B56" s="29">
        <v>15</v>
      </c>
      <c r="C56" s="74">
        <v>10.11</v>
      </c>
      <c r="D56" s="74">
        <v>10.603999999999999</v>
      </c>
      <c r="E56" s="74">
        <v>10.513999999999999</v>
      </c>
      <c r="F56" s="74">
        <v>10.57</v>
      </c>
      <c r="G56" s="74">
        <v>10.503</v>
      </c>
      <c r="H56" s="39">
        <v>10.4602</v>
      </c>
      <c r="I56" s="39">
        <v>0.20006299999999999</v>
      </c>
      <c r="J56" s="39">
        <v>0.184341</v>
      </c>
      <c r="K56" s="39">
        <v>0.38508799999999999</v>
      </c>
      <c r="L56" s="39">
        <v>0</v>
      </c>
      <c r="M56" s="39">
        <v>10.491992</v>
      </c>
      <c r="N56" s="39">
        <v>10.755046</v>
      </c>
      <c r="O56" s="39">
        <v>10.228937999999999</v>
      </c>
      <c r="Q56">
        <v>16</v>
      </c>
      <c r="R56" s="29">
        <v>10.57</v>
      </c>
      <c r="S56" s="74">
        <v>10.625999999999999</v>
      </c>
      <c r="T56" s="74">
        <v>10.368</v>
      </c>
      <c r="U56" s="74">
        <v>10.670999999999999</v>
      </c>
      <c r="V56" s="74">
        <v>10.705</v>
      </c>
      <c r="W56" s="74">
        <v>10.587999999999999</v>
      </c>
      <c r="X56" s="39">
        <v>0.132991</v>
      </c>
      <c r="Y56" s="39">
        <v>0.163024</v>
      </c>
      <c r="Z56" s="39">
        <v>0.34055600000000003</v>
      </c>
      <c r="AA56" s="39">
        <v>0</v>
      </c>
      <c r="AB56" s="39">
        <v>10.485874000000001</v>
      </c>
      <c r="AC56" s="39">
        <v>10.718508999999999</v>
      </c>
      <c r="AD56" s="39">
        <v>10.253239000000001</v>
      </c>
      <c r="AE56" s="39">
        <f t="shared" si="0"/>
        <v>0</v>
      </c>
    </row>
    <row r="57" spans="2:31" ht="14.25" customHeight="1" x14ac:dyDescent="0.35">
      <c r="B57" s="29">
        <v>16</v>
      </c>
      <c r="C57" s="74">
        <v>10.57</v>
      </c>
      <c r="D57" s="74">
        <v>10.625999999999999</v>
      </c>
      <c r="E57" s="74">
        <v>10.368</v>
      </c>
      <c r="F57" s="74">
        <v>10.670999999999999</v>
      </c>
      <c r="G57" s="74">
        <v>10.705</v>
      </c>
      <c r="H57" s="39">
        <v>10.587999999999999</v>
      </c>
      <c r="I57" s="39">
        <v>0.132991</v>
      </c>
      <c r="J57" s="39">
        <v>0.184341</v>
      </c>
      <c r="K57" s="39">
        <v>0.38508799999999999</v>
      </c>
      <c r="L57" s="39">
        <v>0</v>
      </c>
      <c r="M57" s="39">
        <v>10.491992</v>
      </c>
      <c r="N57" s="39">
        <v>10.755046</v>
      </c>
      <c r="O57" s="39">
        <v>10.228937999999999</v>
      </c>
      <c r="Q57">
        <v>19</v>
      </c>
      <c r="R57" s="29">
        <v>10.525</v>
      </c>
      <c r="S57" s="74">
        <v>10.705</v>
      </c>
      <c r="T57" s="74">
        <v>10.468999999999999</v>
      </c>
      <c r="U57" s="74">
        <v>10.323</v>
      </c>
      <c r="V57" s="74">
        <v>10.760999999999999</v>
      </c>
      <c r="W57" s="74">
        <v>10.5566</v>
      </c>
      <c r="X57" s="39">
        <v>0.17821600000000001</v>
      </c>
      <c r="Y57" s="39">
        <v>0.163024</v>
      </c>
      <c r="Z57" s="39">
        <v>0.34055600000000003</v>
      </c>
      <c r="AA57" s="39">
        <v>0</v>
      </c>
      <c r="AB57" s="39">
        <v>10.485874000000001</v>
      </c>
      <c r="AC57" s="39">
        <v>10.718508999999999</v>
      </c>
      <c r="AD57" s="39">
        <v>10.253239000000001</v>
      </c>
      <c r="AE57" s="39">
        <f t="shared" si="0"/>
        <v>0</v>
      </c>
    </row>
    <row r="58" spans="2:31" ht="14.25" customHeight="1" x14ac:dyDescent="0.35">
      <c r="B58" s="29">
        <v>17</v>
      </c>
      <c r="C58" s="74">
        <v>10.727</v>
      </c>
      <c r="D58" s="74">
        <v>10.458</v>
      </c>
      <c r="E58" s="74">
        <v>9.7059999999999995</v>
      </c>
      <c r="F58" s="74">
        <v>10.346</v>
      </c>
      <c r="G58" s="74">
        <v>10.603999999999999</v>
      </c>
      <c r="H58" s="39">
        <v>10.3682</v>
      </c>
      <c r="I58" s="39">
        <v>0.39730500000000002</v>
      </c>
      <c r="J58" s="39">
        <v>0.184341</v>
      </c>
      <c r="K58" s="39">
        <v>0.38508799999999999</v>
      </c>
      <c r="L58" s="39">
        <v>0</v>
      </c>
      <c r="M58" s="39">
        <v>10.491992</v>
      </c>
      <c r="N58" s="39">
        <v>10.755046</v>
      </c>
      <c r="O58" s="39">
        <v>10.228937999999999</v>
      </c>
      <c r="Q58">
        <v>20</v>
      </c>
      <c r="R58" s="29">
        <v>10.805999999999999</v>
      </c>
      <c r="S58" s="74">
        <v>10.772</v>
      </c>
      <c r="T58" s="74">
        <v>10.75</v>
      </c>
      <c r="U58" s="74">
        <v>10.503</v>
      </c>
      <c r="V58" s="74">
        <v>10.896000000000001</v>
      </c>
      <c r="W58" s="74">
        <v>10.7454</v>
      </c>
      <c r="X58" s="39">
        <v>0.14649200000000001</v>
      </c>
      <c r="Y58" s="39">
        <v>0.163024</v>
      </c>
      <c r="Z58" s="39">
        <v>0.34055600000000003</v>
      </c>
      <c r="AA58" s="39">
        <v>0</v>
      </c>
      <c r="AB58" s="39">
        <v>10.485874000000001</v>
      </c>
      <c r="AC58" s="39">
        <v>10.718508999999999</v>
      </c>
      <c r="AD58" s="39">
        <v>10.253239000000001</v>
      </c>
      <c r="AE58" s="39">
        <f t="shared" si="0"/>
        <v>0</v>
      </c>
    </row>
    <row r="59" spans="2:31" ht="14.25" customHeight="1" x14ac:dyDescent="0.35">
      <c r="B59" s="29">
        <v>18</v>
      </c>
      <c r="C59" s="74">
        <v>10.705</v>
      </c>
      <c r="D59" s="74">
        <v>11.053000000000001</v>
      </c>
      <c r="E59" s="74">
        <v>10.548</v>
      </c>
      <c r="F59" s="74">
        <v>10.346</v>
      </c>
      <c r="G59" s="74">
        <v>9.8859999999999992</v>
      </c>
      <c r="H59" s="39">
        <v>10.5076</v>
      </c>
      <c r="I59" s="39">
        <v>0.43317499999999998</v>
      </c>
      <c r="J59" s="39">
        <v>0.184341</v>
      </c>
      <c r="K59" s="39">
        <v>0.38508799999999999</v>
      </c>
      <c r="L59" s="39">
        <v>0</v>
      </c>
      <c r="M59" s="39">
        <v>10.491992</v>
      </c>
      <c r="N59" s="39">
        <v>10.755046</v>
      </c>
      <c r="O59" s="39">
        <v>10.228937999999999</v>
      </c>
      <c r="Q59">
        <v>21</v>
      </c>
      <c r="R59" s="29">
        <v>10.279</v>
      </c>
      <c r="S59" s="74">
        <v>10.715999999999999</v>
      </c>
      <c r="T59" s="74">
        <v>10.57</v>
      </c>
      <c r="U59" s="74">
        <v>10.705</v>
      </c>
      <c r="V59" s="74">
        <v>10.335000000000001</v>
      </c>
      <c r="W59" s="74">
        <v>10.521000000000001</v>
      </c>
      <c r="X59" s="39">
        <v>0.204598</v>
      </c>
      <c r="Y59" s="39">
        <v>0.163024</v>
      </c>
      <c r="Z59" s="39">
        <v>0.34055600000000003</v>
      </c>
      <c r="AA59" s="39">
        <v>0</v>
      </c>
      <c r="AB59" s="39">
        <v>10.485874000000001</v>
      </c>
      <c r="AC59" s="39">
        <v>10.718508999999999</v>
      </c>
      <c r="AD59" s="39">
        <v>10.253239000000001</v>
      </c>
      <c r="AE59" s="39">
        <f t="shared" si="0"/>
        <v>0</v>
      </c>
    </row>
    <row r="60" spans="2:31" ht="14.25" customHeight="1" x14ac:dyDescent="0.35">
      <c r="B60" s="29">
        <v>19</v>
      </c>
      <c r="C60" s="74">
        <v>10.525</v>
      </c>
      <c r="D60" s="74">
        <v>10.705</v>
      </c>
      <c r="E60" s="74">
        <v>10.468999999999999</v>
      </c>
      <c r="F60" s="74">
        <v>10.323</v>
      </c>
      <c r="G60" s="74">
        <v>10.760999999999999</v>
      </c>
      <c r="H60" s="39">
        <v>10.5566</v>
      </c>
      <c r="I60" s="39">
        <v>0.17821600000000001</v>
      </c>
      <c r="J60" s="39">
        <v>0.184341</v>
      </c>
      <c r="K60" s="39">
        <v>0.38508799999999999</v>
      </c>
      <c r="L60" s="39">
        <v>0</v>
      </c>
      <c r="M60" s="39">
        <v>10.491992</v>
      </c>
      <c r="N60" s="39">
        <v>10.755046</v>
      </c>
      <c r="O60" s="39">
        <v>10.228937999999999</v>
      </c>
      <c r="Q60">
        <v>22</v>
      </c>
      <c r="R60" s="29">
        <v>10.75</v>
      </c>
      <c r="S60" s="74">
        <v>10.593</v>
      </c>
      <c r="T60" s="74">
        <v>10.401999999999999</v>
      </c>
      <c r="U60" s="74">
        <v>10.38</v>
      </c>
      <c r="V60" s="74">
        <v>9.8859999999999992</v>
      </c>
      <c r="W60" s="74">
        <v>10.402200000000001</v>
      </c>
      <c r="X60" s="39">
        <v>0.32570100000000002</v>
      </c>
      <c r="Y60" s="39">
        <v>0.163024</v>
      </c>
      <c r="Z60" s="39">
        <v>0.34055600000000003</v>
      </c>
      <c r="AA60" s="39">
        <v>0</v>
      </c>
      <c r="AB60" s="39">
        <v>10.485874000000001</v>
      </c>
      <c r="AC60" s="39">
        <v>10.718508999999999</v>
      </c>
      <c r="AD60" s="39">
        <v>10.253239000000001</v>
      </c>
      <c r="AE60" s="39">
        <f t="shared" si="0"/>
        <v>0</v>
      </c>
    </row>
    <row r="61" spans="2:31" ht="14.25" customHeight="1" x14ac:dyDescent="0.35">
      <c r="B61" s="29">
        <v>20</v>
      </c>
      <c r="C61" s="74">
        <v>10.805999999999999</v>
      </c>
      <c r="D61" s="74">
        <v>10.772</v>
      </c>
      <c r="E61" s="74">
        <v>10.75</v>
      </c>
      <c r="F61" s="74">
        <v>10.503</v>
      </c>
      <c r="G61" s="74">
        <v>10.896000000000001</v>
      </c>
      <c r="H61" s="39">
        <v>10.7454</v>
      </c>
      <c r="I61" s="39">
        <v>0.14649200000000001</v>
      </c>
      <c r="J61" s="39">
        <v>0.184341</v>
      </c>
      <c r="K61" s="39">
        <v>0.38508799999999999</v>
      </c>
      <c r="L61" s="39">
        <v>0</v>
      </c>
      <c r="M61" s="39">
        <v>10.491992</v>
      </c>
      <c r="N61" s="39">
        <v>10.755046</v>
      </c>
      <c r="O61" s="39">
        <v>10.228937999999999</v>
      </c>
      <c r="Q61">
        <v>24</v>
      </c>
      <c r="R61" s="29">
        <v>10.705</v>
      </c>
      <c r="S61" s="74">
        <v>10.760999999999999</v>
      </c>
      <c r="T61" s="74">
        <v>10.436</v>
      </c>
      <c r="U61" s="74">
        <v>10.548</v>
      </c>
      <c r="V61" s="74">
        <v>9.8970000000000002</v>
      </c>
      <c r="W61" s="74">
        <v>10.4694</v>
      </c>
      <c r="X61" s="39">
        <v>0.344773</v>
      </c>
      <c r="Y61" s="39">
        <v>0.163024</v>
      </c>
      <c r="Z61" s="39">
        <v>0.34055600000000003</v>
      </c>
      <c r="AA61" s="39">
        <v>0</v>
      </c>
      <c r="AB61" s="39">
        <v>10.485874000000001</v>
      </c>
      <c r="AC61" s="39">
        <v>10.718508999999999</v>
      </c>
      <c r="AD61" s="39">
        <v>10.253239000000001</v>
      </c>
      <c r="AE61" s="39">
        <f t="shared" si="0"/>
        <v>0</v>
      </c>
    </row>
    <row r="62" spans="2:31" ht="14.25" customHeight="1" x14ac:dyDescent="0.35">
      <c r="B62" s="29">
        <v>21</v>
      </c>
      <c r="C62" s="74">
        <v>10.279</v>
      </c>
      <c r="D62" s="74">
        <v>10.715999999999999</v>
      </c>
      <c r="E62" s="74">
        <v>10.57</v>
      </c>
      <c r="F62" s="74">
        <v>10.705</v>
      </c>
      <c r="G62" s="74">
        <v>10.335000000000001</v>
      </c>
      <c r="H62" s="39">
        <v>10.521000000000001</v>
      </c>
      <c r="I62" s="39">
        <v>0.204598</v>
      </c>
      <c r="J62" s="39">
        <v>0.184341</v>
      </c>
      <c r="K62" s="39">
        <v>0.38508799999999999</v>
      </c>
      <c r="L62" s="39">
        <v>0</v>
      </c>
      <c r="M62" s="39">
        <v>10.491992</v>
      </c>
      <c r="N62" s="39">
        <v>10.755046</v>
      </c>
      <c r="O62" s="39">
        <v>10.228937999999999</v>
      </c>
      <c r="Q62">
        <v>25</v>
      </c>
      <c r="R62" s="29">
        <v>10.244999999999999</v>
      </c>
      <c r="S62" s="74">
        <v>10.525</v>
      </c>
      <c r="T62" s="74">
        <v>10.436</v>
      </c>
      <c r="U62" s="74">
        <v>10.525</v>
      </c>
      <c r="V62" s="74">
        <v>10.346</v>
      </c>
      <c r="W62" s="74">
        <v>10.4154</v>
      </c>
      <c r="X62" s="39">
        <v>0.120728</v>
      </c>
      <c r="Y62" s="39">
        <v>0.163024</v>
      </c>
      <c r="Z62" s="39">
        <v>0.34055600000000003</v>
      </c>
      <c r="AA62" s="39">
        <v>0</v>
      </c>
      <c r="AB62" s="39">
        <v>10.485874000000001</v>
      </c>
      <c r="AC62" s="39">
        <v>10.718508999999999</v>
      </c>
      <c r="AD62" s="39">
        <v>10.253239000000001</v>
      </c>
      <c r="AE62" s="39">
        <f t="shared" si="0"/>
        <v>0</v>
      </c>
    </row>
    <row r="63" spans="2:31" ht="14.25" customHeight="1" x14ac:dyDescent="0.35">
      <c r="B63" s="29">
        <v>22</v>
      </c>
      <c r="C63" s="74">
        <v>10.75</v>
      </c>
      <c r="D63" s="74">
        <v>10.593</v>
      </c>
      <c r="E63" s="74">
        <v>10.401999999999999</v>
      </c>
      <c r="F63" s="74">
        <v>10.38</v>
      </c>
      <c r="G63" s="74">
        <v>9.8859999999999992</v>
      </c>
      <c r="H63" s="39">
        <v>10.402200000000001</v>
      </c>
      <c r="I63" s="39">
        <v>0.32570100000000002</v>
      </c>
      <c r="J63" s="39">
        <v>0.184341</v>
      </c>
      <c r="K63" s="39">
        <v>0.38508799999999999</v>
      </c>
      <c r="L63" s="39">
        <v>0</v>
      </c>
      <c r="M63" s="39">
        <v>10.491992</v>
      </c>
      <c r="N63" s="39">
        <v>10.755046</v>
      </c>
      <c r="O63" s="39">
        <v>10.228937999999999</v>
      </c>
      <c r="Q63">
        <v>26</v>
      </c>
      <c r="R63" s="29">
        <v>10.477</v>
      </c>
      <c r="S63" s="74">
        <v>10.499000000000001</v>
      </c>
      <c r="T63" s="74">
        <v>10.577</v>
      </c>
      <c r="U63" s="74">
        <v>10.654</v>
      </c>
      <c r="V63" s="74">
        <v>10.455</v>
      </c>
      <c r="W63" s="74">
        <v>10.532400000000001</v>
      </c>
      <c r="X63" s="39">
        <v>8.2084000000000004E-2</v>
      </c>
      <c r="Y63" s="39">
        <v>0.163024</v>
      </c>
      <c r="Z63" s="39">
        <v>0.34055600000000003</v>
      </c>
      <c r="AA63" s="39">
        <v>0</v>
      </c>
      <c r="AB63" s="39">
        <v>10.485874000000001</v>
      </c>
      <c r="AC63" s="39">
        <v>10.718508999999999</v>
      </c>
      <c r="AD63" s="39">
        <v>10.253239000000001</v>
      </c>
      <c r="AE63" s="39">
        <f t="shared" si="0"/>
        <v>0</v>
      </c>
    </row>
    <row r="64" spans="2:31" ht="14.25" customHeight="1" x14ac:dyDescent="0.35">
      <c r="B64" s="29">
        <v>23</v>
      </c>
      <c r="C64" s="74">
        <v>11.776</v>
      </c>
      <c r="D64" s="74">
        <v>10.468999999999999</v>
      </c>
      <c r="E64" s="74">
        <v>10.956181000000001</v>
      </c>
      <c r="F64" s="74">
        <v>10.762737</v>
      </c>
      <c r="G64" s="74">
        <v>10.793059</v>
      </c>
      <c r="H64" s="39">
        <v>10.951395</v>
      </c>
      <c r="I64" s="39">
        <v>0.49329600000000001</v>
      </c>
      <c r="J64" s="39">
        <v>0.184341</v>
      </c>
      <c r="K64" s="39">
        <v>0.38508799999999999</v>
      </c>
      <c r="L64" s="39">
        <v>0</v>
      </c>
      <c r="M64" s="39">
        <v>10.491992</v>
      </c>
      <c r="N64" s="39">
        <v>10.755046</v>
      </c>
      <c r="O64" s="39">
        <v>10.228937999999999</v>
      </c>
      <c r="Q64">
        <v>27</v>
      </c>
      <c r="R64" s="29">
        <v>10.298999999999999</v>
      </c>
      <c r="S64" s="74">
        <v>10.321</v>
      </c>
      <c r="T64" s="74">
        <v>10.343</v>
      </c>
      <c r="U64" s="74">
        <v>10.266</v>
      </c>
      <c r="V64" s="74">
        <v>10.542999999999999</v>
      </c>
      <c r="W64" s="74">
        <v>10.3544</v>
      </c>
      <c r="X64" s="39">
        <v>0.10920100000000001</v>
      </c>
      <c r="Y64" s="39">
        <v>0.163024</v>
      </c>
      <c r="Z64" s="39">
        <v>0.34055600000000003</v>
      </c>
      <c r="AA64" s="39">
        <v>0</v>
      </c>
      <c r="AB64" s="39">
        <v>10.485874000000001</v>
      </c>
      <c r="AC64" s="39">
        <v>10.718508999999999</v>
      </c>
      <c r="AD64" s="39">
        <v>10.253239000000001</v>
      </c>
      <c r="AE64" s="39">
        <f t="shared" si="0"/>
        <v>0</v>
      </c>
    </row>
    <row r="65" spans="2:31" ht="14.25" customHeight="1" x14ac:dyDescent="0.35">
      <c r="B65" s="29">
        <v>24</v>
      </c>
      <c r="C65" s="74">
        <v>10.705</v>
      </c>
      <c r="D65" s="74">
        <v>10.760999999999999</v>
      </c>
      <c r="E65" s="74">
        <v>10.436</v>
      </c>
      <c r="F65" s="74">
        <v>10.548</v>
      </c>
      <c r="G65" s="74">
        <v>9.8970000000000002</v>
      </c>
      <c r="H65" s="39">
        <v>10.4694</v>
      </c>
      <c r="I65" s="39">
        <v>0.344773</v>
      </c>
      <c r="J65" s="39">
        <v>0.184341</v>
      </c>
      <c r="K65" s="39">
        <v>0.38508799999999999</v>
      </c>
      <c r="L65" s="39">
        <v>0</v>
      </c>
      <c r="M65" s="39">
        <v>10.491992</v>
      </c>
      <c r="N65" s="39">
        <v>10.755046</v>
      </c>
      <c r="O65" s="39">
        <v>10.228937999999999</v>
      </c>
      <c r="Q65">
        <v>28</v>
      </c>
      <c r="R65" s="29">
        <v>10.532</v>
      </c>
      <c r="S65" s="74">
        <v>10.643000000000001</v>
      </c>
      <c r="T65" s="74">
        <v>10.221</v>
      </c>
      <c r="U65" s="74">
        <v>10.210000000000001</v>
      </c>
      <c r="V65" s="74">
        <v>10.41</v>
      </c>
      <c r="W65" s="74">
        <v>10.4032</v>
      </c>
      <c r="X65" s="39">
        <v>0.19017300000000001</v>
      </c>
      <c r="Y65" s="39">
        <v>0.163024</v>
      </c>
      <c r="Z65" s="39">
        <v>0.34055600000000003</v>
      </c>
      <c r="AA65" s="39">
        <v>0</v>
      </c>
      <c r="AB65" s="39">
        <v>10.485874000000001</v>
      </c>
      <c r="AC65" s="39">
        <v>10.718508999999999</v>
      </c>
      <c r="AD65" s="39">
        <v>10.253239000000001</v>
      </c>
      <c r="AE65" s="39">
        <f t="shared" si="0"/>
        <v>0</v>
      </c>
    </row>
    <row r="66" spans="2:31" ht="14.25" customHeight="1" x14ac:dyDescent="0.35">
      <c r="B66" s="29">
        <v>25</v>
      </c>
      <c r="C66" s="74">
        <v>10.244999999999999</v>
      </c>
      <c r="D66" s="74">
        <v>10.525</v>
      </c>
      <c r="E66" s="74">
        <v>10.436</v>
      </c>
      <c r="F66" s="74">
        <v>10.525</v>
      </c>
      <c r="G66" s="74">
        <v>10.346</v>
      </c>
      <c r="H66" s="39">
        <v>10.4154</v>
      </c>
      <c r="I66" s="39">
        <v>0.120728</v>
      </c>
      <c r="J66" s="39">
        <v>0.184341</v>
      </c>
      <c r="K66" s="39">
        <v>0.38508799999999999</v>
      </c>
      <c r="L66" s="39">
        <v>0</v>
      </c>
      <c r="M66" s="39">
        <v>10.491992</v>
      </c>
      <c r="N66" s="39">
        <v>10.755046</v>
      </c>
      <c r="O66" s="39">
        <v>10.228937999999999</v>
      </c>
      <c r="Q66">
        <v>29</v>
      </c>
      <c r="R66" s="29">
        <v>10.465999999999999</v>
      </c>
      <c r="S66">
        <v>10.266</v>
      </c>
      <c r="T66">
        <v>10.243</v>
      </c>
      <c r="U66">
        <v>10.366</v>
      </c>
      <c r="V66">
        <v>10.41</v>
      </c>
      <c r="W66">
        <v>10.350199999999999</v>
      </c>
      <c r="X66">
        <v>9.4627000000000003E-2</v>
      </c>
      <c r="Y66">
        <v>0.163024</v>
      </c>
      <c r="Z66">
        <v>0.34055600000000003</v>
      </c>
      <c r="AA66">
        <v>0</v>
      </c>
      <c r="AB66">
        <v>10.485874000000001</v>
      </c>
      <c r="AC66">
        <v>10.718508999999999</v>
      </c>
      <c r="AD66">
        <v>10.253239000000001</v>
      </c>
    </row>
    <row r="67" spans="2:31" ht="14.25" customHeight="1" x14ac:dyDescent="0.35">
      <c r="B67" s="76">
        <v>26</v>
      </c>
      <c r="C67" s="76">
        <v>10.477</v>
      </c>
      <c r="D67" s="76">
        <v>10.499000000000001</v>
      </c>
      <c r="E67" s="76">
        <v>10.577</v>
      </c>
      <c r="F67" s="76">
        <v>10.654</v>
      </c>
      <c r="G67" s="76">
        <v>10.455</v>
      </c>
      <c r="H67" s="76">
        <v>10.532400000000001</v>
      </c>
      <c r="I67" s="76">
        <v>8.2084000000000004E-2</v>
      </c>
      <c r="J67" s="76">
        <v>0.184341</v>
      </c>
      <c r="K67" s="76">
        <v>0.38508799999999999</v>
      </c>
      <c r="L67" s="76">
        <v>0</v>
      </c>
      <c r="M67" s="76">
        <v>10.491992</v>
      </c>
      <c r="N67" s="76">
        <v>10.755046</v>
      </c>
      <c r="O67" s="76">
        <v>10.228937999999999</v>
      </c>
      <c r="Q67">
        <v>30</v>
      </c>
      <c r="R67" s="76">
        <v>10.666</v>
      </c>
      <c r="S67" s="76">
        <v>10.532</v>
      </c>
      <c r="T67" s="76">
        <v>10.398999999999999</v>
      </c>
      <c r="U67" s="76">
        <v>10.477</v>
      </c>
      <c r="V67" s="76">
        <v>10.388</v>
      </c>
      <c r="W67" s="76">
        <v>10.4924</v>
      </c>
      <c r="X67" s="76">
        <v>0.11354</v>
      </c>
      <c r="Y67" s="76">
        <v>0.163024</v>
      </c>
      <c r="Z67" s="76">
        <v>0.34055600000000003</v>
      </c>
      <c r="AA67" s="76">
        <v>0</v>
      </c>
      <c r="AB67" s="76">
        <v>10.485874000000001</v>
      </c>
      <c r="AC67" s="76">
        <v>10.718508999999999</v>
      </c>
      <c r="AD67" s="76">
        <v>10.253239000000001</v>
      </c>
      <c r="AE67" s="76"/>
    </row>
    <row r="68" spans="2:31" ht="14.25" customHeight="1" x14ac:dyDescent="0.35">
      <c r="B68">
        <v>27</v>
      </c>
      <c r="C68">
        <v>10.298999999999999</v>
      </c>
      <c r="D68">
        <v>10.321</v>
      </c>
      <c r="E68">
        <v>10.343</v>
      </c>
      <c r="F68">
        <v>10.266</v>
      </c>
      <c r="G68">
        <v>10.542999999999999</v>
      </c>
      <c r="H68">
        <v>10.3544</v>
      </c>
      <c r="I68">
        <v>0.10920100000000001</v>
      </c>
      <c r="J68">
        <v>0.184341</v>
      </c>
      <c r="K68">
        <v>0.38508799999999999</v>
      </c>
      <c r="L68">
        <v>0</v>
      </c>
      <c r="M68">
        <v>10.491992</v>
      </c>
      <c r="N68">
        <v>10.755046</v>
      </c>
      <c r="O68">
        <v>10.228937999999999</v>
      </c>
      <c r="Q68">
        <v>31</v>
      </c>
      <c r="R68">
        <v>10.343</v>
      </c>
      <c r="S68">
        <v>10.587999999999999</v>
      </c>
      <c r="T68">
        <v>10.276999999999999</v>
      </c>
      <c r="U68">
        <v>10.388</v>
      </c>
      <c r="V68">
        <v>10.398999999999999</v>
      </c>
      <c r="W68">
        <v>10.398999999999999</v>
      </c>
      <c r="X68">
        <v>0.11604100000000001</v>
      </c>
      <c r="Y68">
        <v>0.163024</v>
      </c>
      <c r="Z68">
        <v>0.34055600000000003</v>
      </c>
      <c r="AA68">
        <v>0</v>
      </c>
      <c r="AB68">
        <v>10.485874000000001</v>
      </c>
      <c r="AC68">
        <v>10.718508999999999</v>
      </c>
      <c r="AD68">
        <v>10.253239000000001</v>
      </c>
    </row>
    <row r="69" spans="2:31" ht="14.25" customHeight="1" x14ac:dyDescent="0.35">
      <c r="B69">
        <v>28</v>
      </c>
      <c r="C69">
        <v>10.532</v>
      </c>
      <c r="D69">
        <v>10.643000000000001</v>
      </c>
      <c r="E69">
        <v>10.221</v>
      </c>
      <c r="F69">
        <v>10.210000000000001</v>
      </c>
      <c r="G69">
        <v>10.41</v>
      </c>
      <c r="H69">
        <v>10.4032</v>
      </c>
      <c r="I69">
        <v>0.19017300000000001</v>
      </c>
      <c r="J69">
        <v>0.184341</v>
      </c>
      <c r="K69">
        <v>0.38508799999999999</v>
      </c>
      <c r="L69">
        <v>0</v>
      </c>
      <c r="M69">
        <v>10.491992</v>
      </c>
      <c r="N69">
        <v>10.755046</v>
      </c>
      <c r="O69">
        <v>10.228937999999999</v>
      </c>
      <c r="Q69">
        <v>32</v>
      </c>
      <c r="R69">
        <v>10.51</v>
      </c>
      <c r="S69">
        <v>10.420999999999999</v>
      </c>
      <c r="T69">
        <v>10.221</v>
      </c>
      <c r="U69">
        <v>10.555</v>
      </c>
      <c r="V69">
        <v>10.555</v>
      </c>
      <c r="W69">
        <v>10.452400000000001</v>
      </c>
      <c r="X69">
        <v>0.14044899999999999</v>
      </c>
      <c r="Y69">
        <v>0.163024</v>
      </c>
      <c r="Z69">
        <v>0.34055600000000003</v>
      </c>
      <c r="AA69">
        <v>0</v>
      </c>
      <c r="AB69">
        <v>10.485874000000001</v>
      </c>
      <c r="AC69">
        <v>10.718508999999999</v>
      </c>
      <c r="AD69">
        <v>10.253239000000001</v>
      </c>
    </row>
    <row r="70" spans="2:31" ht="14.25" customHeight="1" x14ac:dyDescent="0.35">
      <c r="B70">
        <v>29</v>
      </c>
      <c r="C70">
        <v>10.465999999999999</v>
      </c>
      <c r="D70">
        <v>10.266</v>
      </c>
      <c r="E70">
        <v>10.243</v>
      </c>
      <c r="F70">
        <v>10.366</v>
      </c>
      <c r="G70">
        <v>10.41</v>
      </c>
      <c r="H70">
        <v>10.350199999999999</v>
      </c>
      <c r="I70">
        <v>9.4627000000000003E-2</v>
      </c>
      <c r="J70">
        <v>0.184341</v>
      </c>
      <c r="K70">
        <v>0.38508799999999999</v>
      </c>
      <c r="L70">
        <v>0</v>
      </c>
      <c r="M70">
        <v>10.491992</v>
      </c>
      <c r="N70">
        <v>10.755046</v>
      </c>
      <c r="O70">
        <v>10.228937999999999</v>
      </c>
      <c r="Q70">
        <v>33</v>
      </c>
      <c r="R70">
        <v>10.231999999999999</v>
      </c>
      <c r="S70">
        <v>10.477</v>
      </c>
      <c r="T70">
        <v>10.41</v>
      </c>
      <c r="U70">
        <v>10.542999999999999</v>
      </c>
      <c r="V70">
        <v>10.532</v>
      </c>
      <c r="W70">
        <v>10.438800000000001</v>
      </c>
      <c r="X70">
        <v>0.127081</v>
      </c>
      <c r="Y70">
        <v>0.163024</v>
      </c>
      <c r="Z70">
        <v>0.34055600000000003</v>
      </c>
      <c r="AA70">
        <v>0</v>
      </c>
      <c r="AB70">
        <v>10.485874000000001</v>
      </c>
      <c r="AC70">
        <v>10.718508999999999</v>
      </c>
      <c r="AD70">
        <v>10.253239000000001</v>
      </c>
    </row>
    <row r="71" spans="2:31" ht="14.25" customHeight="1" x14ac:dyDescent="0.35">
      <c r="B71">
        <v>30</v>
      </c>
      <c r="C71">
        <v>10.666</v>
      </c>
      <c r="D71">
        <v>10.532</v>
      </c>
      <c r="E71">
        <v>10.398999999999999</v>
      </c>
      <c r="F71">
        <v>10.477</v>
      </c>
      <c r="G71">
        <v>10.388</v>
      </c>
      <c r="H71">
        <v>10.4924</v>
      </c>
      <c r="I71">
        <v>0.11354</v>
      </c>
      <c r="J71">
        <v>0.184341</v>
      </c>
      <c r="K71">
        <v>0.38508799999999999</v>
      </c>
      <c r="L71">
        <v>0</v>
      </c>
      <c r="M71">
        <v>10.491992</v>
      </c>
      <c r="N71">
        <v>10.755046</v>
      </c>
      <c r="O71">
        <v>10.228937999999999</v>
      </c>
      <c r="Q71">
        <v>34</v>
      </c>
      <c r="R71">
        <v>10.566000000000001</v>
      </c>
      <c r="S71">
        <v>10.332000000000001</v>
      </c>
      <c r="T71">
        <v>10.332000000000001</v>
      </c>
      <c r="U71">
        <v>10.332000000000001</v>
      </c>
      <c r="V71">
        <v>10.632</v>
      </c>
      <c r="W71">
        <v>10.438800000000001</v>
      </c>
      <c r="X71">
        <v>0.148092</v>
      </c>
      <c r="Y71">
        <v>0.163024</v>
      </c>
      <c r="Z71">
        <v>0.34055600000000003</v>
      </c>
      <c r="AA71">
        <v>0</v>
      </c>
      <c r="AB71">
        <v>10.485874000000001</v>
      </c>
      <c r="AC71">
        <v>10.718508999999999</v>
      </c>
      <c r="AD71">
        <v>10.253239000000001</v>
      </c>
    </row>
    <row r="72" spans="2:31" ht="14.25" customHeight="1" x14ac:dyDescent="0.35">
      <c r="B72">
        <v>31</v>
      </c>
      <c r="C72">
        <v>10.343</v>
      </c>
      <c r="D72">
        <v>10.587999999999999</v>
      </c>
      <c r="E72">
        <v>10.276999999999999</v>
      </c>
      <c r="F72">
        <v>10.388</v>
      </c>
      <c r="G72">
        <v>10.398999999999999</v>
      </c>
      <c r="H72">
        <v>10.398999999999999</v>
      </c>
      <c r="I72">
        <v>0.11604100000000001</v>
      </c>
      <c r="J72">
        <v>0.184341</v>
      </c>
      <c r="K72">
        <v>0.38508799999999999</v>
      </c>
      <c r="L72">
        <v>0</v>
      </c>
      <c r="M72">
        <v>10.491992</v>
      </c>
      <c r="N72">
        <v>10.755046</v>
      </c>
      <c r="O72">
        <v>10.228937999999999</v>
      </c>
      <c r="Q72">
        <v>35</v>
      </c>
      <c r="R72">
        <v>10.343</v>
      </c>
      <c r="S72">
        <v>10.455</v>
      </c>
      <c r="T72">
        <v>10.587999999999999</v>
      </c>
      <c r="U72">
        <v>10.41</v>
      </c>
      <c r="V72">
        <v>10.210000000000001</v>
      </c>
      <c r="W72">
        <v>10.401199999999999</v>
      </c>
      <c r="X72">
        <v>0.13947300000000001</v>
      </c>
      <c r="Y72">
        <v>0.163024</v>
      </c>
      <c r="Z72">
        <v>0.34055600000000003</v>
      </c>
      <c r="AA72">
        <v>0</v>
      </c>
      <c r="AB72">
        <v>10.485874000000001</v>
      </c>
      <c r="AC72">
        <v>10.718508999999999</v>
      </c>
      <c r="AD72">
        <v>10.253239000000001</v>
      </c>
    </row>
    <row r="73" spans="2:31" ht="14.25" customHeight="1" x14ac:dyDescent="0.35">
      <c r="B73">
        <v>32</v>
      </c>
      <c r="C73">
        <v>10.51</v>
      </c>
      <c r="D73">
        <v>10.420999999999999</v>
      </c>
      <c r="E73">
        <v>10.221</v>
      </c>
      <c r="F73">
        <v>10.555</v>
      </c>
      <c r="G73">
        <v>10.555</v>
      </c>
      <c r="H73">
        <v>10.452400000000001</v>
      </c>
      <c r="I73">
        <v>0.14044899999999999</v>
      </c>
      <c r="J73">
        <v>0.184341</v>
      </c>
      <c r="K73">
        <v>0.38508799999999999</v>
      </c>
      <c r="L73">
        <v>0</v>
      </c>
      <c r="M73">
        <v>10.491992</v>
      </c>
      <c r="N73">
        <v>10.755046</v>
      </c>
      <c r="O73">
        <v>10.228937999999999</v>
      </c>
      <c r="Q73">
        <v>36</v>
      </c>
      <c r="R73">
        <v>10.432</v>
      </c>
      <c r="S73">
        <v>10.577</v>
      </c>
      <c r="T73">
        <v>10.255000000000001</v>
      </c>
      <c r="U73">
        <v>10.420999999999999</v>
      </c>
      <c r="V73">
        <v>10.477</v>
      </c>
      <c r="W73">
        <v>10.432399999999999</v>
      </c>
      <c r="X73">
        <v>0.116725</v>
      </c>
      <c r="Y73">
        <v>0.163024</v>
      </c>
      <c r="Z73">
        <v>0.34055600000000003</v>
      </c>
      <c r="AA73">
        <v>0</v>
      </c>
      <c r="AB73">
        <v>10.485874000000001</v>
      </c>
      <c r="AC73">
        <v>10.718508999999999</v>
      </c>
      <c r="AD73">
        <v>10.253239000000001</v>
      </c>
    </row>
    <row r="74" spans="2:31" ht="14.25" customHeight="1" x14ac:dyDescent="0.35">
      <c r="B74">
        <v>33</v>
      </c>
      <c r="C74">
        <v>10.231999999999999</v>
      </c>
      <c r="D74">
        <v>10.477</v>
      </c>
      <c r="E74">
        <v>10.41</v>
      </c>
      <c r="F74">
        <v>10.542999999999999</v>
      </c>
      <c r="G74">
        <v>10.532</v>
      </c>
      <c r="H74">
        <v>10.438800000000001</v>
      </c>
      <c r="I74">
        <v>0.127081</v>
      </c>
      <c r="J74">
        <v>0.184341</v>
      </c>
      <c r="K74">
        <v>0.38508799999999999</v>
      </c>
      <c r="L74">
        <v>0</v>
      </c>
      <c r="M74">
        <v>10.491992</v>
      </c>
      <c r="N74">
        <v>10.755046</v>
      </c>
      <c r="O74">
        <v>10.228937999999999</v>
      </c>
      <c r="Q74">
        <v>37</v>
      </c>
      <c r="R74">
        <v>10.455</v>
      </c>
      <c r="S74">
        <v>10.61</v>
      </c>
      <c r="T74">
        <v>10.654</v>
      </c>
      <c r="U74">
        <v>10.477</v>
      </c>
      <c r="V74">
        <v>10.398999999999999</v>
      </c>
      <c r="W74">
        <v>10.519</v>
      </c>
      <c r="X74">
        <v>0.108127</v>
      </c>
      <c r="Y74">
        <v>0.163024</v>
      </c>
      <c r="Z74">
        <v>0.34055600000000003</v>
      </c>
      <c r="AA74">
        <v>0</v>
      </c>
      <c r="AB74">
        <v>10.485874000000001</v>
      </c>
      <c r="AC74">
        <v>10.718508999999999</v>
      </c>
      <c r="AD74">
        <v>10.253239000000001</v>
      </c>
    </row>
    <row r="75" spans="2:31" ht="14.25" customHeight="1" x14ac:dyDescent="0.35">
      <c r="B75">
        <v>34</v>
      </c>
      <c r="C75">
        <v>10.566000000000001</v>
      </c>
      <c r="D75">
        <v>10.332000000000001</v>
      </c>
      <c r="E75">
        <v>10.332000000000001</v>
      </c>
      <c r="F75">
        <v>10.332000000000001</v>
      </c>
      <c r="G75">
        <v>10.632</v>
      </c>
      <c r="H75">
        <v>10.438800000000001</v>
      </c>
      <c r="I75">
        <v>0.148092</v>
      </c>
      <c r="J75">
        <v>0.184341</v>
      </c>
      <c r="K75">
        <v>0.38508799999999999</v>
      </c>
      <c r="L75">
        <v>0</v>
      </c>
      <c r="M75">
        <v>10.491992</v>
      </c>
      <c r="N75">
        <v>10.755046</v>
      </c>
      <c r="O75">
        <v>10.228937999999999</v>
      </c>
      <c r="Q75">
        <v>38</v>
      </c>
      <c r="R75">
        <v>10.455</v>
      </c>
      <c r="S75">
        <v>10.455</v>
      </c>
      <c r="T75">
        <v>10.432</v>
      </c>
      <c r="U75">
        <v>10.298999999999999</v>
      </c>
      <c r="V75">
        <v>10.231999999999999</v>
      </c>
      <c r="W75">
        <v>10.374599999999999</v>
      </c>
      <c r="X75">
        <v>0.102802</v>
      </c>
      <c r="Y75">
        <v>0.163024</v>
      </c>
      <c r="Z75">
        <v>0.34055600000000003</v>
      </c>
      <c r="AA75">
        <v>0</v>
      </c>
      <c r="AB75">
        <v>10.485874000000001</v>
      </c>
      <c r="AC75">
        <v>10.718508999999999</v>
      </c>
      <c r="AD75">
        <v>10.253239000000001</v>
      </c>
    </row>
    <row r="76" spans="2:31" ht="14.25" customHeight="1" x14ac:dyDescent="0.35">
      <c r="B76">
        <v>35</v>
      </c>
      <c r="C76">
        <v>10.343</v>
      </c>
      <c r="D76">
        <v>10.455</v>
      </c>
      <c r="E76">
        <v>10.587999999999999</v>
      </c>
      <c r="F76">
        <v>10.41</v>
      </c>
      <c r="G76">
        <v>10.210000000000001</v>
      </c>
      <c r="H76">
        <v>10.401199999999999</v>
      </c>
      <c r="I76">
        <v>0.13947300000000001</v>
      </c>
      <c r="J76">
        <v>0.184341</v>
      </c>
      <c r="K76">
        <v>0.38508799999999999</v>
      </c>
      <c r="L76">
        <v>0</v>
      </c>
      <c r="M76">
        <v>10.491992</v>
      </c>
      <c r="N76">
        <v>10.755046</v>
      </c>
      <c r="O76">
        <v>10.228937999999999</v>
      </c>
      <c r="Q76">
        <v>39</v>
      </c>
      <c r="R76">
        <v>10.587999999999999</v>
      </c>
      <c r="S76">
        <v>10.677</v>
      </c>
      <c r="T76">
        <v>10.231999999999999</v>
      </c>
      <c r="U76">
        <v>10.51</v>
      </c>
      <c r="V76">
        <v>10.632</v>
      </c>
      <c r="W76">
        <v>10.527799999999999</v>
      </c>
      <c r="X76">
        <v>0.17646300000000001</v>
      </c>
      <c r="Y76">
        <v>0.163024</v>
      </c>
      <c r="Z76">
        <v>0.34055600000000003</v>
      </c>
      <c r="AA76">
        <v>0</v>
      </c>
      <c r="AB76">
        <v>10.485874000000001</v>
      </c>
      <c r="AC76">
        <v>10.718508999999999</v>
      </c>
      <c r="AD76">
        <v>10.253239000000001</v>
      </c>
    </row>
    <row r="77" spans="2:31" ht="14.25" customHeight="1" x14ac:dyDescent="0.35">
      <c r="B77">
        <v>36</v>
      </c>
      <c r="C77">
        <v>10.432</v>
      </c>
      <c r="D77">
        <v>10.577</v>
      </c>
      <c r="E77">
        <v>10.255000000000001</v>
      </c>
      <c r="F77">
        <v>10.420999999999999</v>
      </c>
      <c r="G77">
        <v>10.477</v>
      </c>
      <c r="H77">
        <v>10.432399999999999</v>
      </c>
      <c r="I77">
        <v>0.116725</v>
      </c>
      <c r="J77">
        <v>0.184341</v>
      </c>
      <c r="K77">
        <v>0.38508799999999999</v>
      </c>
      <c r="L77">
        <v>0</v>
      </c>
      <c r="M77">
        <v>10.491992</v>
      </c>
      <c r="N77">
        <v>10.755046</v>
      </c>
      <c r="O77">
        <v>10.228937999999999</v>
      </c>
      <c r="Q77">
        <v>40</v>
      </c>
      <c r="R77">
        <v>10.398999999999999</v>
      </c>
      <c r="S77">
        <v>10.443</v>
      </c>
      <c r="T77">
        <v>10.532</v>
      </c>
      <c r="U77">
        <v>10.61</v>
      </c>
      <c r="V77">
        <v>10.266</v>
      </c>
      <c r="W77">
        <v>10.45</v>
      </c>
      <c r="X77">
        <v>0.13117699999999999</v>
      </c>
      <c r="Y77">
        <v>0.163024</v>
      </c>
      <c r="Z77">
        <v>0.34055600000000003</v>
      </c>
      <c r="AA77">
        <v>0</v>
      </c>
      <c r="AB77">
        <v>10.485874000000001</v>
      </c>
      <c r="AC77">
        <v>10.718508999999999</v>
      </c>
      <c r="AD77">
        <v>10.253239000000001</v>
      </c>
    </row>
    <row r="78" spans="2:31" ht="14.25" customHeight="1" x14ac:dyDescent="0.35">
      <c r="B78">
        <v>37</v>
      </c>
      <c r="C78">
        <v>10.455</v>
      </c>
      <c r="D78">
        <v>10.61</v>
      </c>
      <c r="E78">
        <v>10.654</v>
      </c>
      <c r="F78">
        <v>10.477</v>
      </c>
      <c r="G78">
        <v>10.398999999999999</v>
      </c>
      <c r="H78">
        <v>10.519</v>
      </c>
      <c r="I78">
        <v>0.108127</v>
      </c>
      <c r="J78">
        <v>0.184341</v>
      </c>
      <c r="K78">
        <v>0.38508799999999999</v>
      </c>
      <c r="L78">
        <v>0</v>
      </c>
      <c r="M78">
        <v>10.491992</v>
      </c>
      <c r="N78">
        <v>10.755046</v>
      </c>
      <c r="O78">
        <v>10.228937999999999</v>
      </c>
      <c r="Q78">
        <v>41</v>
      </c>
      <c r="R78">
        <v>10.666</v>
      </c>
      <c r="S78">
        <v>10.599</v>
      </c>
      <c r="T78">
        <v>10.465999999999999</v>
      </c>
      <c r="U78">
        <v>10.321</v>
      </c>
      <c r="V78">
        <v>10.465999999999999</v>
      </c>
      <c r="W78">
        <v>10.5036</v>
      </c>
      <c r="X78">
        <v>0.13383300000000001</v>
      </c>
      <c r="Y78">
        <v>0.163024</v>
      </c>
      <c r="Z78">
        <v>0.34055600000000003</v>
      </c>
      <c r="AA78">
        <v>0</v>
      </c>
      <c r="AB78">
        <v>10.485874000000001</v>
      </c>
      <c r="AC78">
        <v>10.718508999999999</v>
      </c>
      <c r="AD78">
        <v>10.253239000000001</v>
      </c>
    </row>
    <row r="79" spans="2:31" ht="14.25" customHeight="1" x14ac:dyDescent="0.35">
      <c r="B79">
        <v>38</v>
      </c>
      <c r="C79">
        <v>10.455</v>
      </c>
      <c r="D79">
        <v>10.455</v>
      </c>
      <c r="E79">
        <v>10.432</v>
      </c>
      <c r="F79">
        <v>10.298999999999999</v>
      </c>
      <c r="G79">
        <v>10.231999999999999</v>
      </c>
      <c r="H79">
        <v>10.374599999999999</v>
      </c>
      <c r="I79">
        <v>0.102802</v>
      </c>
      <c r="J79">
        <v>0.184341</v>
      </c>
      <c r="K79">
        <v>0.38508799999999999</v>
      </c>
      <c r="L79">
        <v>0</v>
      </c>
      <c r="M79">
        <v>10.491992</v>
      </c>
      <c r="N79">
        <v>10.755046</v>
      </c>
      <c r="O79">
        <v>10.228937999999999</v>
      </c>
      <c r="Q79">
        <v>42</v>
      </c>
      <c r="R79">
        <v>10.555</v>
      </c>
      <c r="S79">
        <v>10.288</v>
      </c>
      <c r="T79">
        <v>10.465999999999999</v>
      </c>
      <c r="U79">
        <v>10.420999999999999</v>
      </c>
      <c r="V79">
        <v>10.266</v>
      </c>
      <c r="W79">
        <v>10.3992</v>
      </c>
      <c r="X79">
        <v>0.121777</v>
      </c>
      <c r="Y79">
        <v>0.163024</v>
      </c>
      <c r="Z79">
        <v>0.34055600000000003</v>
      </c>
      <c r="AA79">
        <v>0</v>
      </c>
      <c r="AB79">
        <v>10.485874000000001</v>
      </c>
      <c r="AC79">
        <v>10.718508999999999</v>
      </c>
      <c r="AD79">
        <v>10.253239000000001</v>
      </c>
    </row>
    <row r="80" spans="2:31" ht="14.25" customHeight="1" x14ac:dyDescent="0.35">
      <c r="B80">
        <v>39</v>
      </c>
      <c r="C80">
        <v>10.587999999999999</v>
      </c>
      <c r="D80">
        <v>10.677</v>
      </c>
      <c r="E80">
        <v>10.231999999999999</v>
      </c>
      <c r="F80">
        <v>10.51</v>
      </c>
      <c r="G80">
        <v>10.632</v>
      </c>
      <c r="H80">
        <v>10.527799999999999</v>
      </c>
      <c r="I80">
        <v>0.17646300000000001</v>
      </c>
      <c r="J80">
        <v>0.184341</v>
      </c>
      <c r="K80">
        <v>0.38508799999999999</v>
      </c>
      <c r="L80">
        <v>0</v>
      </c>
      <c r="M80">
        <v>10.491992</v>
      </c>
      <c r="N80">
        <v>10.755046</v>
      </c>
      <c r="O80">
        <v>10.228937999999999</v>
      </c>
      <c r="Q80">
        <v>43</v>
      </c>
      <c r="R80">
        <v>10.231999999999999</v>
      </c>
      <c r="S80">
        <v>10.332000000000001</v>
      </c>
      <c r="T80">
        <v>10.377000000000001</v>
      </c>
      <c r="U80">
        <v>10.420999999999999</v>
      </c>
      <c r="V80">
        <v>10.266</v>
      </c>
      <c r="W80">
        <v>10.3256</v>
      </c>
      <c r="X80">
        <v>7.7616000000000004E-2</v>
      </c>
      <c r="Y80">
        <v>0.163024</v>
      </c>
      <c r="Z80">
        <v>0.34055600000000003</v>
      </c>
      <c r="AA80">
        <v>0</v>
      </c>
      <c r="AB80">
        <v>10.485874000000001</v>
      </c>
      <c r="AC80">
        <v>10.718508999999999</v>
      </c>
      <c r="AD80">
        <v>10.253239000000001</v>
      </c>
    </row>
    <row r="81" spans="2:30" ht="14.25" customHeight="1" x14ac:dyDescent="0.35">
      <c r="B81">
        <v>40</v>
      </c>
      <c r="C81">
        <v>10.398999999999999</v>
      </c>
      <c r="D81">
        <v>10.443</v>
      </c>
      <c r="E81">
        <v>10.532</v>
      </c>
      <c r="F81">
        <v>10.61</v>
      </c>
      <c r="G81">
        <v>10.266</v>
      </c>
      <c r="H81">
        <v>10.45</v>
      </c>
      <c r="I81">
        <v>0.13117699999999999</v>
      </c>
      <c r="J81">
        <v>0.184341</v>
      </c>
      <c r="K81">
        <v>0.38508799999999999</v>
      </c>
      <c r="L81">
        <v>0</v>
      </c>
      <c r="M81">
        <v>10.491992</v>
      </c>
      <c r="N81">
        <v>10.755046</v>
      </c>
      <c r="O81">
        <v>10.228937999999999</v>
      </c>
      <c r="Q81">
        <v>44</v>
      </c>
      <c r="R81">
        <v>10.688000000000001</v>
      </c>
      <c r="S81">
        <v>10.41</v>
      </c>
      <c r="T81">
        <v>10.566000000000001</v>
      </c>
      <c r="U81">
        <v>10.566000000000001</v>
      </c>
      <c r="V81">
        <v>10.566000000000001</v>
      </c>
      <c r="W81">
        <v>10.559200000000001</v>
      </c>
      <c r="X81">
        <v>9.8727999999999996E-2</v>
      </c>
      <c r="Y81">
        <v>0.163024</v>
      </c>
      <c r="Z81">
        <v>0.34055600000000003</v>
      </c>
      <c r="AA81">
        <v>0</v>
      </c>
      <c r="AB81">
        <v>10.485874000000001</v>
      </c>
      <c r="AC81">
        <v>10.718508999999999</v>
      </c>
      <c r="AD81">
        <v>10.253239000000001</v>
      </c>
    </row>
    <row r="82" spans="2:30" ht="14.25" customHeight="1" x14ac:dyDescent="0.35">
      <c r="B82">
        <v>41</v>
      </c>
      <c r="C82">
        <v>10.666</v>
      </c>
      <c r="D82">
        <v>10.599</v>
      </c>
      <c r="E82">
        <v>10.465999999999999</v>
      </c>
      <c r="F82">
        <v>10.321</v>
      </c>
      <c r="G82">
        <v>10.465999999999999</v>
      </c>
      <c r="H82">
        <v>10.5036</v>
      </c>
      <c r="I82">
        <v>0.13383300000000001</v>
      </c>
      <c r="J82">
        <v>0.184341</v>
      </c>
      <c r="K82">
        <v>0.38508799999999999</v>
      </c>
      <c r="L82">
        <v>0</v>
      </c>
      <c r="M82">
        <v>10.491992</v>
      </c>
      <c r="N82">
        <v>10.755046</v>
      </c>
      <c r="O82">
        <v>10.228937999999999</v>
      </c>
      <c r="Q82">
        <v>45</v>
      </c>
      <c r="R82">
        <v>10.388</v>
      </c>
      <c r="S82">
        <v>10.420999999999999</v>
      </c>
      <c r="T82">
        <v>10.61</v>
      </c>
      <c r="U82">
        <v>10.221</v>
      </c>
      <c r="V82">
        <v>10.288</v>
      </c>
      <c r="W82">
        <v>10.3856</v>
      </c>
      <c r="X82">
        <v>0.14852000000000001</v>
      </c>
      <c r="Y82">
        <v>0.163024</v>
      </c>
      <c r="Z82">
        <v>0.34055600000000003</v>
      </c>
      <c r="AA82">
        <v>0</v>
      </c>
      <c r="AB82">
        <v>10.485874000000001</v>
      </c>
      <c r="AC82">
        <v>10.718508999999999</v>
      </c>
      <c r="AD82">
        <v>10.253239000000001</v>
      </c>
    </row>
    <row r="83" spans="2:30" ht="14.25" customHeight="1" x14ac:dyDescent="0.35">
      <c r="B83">
        <v>42</v>
      </c>
      <c r="C83">
        <v>10.555</v>
      </c>
      <c r="D83">
        <v>10.288</v>
      </c>
      <c r="E83">
        <v>10.465999999999999</v>
      </c>
      <c r="F83">
        <v>10.420999999999999</v>
      </c>
      <c r="G83">
        <v>10.266</v>
      </c>
      <c r="H83">
        <v>10.3992</v>
      </c>
      <c r="I83">
        <v>0.121777</v>
      </c>
      <c r="J83">
        <v>0.184341</v>
      </c>
      <c r="K83">
        <v>0.38508799999999999</v>
      </c>
      <c r="L83">
        <v>0</v>
      </c>
      <c r="M83">
        <v>10.491992</v>
      </c>
      <c r="N83">
        <v>10.755046</v>
      </c>
      <c r="O83">
        <v>10.228937999999999</v>
      </c>
      <c r="Q83">
        <v>46</v>
      </c>
      <c r="R83">
        <v>10.621</v>
      </c>
      <c r="S83">
        <v>10.288</v>
      </c>
      <c r="T83">
        <v>10.398999999999999</v>
      </c>
      <c r="U83">
        <v>10.465999999999999</v>
      </c>
      <c r="V83">
        <v>10.343</v>
      </c>
      <c r="W83">
        <v>10.423400000000001</v>
      </c>
      <c r="X83">
        <v>0.12869800000000001</v>
      </c>
      <c r="Y83">
        <v>0.163024</v>
      </c>
      <c r="Z83">
        <v>0.34055600000000003</v>
      </c>
      <c r="AA83">
        <v>0</v>
      </c>
      <c r="AB83">
        <v>10.485874000000001</v>
      </c>
      <c r="AC83">
        <v>10.718508999999999</v>
      </c>
      <c r="AD83">
        <v>10.253239000000001</v>
      </c>
    </row>
    <row r="84" spans="2:30" ht="14.25" customHeight="1" x14ac:dyDescent="0.35">
      <c r="B84">
        <v>43</v>
      </c>
      <c r="C84">
        <v>10.231999999999999</v>
      </c>
      <c r="D84">
        <v>10.332000000000001</v>
      </c>
      <c r="E84">
        <v>10.377000000000001</v>
      </c>
      <c r="F84">
        <v>10.420999999999999</v>
      </c>
      <c r="G84">
        <v>10.266</v>
      </c>
      <c r="H84">
        <v>10.3256</v>
      </c>
      <c r="I84">
        <v>7.7616000000000004E-2</v>
      </c>
      <c r="J84">
        <v>0.184341</v>
      </c>
      <c r="K84">
        <v>0.38508799999999999</v>
      </c>
      <c r="L84">
        <v>0</v>
      </c>
      <c r="M84">
        <v>10.491992</v>
      </c>
      <c r="N84">
        <v>10.755046</v>
      </c>
      <c r="O84">
        <v>10.228937999999999</v>
      </c>
      <c r="Q84">
        <v>47</v>
      </c>
      <c r="R84">
        <v>10.677</v>
      </c>
      <c r="S84">
        <v>10.443</v>
      </c>
      <c r="T84">
        <v>10.587999999999999</v>
      </c>
      <c r="U84">
        <v>10.366</v>
      </c>
      <c r="V84">
        <v>10.420999999999999</v>
      </c>
      <c r="W84">
        <v>10.499000000000001</v>
      </c>
      <c r="X84">
        <v>0.12895200000000001</v>
      </c>
      <c r="Y84">
        <v>0.163024</v>
      </c>
      <c r="Z84">
        <v>0.34055600000000003</v>
      </c>
      <c r="AA84">
        <v>0</v>
      </c>
      <c r="AB84">
        <v>10.485874000000001</v>
      </c>
      <c r="AC84">
        <v>10.718508999999999</v>
      </c>
      <c r="AD84">
        <v>10.253239000000001</v>
      </c>
    </row>
    <row r="85" spans="2:30" ht="14.25" customHeight="1" x14ac:dyDescent="0.35">
      <c r="B85">
        <v>44</v>
      </c>
      <c r="C85">
        <v>10.688000000000001</v>
      </c>
      <c r="D85">
        <v>10.41</v>
      </c>
      <c r="E85">
        <v>10.566000000000001</v>
      </c>
      <c r="F85">
        <v>10.566000000000001</v>
      </c>
      <c r="G85">
        <v>10.566000000000001</v>
      </c>
      <c r="H85">
        <v>10.559200000000001</v>
      </c>
      <c r="I85">
        <v>9.8727999999999996E-2</v>
      </c>
      <c r="J85">
        <v>0.184341</v>
      </c>
      <c r="K85">
        <v>0.38508799999999999</v>
      </c>
      <c r="L85">
        <v>0</v>
      </c>
      <c r="M85">
        <v>10.491992</v>
      </c>
      <c r="N85">
        <v>10.755046</v>
      </c>
      <c r="O85">
        <v>10.228937999999999</v>
      </c>
      <c r="Q85">
        <v>48</v>
      </c>
      <c r="R85">
        <v>10.666</v>
      </c>
      <c r="S85">
        <v>10.366</v>
      </c>
      <c r="T85">
        <v>10.343</v>
      </c>
      <c r="U85">
        <v>10.210000000000001</v>
      </c>
      <c r="V85">
        <v>10.566000000000001</v>
      </c>
      <c r="W85">
        <v>10.430199999999999</v>
      </c>
      <c r="X85">
        <v>0.18320500000000001</v>
      </c>
      <c r="Y85">
        <v>0.163024</v>
      </c>
      <c r="Z85">
        <v>0.34055600000000003</v>
      </c>
      <c r="AA85">
        <v>0</v>
      </c>
      <c r="AB85">
        <v>10.485874000000001</v>
      </c>
      <c r="AC85">
        <v>10.718508999999999</v>
      </c>
      <c r="AD85">
        <v>10.253239000000001</v>
      </c>
    </row>
    <row r="86" spans="2:30" ht="14.25" customHeight="1" x14ac:dyDescent="0.35">
      <c r="B86">
        <v>45</v>
      </c>
      <c r="C86">
        <v>10.388</v>
      </c>
      <c r="D86">
        <v>10.420999999999999</v>
      </c>
      <c r="E86">
        <v>10.61</v>
      </c>
      <c r="F86">
        <v>10.221</v>
      </c>
      <c r="G86">
        <v>10.288</v>
      </c>
      <c r="H86">
        <v>10.3856</v>
      </c>
      <c r="I86">
        <v>0.14852000000000001</v>
      </c>
      <c r="J86">
        <v>0.184341</v>
      </c>
      <c r="K86">
        <v>0.38508799999999999</v>
      </c>
      <c r="L86">
        <v>0</v>
      </c>
      <c r="M86">
        <v>10.491992</v>
      </c>
      <c r="N86">
        <v>10.755046</v>
      </c>
      <c r="O86">
        <v>10.228937999999999</v>
      </c>
      <c r="Q86">
        <v>49</v>
      </c>
      <c r="R86">
        <v>10.41</v>
      </c>
      <c r="S86">
        <v>10.677</v>
      </c>
      <c r="T86">
        <v>10.321</v>
      </c>
      <c r="U86">
        <v>10.587999999999999</v>
      </c>
      <c r="V86">
        <v>10.499000000000001</v>
      </c>
      <c r="W86">
        <v>10.499000000000001</v>
      </c>
      <c r="X86">
        <v>0.14072100000000001</v>
      </c>
      <c r="Y86">
        <v>0.163024</v>
      </c>
      <c r="Z86">
        <v>0.34055600000000003</v>
      </c>
      <c r="AA86">
        <v>0</v>
      </c>
      <c r="AB86">
        <v>10.485874000000001</v>
      </c>
      <c r="AC86">
        <v>10.718508999999999</v>
      </c>
      <c r="AD86">
        <v>10.253239000000001</v>
      </c>
    </row>
    <row r="87" spans="2:30" ht="14.25" customHeight="1" x14ac:dyDescent="0.35">
      <c r="B87">
        <v>46</v>
      </c>
      <c r="C87">
        <v>10.621</v>
      </c>
      <c r="D87">
        <v>10.288</v>
      </c>
      <c r="E87">
        <v>10.398999999999999</v>
      </c>
      <c r="F87">
        <v>10.465999999999999</v>
      </c>
      <c r="G87">
        <v>10.343</v>
      </c>
      <c r="H87">
        <v>10.423400000000001</v>
      </c>
      <c r="I87">
        <v>0.12869800000000001</v>
      </c>
      <c r="J87">
        <v>0.184341</v>
      </c>
      <c r="K87">
        <v>0.38508799999999999</v>
      </c>
      <c r="L87">
        <v>0</v>
      </c>
      <c r="M87">
        <v>10.491992</v>
      </c>
      <c r="N87">
        <v>10.755046</v>
      </c>
      <c r="O87">
        <v>10.228937999999999</v>
      </c>
      <c r="Q87">
        <v>50</v>
      </c>
      <c r="R87">
        <v>10.443</v>
      </c>
      <c r="S87">
        <v>10.31</v>
      </c>
      <c r="T87">
        <v>10.377000000000001</v>
      </c>
      <c r="U87">
        <v>10.688000000000001</v>
      </c>
      <c r="V87">
        <v>10.477</v>
      </c>
      <c r="W87">
        <v>10.459</v>
      </c>
      <c r="X87">
        <v>0.14313100000000001</v>
      </c>
      <c r="Y87">
        <v>0.163024</v>
      </c>
      <c r="Z87">
        <v>0.34055600000000003</v>
      </c>
      <c r="AA87">
        <v>0</v>
      </c>
      <c r="AB87">
        <v>10.485874000000001</v>
      </c>
      <c r="AC87">
        <v>10.718508999999999</v>
      </c>
      <c r="AD87">
        <v>10.253239000000001</v>
      </c>
    </row>
    <row r="88" spans="2:30" ht="14.25" customHeight="1" x14ac:dyDescent="0.35">
      <c r="B88">
        <v>47</v>
      </c>
      <c r="C88">
        <v>10.677</v>
      </c>
      <c r="D88">
        <v>10.443</v>
      </c>
      <c r="E88">
        <v>10.587999999999999</v>
      </c>
      <c r="F88">
        <v>10.366</v>
      </c>
      <c r="G88">
        <v>10.420999999999999</v>
      </c>
      <c r="H88">
        <v>10.499000000000001</v>
      </c>
      <c r="I88">
        <v>0.12895200000000001</v>
      </c>
      <c r="J88">
        <v>0.184341</v>
      </c>
      <c r="K88">
        <v>0.38508799999999999</v>
      </c>
      <c r="L88">
        <v>0</v>
      </c>
      <c r="M88">
        <v>10.491992</v>
      </c>
      <c r="N88">
        <v>10.755046</v>
      </c>
      <c r="O88">
        <v>10.228937999999999</v>
      </c>
    </row>
    <row r="89" spans="2:30" ht="14.25" customHeight="1" x14ac:dyDescent="0.35">
      <c r="B89">
        <v>48</v>
      </c>
      <c r="C89">
        <v>10.666</v>
      </c>
      <c r="D89">
        <v>10.366</v>
      </c>
      <c r="E89">
        <v>10.343</v>
      </c>
      <c r="F89">
        <v>10.210000000000001</v>
      </c>
      <c r="G89">
        <v>10.566000000000001</v>
      </c>
      <c r="H89">
        <v>10.430199999999999</v>
      </c>
      <c r="I89">
        <v>0.18320500000000001</v>
      </c>
      <c r="J89">
        <v>0.184341</v>
      </c>
      <c r="K89">
        <v>0.38508799999999999</v>
      </c>
      <c r="L89">
        <v>0</v>
      </c>
      <c r="M89">
        <v>10.491992</v>
      </c>
      <c r="N89">
        <v>10.755046</v>
      </c>
      <c r="O89">
        <v>10.228937999999999</v>
      </c>
    </row>
    <row r="90" spans="2:30" ht="14.25" customHeight="1" x14ac:dyDescent="0.35">
      <c r="B90">
        <v>49</v>
      </c>
      <c r="C90">
        <v>10.41</v>
      </c>
      <c r="D90">
        <v>10.677</v>
      </c>
      <c r="E90">
        <v>10.321</v>
      </c>
      <c r="F90">
        <v>10.587999999999999</v>
      </c>
      <c r="G90">
        <v>10.499000000000001</v>
      </c>
      <c r="H90">
        <v>10.499000000000001</v>
      </c>
      <c r="I90">
        <v>0.14072100000000001</v>
      </c>
      <c r="J90">
        <v>0.184341</v>
      </c>
      <c r="K90">
        <v>0.38508799999999999</v>
      </c>
      <c r="L90">
        <v>0</v>
      </c>
      <c r="M90">
        <v>10.491992</v>
      </c>
      <c r="N90">
        <v>10.755046</v>
      </c>
      <c r="O90">
        <v>10.228937999999999</v>
      </c>
    </row>
    <row r="91" spans="2:30" ht="14.25" customHeight="1" x14ac:dyDescent="0.35">
      <c r="B91">
        <v>50</v>
      </c>
      <c r="C91">
        <v>10.443</v>
      </c>
      <c r="D91">
        <v>10.31</v>
      </c>
      <c r="E91">
        <v>10.377000000000001</v>
      </c>
      <c r="F91">
        <v>10.688000000000001</v>
      </c>
      <c r="G91">
        <v>10.477</v>
      </c>
      <c r="H91">
        <v>10.459</v>
      </c>
      <c r="I91">
        <v>0.14313100000000001</v>
      </c>
      <c r="J91">
        <v>0.184341</v>
      </c>
      <c r="K91">
        <v>0.38508799999999999</v>
      </c>
      <c r="L91">
        <v>0</v>
      </c>
      <c r="M91">
        <v>10.491992</v>
      </c>
      <c r="N91">
        <v>10.755046</v>
      </c>
      <c r="O91">
        <v>10.228937999999999</v>
      </c>
    </row>
    <row r="92" spans="2:30" ht="14.25" customHeight="1" x14ac:dyDescent="0.35"/>
    <row r="93" spans="2:30" ht="14.25" customHeight="1" x14ac:dyDescent="0.35"/>
    <row r="94" spans="2:30" ht="14.25" customHeight="1" x14ac:dyDescent="0.35"/>
    <row r="95" spans="2:30" ht="14.25" customHeight="1" x14ac:dyDescent="0.35"/>
    <row r="96" spans="2:30"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32">
    <mergeCell ref="B27:O28"/>
    <mergeCell ref="R27:AE28"/>
    <mergeCell ref="B29:B39"/>
    <mergeCell ref="R29:R39"/>
    <mergeCell ref="C41:G41"/>
    <mergeCell ref="S41:W41"/>
    <mergeCell ref="B8:G8"/>
    <mergeCell ref="I8:N8"/>
    <mergeCell ref="R8:W8"/>
    <mergeCell ref="Y8:AD8"/>
    <mergeCell ref="B9:G9"/>
    <mergeCell ref="I9:N9"/>
    <mergeCell ref="R9:W9"/>
    <mergeCell ref="Y9:AD9"/>
    <mergeCell ref="B6:G6"/>
    <mergeCell ref="I6:N6"/>
    <mergeCell ref="R6:W6"/>
    <mergeCell ref="Y6:AD6"/>
    <mergeCell ref="B7:G7"/>
    <mergeCell ref="I7:N7"/>
    <mergeCell ref="R7:W7"/>
    <mergeCell ref="Y7:AD7"/>
    <mergeCell ref="Y4:AE4"/>
    <mergeCell ref="B5:G5"/>
    <mergeCell ref="I5:N5"/>
    <mergeCell ref="R5:W5"/>
    <mergeCell ref="Y5:AD5"/>
    <mergeCell ref="C2:H2"/>
    <mergeCell ref="S2:X2"/>
    <mergeCell ref="B4:G4"/>
    <mergeCell ref="I4:O4"/>
    <mergeCell ref="R4:W4"/>
  </mergeCells>
  <conditionalFormatting sqref="X42:X65 H42:H66">
    <cfRule type="cellIs" dxfId="24" priority="2" operator="lessThan">
      <formula>$O$42</formula>
    </cfRule>
    <cfRule type="cellIs" dxfId="23" priority="3" operator="greaterThan">
      <formula>$N$42</formula>
    </cfRule>
  </conditionalFormatting>
  <conditionalFormatting sqref="Y42:Y65 I42:I66">
    <cfRule type="cellIs" dxfId="22" priority="4" operator="lessThan">
      <formula>$L$42</formula>
    </cfRule>
    <cfRule type="cellIs" dxfId="21" priority="5" operator="greaterThan">
      <formula>$K$42</formula>
    </cfRule>
  </conditionalFormatting>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Z1000"/>
  <sheetViews>
    <sheetView showGridLines="0" zoomScale="95" zoomScaleNormal="95" workbookViewId="0">
      <selection activeCell="C2" sqref="C2:H2"/>
    </sheetView>
  </sheetViews>
  <sheetFormatPr defaultColWidth="14.453125" defaultRowHeight="14.5" x14ac:dyDescent="0.35"/>
  <cols>
    <col min="1" max="1" width="8.7265625" customWidth="1"/>
    <col min="2" max="5" width="12.453125" customWidth="1"/>
    <col min="6" max="26" width="12.54296875" customWidth="1"/>
  </cols>
  <sheetData>
    <row r="1" spans="1:26" ht="14.25" customHeight="1" x14ac:dyDescent="0.35"/>
    <row r="2" spans="1:26" ht="14.25" customHeight="1" x14ac:dyDescent="0.35">
      <c r="B2" s="44" t="s">
        <v>135</v>
      </c>
      <c r="C2" s="107"/>
      <c r="D2" s="107"/>
      <c r="E2" s="107"/>
      <c r="F2" s="107"/>
      <c r="G2" s="107"/>
      <c r="H2" s="107"/>
    </row>
    <row r="3" spans="1:26" ht="14.25" customHeight="1" x14ac:dyDescent="0.35">
      <c r="B3" s="49"/>
    </row>
    <row r="4" spans="1:26" ht="14.25" customHeight="1" x14ac:dyDescent="0.35">
      <c r="B4" s="111" t="s">
        <v>136</v>
      </c>
      <c r="C4" s="111"/>
      <c r="D4" s="111"/>
      <c r="E4" s="111"/>
    </row>
    <row r="5" spans="1:26" ht="14.25" customHeight="1" x14ac:dyDescent="0.35">
      <c r="B5" s="111"/>
      <c r="C5" s="111"/>
      <c r="D5" s="111"/>
      <c r="E5" s="111"/>
    </row>
    <row r="6" spans="1:26" ht="14.25" customHeight="1" x14ac:dyDescent="0.35">
      <c r="B6" s="113" t="s">
        <v>137</v>
      </c>
      <c r="C6" s="65" t="s">
        <v>138</v>
      </c>
      <c r="D6" s="77">
        <v>0.40887000000000001</v>
      </c>
      <c r="E6" s="67"/>
    </row>
    <row r="7" spans="1:26" ht="14.25" customHeight="1" x14ac:dyDescent="0.35">
      <c r="B7" s="113"/>
      <c r="C7" s="29" t="s">
        <v>64</v>
      </c>
      <c r="D7" s="78">
        <f>INDEX('Tabel Faktor'!$A$1:$Q$25,MATCH(D10,'Tabel Faktor'!$A$1:$A$25,0),MATCH(C7,'Tabel Faktor'!$A$1:$Q$1,0))</f>
        <v>2.3260000000000001</v>
      </c>
      <c r="E7" s="26"/>
    </row>
    <row r="8" spans="1:26" ht="14.25" customHeight="1" x14ac:dyDescent="0.35">
      <c r="B8" s="113"/>
      <c r="C8" s="29" t="s">
        <v>139</v>
      </c>
      <c r="D8" s="79">
        <f>D6/D7</f>
        <v>0.17578245915735169</v>
      </c>
      <c r="E8" s="26"/>
    </row>
    <row r="9" spans="1:26" ht="14.25" customHeight="1" x14ac:dyDescent="0.35">
      <c r="B9" s="113"/>
      <c r="C9" s="29" t="s">
        <v>52</v>
      </c>
      <c r="D9" s="26">
        <v>3</v>
      </c>
      <c r="E9" s="26"/>
    </row>
    <row r="10" spans="1:26" ht="14.25" customHeight="1" x14ac:dyDescent="0.35">
      <c r="B10" s="113"/>
      <c r="C10" s="29" t="s">
        <v>55</v>
      </c>
      <c r="D10" s="68">
        <v>5</v>
      </c>
      <c r="E10" s="70"/>
    </row>
    <row r="11" spans="1:26" ht="14.25" customHeight="1" x14ac:dyDescent="0.35">
      <c r="B11" s="29"/>
      <c r="C11" s="29"/>
      <c r="D11" s="29"/>
      <c r="E11" s="29"/>
    </row>
    <row r="12" spans="1:26" ht="14.25" customHeight="1" x14ac:dyDescent="0.35">
      <c r="A12" s="28"/>
      <c r="B12" s="32" t="s">
        <v>140</v>
      </c>
      <c r="C12" s="33" t="s">
        <v>141</v>
      </c>
      <c r="D12" s="33" t="s">
        <v>142</v>
      </c>
      <c r="E12" s="33" t="s">
        <v>143</v>
      </c>
      <c r="F12" s="28"/>
      <c r="G12" s="28"/>
      <c r="H12" s="28"/>
      <c r="I12" s="28"/>
      <c r="J12" s="28"/>
      <c r="K12" s="28"/>
      <c r="L12" s="28"/>
      <c r="M12" s="28"/>
      <c r="N12" s="28"/>
      <c r="O12" s="28"/>
      <c r="P12" s="28"/>
      <c r="Q12" s="28"/>
      <c r="R12" s="28"/>
      <c r="S12" s="28"/>
      <c r="T12" s="28"/>
      <c r="U12" s="28"/>
      <c r="V12" s="28"/>
      <c r="W12" s="28"/>
      <c r="X12" s="28"/>
      <c r="Y12" s="28"/>
      <c r="Z12" s="28"/>
    </row>
    <row r="13" spans="1:26" ht="14.25" customHeight="1" x14ac:dyDescent="0.35">
      <c r="B13" s="41">
        <v>0</v>
      </c>
      <c r="C13" s="39">
        <f t="shared" ref="C13:C57" si="0">B13/$D$8</f>
        <v>0</v>
      </c>
      <c r="D13" s="80">
        <f t="shared" ref="D13:D57" si="1">_xlfn.NORM.S.DIST($D$9-C13*SQRT($D$10),TRUE())-_xlfn.NORM.S.DIST(-$D$9-C13*SQRT($D$10),TRUE())</f>
        <v>0.99730020393673979</v>
      </c>
      <c r="E13" s="80">
        <f t="shared" ref="E13:E57" si="2">1/(1-D13)</f>
        <v>370.39834734495639</v>
      </c>
    </row>
    <row r="14" spans="1:26" ht="14.25" customHeight="1" x14ac:dyDescent="0.35">
      <c r="B14" s="29">
        <v>0.01</v>
      </c>
      <c r="C14" s="39">
        <f t="shared" si="0"/>
        <v>5.6888497566463664E-2</v>
      </c>
      <c r="D14" s="80">
        <f t="shared" si="1"/>
        <v>0.99708332040149183</v>
      </c>
      <c r="E14" s="80">
        <f t="shared" si="2"/>
        <v>342.85562271271897</v>
      </c>
    </row>
    <row r="15" spans="1:26" ht="14.25" customHeight="1" x14ac:dyDescent="0.35">
      <c r="B15" s="41">
        <v>0.02</v>
      </c>
      <c r="C15" s="39">
        <f t="shared" si="0"/>
        <v>0.11377699513292733</v>
      </c>
      <c r="D15" s="80">
        <f t="shared" si="1"/>
        <v>0.99641172703883885</v>
      </c>
      <c r="E15" s="80">
        <f t="shared" si="2"/>
        <v>278.68559912354135</v>
      </c>
    </row>
    <row r="16" spans="1:26" ht="14.25" customHeight="1" x14ac:dyDescent="0.35">
      <c r="B16" s="29">
        <v>0.03</v>
      </c>
      <c r="C16" s="39">
        <f t="shared" si="0"/>
        <v>0.17066549269939099</v>
      </c>
      <c r="D16" s="80">
        <f t="shared" si="1"/>
        <v>0.99522228742690433</v>
      </c>
      <c r="E16" s="80">
        <f t="shared" si="2"/>
        <v>209.30518207211028</v>
      </c>
    </row>
    <row r="17" spans="2:5" ht="14.25" customHeight="1" x14ac:dyDescent="0.35">
      <c r="B17" s="41">
        <v>0.04</v>
      </c>
      <c r="C17" s="39">
        <f t="shared" si="0"/>
        <v>0.22755399026585466</v>
      </c>
      <c r="D17" s="80">
        <f t="shared" si="1"/>
        <v>0.99340886464597766</v>
      </c>
      <c r="E17" s="80">
        <f t="shared" si="2"/>
        <v>151.71892948454402</v>
      </c>
    </row>
    <row r="18" spans="2:5" ht="14.25" customHeight="1" x14ac:dyDescent="0.35">
      <c r="B18" s="29">
        <v>0.05</v>
      </c>
      <c r="C18" s="39">
        <f t="shared" si="0"/>
        <v>0.28444248783231835</v>
      </c>
      <c r="D18" s="80">
        <f t="shared" si="1"/>
        <v>0.99082136028902612</v>
      </c>
      <c r="E18" s="80">
        <f t="shared" si="2"/>
        <v>108.94860583801008</v>
      </c>
    </row>
    <row r="19" spans="2:5" ht="14.25" customHeight="1" x14ac:dyDescent="0.35">
      <c r="B19" s="41">
        <v>0.06</v>
      </c>
      <c r="C19" s="39">
        <f t="shared" si="0"/>
        <v>0.34133098539878198</v>
      </c>
      <c r="D19" s="80">
        <f t="shared" si="1"/>
        <v>0.98726514497040241</v>
      </c>
      <c r="E19" s="80">
        <f t="shared" si="2"/>
        <v>78.524647330170595</v>
      </c>
    </row>
    <row r="20" spans="2:5" ht="14.25" customHeight="1" x14ac:dyDescent="0.35">
      <c r="B20" s="29">
        <v>7.0000000000000007E-2</v>
      </c>
      <c r="C20" s="39">
        <f t="shared" si="0"/>
        <v>0.39821948296524567</v>
      </c>
      <c r="D20" s="80">
        <f t="shared" si="1"/>
        <v>0.9825015820093933</v>
      </c>
      <c r="E20" s="80">
        <f t="shared" si="2"/>
        <v>57.148023354843204</v>
      </c>
    </row>
    <row r="21" spans="2:5" ht="14.25" customHeight="1" x14ac:dyDescent="0.35">
      <c r="B21" s="41">
        <v>0.08</v>
      </c>
      <c r="C21" s="39">
        <f t="shared" si="0"/>
        <v>0.45510798053170931</v>
      </c>
      <c r="D21" s="80">
        <f t="shared" si="1"/>
        <v>0.97625043563321012</v>
      </c>
      <c r="E21" s="80">
        <f t="shared" si="2"/>
        <v>42.106035485785441</v>
      </c>
    </row>
    <row r="22" spans="2:5" ht="14.25" customHeight="1" x14ac:dyDescent="0.35">
      <c r="B22" s="29">
        <v>0.09</v>
      </c>
      <c r="C22" s="39">
        <f t="shared" si="0"/>
        <v>0.51199647809817295</v>
      </c>
      <c r="D22" s="80">
        <f t="shared" si="1"/>
        <v>0.96819495675940603</v>
      </c>
      <c r="E22" s="80">
        <f t="shared" si="2"/>
        <v>31.441554486669038</v>
      </c>
    </row>
    <row r="23" spans="2:5" ht="14.25" customHeight="1" x14ac:dyDescent="0.35">
      <c r="B23" s="41">
        <v>0.1</v>
      </c>
      <c r="C23" s="39">
        <f t="shared" si="0"/>
        <v>0.56888497566463669</v>
      </c>
      <c r="D23" s="80">
        <f t="shared" si="1"/>
        <v>0.95799033445412674</v>
      </c>
      <c r="E23" s="80">
        <f t="shared" si="2"/>
        <v>23.804045735808838</v>
      </c>
    </row>
    <row r="24" spans="2:5" ht="14.25" customHeight="1" x14ac:dyDescent="0.35">
      <c r="B24" s="29">
        <v>0.11</v>
      </c>
      <c r="C24" s="39">
        <f t="shared" si="0"/>
        <v>0.62577347323110033</v>
      </c>
      <c r="D24" s="80">
        <f t="shared" si="1"/>
        <v>0.94527597818746023</v>
      </c>
      <c r="E24" s="80">
        <f t="shared" si="2"/>
        <v>18.273510734016526</v>
      </c>
    </row>
    <row r="25" spans="2:5" ht="14.25" customHeight="1" x14ac:dyDescent="0.35">
      <c r="B25" s="41">
        <v>0.12</v>
      </c>
      <c r="C25" s="39">
        <f t="shared" si="0"/>
        <v>0.68266197079756397</v>
      </c>
      <c r="D25" s="80">
        <f t="shared" si="1"/>
        <v>0.92969175607972476</v>
      </c>
      <c r="E25" s="80">
        <f t="shared" si="2"/>
        <v>14.223083158412148</v>
      </c>
    </row>
    <row r="26" spans="2:5" ht="14.25" customHeight="1" x14ac:dyDescent="0.35">
      <c r="B26" s="29">
        <v>0.13</v>
      </c>
      <c r="C26" s="39">
        <f t="shared" si="0"/>
        <v>0.73955046836402771</v>
      </c>
      <c r="D26" s="80">
        <f t="shared" si="1"/>
        <v>0.91089787520974397</v>
      </c>
      <c r="E26" s="80">
        <f t="shared" si="2"/>
        <v>11.22307691712148</v>
      </c>
    </row>
    <row r="27" spans="2:5" ht="14.25" customHeight="1" x14ac:dyDescent="0.35">
      <c r="B27" s="41">
        <v>0.14000000000000001</v>
      </c>
      <c r="C27" s="39">
        <f t="shared" si="0"/>
        <v>0.79643896593049135</v>
      </c>
      <c r="D27" s="80">
        <f t="shared" si="1"/>
        <v>0.88859758849572124</v>
      </c>
      <c r="E27" s="80">
        <f t="shared" si="2"/>
        <v>8.9764663663639972</v>
      </c>
    </row>
    <row r="28" spans="2:5" ht="14.25" customHeight="1" x14ac:dyDescent="0.35">
      <c r="B28" s="29">
        <v>0.15</v>
      </c>
      <c r="C28" s="39">
        <f t="shared" si="0"/>
        <v>0.85332746349695487</v>
      </c>
      <c r="D28" s="80">
        <f t="shared" si="1"/>
        <v>0.86256140355587507</v>
      </c>
      <c r="E28" s="80">
        <f t="shared" si="2"/>
        <v>7.2759765151308553</v>
      </c>
    </row>
    <row r="29" spans="2:5" ht="14.25" customHeight="1" x14ac:dyDescent="0.35">
      <c r="B29" s="41">
        <v>0.16</v>
      </c>
      <c r="C29" s="39">
        <f t="shared" si="0"/>
        <v>0.91021596106341862</v>
      </c>
      <c r="D29" s="80">
        <f t="shared" si="1"/>
        <v>0.83265102061368623</v>
      </c>
      <c r="E29" s="80">
        <f t="shared" si="2"/>
        <v>5.9755368910351576</v>
      </c>
    </row>
    <row r="30" spans="2:5" ht="14.25" customHeight="1" x14ac:dyDescent="0.35">
      <c r="B30" s="29">
        <v>0.17</v>
      </c>
      <c r="C30" s="39">
        <f t="shared" si="0"/>
        <v>0.96710445862988237</v>
      </c>
      <c r="D30" s="80">
        <f t="shared" si="1"/>
        <v>0.79884091210151353</v>
      </c>
      <c r="E30" s="80">
        <f t="shared" si="2"/>
        <v>4.9711897704797856</v>
      </c>
    </row>
    <row r="31" spans="2:5" ht="14.25" customHeight="1" x14ac:dyDescent="0.35">
      <c r="B31" s="41">
        <v>0.18</v>
      </c>
      <c r="C31" s="39">
        <f t="shared" si="0"/>
        <v>1.0239929561963459</v>
      </c>
      <c r="D31" s="80">
        <f t="shared" si="1"/>
        <v>0.76123534275743576</v>
      </c>
      <c r="E31" s="80">
        <f t="shared" si="2"/>
        <v>4.1882245536201221</v>
      </c>
    </row>
    <row r="32" spans="2:5" ht="14.25" customHeight="1" x14ac:dyDescent="0.35">
      <c r="B32" s="29">
        <v>0.19</v>
      </c>
      <c r="C32" s="39">
        <f t="shared" si="0"/>
        <v>1.0808814537628095</v>
      </c>
      <c r="D32" s="80">
        <f t="shared" si="1"/>
        <v>0.72007876328696663</v>
      </c>
      <c r="E32" s="80">
        <f t="shared" si="2"/>
        <v>3.5724334878713373</v>
      </c>
    </row>
    <row r="33" spans="2:5" ht="14.25" customHeight="1" x14ac:dyDescent="0.35">
      <c r="B33" s="41">
        <v>0.2</v>
      </c>
      <c r="C33" s="39">
        <f t="shared" si="0"/>
        <v>1.1377699513292734</v>
      </c>
      <c r="D33" s="80">
        <f t="shared" si="1"/>
        <v>0.67575791044260691</v>
      </c>
      <c r="E33" s="80">
        <f t="shared" si="2"/>
        <v>3.0841153329755886</v>
      </c>
    </row>
    <row r="34" spans="2:5" ht="14.25" customHeight="1" x14ac:dyDescent="0.35">
      <c r="B34" s="29">
        <v>0.21</v>
      </c>
      <c r="C34" s="39">
        <f t="shared" si="0"/>
        <v>1.1946584488957368</v>
      </c>
      <c r="D34" s="80">
        <f t="shared" si="1"/>
        <v>0.62879459145617689</v>
      </c>
      <c r="E34" s="80">
        <f t="shared" si="2"/>
        <v>2.6939262655757985</v>
      </c>
    </row>
    <row r="35" spans="2:5" ht="14.25" customHeight="1" x14ac:dyDescent="0.35">
      <c r="B35" s="41">
        <v>0.22</v>
      </c>
      <c r="C35" s="39">
        <f t="shared" si="0"/>
        <v>1.2515469464622007</v>
      </c>
      <c r="D35" s="80">
        <f t="shared" si="1"/>
        <v>0.57982896188396682</v>
      </c>
      <c r="E35" s="80">
        <f t="shared" si="2"/>
        <v>2.379983171814529</v>
      </c>
    </row>
    <row r="36" spans="2:5" ht="14.25" customHeight="1" x14ac:dyDescent="0.35">
      <c r="B36" s="29">
        <v>0.23</v>
      </c>
      <c r="C36" s="39">
        <f t="shared" si="0"/>
        <v>1.3084354440286643</v>
      </c>
      <c r="D36" s="80">
        <f t="shared" si="1"/>
        <v>0.52959403024090179</v>
      </c>
      <c r="E36" s="80">
        <f t="shared" si="2"/>
        <v>2.1258233617063036</v>
      </c>
    </row>
    <row r="37" spans="2:5" ht="14.25" customHeight="1" x14ac:dyDescent="0.35">
      <c r="B37" s="29">
        <v>0.24</v>
      </c>
      <c r="C37" s="39">
        <f t="shared" si="0"/>
        <v>1.3653239415951279</v>
      </c>
      <c r="D37" s="80">
        <f t="shared" si="1"/>
        <v>0.47888302595554638</v>
      </c>
      <c r="E37" s="80">
        <f t="shared" si="2"/>
        <v>1.9189549560032091</v>
      </c>
    </row>
    <row r="38" spans="2:5" ht="14.25" customHeight="1" x14ac:dyDescent="0.35">
      <c r="B38" s="41">
        <v>0.25</v>
      </c>
      <c r="C38" s="39">
        <f t="shared" si="0"/>
        <v>1.4222124391615916</v>
      </c>
      <c r="D38" s="80">
        <f t="shared" si="1"/>
        <v>0.42851203030091184</v>
      </c>
      <c r="E38" s="80">
        <f t="shared" si="2"/>
        <v>1.7498181117032803</v>
      </c>
    </row>
    <row r="39" spans="2:5" ht="14.25" customHeight="1" x14ac:dyDescent="0.35">
      <c r="B39" s="29">
        <v>0.26</v>
      </c>
      <c r="C39" s="39">
        <f t="shared" si="0"/>
        <v>1.4791009367280554</v>
      </c>
      <c r="D39" s="80">
        <f t="shared" si="1"/>
        <v>0.37928078858508896</v>
      </c>
      <c r="E39" s="80">
        <f t="shared" si="2"/>
        <v>1.6110343962458156</v>
      </c>
    </row>
    <row r="40" spans="2:5" ht="14.25" customHeight="1" x14ac:dyDescent="0.35">
      <c r="B40" s="41">
        <v>0.27</v>
      </c>
      <c r="C40" s="39">
        <f t="shared" si="0"/>
        <v>1.5359894342945191</v>
      </c>
      <c r="D40" s="80">
        <f t="shared" si="1"/>
        <v>0.33193482331347268</v>
      </c>
      <c r="E40" s="80">
        <f t="shared" si="2"/>
        <v>1.496859939564287</v>
      </c>
    </row>
    <row r="41" spans="2:5" ht="14.25" customHeight="1" x14ac:dyDescent="0.35">
      <c r="B41" s="29">
        <v>0.28000000000000003</v>
      </c>
      <c r="C41" s="39">
        <f t="shared" si="0"/>
        <v>1.5928779318609827</v>
      </c>
      <c r="D41" s="80">
        <f t="shared" si="1"/>
        <v>0.28713182367580004</v>
      </c>
      <c r="E41" s="80">
        <f t="shared" si="2"/>
        <v>1.4027838992004849</v>
      </c>
    </row>
    <row r="42" spans="2:5" ht="14.25" customHeight="1" x14ac:dyDescent="0.35">
      <c r="B42" s="29">
        <v>0.28999999999999998</v>
      </c>
      <c r="C42" s="39">
        <f t="shared" si="0"/>
        <v>1.6497664294274461</v>
      </c>
      <c r="D42" s="80">
        <f t="shared" si="1"/>
        <v>0.24541481701989401</v>
      </c>
      <c r="E42" s="80">
        <f t="shared" si="2"/>
        <v>1.3252314285455087</v>
      </c>
    </row>
    <row r="43" spans="2:5" ht="14.25" customHeight="1" x14ac:dyDescent="0.35">
      <c r="B43" s="41">
        <v>0.3</v>
      </c>
      <c r="C43" s="39">
        <f t="shared" si="0"/>
        <v>1.7066549269939097</v>
      </c>
      <c r="D43" s="80">
        <f t="shared" si="1"/>
        <v>0.20719389890817197</v>
      </c>
      <c r="E43" s="80">
        <f t="shared" si="2"/>
        <v>1.2613424627066201</v>
      </c>
    </row>
    <row r="44" spans="2:5" ht="14.25" customHeight="1" x14ac:dyDescent="0.35">
      <c r="B44" s="29">
        <v>0.35</v>
      </c>
      <c r="C44" s="39">
        <f t="shared" si="0"/>
        <v>1.9910974148262282</v>
      </c>
      <c r="D44" s="80">
        <f t="shared" si="1"/>
        <v>7.3218947298805029E-2</v>
      </c>
      <c r="E44" s="80">
        <f t="shared" si="2"/>
        <v>1.0790035004334639</v>
      </c>
    </row>
    <row r="45" spans="2:5" ht="14.25" customHeight="1" x14ac:dyDescent="0.35">
      <c r="B45" s="41">
        <v>0.4</v>
      </c>
      <c r="C45" s="39">
        <f t="shared" si="0"/>
        <v>2.2755399026585468</v>
      </c>
      <c r="D45" s="80">
        <f t="shared" si="1"/>
        <v>1.83871077887417E-2</v>
      </c>
      <c r="E45" s="80">
        <f t="shared" si="2"/>
        <v>1.0187315263834009</v>
      </c>
    </row>
    <row r="46" spans="2:5" ht="14.25" customHeight="1" x14ac:dyDescent="0.35">
      <c r="B46" s="29">
        <v>0.45</v>
      </c>
      <c r="C46" s="39">
        <f t="shared" si="0"/>
        <v>2.5599823904908647</v>
      </c>
      <c r="D46" s="80">
        <f t="shared" si="1"/>
        <v>3.2219494755018332E-3</v>
      </c>
      <c r="E46" s="80">
        <f t="shared" si="2"/>
        <v>1.0032323639889607</v>
      </c>
    </row>
    <row r="47" spans="2:5" ht="14.25" customHeight="1" x14ac:dyDescent="0.35">
      <c r="B47" s="41">
        <v>0.5</v>
      </c>
      <c r="C47" s="39">
        <f t="shared" si="0"/>
        <v>2.8444248783231831</v>
      </c>
      <c r="D47" s="80">
        <f t="shared" si="1"/>
        <v>3.8925080672644905E-4</v>
      </c>
      <c r="E47" s="80">
        <f t="shared" si="2"/>
        <v>1.0003894023819178</v>
      </c>
    </row>
    <row r="48" spans="2:5" ht="14.25" customHeight="1" x14ac:dyDescent="0.35">
      <c r="B48" s="29">
        <v>0.55000000000000004</v>
      </c>
      <c r="C48" s="39">
        <f t="shared" si="0"/>
        <v>3.128867366155502</v>
      </c>
      <c r="D48" s="80">
        <f t="shared" si="1"/>
        <v>3.2161929692166282E-5</v>
      </c>
      <c r="E48" s="80">
        <f t="shared" si="2"/>
        <v>1.0000321629641151</v>
      </c>
    </row>
    <row r="49" spans="2:5" ht="14.25" customHeight="1" x14ac:dyDescent="0.35">
      <c r="B49" s="41">
        <v>0.6</v>
      </c>
      <c r="C49" s="39">
        <f t="shared" si="0"/>
        <v>3.4133098539878195</v>
      </c>
      <c r="D49" s="80">
        <f t="shared" si="1"/>
        <v>1.8073170194818513E-6</v>
      </c>
      <c r="E49" s="80">
        <f t="shared" si="2"/>
        <v>1.0000018073202859</v>
      </c>
    </row>
    <row r="50" spans="2:5" ht="14.25" customHeight="1" x14ac:dyDescent="0.35">
      <c r="B50" s="29">
        <v>0.65</v>
      </c>
      <c r="C50" s="39">
        <f t="shared" si="0"/>
        <v>3.6977523418201383</v>
      </c>
      <c r="D50" s="80">
        <f t="shared" si="1"/>
        <v>6.8799394764599058E-8</v>
      </c>
      <c r="E50" s="80">
        <f t="shared" si="2"/>
        <v>1.0000000687993995</v>
      </c>
    </row>
    <row r="51" spans="2:5" ht="14.25" customHeight="1" x14ac:dyDescent="0.35">
      <c r="B51" s="41">
        <v>0.7</v>
      </c>
      <c r="C51" s="39">
        <f t="shared" si="0"/>
        <v>3.9821948296524563</v>
      </c>
      <c r="D51" s="80">
        <f t="shared" si="1"/>
        <v>1.7690363162853226E-9</v>
      </c>
      <c r="E51" s="80">
        <f t="shared" si="2"/>
        <v>1.0000000017690365</v>
      </c>
    </row>
    <row r="52" spans="2:5" ht="14.25" customHeight="1" x14ac:dyDescent="0.35">
      <c r="B52" s="29">
        <v>0.75</v>
      </c>
      <c r="C52" s="39">
        <f t="shared" si="0"/>
        <v>4.2666373174847747</v>
      </c>
      <c r="D52" s="80">
        <f t="shared" si="1"/>
        <v>3.065857786829545E-11</v>
      </c>
      <c r="E52" s="80">
        <f t="shared" si="2"/>
        <v>1.0000000000306586</v>
      </c>
    </row>
    <row r="53" spans="2:5" ht="14.25" customHeight="1" x14ac:dyDescent="0.35">
      <c r="B53" s="41">
        <v>0.8</v>
      </c>
      <c r="C53" s="39">
        <f t="shared" si="0"/>
        <v>4.5510798053170936</v>
      </c>
      <c r="D53" s="80">
        <f t="shared" si="1"/>
        <v>3.5753100250048365E-13</v>
      </c>
      <c r="E53" s="80">
        <f t="shared" si="2"/>
        <v>1.0000000000003575</v>
      </c>
    </row>
    <row r="54" spans="2:5" ht="14.25" customHeight="1" x14ac:dyDescent="0.35">
      <c r="B54" s="29">
        <v>0.85</v>
      </c>
      <c r="C54" s="39">
        <f t="shared" si="0"/>
        <v>4.8355222931494115</v>
      </c>
      <c r="D54" s="80">
        <f t="shared" si="1"/>
        <v>2.80197425473874E-15</v>
      </c>
      <c r="E54" s="80">
        <f t="shared" si="2"/>
        <v>1.0000000000000027</v>
      </c>
    </row>
    <row r="55" spans="2:5" ht="14.25" customHeight="1" x14ac:dyDescent="0.35">
      <c r="B55" s="41">
        <v>0.9</v>
      </c>
      <c r="C55" s="39">
        <f t="shared" si="0"/>
        <v>5.1199647809817295</v>
      </c>
      <c r="D55" s="80">
        <f t="shared" si="1"/>
        <v>1.4742185462637636E-17</v>
      </c>
      <c r="E55" s="80">
        <f t="shared" si="2"/>
        <v>1</v>
      </c>
    </row>
    <row r="56" spans="2:5" ht="14.25" customHeight="1" x14ac:dyDescent="0.35">
      <c r="B56" s="29">
        <v>0.95</v>
      </c>
      <c r="C56" s="39">
        <f t="shared" si="0"/>
        <v>5.4044072688140474</v>
      </c>
      <c r="D56" s="80">
        <f t="shared" si="1"/>
        <v>5.2029801364726893E-20</v>
      </c>
      <c r="E56" s="80">
        <f t="shared" si="2"/>
        <v>1</v>
      </c>
    </row>
    <row r="57" spans="2:5" ht="14.25" customHeight="1" x14ac:dyDescent="0.35">
      <c r="B57" s="41">
        <v>1</v>
      </c>
      <c r="C57" s="39">
        <f t="shared" si="0"/>
        <v>5.6888497566463663</v>
      </c>
      <c r="D57" s="80">
        <f t="shared" si="1"/>
        <v>1.2309661456199639E-22</v>
      </c>
      <c r="E57" s="80">
        <f t="shared" si="2"/>
        <v>1</v>
      </c>
    </row>
    <row r="58" spans="2:5" ht="14.25" customHeight="1" x14ac:dyDescent="0.35">
      <c r="D58" s="74"/>
    </row>
    <row r="59" spans="2:5" ht="14.25" customHeight="1" x14ac:dyDescent="0.35">
      <c r="D59" s="74"/>
    </row>
    <row r="60" spans="2:5" ht="14.25" customHeight="1" x14ac:dyDescent="0.35">
      <c r="D60" s="74"/>
    </row>
    <row r="61" spans="2:5" ht="14.25" customHeight="1" x14ac:dyDescent="0.35">
      <c r="D61" s="74"/>
    </row>
    <row r="62" spans="2:5" ht="14.25" customHeight="1" x14ac:dyDescent="0.35">
      <c r="D62" s="74"/>
    </row>
    <row r="63" spans="2:5" ht="14.25" customHeight="1" x14ac:dyDescent="0.35">
      <c r="D63" s="74"/>
    </row>
    <row r="64" spans="2:5" ht="14.25" customHeight="1" x14ac:dyDescent="0.35">
      <c r="D64" s="74"/>
    </row>
    <row r="65" spans="4:4" ht="14.25" customHeight="1" x14ac:dyDescent="0.35">
      <c r="D65" s="74"/>
    </row>
    <row r="66" spans="4:4" ht="14.25" customHeight="1" x14ac:dyDescent="0.35">
      <c r="D66" s="74"/>
    </row>
    <row r="67" spans="4:4" ht="14.25" customHeight="1" x14ac:dyDescent="0.35">
      <c r="D67" s="74"/>
    </row>
    <row r="68" spans="4:4" ht="14.25" customHeight="1" x14ac:dyDescent="0.35">
      <c r="D68" s="74"/>
    </row>
    <row r="69" spans="4:4" ht="14.25" customHeight="1" x14ac:dyDescent="0.35">
      <c r="D69" s="74"/>
    </row>
    <row r="70" spans="4:4" ht="14.25" customHeight="1" x14ac:dyDescent="0.35">
      <c r="D70" s="74"/>
    </row>
    <row r="71" spans="4:4" ht="14.25" customHeight="1" x14ac:dyDescent="0.35">
      <c r="D71" s="74"/>
    </row>
    <row r="72" spans="4:4" ht="14.25" customHeight="1" x14ac:dyDescent="0.35">
      <c r="D72" s="74"/>
    </row>
    <row r="73" spans="4:4" ht="14.25" customHeight="1" x14ac:dyDescent="0.35"/>
    <row r="74" spans="4:4" ht="14.25" customHeight="1" x14ac:dyDescent="0.35"/>
    <row r="75" spans="4:4" ht="14.25" customHeight="1" x14ac:dyDescent="0.35"/>
    <row r="76" spans="4:4" ht="14.25" customHeight="1" x14ac:dyDescent="0.35"/>
    <row r="77" spans="4:4" ht="14.25" customHeight="1" x14ac:dyDescent="0.35"/>
    <row r="78" spans="4:4" ht="14.25" customHeight="1" x14ac:dyDescent="0.35"/>
    <row r="79" spans="4:4" ht="14.25" customHeight="1" x14ac:dyDescent="0.35"/>
    <row r="80" spans="4:4"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3">
    <mergeCell ref="C2:H2"/>
    <mergeCell ref="B4:E5"/>
    <mergeCell ref="B6:B10"/>
  </mergeCells>
  <pageMargins left="0.7" right="0.7" top="0.75" bottom="0.75" header="0.511811023622047" footer="0.511811023622047"/>
  <pageSetup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Z1000"/>
  <sheetViews>
    <sheetView showGridLines="0" zoomScaleNormal="100" workbookViewId="0">
      <selection activeCell="C2" sqref="C2:H2"/>
    </sheetView>
  </sheetViews>
  <sheetFormatPr defaultColWidth="14.453125" defaultRowHeight="14.5" x14ac:dyDescent="0.35"/>
  <cols>
    <col min="1" max="1" width="8.7265625" customWidth="1"/>
    <col min="2" max="6" width="12.453125" customWidth="1"/>
    <col min="7" max="26" width="12.54296875" customWidth="1"/>
  </cols>
  <sheetData>
    <row r="1" spans="2:8" ht="14.25" customHeight="1" x14ac:dyDescent="0.35"/>
    <row r="2" spans="2:8" ht="14.25" customHeight="1" x14ac:dyDescent="0.35">
      <c r="B2" s="44" t="s">
        <v>135</v>
      </c>
      <c r="C2" s="107"/>
      <c r="D2" s="107"/>
      <c r="E2" s="107"/>
      <c r="F2" s="107"/>
      <c r="G2" s="107"/>
      <c r="H2" s="107"/>
    </row>
    <row r="3" spans="2:8" ht="14.25" customHeight="1" x14ac:dyDescent="0.35">
      <c r="B3" s="44" t="s">
        <v>144</v>
      </c>
      <c r="C3" s="107"/>
      <c r="D3" s="107"/>
      <c r="E3" s="107"/>
      <c r="F3" s="107"/>
      <c r="G3" s="107"/>
      <c r="H3" s="107"/>
    </row>
    <row r="4" spans="2:8" ht="14.25" customHeight="1" x14ac:dyDescent="0.35">
      <c r="C4" s="58"/>
      <c r="D4" s="58"/>
      <c r="E4" s="58"/>
      <c r="F4" s="58"/>
    </row>
    <row r="5" spans="2:8" ht="14.25" customHeight="1" x14ac:dyDescent="0.35">
      <c r="C5" s="58"/>
      <c r="D5" s="58"/>
      <c r="E5" s="58"/>
      <c r="F5" s="58"/>
    </row>
    <row r="6" spans="2:8" ht="14.25" customHeight="1" x14ac:dyDescent="0.35">
      <c r="C6" s="58"/>
      <c r="D6" s="58"/>
      <c r="E6" s="58"/>
      <c r="F6" s="58"/>
    </row>
    <row r="7" spans="2:8" ht="14.25" customHeight="1" x14ac:dyDescent="0.35">
      <c r="C7" s="58"/>
      <c r="D7" s="58"/>
      <c r="E7" s="58"/>
      <c r="F7" s="58"/>
    </row>
    <row r="8" spans="2:8" ht="14.25" customHeight="1" x14ac:dyDescent="0.35">
      <c r="C8" s="58"/>
      <c r="D8" s="58"/>
      <c r="E8" s="58"/>
      <c r="F8" s="58"/>
    </row>
    <row r="9" spans="2:8" ht="14.25" customHeight="1" x14ac:dyDescent="0.35">
      <c r="C9" s="58"/>
      <c r="D9" s="58"/>
      <c r="E9" s="58"/>
      <c r="F9" s="58"/>
    </row>
    <row r="10" spans="2:8" ht="14.25" customHeight="1" x14ac:dyDescent="0.35">
      <c r="C10" s="58"/>
      <c r="D10" s="58"/>
      <c r="E10" s="58"/>
      <c r="F10" s="58"/>
    </row>
    <row r="11" spans="2:8" ht="14.25" customHeight="1" x14ac:dyDescent="0.35">
      <c r="C11" s="58"/>
      <c r="D11" s="58"/>
      <c r="E11" s="58"/>
      <c r="F11" s="58"/>
    </row>
    <row r="12" spans="2:8" ht="14.25" customHeight="1" x14ac:dyDescent="0.35">
      <c r="C12" s="58"/>
      <c r="D12" s="58"/>
      <c r="E12" s="58"/>
      <c r="F12" s="58"/>
    </row>
    <row r="13" spans="2:8" ht="14.25" customHeight="1" x14ac:dyDescent="0.35">
      <c r="C13" s="58"/>
      <c r="D13" s="58"/>
      <c r="E13" s="58"/>
      <c r="F13" s="58"/>
    </row>
    <row r="14" spans="2:8" ht="14.25" customHeight="1" x14ac:dyDescent="0.35">
      <c r="C14" s="58"/>
      <c r="D14" s="58"/>
      <c r="E14" s="58"/>
      <c r="F14" s="58"/>
    </row>
    <row r="15" spans="2:8" ht="14.25" customHeight="1" x14ac:dyDescent="0.35">
      <c r="C15" s="58"/>
      <c r="D15" s="58"/>
      <c r="E15" s="58"/>
      <c r="F15" s="58"/>
    </row>
    <row r="16" spans="2:8" ht="14.25" customHeight="1" x14ac:dyDescent="0.35">
      <c r="C16" s="58"/>
      <c r="D16" s="58"/>
      <c r="E16" s="58"/>
      <c r="F16" s="58"/>
    </row>
    <row r="17" spans="2:8" ht="14.25" customHeight="1" x14ac:dyDescent="0.35">
      <c r="C17" s="58"/>
      <c r="D17" s="58"/>
      <c r="E17" s="58"/>
      <c r="F17" s="58"/>
    </row>
    <row r="18" spans="2:8" ht="14.25" customHeight="1" x14ac:dyDescent="0.35">
      <c r="B18" s="49"/>
    </row>
    <row r="19" spans="2:8" ht="14.25" customHeight="1" x14ac:dyDescent="0.35">
      <c r="B19" s="114" t="s">
        <v>145</v>
      </c>
      <c r="C19" s="114"/>
      <c r="D19" s="114"/>
      <c r="E19" s="114"/>
      <c r="F19" s="114"/>
      <c r="G19" s="114"/>
      <c r="H19" s="114"/>
    </row>
    <row r="20" spans="2:8" ht="14.25" customHeight="1" x14ac:dyDescent="0.35">
      <c r="B20" s="114"/>
      <c r="C20" s="114"/>
      <c r="D20" s="114"/>
      <c r="E20" s="114"/>
      <c r="F20" s="114"/>
      <c r="G20" s="114"/>
      <c r="H20" s="114"/>
    </row>
    <row r="21" spans="2:8" ht="14.25" customHeight="1" x14ac:dyDescent="0.35">
      <c r="B21" s="112" t="s">
        <v>146</v>
      </c>
      <c r="C21" s="29" t="s">
        <v>147</v>
      </c>
      <c r="D21" s="81">
        <v>10.485874000000001</v>
      </c>
    </row>
    <row r="22" spans="2:8" ht="14.25" customHeight="1" x14ac:dyDescent="0.35">
      <c r="B22" s="112"/>
      <c r="C22" s="29" t="s">
        <v>138</v>
      </c>
      <c r="D22" s="81">
        <v>0.40887000000000001</v>
      </c>
    </row>
    <row r="23" spans="2:8" ht="14.25" customHeight="1" x14ac:dyDescent="0.35">
      <c r="B23" s="112"/>
      <c r="C23" s="29" t="s">
        <v>55</v>
      </c>
      <c r="D23" s="81">
        <v>5</v>
      </c>
    </row>
    <row r="24" spans="2:8" ht="14.25" customHeight="1" x14ac:dyDescent="0.35">
      <c r="B24" s="112"/>
      <c r="C24" s="29" t="s">
        <v>64</v>
      </c>
      <c r="D24" s="82">
        <f t="array" ref="D24">INDEX('Tabel Faktor'!$A$1:$Q$25,MATCH(D23,'Tabel Faktor'!$A$1:$A$25,0),MATCH(C24,'Tabel Faktor'!$A$1:$Q$1,0))</f>
        <v>2.3260000000000001</v>
      </c>
    </row>
    <row r="25" spans="2:8" ht="14.25" customHeight="1" x14ac:dyDescent="0.35">
      <c r="B25" s="112"/>
      <c r="C25" s="71" t="s">
        <v>139</v>
      </c>
      <c r="D25" s="83">
        <f>D22/D24</f>
        <v>0.17578245915735169</v>
      </c>
    </row>
    <row r="26" spans="2:8" ht="14.25" customHeight="1" x14ac:dyDescent="0.35">
      <c r="B26" s="112" t="s">
        <v>148</v>
      </c>
      <c r="C26" s="29" t="s">
        <v>41</v>
      </c>
      <c r="D26" s="81">
        <v>12</v>
      </c>
      <c r="E26" s="26"/>
      <c r="F26" s="26"/>
    </row>
    <row r="27" spans="2:8" ht="14.25" customHeight="1" x14ac:dyDescent="0.35">
      <c r="B27" s="112"/>
      <c r="C27" s="29" t="s">
        <v>45</v>
      </c>
      <c r="D27" s="81">
        <v>10</v>
      </c>
      <c r="E27" s="26"/>
      <c r="F27" s="26"/>
    </row>
    <row r="28" spans="2:8" ht="14.25" customHeight="1" x14ac:dyDescent="0.35">
      <c r="B28" s="112"/>
      <c r="C28" s="29" t="s">
        <v>149</v>
      </c>
      <c r="D28" s="82">
        <f>(D29-D27)/3</f>
        <v>0.33333333333333331</v>
      </c>
      <c r="E28" s="26"/>
      <c r="F28" s="26"/>
    </row>
    <row r="29" spans="2:8" ht="14.25" customHeight="1" x14ac:dyDescent="0.35">
      <c r="B29" s="112"/>
      <c r="C29" s="71" t="s">
        <v>147</v>
      </c>
      <c r="D29" s="83">
        <f>AVERAGE(D26:D27)</f>
        <v>11</v>
      </c>
      <c r="E29" s="29"/>
      <c r="F29" s="29"/>
    </row>
    <row r="30" spans="2:8" ht="14.25" customHeight="1" x14ac:dyDescent="0.35">
      <c r="B30" s="115" t="s">
        <v>145</v>
      </c>
      <c r="C30" s="40" t="s">
        <v>150</v>
      </c>
      <c r="D30" s="81">
        <f>(D26-D27)/(6*D25)</f>
        <v>1.8962832522154556</v>
      </c>
      <c r="E30" s="29"/>
      <c r="F30" s="29"/>
    </row>
    <row r="31" spans="2:8" ht="14.25" customHeight="1" x14ac:dyDescent="0.35">
      <c r="B31" s="115"/>
      <c r="C31" s="40" t="s">
        <v>151</v>
      </c>
      <c r="D31" s="81">
        <f>(D21-D27)/(3*D25)</f>
        <v>0.9213547288869337</v>
      </c>
      <c r="E31" s="29"/>
      <c r="F31" s="29"/>
    </row>
    <row r="32" spans="2:8" ht="14.25" customHeight="1" x14ac:dyDescent="0.35">
      <c r="B32" s="115"/>
      <c r="C32" s="40" t="s">
        <v>152</v>
      </c>
      <c r="D32" s="81">
        <f>(D26-D21)/(3*D25)</f>
        <v>2.8712117755439772</v>
      </c>
      <c r="E32" s="29"/>
      <c r="F32" s="29"/>
    </row>
    <row r="33" spans="1:26" ht="14.25" customHeight="1" x14ac:dyDescent="0.35">
      <c r="B33" s="115"/>
      <c r="C33" s="40" t="s">
        <v>153</v>
      </c>
      <c r="D33" s="81">
        <f>MIN(D31:D32)</f>
        <v>0.9213547288869337</v>
      </c>
      <c r="E33" s="29"/>
      <c r="F33" s="29"/>
    </row>
    <row r="34" spans="1:26" ht="14.25" customHeight="1" x14ac:dyDescent="0.35">
      <c r="B34" s="115"/>
      <c r="C34" s="84" t="s">
        <v>154</v>
      </c>
      <c r="D34" s="85">
        <f>1-(_xlfn.NORM.DIST(D26,D21,D25,TRUE())-_xlfn.NORM.DIST(D27,D21,D25,TRUE()))</f>
        <v>2.854315429339338E-3</v>
      </c>
      <c r="E34" s="29"/>
      <c r="F34" s="29"/>
    </row>
    <row r="35" spans="1:26" ht="14.25" customHeight="1" x14ac:dyDescent="0.35">
      <c r="A35" s="28"/>
      <c r="B35" s="86" t="s">
        <v>155</v>
      </c>
      <c r="C35" s="33" t="s">
        <v>156</v>
      </c>
      <c r="D35" s="33" t="s">
        <v>157</v>
      </c>
      <c r="E35" s="33" t="s">
        <v>158</v>
      </c>
      <c r="F35" s="33" t="s">
        <v>159</v>
      </c>
      <c r="G35" s="33" t="s">
        <v>41</v>
      </c>
      <c r="H35" s="33" t="s">
        <v>45</v>
      </c>
      <c r="I35" s="28"/>
      <c r="L35" s="28"/>
      <c r="M35" s="28"/>
      <c r="N35" s="28"/>
      <c r="O35" s="28"/>
      <c r="P35" s="28"/>
      <c r="Q35" s="28"/>
      <c r="R35" s="28"/>
      <c r="S35" s="28"/>
      <c r="T35" s="28"/>
      <c r="U35" s="28"/>
      <c r="V35" s="28"/>
      <c r="W35" s="28"/>
      <c r="X35" s="28"/>
      <c r="Y35" s="28"/>
      <c r="Z35" s="28"/>
    </row>
    <row r="36" spans="1:26" ht="14.25" customHeight="1" x14ac:dyDescent="0.35">
      <c r="B36" s="41">
        <v>-3</v>
      </c>
      <c r="C36" s="39">
        <f t="shared" ref="C36:C99" si="0">$D$21+B36*$D$25</f>
        <v>9.9585266225279465</v>
      </c>
      <c r="D36" s="39">
        <f t="shared" ref="D36:D99" si="1">_xlfn.NORM.DIST($D$21+B36*$D$25,$D$21,$D$25,FALSE())</f>
        <v>2.5212119759747454E-2</v>
      </c>
      <c r="E36" s="39">
        <f t="shared" ref="E36:E99" si="2">$D$29+B36*$D$28</f>
        <v>10</v>
      </c>
      <c r="F36" s="39">
        <f t="shared" ref="F36:F99" si="3">_xlfn.NORM.DIST(E36,$D$29,$D$28,TRUE())</f>
        <v>1.3498980316300933E-3</v>
      </c>
      <c r="G36" s="79">
        <f t="shared" ref="G36:G99" si="4">$D$26</f>
        <v>12</v>
      </c>
      <c r="H36" s="79">
        <f t="shared" ref="H36:H99" si="5">$D$27</f>
        <v>10</v>
      </c>
    </row>
    <row r="37" spans="1:26" ht="14.25" customHeight="1" x14ac:dyDescent="0.35">
      <c r="B37" s="41">
        <f t="shared" ref="B37:B68" si="6">B36+0.03</f>
        <v>-2.97</v>
      </c>
      <c r="C37" s="39">
        <f t="shared" si="0"/>
        <v>9.9638000963026663</v>
      </c>
      <c r="D37" s="39">
        <f t="shared" si="1"/>
        <v>2.7574041967635247E-2</v>
      </c>
      <c r="E37" s="39">
        <f t="shared" si="2"/>
        <v>10.01</v>
      </c>
      <c r="F37" s="39">
        <f t="shared" si="3"/>
        <v>1.4889987452374627E-3</v>
      </c>
      <c r="G37" s="79">
        <f t="shared" si="4"/>
        <v>12</v>
      </c>
      <c r="H37" s="79">
        <f t="shared" si="5"/>
        <v>10</v>
      </c>
    </row>
    <row r="38" spans="1:26" ht="14.25" customHeight="1" x14ac:dyDescent="0.35">
      <c r="B38" s="41">
        <f t="shared" si="6"/>
        <v>-2.9400000000000004</v>
      </c>
      <c r="C38" s="39">
        <f t="shared" si="0"/>
        <v>9.969073570077386</v>
      </c>
      <c r="D38" s="39">
        <f t="shared" si="1"/>
        <v>3.0130104509289667E-2</v>
      </c>
      <c r="E38" s="39">
        <f t="shared" si="2"/>
        <v>10.02</v>
      </c>
      <c r="F38" s="39">
        <f t="shared" si="3"/>
        <v>1.6410612341569895E-3</v>
      </c>
      <c r="G38" s="79">
        <f t="shared" si="4"/>
        <v>12</v>
      </c>
      <c r="H38" s="79">
        <f t="shared" si="5"/>
        <v>10</v>
      </c>
    </row>
    <row r="39" spans="1:26" ht="14.25" customHeight="1" x14ac:dyDescent="0.35">
      <c r="B39" s="41">
        <f t="shared" si="6"/>
        <v>-2.9100000000000006</v>
      </c>
      <c r="C39" s="39">
        <f t="shared" si="0"/>
        <v>9.9743470438521076</v>
      </c>
      <c r="D39" s="39">
        <f t="shared" si="1"/>
        <v>3.2893491838646149E-2</v>
      </c>
      <c r="E39" s="39">
        <f t="shared" si="2"/>
        <v>10.029999999999999</v>
      </c>
      <c r="F39" s="39">
        <f t="shared" si="3"/>
        <v>1.8071437808064171E-3</v>
      </c>
      <c r="G39" s="79">
        <f t="shared" si="4"/>
        <v>12</v>
      </c>
      <c r="H39" s="79">
        <f t="shared" si="5"/>
        <v>10</v>
      </c>
    </row>
    <row r="40" spans="1:26" ht="14.25" customHeight="1" x14ac:dyDescent="0.35">
      <c r="B40" s="41">
        <f t="shared" si="6"/>
        <v>-2.8800000000000008</v>
      </c>
      <c r="C40" s="39">
        <f t="shared" si="0"/>
        <v>9.9796205176268273</v>
      </c>
      <c r="D40" s="39">
        <f t="shared" si="1"/>
        <v>3.5878018924632292E-2</v>
      </c>
      <c r="E40" s="39">
        <f t="shared" si="2"/>
        <v>10.039999999999999</v>
      </c>
      <c r="F40" s="39">
        <f t="shared" si="3"/>
        <v>1.9883758548943056E-3</v>
      </c>
      <c r="G40" s="79">
        <f t="shared" si="4"/>
        <v>12</v>
      </c>
      <c r="H40" s="79">
        <f t="shared" si="5"/>
        <v>10</v>
      </c>
    </row>
    <row r="41" spans="1:26" ht="14.25" customHeight="1" x14ac:dyDescent="0.35">
      <c r="B41" s="41">
        <f t="shared" si="6"/>
        <v>-2.850000000000001</v>
      </c>
      <c r="C41" s="39">
        <f t="shared" si="0"/>
        <v>9.9848939914015489</v>
      </c>
      <c r="D41" s="39">
        <f t="shared" si="1"/>
        <v>3.9098137115386782E-2</v>
      </c>
      <c r="E41" s="39">
        <f t="shared" si="2"/>
        <v>10.049999999999999</v>
      </c>
      <c r="F41" s="39">
        <f t="shared" si="3"/>
        <v>2.1859614549132179E-3</v>
      </c>
      <c r="G41" s="79">
        <f t="shared" si="4"/>
        <v>12</v>
      </c>
      <c r="H41" s="79">
        <f t="shared" si="5"/>
        <v>10</v>
      </c>
    </row>
    <row r="42" spans="1:26" ht="14.25" customHeight="1" x14ac:dyDescent="0.35">
      <c r="B42" s="41">
        <f t="shared" si="6"/>
        <v>-2.8200000000000012</v>
      </c>
      <c r="C42" s="39">
        <f t="shared" si="0"/>
        <v>9.9901674651762686</v>
      </c>
      <c r="D42" s="39">
        <f t="shared" si="1"/>
        <v>4.2568937547302219E-2</v>
      </c>
      <c r="E42" s="39">
        <f t="shared" si="2"/>
        <v>10.059999999999999</v>
      </c>
      <c r="F42" s="39">
        <f t="shared" si="3"/>
        <v>2.4011824741892217E-3</v>
      </c>
      <c r="G42" s="79">
        <f t="shared" si="4"/>
        <v>12</v>
      </c>
      <c r="H42" s="79">
        <f t="shared" si="5"/>
        <v>10</v>
      </c>
    </row>
    <row r="43" spans="1:26" ht="14.25" customHeight="1" x14ac:dyDescent="0.35">
      <c r="B43" s="41">
        <f t="shared" si="6"/>
        <v>-2.7900000000000014</v>
      </c>
      <c r="C43" s="39">
        <f t="shared" si="0"/>
        <v>9.9954409389509902</v>
      </c>
      <c r="D43" s="39">
        <f t="shared" si="1"/>
        <v>4.6306151857050504E-2</v>
      </c>
      <c r="E43" s="39">
        <f t="shared" si="2"/>
        <v>10.07</v>
      </c>
      <c r="F43" s="39">
        <f t="shared" si="3"/>
        <v>2.6354020779049562E-3</v>
      </c>
      <c r="G43" s="79">
        <f t="shared" si="4"/>
        <v>12</v>
      </c>
      <c r="H43" s="79">
        <f t="shared" si="5"/>
        <v>10</v>
      </c>
    </row>
    <row r="44" spans="1:26" ht="14.25" customHeight="1" x14ac:dyDescent="0.35">
      <c r="B44" s="41">
        <f t="shared" si="6"/>
        <v>-2.7600000000000016</v>
      </c>
      <c r="C44" s="39">
        <f t="shared" si="0"/>
        <v>10.00071441272571</v>
      </c>
      <c r="D44" s="39">
        <f t="shared" si="1"/>
        <v>5.0326149950594846E-2</v>
      </c>
      <c r="E44" s="39">
        <f t="shared" si="2"/>
        <v>10.08</v>
      </c>
      <c r="F44" s="39">
        <f t="shared" si="3"/>
        <v>2.890068076226146E-3</v>
      </c>
      <c r="G44" s="79">
        <f t="shared" si="4"/>
        <v>12</v>
      </c>
      <c r="H44" s="79">
        <f t="shared" si="5"/>
        <v>10</v>
      </c>
    </row>
    <row r="45" spans="1:26" ht="14.25" customHeight="1" x14ac:dyDescent="0.35">
      <c r="B45" s="41">
        <f t="shared" si="6"/>
        <v>-2.7300000000000018</v>
      </c>
      <c r="C45" s="39">
        <f t="shared" si="0"/>
        <v>10.00598788650043</v>
      </c>
      <c r="D45" s="39">
        <f t="shared" si="1"/>
        <v>5.464593458065576E-2</v>
      </c>
      <c r="E45" s="39">
        <f t="shared" si="2"/>
        <v>10.09</v>
      </c>
      <c r="F45" s="39">
        <f t="shared" si="3"/>
        <v>3.1667162773577873E-3</v>
      </c>
      <c r="G45" s="79">
        <f t="shared" si="4"/>
        <v>12</v>
      </c>
      <c r="H45" s="79">
        <f t="shared" si="5"/>
        <v>10</v>
      </c>
    </row>
    <row r="46" spans="1:26" ht="14.25" customHeight="1" x14ac:dyDescent="0.35">
      <c r="B46" s="41">
        <f t="shared" si="6"/>
        <v>-2.700000000000002</v>
      </c>
      <c r="C46" s="39">
        <f t="shared" si="0"/>
        <v>10.011261360275151</v>
      </c>
      <c r="D46" s="39">
        <f t="shared" si="1"/>
        <v>5.9283132483055598E-2</v>
      </c>
      <c r="E46" s="39">
        <f t="shared" si="2"/>
        <v>10.1</v>
      </c>
      <c r="F46" s="39">
        <f t="shared" si="3"/>
        <v>3.4669738030406539E-3</v>
      </c>
      <c r="G46" s="79">
        <f t="shared" si="4"/>
        <v>12</v>
      </c>
      <c r="H46" s="79">
        <f t="shared" si="5"/>
        <v>10</v>
      </c>
      <c r="K46" s="87"/>
    </row>
    <row r="47" spans="1:26" ht="14.25" customHeight="1" x14ac:dyDescent="0.35">
      <c r="B47" s="41">
        <f t="shared" si="6"/>
        <v>-2.6700000000000021</v>
      </c>
      <c r="C47" s="39">
        <f t="shared" si="0"/>
        <v>10.016534834049871</v>
      </c>
      <c r="D47" s="39">
        <f t="shared" si="1"/>
        <v>6.4255981823221689E-2</v>
      </c>
      <c r="E47" s="39">
        <f t="shared" si="2"/>
        <v>10.11</v>
      </c>
      <c r="F47" s="39">
        <f t="shared" si="3"/>
        <v>3.7925623476854683E-3</v>
      </c>
      <c r="G47" s="79">
        <f t="shared" si="4"/>
        <v>12</v>
      </c>
      <c r="H47" s="79">
        <f t="shared" si="5"/>
        <v>10</v>
      </c>
    </row>
    <row r="48" spans="1:26" ht="14.25" customHeight="1" x14ac:dyDescent="0.35">
      <c r="B48" s="41">
        <f t="shared" si="6"/>
        <v>-2.6400000000000023</v>
      </c>
      <c r="C48" s="39">
        <f t="shared" si="0"/>
        <v>10.021808307824593</v>
      </c>
      <c r="D48" s="39">
        <f t="shared" si="1"/>
        <v>6.9583315706881546E-2</v>
      </c>
      <c r="E48" s="39">
        <f t="shared" si="2"/>
        <v>10.119999999999999</v>
      </c>
      <c r="F48" s="39">
        <f t="shared" si="3"/>
        <v>4.1453013610360098E-3</v>
      </c>
      <c r="G48" s="79">
        <f t="shared" si="4"/>
        <v>12</v>
      </c>
      <c r="H48" s="79">
        <f t="shared" si="5"/>
        <v>10</v>
      </c>
    </row>
    <row r="49" spans="2:8" ht="14.25" customHeight="1" x14ac:dyDescent="0.35">
      <c r="B49" s="41">
        <f t="shared" si="6"/>
        <v>-2.6100000000000025</v>
      </c>
      <c r="C49" s="39">
        <f t="shared" si="0"/>
        <v>10.027081781599312</v>
      </c>
      <c r="D49" s="39">
        <f t="shared" si="1"/>
        <v>7.5284541513753092E-2</v>
      </c>
      <c r="E49" s="39">
        <f t="shared" si="2"/>
        <v>10.129999999999999</v>
      </c>
      <c r="F49" s="39">
        <f t="shared" si="3"/>
        <v>4.5271111329672816E-3</v>
      </c>
      <c r="G49" s="79">
        <f t="shared" si="4"/>
        <v>12</v>
      </c>
      <c r="H49" s="79">
        <f t="shared" si="5"/>
        <v>10</v>
      </c>
    </row>
    <row r="50" spans="2:8" ht="14.25" customHeight="1" x14ac:dyDescent="0.35">
      <c r="B50" s="41">
        <f t="shared" si="6"/>
        <v>-2.5800000000000027</v>
      </c>
      <c r="C50" s="39">
        <f t="shared" si="0"/>
        <v>10.032355255374032</v>
      </c>
      <c r="D50" s="39">
        <f t="shared" si="1"/>
        <v>8.1379615820166534E-2</v>
      </c>
      <c r="E50" s="39">
        <f t="shared" si="2"/>
        <v>10.139999999999999</v>
      </c>
      <c r="F50" s="39">
        <f t="shared" si="3"/>
        <v>4.9400157577705892E-3</v>
      </c>
      <c r="G50" s="79">
        <f t="shared" si="4"/>
        <v>12</v>
      </c>
      <c r="H50" s="79">
        <f t="shared" si="5"/>
        <v>10</v>
      </c>
    </row>
    <row r="51" spans="2:8" ht="14.25" customHeight="1" x14ac:dyDescent="0.35">
      <c r="B51" s="41">
        <f t="shared" si="6"/>
        <v>-2.5500000000000029</v>
      </c>
      <c r="C51" s="39">
        <f t="shared" si="0"/>
        <v>10.037628729148754</v>
      </c>
      <c r="D51" s="39">
        <f t="shared" si="1"/>
        <v>8.7889014685848643E-2</v>
      </c>
      <c r="E51" s="39">
        <f t="shared" si="2"/>
        <v>10.149999999999999</v>
      </c>
      <c r="F51" s="39">
        <f t="shared" si="3"/>
        <v>5.3861459540666184E-3</v>
      </c>
      <c r="G51" s="79">
        <f t="shared" si="4"/>
        <v>12</v>
      </c>
      <c r="H51" s="79">
        <f t="shared" si="5"/>
        <v>10</v>
      </c>
    </row>
    <row r="52" spans="2:8" ht="14.25" customHeight="1" x14ac:dyDescent="0.35">
      <c r="B52" s="41">
        <f t="shared" si="6"/>
        <v>-2.5200000000000031</v>
      </c>
      <c r="C52" s="39">
        <f t="shared" si="0"/>
        <v>10.042902202923473</v>
      </c>
      <c r="D52" s="39">
        <f t="shared" si="1"/>
        <v>9.4833699092004051E-2</v>
      </c>
      <c r="E52" s="39">
        <f t="shared" si="2"/>
        <v>10.159999999999998</v>
      </c>
      <c r="F52" s="39">
        <f t="shared" si="3"/>
        <v>5.8677417153324783E-3</v>
      </c>
      <c r="G52" s="79">
        <f t="shared" si="4"/>
        <v>12</v>
      </c>
      <c r="H52" s="79">
        <f t="shared" si="5"/>
        <v>10</v>
      </c>
    </row>
    <row r="53" spans="2:8" ht="14.25" customHeight="1" x14ac:dyDescent="0.35">
      <c r="B53" s="41">
        <f t="shared" si="6"/>
        <v>-2.4900000000000033</v>
      </c>
      <c r="C53" s="39">
        <f t="shared" si="0"/>
        <v>10.048175676698195</v>
      </c>
      <c r="D53" s="39">
        <f t="shared" si="1"/>
        <v>0.10223507533224761</v>
      </c>
      <c r="E53" s="39">
        <f t="shared" si="2"/>
        <v>10.169999999999998</v>
      </c>
      <c r="F53" s="39">
        <f t="shared" si="3"/>
        <v>6.3871547649430749E-3</v>
      </c>
      <c r="G53" s="79">
        <f t="shared" si="4"/>
        <v>12</v>
      </c>
      <c r="H53" s="79">
        <f t="shared" si="5"/>
        <v>10</v>
      </c>
    </row>
    <row r="54" spans="2:8" ht="14.25" customHeight="1" x14ac:dyDescent="0.35">
      <c r="B54" s="41">
        <f t="shared" si="6"/>
        <v>-2.4600000000000035</v>
      </c>
      <c r="C54" s="39">
        <f t="shared" si="0"/>
        <v>10.053449150472915</v>
      </c>
      <c r="D54" s="39">
        <f t="shared" si="1"/>
        <v>0.11011495017491998</v>
      </c>
      <c r="E54" s="39">
        <f t="shared" si="2"/>
        <v>10.18</v>
      </c>
      <c r="F54" s="39">
        <f t="shared" si="3"/>
        <v>6.9468507886242918E-3</v>
      </c>
      <c r="G54" s="79">
        <f t="shared" si="4"/>
        <v>12</v>
      </c>
      <c r="H54" s="79">
        <f t="shared" si="5"/>
        <v>10</v>
      </c>
    </row>
    <row r="55" spans="2:8" ht="14.25" customHeight="1" x14ac:dyDescent="0.35">
      <c r="B55" s="41">
        <f t="shared" si="6"/>
        <v>-2.4300000000000037</v>
      </c>
      <c r="C55" s="39">
        <f t="shared" si="0"/>
        <v>10.058722624247636</v>
      </c>
      <c r="D55" s="39">
        <f t="shared" si="1"/>
        <v>0.11849548063522493</v>
      </c>
      <c r="E55" s="39">
        <f t="shared" si="2"/>
        <v>10.19</v>
      </c>
      <c r="F55" s="39">
        <f t="shared" si="3"/>
        <v>7.549411416309171E-3</v>
      </c>
      <c r="G55" s="79">
        <f t="shared" si="4"/>
        <v>12</v>
      </c>
      <c r="H55" s="79">
        <f t="shared" si="5"/>
        <v>10</v>
      </c>
    </row>
    <row r="56" spans="2:8" ht="14.25" customHeight="1" x14ac:dyDescent="0.35">
      <c r="B56" s="41">
        <f t="shared" si="6"/>
        <v>-2.4000000000000039</v>
      </c>
      <c r="C56" s="39">
        <f t="shared" si="0"/>
        <v>10.063996098022356</v>
      </c>
      <c r="D56" s="39">
        <f t="shared" si="1"/>
        <v>0.12739911821802535</v>
      </c>
      <c r="E56" s="39">
        <f t="shared" si="2"/>
        <v>10.199999999999999</v>
      </c>
      <c r="F56" s="39">
        <f t="shared" si="3"/>
        <v>8.1975359245960791E-3</v>
      </c>
      <c r="G56" s="79">
        <f t="shared" si="4"/>
        <v>12</v>
      </c>
      <c r="H56" s="79">
        <f t="shared" si="5"/>
        <v>10</v>
      </c>
    </row>
    <row r="57" spans="2:8" ht="14.25" customHeight="1" x14ac:dyDescent="0.35">
      <c r="B57" s="41">
        <f t="shared" si="6"/>
        <v>-2.3700000000000041</v>
      </c>
      <c r="C57" s="39">
        <f t="shared" si="0"/>
        <v>10.069269571797076</v>
      </c>
      <c r="D57" s="39">
        <f t="shared" si="1"/>
        <v>0.13684854751764003</v>
      </c>
      <c r="E57" s="39">
        <f t="shared" si="2"/>
        <v>10.209999999999999</v>
      </c>
      <c r="F57" s="39">
        <f t="shared" si="3"/>
        <v>8.8940426303367043E-3</v>
      </c>
      <c r="G57" s="79">
        <f t="shared" si="4"/>
        <v>12</v>
      </c>
      <c r="H57" s="79">
        <f t="shared" si="5"/>
        <v>10</v>
      </c>
    </row>
    <row r="58" spans="2:8" ht="14.25" customHeight="1" x14ac:dyDescent="0.35">
      <c r="B58" s="41">
        <f t="shared" si="6"/>
        <v>-2.3400000000000043</v>
      </c>
      <c r="C58" s="39">
        <f t="shared" si="0"/>
        <v>10.074543045571797</v>
      </c>
      <c r="D58" s="39">
        <f t="shared" si="1"/>
        <v>0.14686661908898296</v>
      </c>
      <c r="E58" s="39">
        <f t="shared" si="2"/>
        <v>10.219999999999999</v>
      </c>
      <c r="F58" s="39">
        <f t="shared" si="3"/>
        <v>9.6418699453582456E-3</v>
      </c>
      <c r="G58" s="79">
        <f t="shared" si="4"/>
        <v>12</v>
      </c>
      <c r="H58" s="79">
        <f t="shared" si="5"/>
        <v>10</v>
      </c>
    </row>
    <row r="59" spans="2:8" ht="14.25" customHeight="1" x14ac:dyDescent="0.35">
      <c r="B59" s="41">
        <f t="shared" si="6"/>
        <v>-2.3100000000000045</v>
      </c>
      <c r="C59" s="39">
        <f t="shared" si="0"/>
        <v>10.079816519346517</v>
      </c>
      <c r="D59" s="39">
        <f t="shared" si="1"/>
        <v>0.15747627653540164</v>
      </c>
      <c r="E59" s="39">
        <f t="shared" si="2"/>
        <v>10.229999999999999</v>
      </c>
      <c r="F59" s="39">
        <f t="shared" si="3"/>
        <v>1.0444077061950968E-2</v>
      </c>
      <c r="G59" s="79">
        <f t="shared" si="4"/>
        <v>12</v>
      </c>
      <c r="H59" s="79">
        <f t="shared" si="5"/>
        <v>10</v>
      </c>
    </row>
    <row r="60" spans="2:8" ht="14.25" customHeight="1" x14ac:dyDescent="0.35">
      <c r="B60" s="41">
        <f t="shared" si="6"/>
        <v>-2.2800000000000047</v>
      </c>
      <c r="C60" s="39">
        <f t="shared" si="0"/>
        <v>10.085089993121239</v>
      </c>
      <c r="D60" s="39">
        <f t="shared" si="1"/>
        <v>0.16870047779224548</v>
      </c>
      <c r="E60" s="39">
        <f t="shared" si="2"/>
        <v>10.239999999999998</v>
      </c>
      <c r="F60" s="39">
        <f t="shared" si="3"/>
        <v>1.130384423855265E-2</v>
      </c>
      <c r="G60" s="79">
        <f t="shared" si="4"/>
        <v>12</v>
      </c>
      <c r="H60" s="79">
        <f t="shared" si="5"/>
        <v>10</v>
      </c>
    </row>
    <row r="61" spans="2:8" ht="14.25" customHeight="1" x14ac:dyDescent="0.35">
      <c r="B61" s="41">
        <f t="shared" si="6"/>
        <v>-2.2500000000000049</v>
      </c>
      <c r="C61" s="39">
        <f t="shared" si="0"/>
        <v>10.090363466895958</v>
      </c>
      <c r="D61" s="39">
        <f t="shared" si="1"/>
        <v>0.18056211062137426</v>
      </c>
      <c r="E61" s="39">
        <f t="shared" si="2"/>
        <v>10.249999999999998</v>
      </c>
      <c r="F61" s="39">
        <f t="shared" si="3"/>
        <v>1.2224472655044526E-2</v>
      </c>
      <c r="G61" s="79">
        <f t="shared" si="4"/>
        <v>12</v>
      </c>
      <c r="H61" s="79">
        <f t="shared" si="5"/>
        <v>10</v>
      </c>
    </row>
    <row r="62" spans="2:8" ht="14.25" customHeight="1" x14ac:dyDescent="0.35">
      <c r="B62" s="41">
        <f t="shared" si="6"/>
        <v>-2.2200000000000051</v>
      </c>
      <c r="C62" s="39">
        <f t="shared" si="0"/>
        <v>10.09563694067068</v>
      </c>
      <c r="D62" s="39">
        <f t="shared" si="1"/>
        <v>0.19308390237086753</v>
      </c>
      <c r="E62" s="39">
        <f t="shared" si="2"/>
        <v>10.259999999999998</v>
      </c>
      <c r="F62" s="39">
        <f t="shared" si="3"/>
        <v>1.3209383807256073E-2</v>
      </c>
      <c r="G62" s="79">
        <f t="shared" si="4"/>
        <v>12</v>
      </c>
      <c r="H62" s="79">
        <f t="shared" si="5"/>
        <v>10</v>
      </c>
    </row>
    <row r="63" spans="2:8" ht="14.25" customHeight="1" x14ac:dyDescent="0.35">
      <c r="B63" s="41">
        <f t="shared" si="6"/>
        <v>-2.1900000000000053</v>
      </c>
      <c r="C63" s="39">
        <f t="shared" si="0"/>
        <v>10.1009104144454</v>
      </c>
      <c r="D63" s="39">
        <f t="shared" si="1"/>
        <v>0.20628832409521564</v>
      </c>
      <c r="E63" s="39">
        <f t="shared" si="2"/>
        <v>10.269999999999998</v>
      </c>
      <c r="F63" s="39">
        <f t="shared" si="3"/>
        <v>1.4262118410668635E-2</v>
      </c>
      <c r="G63" s="79">
        <f t="shared" si="4"/>
        <v>12</v>
      </c>
      <c r="H63" s="79">
        <f t="shared" si="5"/>
        <v>10</v>
      </c>
    </row>
    <row r="64" spans="2:8" ht="14.25" customHeight="1" x14ac:dyDescent="0.35">
      <c r="B64" s="41">
        <f t="shared" si="6"/>
        <v>-2.1600000000000055</v>
      </c>
      <c r="C64" s="39">
        <f t="shared" si="0"/>
        <v>10.106183888220119</v>
      </c>
      <c r="D64" s="39">
        <f t="shared" si="1"/>
        <v>0.22019748917499385</v>
      </c>
      <c r="E64" s="39">
        <f t="shared" si="2"/>
        <v>10.279999999999998</v>
      </c>
      <c r="F64" s="39">
        <f t="shared" si="3"/>
        <v>1.5386334783925161E-2</v>
      </c>
      <c r="G64" s="79">
        <f t="shared" si="4"/>
        <v>12</v>
      </c>
      <c r="H64" s="79">
        <f t="shared" si="5"/>
        <v>10</v>
      </c>
    </row>
    <row r="65" spans="2:8" ht="14.25" customHeight="1" x14ac:dyDescent="0.35">
      <c r="B65" s="41">
        <f t="shared" si="6"/>
        <v>-2.1300000000000057</v>
      </c>
      <c r="C65" s="39">
        <f t="shared" si="0"/>
        <v>10.111457361994841</v>
      </c>
      <c r="D65" s="39">
        <f t="shared" si="1"/>
        <v>0.23483304662030377</v>
      </c>
      <c r="E65" s="39">
        <f t="shared" si="2"/>
        <v>10.289999999999997</v>
      </c>
      <c r="F65" s="39">
        <f t="shared" si="3"/>
        <v>1.6585806683604681E-2</v>
      </c>
      <c r="G65" s="79">
        <f t="shared" si="4"/>
        <v>12</v>
      </c>
      <c r="H65" s="79">
        <f t="shared" si="5"/>
        <v>10</v>
      </c>
    </row>
    <row r="66" spans="2:8" ht="14.25" customHeight="1" x14ac:dyDescent="0.35">
      <c r="B66" s="41">
        <f t="shared" si="6"/>
        <v>-2.1000000000000059</v>
      </c>
      <c r="C66" s="39">
        <f t="shared" si="0"/>
        <v>10.116730835769561</v>
      </c>
      <c r="D66" s="39">
        <f t="shared" si="1"/>
        <v>0.25021606928968071</v>
      </c>
      <c r="E66" s="39">
        <f t="shared" si="2"/>
        <v>10.299999999999997</v>
      </c>
      <c r="F66" s="39">
        <f t="shared" si="3"/>
        <v>1.7864420562816171E-2</v>
      </c>
      <c r="G66" s="79">
        <f t="shared" si="4"/>
        <v>12</v>
      </c>
      <c r="H66" s="79">
        <f t="shared" si="5"/>
        <v>10</v>
      </c>
    </row>
    <row r="67" spans="2:8" ht="14.25" customHeight="1" x14ac:dyDescent="0.35">
      <c r="B67" s="41">
        <f t="shared" si="6"/>
        <v>-2.0700000000000061</v>
      </c>
      <c r="C67" s="39">
        <f t="shared" si="0"/>
        <v>10.122004309544282</v>
      </c>
      <c r="D67" s="39">
        <f t="shared" si="1"/>
        <v>0.26636693730498756</v>
      </c>
      <c r="E67" s="39">
        <f t="shared" si="2"/>
        <v>10.309999999999999</v>
      </c>
      <c r="F67" s="39">
        <f t="shared" si="3"/>
        <v>1.9226172227517112E-2</v>
      </c>
      <c r="G67" s="79">
        <f t="shared" si="4"/>
        <v>12</v>
      </c>
      <c r="H67" s="79">
        <f t="shared" si="5"/>
        <v>10</v>
      </c>
    </row>
    <row r="68" spans="2:8" ht="14.25" customHeight="1" x14ac:dyDescent="0.35">
      <c r="B68" s="41">
        <f t="shared" si="6"/>
        <v>-2.0400000000000063</v>
      </c>
      <c r="C68" s="39">
        <f t="shared" si="0"/>
        <v>10.127277783319002</v>
      </c>
      <c r="D68" s="39">
        <f t="shared" si="1"/>
        <v>0.2833052169926204</v>
      </c>
      <c r="E68" s="39">
        <f t="shared" si="2"/>
        <v>10.319999999999999</v>
      </c>
      <c r="F68" s="39">
        <f t="shared" si="3"/>
        <v>2.067516286606982E-2</v>
      </c>
      <c r="G68" s="79">
        <f t="shared" si="4"/>
        <v>12</v>
      </c>
      <c r="H68" s="79">
        <f t="shared" si="5"/>
        <v>10</v>
      </c>
    </row>
    <row r="69" spans="2:8" ht="14.25" customHeight="1" x14ac:dyDescent="0.35">
      <c r="B69" s="41">
        <f t="shared" ref="B69:B100" si="7">B68+0.03</f>
        <v>-2.0100000000000064</v>
      </c>
      <c r="C69" s="39">
        <f t="shared" si="0"/>
        <v>10.132551257093724</v>
      </c>
      <c r="D69" s="39">
        <f t="shared" si="1"/>
        <v>0.30104953573251225</v>
      </c>
      <c r="E69" s="39">
        <f t="shared" si="2"/>
        <v>10.329999999999998</v>
      </c>
      <c r="F69" s="39">
        <f t="shared" si="3"/>
        <v>2.2215594429431194E-2</v>
      </c>
      <c r="G69" s="79">
        <f t="shared" si="4"/>
        <v>12</v>
      </c>
      <c r="H69" s="79">
        <f t="shared" si="5"/>
        <v>10</v>
      </c>
    </row>
    <row r="70" spans="2:8" ht="14.25" customHeight="1" x14ac:dyDescent="0.35">
      <c r="B70" s="41">
        <f t="shared" si="7"/>
        <v>-1.9800000000000064</v>
      </c>
      <c r="C70" s="39">
        <f t="shared" si="0"/>
        <v>10.137824730868443</v>
      </c>
      <c r="D70" s="39">
        <f t="shared" si="1"/>
        <v>0.31961745314744366</v>
      </c>
      <c r="E70" s="39">
        <f t="shared" si="2"/>
        <v>10.339999999999998</v>
      </c>
      <c r="F70" s="39">
        <f t="shared" si="3"/>
        <v>2.3851764341508184E-2</v>
      </c>
      <c r="G70" s="79">
        <f t="shared" si="4"/>
        <v>12</v>
      </c>
      <c r="H70" s="79">
        <f t="shared" si="5"/>
        <v>10</v>
      </c>
    </row>
    <row r="71" spans="2:8" ht="14.25" customHeight="1" x14ac:dyDescent="0.35">
      <c r="B71" s="41">
        <f t="shared" si="7"/>
        <v>-1.9500000000000064</v>
      </c>
      <c r="C71" s="39">
        <f t="shared" si="0"/>
        <v>10.143098204643163</v>
      </c>
      <c r="D71" s="39">
        <f t="shared" si="1"/>
        <v>0.33902532911698857</v>
      </c>
      <c r="E71" s="39">
        <f t="shared" si="2"/>
        <v>10.349999999999998</v>
      </c>
      <c r="F71" s="39">
        <f t="shared" si="3"/>
        <v>2.5588059521638232E-2</v>
      </c>
      <c r="G71" s="79">
        <f t="shared" si="4"/>
        <v>12</v>
      </c>
      <c r="H71" s="79">
        <f t="shared" si="5"/>
        <v>10</v>
      </c>
    </row>
    <row r="72" spans="2:8" ht="14.25" customHeight="1" x14ac:dyDescent="0.35">
      <c r="B72" s="41">
        <f t="shared" si="7"/>
        <v>-1.9200000000000064</v>
      </c>
      <c r="C72" s="39">
        <f t="shared" si="0"/>
        <v>10.148371678417885</v>
      </c>
      <c r="D72" s="39">
        <f t="shared" si="1"/>
        <v>0.35928818915124711</v>
      </c>
      <c r="E72" s="39">
        <f t="shared" si="2"/>
        <v>10.359999999999998</v>
      </c>
      <c r="F72" s="39">
        <f t="shared" si="3"/>
        <v>2.7428949703836372E-2</v>
      </c>
      <c r="G72" s="79">
        <f t="shared" si="4"/>
        <v>12</v>
      </c>
      <c r="H72" s="79">
        <f t="shared" si="5"/>
        <v>10</v>
      </c>
    </row>
    <row r="73" spans="2:8" ht="14.25" customHeight="1" x14ac:dyDescent="0.35">
      <c r="B73" s="41">
        <f t="shared" si="7"/>
        <v>-1.8900000000000063</v>
      </c>
      <c r="C73" s="39">
        <f t="shared" si="0"/>
        <v>10.153645152192604</v>
      </c>
      <c r="D73" s="39">
        <f t="shared" si="1"/>
        <v>0.38041958771009238</v>
      </c>
      <c r="E73" s="39">
        <f t="shared" si="2"/>
        <v>10.369999999999997</v>
      </c>
      <c r="F73" s="39">
        <f t="shared" si="3"/>
        <v>2.9378980040408901E-2</v>
      </c>
      <c r="G73" s="79">
        <f t="shared" si="4"/>
        <v>12</v>
      </c>
      <c r="H73" s="79">
        <f t="shared" si="5"/>
        <v>10</v>
      </c>
    </row>
    <row r="74" spans="2:8" ht="14.25" customHeight="1" x14ac:dyDescent="0.35">
      <c r="B74" s="41">
        <f t="shared" si="7"/>
        <v>-1.8600000000000063</v>
      </c>
      <c r="C74" s="39">
        <f t="shared" si="0"/>
        <v>10.158918625967326</v>
      </c>
      <c r="D74" s="39">
        <f t="shared" si="1"/>
        <v>0.40243147010282476</v>
      </c>
      <c r="E74" s="39">
        <f t="shared" si="2"/>
        <v>10.379999999999997</v>
      </c>
      <c r="F74" s="39">
        <f t="shared" si="3"/>
        <v>3.1442762980752118E-2</v>
      </c>
      <c r="G74" s="79">
        <f t="shared" si="4"/>
        <v>12</v>
      </c>
      <c r="H74" s="79">
        <f t="shared" si="5"/>
        <v>10</v>
      </c>
    </row>
    <row r="75" spans="2:8" ht="14.25" customHeight="1" x14ac:dyDescent="0.35">
      <c r="B75" s="41">
        <f t="shared" si="7"/>
        <v>-1.8300000000000063</v>
      </c>
      <c r="C75" s="39">
        <f t="shared" si="0"/>
        <v>10.164192099742046</v>
      </c>
      <c r="D75" s="39">
        <f t="shared" si="1"/>
        <v>0.42533403365030503</v>
      </c>
      <c r="E75" s="39">
        <f t="shared" si="2"/>
        <v>10.389999999999997</v>
      </c>
      <c r="F75" s="39">
        <f t="shared" si="3"/>
        <v>3.3624969419627657E-2</v>
      </c>
      <c r="G75" s="79">
        <f t="shared" si="4"/>
        <v>12</v>
      </c>
      <c r="H75" s="79">
        <f t="shared" si="5"/>
        <v>10</v>
      </c>
    </row>
    <row r="76" spans="2:8" ht="14.25" customHeight="1" x14ac:dyDescent="0.35">
      <c r="B76" s="41">
        <f t="shared" si="7"/>
        <v>-1.8000000000000063</v>
      </c>
      <c r="C76" s="39">
        <f t="shared" si="0"/>
        <v>10.169465573516767</v>
      </c>
      <c r="D76" s="39">
        <f t="shared" si="1"/>
        <v>0.44913558883723109</v>
      </c>
      <c r="E76" s="39">
        <f t="shared" si="2"/>
        <v>10.399999999999999</v>
      </c>
      <c r="F76" s="39">
        <f t="shared" si="3"/>
        <v>3.5930319112925456E-2</v>
      </c>
      <c r="G76" s="79">
        <f t="shared" si="4"/>
        <v>12</v>
      </c>
      <c r="H76" s="79">
        <f t="shared" si="5"/>
        <v>10</v>
      </c>
    </row>
    <row r="77" spans="2:8" ht="14.25" customHeight="1" x14ac:dyDescent="0.35">
      <c r="B77" s="41">
        <f t="shared" si="7"/>
        <v>-1.7700000000000062</v>
      </c>
      <c r="C77" s="39">
        <f t="shared" si="0"/>
        <v>10.174739047291487</v>
      </c>
      <c r="D77" s="39">
        <f t="shared" si="1"/>
        <v>0.47384242122425535</v>
      </c>
      <c r="E77" s="39">
        <f t="shared" si="2"/>
        <v>10.409999999999998</v>
      </c>
      <c r="F77" s="39">
        <f t="shared" si="3"/>
        <v>3.8363570362870809E-2</v>
      </c>
      <c r="G77" s="79">
        <f t="shared" si="4"/>
        <v>12</v>
      </c>
      <c r="H77" s="79">
        <f t="shared" si="5"/>
        <v>10</v>
      </c>
    </row>
    <row r="78" spans="2:8" ht="14.25" customHeight="1" x14ac:dyDescent="0.35">
      <c r="B78" s="41">
        <f t="shared" si="7"/>
        <v>-1.7400000000000062</v>
      </c>
      <c r="C78" s="39">
        <f t="shared" si="0"/>
        <v>10.180012521066208</v>
      </c>
      <c r="D78" s="39">
        <f t="shared" si="1"/>
        <v>0.49945865492935582</v>
      </c>
      <c r="E78" s="39">
        <f t="shared" si="2"/>
        <v>10.419999999999998</v>
      </c>
      <c r="F78" s="39">
        <f t="shared" si="3"/>
        <v>4.0929508978806879E-2</v>
      </c>
      <c r="G78" s="79">
        <f t="shared" si="4"/>
        <v>12</v>
      </c>
      <c r="H78" s="79">
        <f t="shared" si="5"/>
        <v>10</v>
      </c>
    </row>
    <row r="79" spans="2:8" ht="14.25" customHeight="1" x14ac:dyDescent="0.35">
      <c r="B79" s="41">
        <f t="shared" si="7"/>
        <v>-1.7100000000000062</v>
      </c>
      <c r="C79" s="39">
        <f t="shared" si="0"/>
        <v>10.185285994840928</v>
      </c>
      <c r="D79" s="39">
        <f t="shared" si="1"/>
        <v>0.5259861185228657</v>
      </c>
      <c r="E79" s="39">
        <f t="shared" si="2"/>
        <v>10.429999999999998</v>
      </c>
      <c r="F79" s="39">
        <f t="shared" si="3"/>
        <v>4.3632936524031309E-2</v>
      </c>
      <c r="G79" s="79">
        <f t="shared" si="4"/>
        <v>12</v>
      </c>
      <c r="H79" s="79">
        <f t="shared" si="5"/>
        <v>10</v>
      </c>
    </row>
    <row r="80" spans="2:8" ht="14.25" customHeight="1" x14ac:dyDescent="0.35">
      <c r="B80" s="41">
        <f t="shared" si="7"/>
        <v>-1.6800000000000062</v>
      </c>
      <c r="C80" s="39">
        <f t="shared" si="0"/>
        <v>10.19055946861565</v>
      </c>
      <c r="D80" s="39">
        <f t="shared" si="1"/>
        <v>0.55342421421232391</v>
      </c>
      <c r="E80" s="39">
        <f t="shared" si="2"/>
        <v>10.439999999999998</v>
      </c>
      <c r="F80" s="39">
        <f t="shared" si="3"/>
        <v>4.647865786371938E-2</v>
      </c>
      <c r="G80" s="79">
        <f t="shared" si="4"/>
        <v>12</v>
      </c>
      <c r="H80" s="79">
        <f t="shared" si="5"/>
        <v>10</v>
      </c>
    </row>
    <row r="81" spans="2:8" ht="14.25" customHeight="1" x14ac:dyDescent="0.35">
      <c r="B81" s="41">
        <f t="shared" si="7"/>
        <v>-1.6500000000000061</v>
      </c>
      <c r="C81" s="39">
        <f t="shared" si="0"/>
        <v>10.19583294239037</v>
      </c>
      <c r="D81" s="39">
        <f t="shared" si="1"/>
        <v>0.58176979121923988</v>
      </c>
      <c r="E81" s="39">
        <f t="shared" si="2"/>
        <v>10.449999999999998</v>
      </c>
      <c r="F81" s="39">
        <f t="shared" si="3"/>
        <v>4.9471468033647333E-2</v>
      </c>
      <c r="G81" s="79">
        <f t="shared" si="4"/>
        <v>12</v>
      </c>
      <c r="H81" s="79">
        <f t="shared" si="5"/>
        <v>10</v>
      </c>
    </row>
    <row r="82" spans="2:8" ht="14.25" customHeight="1" x14ac:dyDescent="0.35">
      <c r="B82" s="41">
        <f t="shared" si="7"/>
        <v>-1.6200000000000061</v>
      </c>
      <c r="C82" s="39">
        <f t="shared" si="0"/>
        <v>10.201106416165089</v>
      </c>
      <c r="D82" s="39">
        <f t="shared" si="1"/>
        <v>0.61101702427167381</v>
      </c>
      <c r="E82" s="39">
        <f t="shared" si="2"/>
        <v>10.459999999999997</v>
      </c>
      <c r="F82" s="39">
        <f t="shared" si="3"/>
        <v>5.2616138454251185E-2</v>
      </c>
      <c r="G82" s="79">
        <f t="shared" si="4"/>
        <v>12</v>
      </c>
      <c r="H82" s="79">
        <f t="shared" si="5"/>
        <v>10</v>
      </c>
    </row>
    <row r="83" spans="2:8" ht="14.25" customHeight="1" x14ac:dyDescent="0.35">
      <c r="B83" s="41">
        <f t="shared" si="7"/>
        <v>-1.5900000000000061</v>
      </c>
      <c r="C83" s="39">
        <f t="shared" si="0"/>
        <v>10.206379889939811</v>
      </c>
      <c r="D83" s="39">
        <f t="shared" si="1"/>
        <v>0.64115729815158962</v>
      </c>
      <c r="E83" s="39">
        <f t="shared" si="2"/>
        <v>10.469999999999999</v>
      </c>
      <c r="F83" s="39">
        <f t="shared" si="3"/>
        <v>5.591740251946907E-2</v>
      </c>
      <c r="G83" s="79">
        <f t="shared" si="4"/>
        <v>12</v>
      </c>
      <c r="H83" s="79">
        <f t="shared" si="5"/>
        <v>10</v>
      </c>
    </row>
    <row r="84" spans="2:8" ht="14.25" customHeight="1" x14ac:dyDescent="0.35">
      <c r="B84" s="41">
        <f t="shared" si="7"/>
        <v>-1.560000000000006</v>
      </c>
      <c r="C84" s="39">
        <f t="shared" si="0"/>
        <v>10.211653363714531</v>
      </c>
      <c r="D84" s="39">
        <f t="shared" si="1"/>
        <v>0.67217909924568831</v>
      </c>
      <c r="E84" s="39">
        <f t="shared" si="2"/>
        <v>10.479999999999999</v>
      </c>
      <c r="F84" s="39">
        <f t="shared" si="3"/>
        <v>5.9379940594792527E-2</v>
      </c>
      <c r="G84" s="79">
        <f t="shared" si="4"/>
        <v>12</v>
      </c>
      <c r="H84" s="79">
        <f t="shared" si="5"/>
        <v>10</v>
      </c>
    </row>
    <row r="85" spans="2:8" ht="14.25" customHeight="1" x14ac:dyDescent="0.35">
      <c r="B85" s="41">
        <f t="shared" si="7"/>
        <v>-1.530000000000006</v>
      </c>
      <c r="C85" s="39">
        <f t="shared" si="0"/>
        <v>10.216926837489252</v>
      </c>
      <c r="D85" s="39">
        <f t="shared" si="1"/>
        <v>0.70406791505138866</v>
      </c>
      <c r="E85" s="39">
        <f t="shared" si="2"/>
        <v>10.489999999999998</v>
      </c>
      <c r="F85" s="39">
        <f t="shared" si="3"/>
        <v>6.300836446397784E-2</v>
      </c>
      <c r="G85" s="79">
        <f t="shared" si="4"/>
        <v>12</v>
      </c>
      <c r="H85" s="79">
        <f t="shared" si="5"/>
        <v>10</v>
      </c>
    </row>
    <row r="86" spans="2:8" ht="14.25" customHeight="1" x14ac:dyDescent="0.35">
      <c r="B86" s="41">
        <f t="shared" si="7"/>
        <v>-1.500000000000006</v>
      </c>
      <c r="C86" s="39">
        <f t="shared" si="0"/>
        <v>10.222200311263972</v>
      </c>
      <c r="D86" s="39">
        <f t="shared" si="1"/>
        <v>0.73680614258532184</v>
      </c>
      <c r="E86" s="39">
        <f t="shared" si="2"/>
        <v>10.499999999999998</v>
      </c>
      <c r="F86" s="39">
        <f t="shared" si="3"/>
        <v>6.680720126885735E-2</v>
      </c>
      <c r="G86" s="79">
        <f t="shared" si="4"/>
        <v>12</v>
      </c>
      <c r="H86" s="79">
        <f t="shared" si="5"/>
        <v>10</v>
      </c>
    </row>
    <row r="87" spans="2:8" ht="14.25" customHeight="1" x14ac:dyDescent="0.35">
      <c r="B87" s="41">
        <f t="shared" si="7"/>
        <v>-1.470000000000006</v>
      </c>
      <c r="C87" s="39">
        <f t="shared" si="0"/>
        <v>10.227473785038693</v>
      </c>
      <c r="D87" s="39">
        <f t="shared" si="1"/>
        <v>0.77037300663117547</v>
      </c>
      <c r="E87" s="39">
        <f t="shared" si="2"/>
        <v>10.509999999999998</v>
      </c>
      <c r="F87" s="39">
        <f t="shared" si="3"/>
        <v>7.0780876991684727E-2</v>
      </c>
      <c r="G87" s="79">
        <f t="shared" si="4"/>
        <v>12</v>
      </c>
      <c r="H87" s="79">
        <f t="shared" si="5"/>
        <v>10</v>
      </c>
    </row>
    <row r="88" spans="2:8" ht="14.25" customHeight="1" x14ac:dyDescent="0.35">
      <c r="B88" s="41">
        <f t="shared" si="7"/>
        <v>-1.4400000000000059</v>
      </c>
      <c r="C88" s="39">
        <f t="shared" si="0"/>
        <v>10.232747258813413</v>
      </c>
      <c r="D88" s="39">
        <f t="shared" si="1"/>
        <v>0.80474448874451954</v>
      </c>
      <c r="E88" s="39">
        <f t="shared" si="2"/>
        <v>10.519999999999998</v>
      </c>
      <c r="F88" s="39">
        <f t="shared" si="3"/>
        <v>7.4933699534326076E-2</v>
      </c>
      <c r="G88" s="79">
        <f t="shared" si="4"/>
        <v>12</v>
      </c>
      <c r="H88" s="79">
        <f t="shared" si="5"/>
        <v>10</v>
      </c>
    </row>
    <row r="89" spans="2:8" ht="14.25" customHeight="1" x14ac:dyDescent="0.35">
      <c r="B89" s="41">
        <f t="shared" si="7"/>
        <v>-1.4100000000000059</v>
      </c>
      <c r="C89" s="39">
        <f t="shared" si="0"/>
        <v>10.238020732588135</v>
      </c>
      <c r="D89" s="39">
        <f t="shared" si="1"/>
        <v>0.83989326790676455</v>
      </c>
      <c r="E89" s="39">
        <f t="shared" si="2"/>
        <v>10.529999999999998</v>
      </c>
      <c r="F89" s="39">
        <f t="shared" si="3"/>
        <v>7.9269841453391318E-2</v>
      </c>
      <c r="G89" s="79">
        <f t="shared" si="4"/>
        <v>12</v>
      </c>
      <c r="H89" s="79">
        <f t="shared" si="5"/>
        <v>10</v>
      </c>
    </row>
    <row r="90" spans="2:8" ht="14.25" customHeight="1" x14ac:dyDescent="0.35">
      <c r="B90" s="41">
        <f t="shared" si="7"/>
        <v>-1.3800000000000059</v>
      </c>
      <c r="C90" s="39">
        <f t="shared" si="0"/>
        <v>10.243294206362854</v>
      </c>
      <c r="D90" s="39">
        <f t="shared" si="1"/>
        <v>0.87578867368572688</v>
      </c>
      <c r="E90" s="39">
        <f t="shared" si="2"/>
        <v>10.539999999999997</v>
      </c>
      <c r="F90" s="39">
        <f t="shared" si="3"/>
        <v>8.3793322415013027E-2</v>
      </c>
      <c r="G90" s="79">
        <f t="shared" si="4"/>
        <v>12</v>
      </c>
      <c r="H90" s="79">
        <f t="shared" si="5"/>
        <v>10</v>
      </c>
    </row>
    <row r="91" spans="2:8" ht="14.25" customHeight="1" x14ac:dyDescent="0.35">
      <c r="B91" s="41">
        <f t="shared" si="7"/>
        <v>-1.3500000000000059</v>
      </c>
      <c r="C91" s="39">
        <f t="shared" si="0"/>
        <v>10.248567680137574</v>
      </c>
      <c r="D91" s="39">
        <f t="shared" si="1"/>
        <v>0.91239665271920123</v>
      </c>
      <c r="E91" s="39">
        <f t="shared" si="2"/>
        <v>10.549999999999997</v>
      </c>
      <c r="F91" s="39">
        <f t="shared" si="3"/>
        <v>8.8507991437400652E-2</v>
      </c>
      <c r="G91" s="79">
        <f t="shared" si="4"/>
        <v>12</v>
      </c>
      <c r="H91" s="79">
        <f t="shared" si="5"/>
        <v>10</v>
      </c>
    </row>
    <row r="92" spans="2:8" ht="14.25" customHeight="1" x14ac:dyDescent="0.35">
      <c r="B92" s="41">
        <f t="shared" si="7"/>
        <v>-1.3200000000000058</v>
      </c>
      <c r="C92" s="39">
        <f t="shared" si="0"/>
        <v>10.253841153912296</v>
      </c>
      <c r="D92" s="39">
        <f t="shared" si="1"/>
        <v>0.94967974928760746</v>
      </c>
      <c r="E92" s="39">
        <f t="shared" si="2"/>
        <v>10.559999999999999</v>
      </c>
      <c r="F92" s="39">
        <f t="shared" si="3"/>
        <v>9.3417508993471135E-2</v>
      </c>
      <c r="G92" s="79">
        <f t="shared" si="4"/>
        <v>12</v>
      </c>
      <c r="H92" s="79">
        <f t="shared" si="5"/>
        <v>10</v>
      </c>
    </row>
    <row r="93" spans="2:8" ht="14.25" customHeight="1" x14ac:dyDescent="0.35">
      <c r="B93" s="41">
        <f t="shared" si="7"/>
        <v>-1.2900000000000058</v>
      </c>
      <c r="C93" s="39">
        <f t="shared" si="0"/>
        <v>10.259114627687016</v>
      </c>
      <c r="D93" s="39">
        <f t="shared" si="1"/>
        <v>0.98759710068472162</v>
      </c>
      <c r="E93" s="39">
        <f t="shared" si="2"/>
        <v>10.569999999999999</v>
      </c>
      <c r="F93" s="39">
        <f t="shared" si="3"/>
        <v>9.8525329049747021E-2</v>
      </c>
      <c r="G93" s="79">
        <f t="shared" si="4"/>
        <v>12</v>
      </c>
      <c r="H93" s="79">
        <f t="shared" si="5"/>
        <v>10</v>
      </c>
    </row>
    <row r="94" spans="2:8" ht="14.25" customHeight="1" x14ac:dyDescent="0.35">
      <c r="B94" s="41">
        <f t="shared" si="7"/>
        <v>-1.2600000000000058</v>
      </c>
      <c r="C94" s="39">
        <f t="shared" si="0"/>
        <v>10.264388101461737</v>
      </c>
      <c r="D94" s="39">
        <f t="shared" si="1"/>
        <v>1.0261044480303938</v>
      </c>
      <c r="E94" s="39">
        <f t="shared" si="2"/>
        <v>10.579999999999998</v>
      </c>
      <c r="F94" s="39">
        <f t="shared" si="3"/>
        <v>0.10383468112129944</v>
      </c>
      <c r="G94" s="79">
        <f t="shared" si="4"/>
        <v>12</v>
      </c>
      <c r="H94" s="79">
        <f t="shared" si="5"/>
        <v>10</v>
      </c>
    </row>
    <row r="95" spans="2:8" ht="14.25" customHeight="1" x14ac:dyDescent="0.35">
      <c r="B95" s="41">
        <f t="shared" si="7"/>
        <v>-1.2300000000000058</v>
      </c>
      <c r="C95" s="39">
        <f t="shared" si="0"/>
        <v>10.269661575236457</v>
      </c>
      <c r="D95" s="39">
        <f t="shared" si="1"/>
        <v>1.0651541630961248</v>
      </c>
      <c r="E95" s="39">
        <f t="shared" si="2"/>
        <v>10.589999999999998</v>
      </c>
      <c r="F95" s="39">
        <f t="shared" si="3"/>
        <v>0.10934855242569086</v>
      </c>
      <c r="G95" s="79">
        <f t="shared" si="4"/>
        <v>12</v>
      </c>
      <c r="H95" s="79">
        <f t="shared" si="5"/>
        <v>10</v>
      </c>
    </row>
    <row r="96" spans="2:8" ht="14.25" customHeight="1" x14ac:dyDescent="0.35">
      <c r="B96" s="41">
        <f t="shared" si="7"/>
        <v>-1.2000000000000057</v>
      </c>
      <c r="C96" s="39">
        <f t="shared" si="0"/>
        <v>10.274935049011178</v>
      </c>
      <c r="D96" s="39">
        <f t="shared" si="1"/>
        <v>1.1046952916353658</v>
      </c>
      <c r="E96" s="39">
        <f t="shared" si="2"/>
        <v>10.599999999999998</v>
      </c>
      <c r="F96" s="39">
        <f t="shared" si="3"/>
        <v>0.115069670221707</v>
      </c>
      <c r="G96" s="79">
        <f t="shared" si="4"/>
        <v>12</v>
      </c>
      <c r="H96" s="79">
        <f t="shared" si="5"/>
        <v>10</v>
      </c>
    </row>
    <row r="97" spans="2:8" ht="14.25" customHeight="1" x14ac:dyDescent="0.35">
      <c r="B97" s="41">
        <f t="shared" si="7"/>
        <v>-1.1700000000000057</v>
      </c>
      <c r="C97" s="39">
        <f t="shared" si="0"/>
        <v>10.280208522785898</v>
      </c>
      <c r="D97" s="39">
        <f t="shared" si="1"/>
        <v>1.1446736136230717</v>
      </c>
      <c r="E97" s="39">
        <f t="shared" si="2"/>
        <v>10.609999999999998</v>
      </c>
      <c r="F97" s="39">
        <f t="shared" si="3"/>
        <v>0.12100048442101675</v>
      </c>
      <c r="G97" s="79">
        <f t="shared" si="4"/>
        <v>12</v>
      </c>
      <c r="H97" s="79">
        <f t="shared" si="5"/>
        <v>10</v>
      </c>
    </row>
    <row r="98" spans="2:8" ht="14.25" customHeight="1" x14ac:dyDescent="0.35">
      <c r="B98" s="41">
        <f t="shared" si="7"/>
        <v>-1.1400000000000057</v>
      </c>
      <c r="C98" s="39">
        <f t="shared" si="0"/>
        <v>10.28548199656062</v>
      </c>
      <c r="D98" s="39">
        <f t="shared" si="1"/>
        <v>1.1850317207170331</v>
      </c>
      <c r="E98" s="39">
        <f t="shared" si="2"/>
        <v>10.619999999999997</v>
      </c>
      <c r="F98" s="39">
        <f t="shared" si="3"/>
        <v>0.12714315056279665</v>
      </c>
      <c r="G98" s="79">
        <f t="shared" si="4"/>
        <v>12</v>
      </c>
      <c r="H98" s="79">
        <f t="shared" si="5"/>
        <v>10</v>
      </c>
    </row>
    <row r="99" spans="2:8" ht="14.25" customHeight="1" x14ac:dyDescent="0.35">
      <c r="B99" s="41">
        <f t="shared" si="7"/>
        <v>-1.1100000000000056</v>
      </c>
      <c r="C99" s="39">
        <f t="shared" si="0"/>
        <v>10.290755470335339</v>
      </c>
      <c r="D99" s="39">
        <f t="shared" si="1"/>
        <v>1.2257091111539802</v>
      </c>
      <c r="E99" s="39">
        <f t="shared" si="2"/>
        <v>10.629999999999999</v>
      </c>
      <c r="F99" s="39">
        <f t="shared" si="3"/>
        <v>0.13349951324274653</v>
      </c>
      <c r="G99" s="79">
        <f t="shared" si="4"/>
        <v>12</v>
      </c>
      <c r="H99" s="79">
        <f t="shared" si="5"/>
        <v>10</v>
      </c>
    </row>
    <row r="100" spans="2:8" ht="14.25" customHeight="1" x14ac:dyDescent="0.35">
      <c r="B100" s="41">
        <f t="shared" si="7"/>
        <v>-1.0800000000000056</v>
      </c>
      <c r="C100" s="39">
        <f t="shared" ref="C100:C163" si="8">$D$21+B100*$D$25</f>
        <v>10.296028944110059</v>
      </c>
      <c r="D100" s="39">
        <f t="shared" ref="D100:D163" si="9">_xlfn.NORM.DIST($D$21+B100*$D$25,$D$21,$D$25,FALSE())</f>
        <v>1.2666423021904047</v>
      </c>
      <c r="E100" s="39">
        <f t="shared" ref="E100:E163" si="10">$D$29+B100*$D$28</f>
        <v>10.639999999999999</v>
      </c>
      <c r="F100" s="39">
        <f t="shared" ref="F100:F163" si="11">_xlfn.NORM.DIST(E100,$D$29,$D$28,TRUE())</f>
        <v>0.14007109008876822</v>
      </c>
      <c r="G100" s="79">
        <f t="shared" ref="G100:G163" si="12">$D$26</f>
        <v>12</v>
      </c>
      <c r="H100" s="79">
        <f t="shared" ref="H100:H163" si="13">$D$27</f>
        <v>10</v>
      </c>
    </row>
    <row r="101" spans="2:8" ht="14.25" customHeight="1" x14ac:dyDescent="0.35">
      <c r="B101" s="41">
        <f t="shared" ref="B101:B132" si="14">B100+0.03</f>
        <v>-1.0500000000000056</v>
      </c>
      <c r="C101" s="39">
        <f t="shared" si="8"/>
        <v>10.301302417884781</v>
      </c>
      <c r="D101" s="39">
        <f t="shared" si="9"/>
        <v>1.3077649600888386</v>
      </c>
      <c r="E101" s="39">
        <f t="shared" si="10"/>
        <v>10.649999999999999</v>
      </c>
      <c r="F101" s="39">
        <f t="shared" si="11"/>
        <v>0.14685905637589497</v>
      </c>
      <c r="G101" s="79">
        <f t="shared" si="12"/>
        <v>12</v>
      </c>
      <c r="H101" s="79">
        <f t="shared" si="13"/>
        <v>10</v>
      </c>
    </row>
    <row r="102" spans="2:8" ht="14.25" customHeight="1" x14ac:dyDescent="0.35">
      <c r="B102" s="41">
        <f t="shared" si="14"/>
        <v>-1.0200000000000056</v>
      </c>
      <c r="C102" s="39">
        <f t="shared" si="8"/>
        <v>10.3065758916595</v>
      </c>
      <c r="D102" s="39">
        <f t="shared" si="9"/>
        <v>1.3490080475385131</v>
      </c>
      <c r="E102" s="39">
        <f t="shared" si="10"/>
        <v>10.659999999999998</v>
      </c>
      <c r="F102" s="39">
        <f t="shared" si="11"/>
        <v>0.15386423037273367</v>
      </c>
      <c r="G102" s="79">
        <f t="shared" si="12"/>
        <v>12</v>
      </c>
      <c r="H102" s="79">
        <f t="shared" si="13"/>
        <v>10</v>
      </c>
    </row>
    <row r="103" spans="2:8" ht="14.25" customHeight="1" x14ac:dyDescent="0.35">
      <c r="B103" s="41">
        <f t="shared" si="14"/>
        <v>-0.99000000000000554</v>
      </c>
      <c r="C103" s="39">
        <f t="shared" si="8"/>
        <v>10.311849365434222</v>
      </c>
      <c r="D103" s="39">
        <f t="shared" si="9"/>
        <v>1.3902999882839999</v>
      </c>
      <c r="E103" s="39">
        <f t="shared" si="10"/>
        <v>10.669999999999998</v>
      </c>
      <c r="F103" s="39">
        <f t="shared" si="11"/>
        <v>0.16108705951082952</v>
      </c>
      <c r="G103" s="79">
        <f t="shared" si="12"/>
        <v>12</v>
      </c>
      <c r="H103" s="79">
        <f t="shared" si="13"/>
        <v>10</v>
      </c>
    </row>
    <row r="104" spans="2:8" ht="14.25" customHeight="1" x14ac:dyDescent="0.35">
      <c r="B104" s="41">
        <f t="shared" si="14"/>
        <v>-0.96000000000000552</v>
      </c>
      <c r="C104" s="39">
        <f t="shared" si="8"/>
        <v>10.317122839208942</v>
      </c>
      <c r="D104" s="39">
        <f t="shared" si="9"/>
        <v>1.431566848617448</v>
      </c>
      <c r="E104" s="39">
        <f t="shared" si="10"/>
        <v>10.679999999999998</v>
      </c>
      <c r="F104" s="39">
        <f t="shared" si="11"/>
        <v>0.16852760746683629</v>
      </c>
      <c r="G104" s="79">
        <f t="shared" si="12"/>
        <v>12</v>
      </c>
      <c r="H104" s="79">
        <f t="shared" si="13"/>
        <v>10</v>
      </c>
    </row>
    <row r="105" spans="2:8" ht="14.25" customHeight="1" x14ac:dyDescent="0.35">
      <c r="B105" s="41">
        <f t="shared" si="14"/>
        <v>-0.93000000000000549</v>
      </c>
      <c r="C105" s="39">
        <f t="shared" si="8"/>
        <v>10.322396312983663</v>
      </c>
      <c r="D105" s="39">
        <f t="shared" si="9"/>
        <v>1.4727325352719713</v>
      </c>
      <c r="E105" s="39">
        <f t="shared" si="10"/>
        <v>10.689999999999998</v>
      </c>
      <c r="F105" s="39">
        <f t="shared" si="11"/>
        <v>0.17618554224525618</v>
      </c>
      <c r="G105" s="79">
        <f t="shared" si="12"/>
        <v>12</v>
      </c>
      <c r="H105" s="79">
        <f t="shared" si="13"/>
        <v>10</v>
      </c>
    </row>
    <row r="106" spans="2:8" ht="14.25" customHeight="1" x14ac:dyDescent="0.35">
      <c r="B106" s="41">
        <f t="shared" si="14"/>
        <v>-0.90000000000000546</v>
      </c>
      <c r="C106" s="39">
        <f t="shared" si="8"/>
        <v>10.327669786758383</v>
      </c>
      <c r="D106" s="39">
        <f t="shared" si="9"/>
        <v>1.5137190091337096</v>
      </c>
      <c r="E106" s="39">
        <f t="shared" si="10"/>
        <v>10.699999999999998</v>
      </c>
      <c r="F106" s="39">
        <f t="shared" si="11"/>
        <v>0.1840601253467575</v>
      </c>
      <c r="G106" s="79">
        <f t="shared" si="12"/>
        <v>12</v>
      </c>
      <c r="H106" s="79">
        <f t="shared" si="13"/>
        <v>10</v>
      </c>
    </row>
    <row r="107" spans="2:8" ht="14.25" customHeight="1" x14ac:dyDescent="0.35">
      <c r="B107" s="41">
        <f t="shared" si="14"/>
        <v>-0.87000000000000544</v>
      </c>
      <c r="C107" s="39">
        <f t="shared" si="8"/>
        <v>10.332943260533105</v>
      </c>
      <c r="D107" s="39">
        <f t="shared" si="9"/>
        <v>1.5544465140723809</v>
      </c>
      <c r="E107" s="39">
        <f t="shared" si="10"/>
        <v>10.709999999999997</v>
      </c>
      <c r="F107" s="39">
        <f t="shared" si="11"/>
        <v>0.19215020210369399</v>
      </c>
      <c r="G107" s="79">
        <f t="shared" si="12"/>
        <v>12</v>
      </c>
      <c r="H107" s="79">
        <f t="shared" si="13"/>
        <v>10</v>
      </c>
    </row>
    <row r="108" spans="2:8" ht="14.25" customHeight="1" x14ac:dyDescent="0.35">
      <c r="B108" s="41">
        <f t="shared" si="14"/>
        <v>-0.84000000000000541</v>
      </c>
      <c r="C108" s="39">
        <f t="shared" si="8"/>
        <v>10.338216734307824</v>
      </c>
      <c r="D108" s="39">
        <f t="shared" si="9"/>
        <v>1.5948338200722829</v>
      </c>
      <c r="E108" s="39">
        <f t="shared" si="10"/>
        <v>10.719999999999999</v>
      </c>
      <c r="F108" s="39">
        <f t="shared" si="11"/>
        <v>0.20045419326044867</v>
      </c>
      <c r="G108" s="79">
        <f t="shared" si="12"/>
        <v>12</v>
      </c>
      <c r="H108" s="79">
        <f t="shared" si="13"/>
        <v>10</v>
      </c>
    </row>
    <row r="109" spans="2:8" ht="14.25" customHeight="1" x14ac:dyDescent="0.35">
      <c r="B109" s="41">
        <f t="shared" si="14"/>
        <v>-0.81000000000000538</v>
      </c>
      <c r="C109" s="39">
        <f t="shared" si="8"/>
        <v>10.343490208082544</v>
      </c>
      <c r="D109" s="39">
        <f t="shared" si="9"/>
        <v>1.6347984797321991</v>
      </c>
      <c r="E109" s="39">
        <f t="shared" si="10"/>
        <v>10.729999999999999</v>
      </c>
      <c r="F109" s="39">
        <f t="shared" si="11"/>
        <v>0.2089700878716004</v>
      </c>
      <c r="G109" s="79">
        <f t="shared" si="12"/>
        <v>12</v>
      </c>
      <c r="H109" s="79">
        <f t="shared" si="13"/>
        <v>10</v>
      </c>
    </row>
    <row r="110" spans="2:8" ht="14.25" customHeight="1" x14ac:dyDescent="0.35">
      <c r="B110" s="41">
        <f t="shared" si="14"/>
        <v>-0.78000000000000536</v>
      </c>
      <c r="C110" s="39">
        <f t="shared" si="8"/>
        <v>10.348763681857266</v>
      </c>
      <c r="D110" s="39">
        <f t="shared" si="9"/>
        <v>1.6742570970911093</v>
      </c>
      <c r="E110" s="39">
        <f t="shared" si="10"/>
        <v>10.739999999999998</v>
      </c>
      <c r="F110" s="39">
        <f t="shared" si="11"/>
        <v>0.21769543758573173</v>
      </c>
      <c r="G110" s="79">
        <f t="shared" si="12"/>
        <v>12</v>
      </c>
      <c r="H110" s="79">
        <f t="shared" si="13"/>
        <v>10</v>
      </c>
    </row>
    <row r="111" spans="2:8" ht="14.25" customHeight="1" x14ac:dyDescent="0.35">
      <c r="B111" s="41">
        <f t="shared" si="14"/>
        <v>-0.75000000000000533</v>
      </c>
      <c r="C111" s="39">
        <f t="shared" si="8"/>
        <v>10.354037155631985</v>
      </c>
      <c r="D111" s="39">
        <f t="shared" si="9"/>
        <v>1.7131256076309591</v>
      </c>
      <c r="E111" s="39">
        <f t="shared" si="10"/>
        <v>10.749999999999998</v>
      </c>
      <c r="F111" s="39">
        <f t="shared" si="11"/>
        <v>0.22662735237686654</v>
      </c>
      <c r="G111" s="79">
        <f t="shared" si="12"/>
        <v>12</v>
      </c>
      <c r="H111" s="79">
        <f t="shared" si="13"/>
        <v>10</v>
      </c>
    </row>
    <row r="112" spans="2:8" ht="14.25" customHeight="1" x14ac:dyDescent="0.35">
      <c r="B112" s="41">
        <f t="shared" si="14"/>
        <v>-0.7200000000000053</v>
      </c>
      <c r="C112" s="39">
        <f t="shared" si="8"/>
        <v>10.359310629406707</v>
      </c>
      <c r="D112" s="39">
        <f t="shared" si="9"/>
        <v>1.7513195682071956</v>
      </c>
      <c r="E112" s="39">
        <f t="shared" si="10"/>
        <v>10.759999999999998</v>
      </c>
      <c r="F112" s="39">
        <f t="shared" si="11"/>
        <v>0.23576249777924926</v>
      </c>
      <c r="G112" s="79">
        <f t="shared" si="12"/>
        <v>12</v>
      </c>
      <c r="H112" s="79">
        <f t="shared" si="13"/>
        <v>10</v>
      </c>
    </row>
    <row r="113" spans="2:8" ht="14.25" customHeight="1" x14ac:dyDescent="0.35">
      <c r="B113" s="41">
        <f t="shared" si="14"/>
        <v>-0.69000000000000528</v>
      </c>
      <c r="C113" s="39">
        <f t="shared" si="8"/>
        <v>10.364584103181427</v>
      </c>
      <c r="D113" s="39">
        <f t="shared" si="9"/>
        <v>1.7887544555633508</v>
      </c>
      <c r="E113" s="39">
        <f t="shared" si="10"/>
        <v>10.769999999999998</v>
      </c>
      <c r="F113" s="39">
        <f t="shared" si="11"/>
        <v>0.24509709367430738</v>
      </c>
      <c r="G113" s="79">
        <f t="shared" si="12"/>
        <v>12</v>
      </c>
      <c r="H113" s="79">
        <f t="shared" si="13"/>
        <v>10</v>
      </c>
    </row>
    <row r="114" spans="2:8" ht="14.25" customHeight="1" x14ac:dyDescent="0.35">
      <c r="B114" s="41">
        <f t="shared" si="14"/>
        <v>-0.66000000000000525</v>
      </c>
      <c r="C114" s="39">
        <f t="shared" si="8"/>
        <v>10.369857576956148</v>
      </c>
      <c r="D114" s="39">
        <f t="shared" si="9"/>
        <v>1.8253459720002596</v>
      </c>
      <c r="E114" s="39">
        <f t="shared" si="10"/>
        <v>10.779999999999998</v>
      </c>
      <c r="F114" s="39">
        <f t="shared" si="11"/>
        <v>0.2546269146713338</v>
      </c>
      <c r="G114" s="79">
        <f t="shared" si="12"/>
        <v>12</v>
      </c>
      <c r="H114" s="79">
        <f t="shared" si="13"/>
        <v>10</v>
      </c>
    </row>
    <row r="115" spans="2:8" ht="14.25" customHeight="1" x14ac:dyDescent="0.35">
      <c r="B115" s="41">
        <f t="shared" si="14"/>
        <v>-0.63000000000000522</v>
      </c>
      <c r="C115" s="39">
        <f t="shared" si="8"/>
        <v>10.375131050730868</v>
      </c>
      <c r="D115" s="39">
        <f t="shared" si="9"/>
        <v>1.8610103566916192</v>
      </c>
      <c r="E115" s="39">
        <f t="shared" si="10"/>
        <v>10.79</v>
      </c>
      <c r="F115" s="39">
        <f t="shared" si="11"/>
        <v>0.26434729211567665</v>
      </c>
      <c r="G115" s="79">
        <f t="shared" si="12"/>
        <v>12</v>
      </c>
      <c r="H115" s="79">
        <f t="shared" si="13"/>
        <v>10</v>
      </c>
    </row>
    <row r="116" spans="2:8" ht="14.25" customHeight="1" x14ac:dyDescent="0.35">
      <c r="B116" s="41">
        <f t="shared" si="14"/>
        <v>-0.6000000000000052</v>
      </c>
      <c r="C116" s="39">
        <f t="shared" si="8"/>
        <v>10.38040452450559</v>
      </c>
      <c r="D116" s="39">
        <f t="shared" si="9"/>
        <v>1.8956647010695951</v>
      </c>
      <c r="E116" s="39">
        <f t="shared" si="10"/>
        <v>10.799999999999999</v>
      </c>
      <c r="F116" s="39">
        <f t="shared" si="11"/>
        <v>0.27425311775007249</v>
      </c>
      <c r="G116" s="79">
        <f t="shared" si="12"/>
        <v>12</v>
      </c>
      <c r="H116" s="79">
        <f t="shared" si="13"/>
        <v>10</v>
      </c>
    </row>
    <row r="117" spans="2:8" ht="14.25" customHeight="1" x14ac:dyDescent="0.35">
      <c r="B117" s="41">
        <f t="shared" si="14"/>
        <v>-0.57000000000000517</v>
      </c>
      <c r="C117" s="39">
        <f t="shared" si="8"/>
        <v>10.385677998280309</v>
      </c>
      <c r="D117" s="39">
        <f t="shared" si="9"/>
        <v>1.9292272666445287</v>
      </c>
      <c r="E117" s="39">
        <f t="shared" si="10"/>
        <v>10.809999999999999</v>
      </c>
      <c r="F117" s="39">
        <f t="shared" si="11"/>
        <v>0.28433884904632278</v>
      </c>
      <c r="G117" s="79">
        <f t="shared" si="12"/>
        <v>12</v>
      </c>
      <c r="H117" s="79">
        <f t="shared" si="13"/>
        <v>10</v>
      </c>
    </row>
    <row r="118" spans="2:8" ht="14.25" customHeight="1" x14ac:dyDescent="0.35">
      <c r="B118" s="41">
        <f t="shared" si="14"/>
        <v>-0.54000000000000514</v>
      </c>
      <c r="C118" s="39">
        <f t="shared" si="8"/>
        <v>10.390951472055029</v>
      </c>
      <c r="D118" s="39">
        <f t="shared" si="9"/>
        <v>1.9616178035754275</v>
      </c>
      <c r="E118" s="39">
        <f t="shared" si="10"/>
        <v>10.819999999999999</v>
      </c>
      <c r="F118" s="39">
        <f t="shared" si="11"/>
        <v>0.29459851621569644</v>
      </c>
      <c r="G118" s="79">
        <f t="shared" si="12"/>
        <v>12</v>
      </c>
      <c r="H118" s="79">
        <f t="shared" si="13"/>
        <v>10</v>
      </c>
    </row>
    <row r="119" spans="2:8" ht="14.25" customHeight="1" x14ac:dyDescent="0.35">
      <c r="B119" s="41">
        <f t="shared" si="14"/>
        <v>-0.51000000000000512</v>
      </c>
      <c r="C119" s="39">
        <f t="shared" si="8"/>
        <v>10.396224945829751</v>
      </c>
      <c r="D119" s="39">
        <f t="shared" si="9"/>
        <v>1.9927578682703555</v>
      </c>
      <c r="E119" s="39">
        <f t="shared" si="10"/>
        <v>10.829999999999998</v>
      </c>
      <c r="F119" s="39">
        <f t="shared" si="11"/>
        <v>0.30502573089751761</v>
      </c>
      <c r="G119" s="79">
        <f t="shared" si="12"/>
        <v>12</v>
      </c>
      <c r="H119" s="79">
        <f t="shared" si="13"/>
        <v>10</v>
      </c>
    </row>
    <row r="120" spans="2:8" ht="14.25" customHeight="1" x14ac:dyDescent="0.35">
      <c r="B120" s="41">
        <f t="shared" si="14"/>
        <v>-0.48000000000000509</v>
      </c>
      <c r="C120" s="39">
        <f t="shared" si="8"/>
        <v>10.40149841960447</v>
      </c>
      <c r="D120" s="39">
        <f t="shared" si="9"/>
        <v>2.0225711382712004</v>
      </c>
      <c r="E120" s="39">
        <f t="shared" si="10"/>
        <v>10.839999999999998</v>
      </c>
      <c r="F120" s="39">
        <f t="shared" si="11"/>
        <v>0.31561369651622051</v>
      </c>
      <c r="G120" s="79">
        <f t="shared" si="12"/>
        <v>12</v>
      </c>
      <c r="H120" s="79">
        <f t="shared" si="13"/>
        <v>10</v>
      </c>
    </row>
    <row r="121" spans="2:8" ht="14.25" customHeight="1" x14ac:dyDescent="0.35">
      <c r="B121" s="41">
        <f t="shared" si="14"/>
        <v>-0.45000000000000506</v>
      </c>
      <c r="C121" s="39">
        <f t="shared" si="8"/>
        <v>10.406771893379192</v>
      </c>
      <c r="D121" s="39">
        <f t="shared" si="9"/>
        <v>2.0509837226643968</v>
      </c>
      <c r="E121" s="39">
        <f t="shared" si="10"/>
        <v>10.849999999999998</v>
      </c>
      <c r="F121" s="39">
        <f t="shared" si="11"/>
        <v>0.32635522028791769</v>
      </c>
      <c r="G121" s="79">
        <f t="shared" si="12"/>
        <v>12</v>
      </c>
      <c r="H121" s="79">
        <f t="shared" si="13"/>
        <v>10</v>
      </c>
    </row>
    <row r="122" spans="2:8" ht="14.25" customHeight="1" x14ac:dyDescent="0.35">
      <c r="B122" s="41">
        <f t="shared" si="14"/>
        <v>-0.42000000000000504</v>
      </c>
      <c r="C122" s="39">
        <f t="shared" si="8"/>
        <v>10.412045367153912</v>
      </c>
      <c r="D122" s="39">
        <f t="shared" si="9"/>
        <v>2.0779244662585348</v>
      </c>
      <c r="E122" s="39">
        <f t="shared" si="10"/>
        <v>10.859999999999998</v>
      </c>
      <c r="F122" s="39">
        <f t="shared" si="11"/>
        <v>0.33724272684824691</v>
      </c>
      <c r="G122" s="79">
        <f t="shared" si="12"/>
        <v>12</v>
      </c>
      <c r="H122" s="79">
        <f t="shared" si="13"/>
        <v>10</v>
      </c>
    </row>
    <row r="123" spans="2:8" ht="14.25" customHeight="1" x14ac:dyDescent="0.35">
      <c r="B123" s="41">
        <f t="shared" si="14"/>
        <v>-0.39000000000000501</v>
      </c>
      <c r="C123" s="39">
        <f t="shared" si="8"/>
        <v>10.417318840928633</v>
      </c>
      <c r="D123" s="39">
        <f t="shared" si="9"/>
        <v>2.1033252457827447</v>
      </c>
      <c r="E123" s="39">
        <f t="shared" si="10"/>
        <v>10.869999999999997</v>
      </c>
      <c r="F123" s="39">
        <f t="shared" si="11"/>
        <v>0.34826827346401479</v>
      </c>
      <c r="G123" s="79">
        <f t="shared" si="12"/>
        <v>12</v>
      </c>
      <c r="H123" s="79">
        <f t="shared" si="13"/>
        <v>10</v>
      </c>
    </row>
    <row r="124" spans="2:8" ht="14.25" customHeight="1" x14ac:dyDescent="0.35">
      <c r="B124" s="41">
        <f t="shared" si="14"/>
        <v>-0.36000000000000498</v>
      </c>
      <c r="C124" s="39">
        <f t="shared" si="8"/>
        <v>10.422592314703353</v>
      </c>
      <c r="D124" s="39">
        <f t="shared" si="9"/>
        <v>2.1271212563844122</v>
      </c>
      <c r="E124" s="39">
        <f t="shared" si="10"/>
        <v>10.879999999999999</v>
      </c>
      <c r="F124" s="39">
        <f t="shared" si="11"/>
        <v>0.3594235667820076</v>
      </c>
      <c r="G124" s="79">
        <f t="shared" si="12"/>
        <v>12</v>
      </c>
      <c r="H124" s="79">
        <f t="shared" si="13"/>
        <v>10</v>
      </c>
    </row>
    <row r="125" spans="2:8" ht="14.25" customHeight="1" x14ac:dyDescent="0.35">
      <c r="B125" s="41">
        <f t="shared" si="14"/>
        <v>-0.33000000000000496</v>
      </c>
      <c r="C125" s="39">
        <f t="shared" si="8"/>
        <v>10.427865788478075</v>
      </c>
      <c r="D125" s="39">
        <f t="shared" si="9"/>
        <v>2.1492512867434406</v>
      </c>
      <c r="E125" s="39">
        <f t="shared" si="10"/>
        <v>10.889999999999999</v>
      </c>
      <c r="F125" s="39">
        <f t="shared" si="11"/>
        <v>0.3706999810593451</v>
      </c>
      <c r="G125" s="79">
        <f t="shared" si="12"/>
        <v>12</v>
      </c>
      <c r="H125" s="79">
        <f t="shared" si="13"/>
        <v>10</v>
      </c>
    </row>
    <row r="126" spans="2:8" ht="14.25" customHeight="1" x14ac:dyDescent="0.35">
      <c r="B126" s="41">
        <f t="shared" si="14"/>
        <v>-0.30000000000000493</v>
      </c>
      <c r="C126" s="39">
        <f t="shared" si="8"/>
        <v>10.433139262252794</v>
      </c>
      <c r="D126" s="39">
        <f t="shared" si="9"/>
        <v>2.1696579811704884</v>
      </c>
      <c r="E126" s="39">
        <f t="shared" si="10"/>
        <v>10.899999999999999</v>
      </c>
      <c r="F126" s="39">
        <f t="shared" si="11"/>
        <v>0.38208857781104572</v>
      </c>
      <c r="G126" s="79">
        <f t="shared" si="12"/>
        <v>12</v>
      </c>
      <c r="H126" s="79">
        <f t="shared" si="13"/>
        <v>10</v>
      </c>
    </row>
    <row r="127" spans="2:8" ht="14.25" customHeight="1" x14ac:dyDescent="0.35">
      <c r="B127" s="41">
        <f t="shared" si="14"/>
        <v>-0.2700000000000049</v>
      </c>
      <c r="C127" s="39">
        <f t="shared" si="8"/>
        <v>10.438412736027516</v>
      </c>
      <c r="D127" s="39">
        <f t="shared" si="9"/>
        <v>2.1882880871202968</v>
      </c>
      <c r="E127" s="39">
        <f t="shared" si="10"/>
        <v>10.909999999999998</v>
      </c>
      <c r="F127" s="39">
        <f t="shared" si="11"/>
        <v>0.39358012680195859</v>
      </c>
      <c r="G127" s="79">
        <f t="shared" si="12"/>
        <v>12</v>
      </c>
      <c r="H127" s="79">
        <f t="shared" si="13"/>
        <v>10</v>
      </c>
    </row>
    <row r="128" spans="2:8" ht="14.25" customHeight="1" x14ac:dyDescent="0.35">
      <c r="B128" s="41">
        <f t="shared" si="14"/>
        <v>-0.2400000000000049</v>
      </c>
      <c r="C128" s="39">
        <f t="shared" si="8"/>
        <v>10.443686209802236</v>
      </c>
      <c r="D128" s="39">
        <f t="shared" si="9"/>
        <v>2.2050926866260223</v>
      </c>
      <c r="E128" s="39">
        <f t="shared" si="10"/>
        <v>10.919999999999998</v>
      </c>
      <c r="F128" s="39">
        <f t="shared" si="11"/>
        <v>0.40516512830220197</v>
      </c>
      <c r="G128" s="79">
        <f t="shared" si="12"/>
        <v>12</v>
      </c>
      <c r="H128" s="79">
        <f t="shared" si="13"/>
        <v>10</v>
      </c>
    </row>
    <row r="129" spans="2:8" ht="14.25" customHeight="1" x14ac:dyDescent="0.35">
      <c r="B129" s="41">
        <f t="shared" si="14"/>
        <v>-0.2100000000000049</v>
      </c>
      <c r="C129" s="39">
        <f t="shared" si="8"/>
        <v>10.448959683576955</v>
      </c>
      <c r="D129" s="39">
        <f t="shared" si="9"/>
        <v>2.220027410247734</v>
      </c>
      <c r="E129" s="39">
        <f t="shared" si="10"/>
        <v>10.929999999999998</v>
      </c>
      <c r="F129" s="39">
        <f t="shared" si="11"/>
        <v>0.41683383651755523</v>
      </c>
      <c r="G129" s="79">
        <f t="shared" si="12"/>
        <v>12</v>
      </c>
      <c r="H129" s="79">
        <f t="shared" si="13"/>
        <v>10</v>
      </c>
    </row>
    <row r="130" spans="2:8" ht="14.25" customHeight="1" x14ac:dyDescent="0.35">
      <c r="B130" s="41">
        <f t="shared" si="14"/>
        <v>-0.18000000000000491</v>
      </c>
      <c r="C130" s="39">
        <f t="shared" si="8"/>
        <v>10.454233157351677</v>
      </c>
      <c r="D130" s="39">
        <f t="shared" si="9"/>
        <v>2.2330526322256881</v>
      </c>
      <c r="E130" s="39">
        <f t="shared" si="10"/>
        <v>10.939999999999998</v>
      </c>
      <c r="F130" s="39">
        <f t="shared" si="11"/>
        <v>0.42857628409909659</v>
      </c>
      <c r="G130" s="79">
        <f t="shared" si="12"/>
        <v>12</v>
      </c>
      <c r="H130" s="79">
        <f t="shared" si="13"/>
        <v>10</v>
      </c>
    </row>
    <row r="131" spans="2:8" ht="14.25" customHeight="1" x14ac:dyDescent="0.35">
      <c r="B131" s="41">
        <f t="shared" si="14"/>
        <v>-0.15000000000000491</v>
      </c>
      <c r="C131" s="39">
        <f t="shared" si="8"/>
        <v>10.459506631126397</v>
      </c>
      <c r="D131" s="39">
        <f t="shared" si="9"/>
        <v>2.2441336456373628</v>
      </c>
      <c r="E131" s="39">
        <f t="shared" si="10"/>
        <v>10.949999999999998</v>
      </c>
      <c r="F131" s="39">
        <f t="shared" si="11"/>
        <v>0.4403823076297545</v>
      </c>
      <c r="G131" s="79">
        <f t="shared" si="12"/>
        <v>12</v>
      </c>
      <c r="H131" s="79">
        <f t="shared" si="13"/>
        <v>10</v>
      </c>
    </row>
    <row r="132" spans="2:8" ht="14.25" customHeight="1" x14ac:dyDescent="0.35">
      <c r="B132" s="41">
        <f t="shared" si="14"/>
        <v>-0.12000000000000491</v>
      </c>
      <c r="C132" s="39">
        <f t="shared" si="8"/>
        <v>10.464780104901118</v>
      </c>
      <c r="D132" s="39">
        <f t="shared" si="9"/>
        <v>2.253240816474781</v>
      </c>
      <c r="E132" s="39">
        <f t="shared" si="10"/>
        <v>10.959999999999999</v>
      </c>
      <c r="F132" s="39">
        <f t="shared" si="11"/>
        <v>0.45224157397941506</v>
      </c>
      <c r="G132" s="79">
        <f t="shared" si="12"/>
        <v>12</v>
      </c>
      <c r="H132" s="79">
        <f t="shared" si="13"/>
        <v>10</v>
      </c>
    </row>
    <row r="133" spans="2:8" ht="14.25" customHeight="1" x14ac:dyDescent="0.35">
      <c r="B133" s="41">
        <f t="shared" ref="B133:B164" si="15">B132+0.03</f>
        <v>-9.0000000000004909E-2</v>
      </c>
      <c r="C133" s="39">
        <f t="shared" si="8"/>
        <v>10.470053578675838</v>
      </c>
      <c r="D133" s="39">
        <f t="shared" si="9"/>
        <v>2.2603497156847614</v>
      </c>
      <c r="E133" s="39">
        <f t="shared" si="10"/>
        <v>10.969999999999999</v>
      </c>
      <c r="F133" s="39">
        <f t="shared" si="11"/>
        <v>0.46414360741482652</v>
      </c>
      <c r="G133" s="79">
        <f t="shared" si="12"/>
        <v>12</v>
      </c>
      <c r="H133" s="79">
        <f t="shared" si="13"/>
        <v>10</v>
      </c>
    </row>
    <row r="134" spans="2:8" ht="14.25" customHeight="1" x14ac:dyDescent="0.35">
      <c r="B134" s="41">
        <f t="shared" si="15"/>
        <v>-6.0000000000004911E-2</v>
      </c>
      <c r="C134" s="39">
        <f t="shared" si="8"/>
        <v>10.47532705245056</v>
      </c>
      <c r="D134" s="39">
        <f t="shared" si="9"/>
        <v>2.2654412283488186</v>
      </c>
      <c r="E134" s="39">
        <f t="shared" si="10"/>
        <v>10.979999999999999</v>
      </c>
      <c r="F134" s="39">
        <f t="shared" si="11"/>
        <v>0.47607781734589155</v>
      </c>
      <c r="G134" s="79">
        <f t="shared" si="12"/>
        <v>12</v>
      </c>
      <c r="H134" s="79">
        <f t="shared" si="13"/>
        <v>10</v>
      </c>
    </row>
    <row r="135" spans="2:8" ht="14.25" customHeight="1" x14ac:dyDescent="0.35">
      <c r="B135" s="41">
        <f t="shared" si="15"/>
        <v>-3.0000000000004912E-2</v>
      </c>
      <c r="C135" s="39">
        <f t="shared" si="8"/>
        <v>10.480600526225279</v>
      </c>
      <c r="D135" s="39">
        <f t="shared" si="9"/>
        <v>2.2685016393196951</v>
      </c>
      <c r="E135" s="39">
        <f t="shared" si="10"/>
        <v>10.989999999999998</v>
      </c>
      <c r="F135" s="39">
        <f t="shared" si="11"/>
        <v>0.4880335265858855</v>
      </c>
      <c r="G135" s="79">
        <f t="shared" si="12"/>
        <v>12</v>
      </c>
      <c r="H135" s="79">
        <f t="shared" si="13"/>
        <v>10</v>
      </c>
    </row>
    <row r="136" spans="2:8" ht="14.25" customHeight="1" x14ac:dyDescent="0.35">
      <c r="B136" s="41">
        <f t="shared" si="15"/>
        <v>-4.9127368839663177E-15</v>
      </c>
      <c r="C136" s="39">
        <f t="shared" si="8"/>
        <v>10.485874000000001</v>
      </c>
      <c r="D136" s="39">
        <f t="shared" si="9"/>
        <v>2.269522694777637</v>
      </c>
      <c r="E136" s="39">
        <f t="shared" si="10"/>
        <v>10.999999999999998</v>
      </c>
      <c r="F136" s="39">
        <f t="shared" si="11"/>
        <v>0.49999999999999789</v>
      </c>
      <c r="G136" s="79">
        <f t="shared" si="12"/>
        <v>12</v>
      </c>
      <c r="H136" s="79">
        <f t="shared" si="13"/>
        <v>10</v>
      </c>
    </row>
    <row r="137" spans="2:8" ht="14.25" customHeight="1" x14ac:dyDescent="0.35">
      <c r="B137" s="41">
        <f t="shared" si="15"/>
        <v>2.9999999999995086E-2</v>
      </c>
      <c r="C137" s="39">
        <f t="shared" si="8"/>
        <v>10.491147473774721</v>
      </c>
      <c r="D137" s="39">
        <f t="shared" si="9"/>
        <v>2.2685016393196955</v>
      </c>
      <c r="E137" s="39">
        <f t="shared" si="10"/>
        <v>11.009999999999998</v>
      </c>
      <c r="F137" s="39">
        <f t="shared" si="11"/>
        <v>0.51196647341411028</v>
      </c>
      <c r="G137" s="79">
        <f t="shared" si="12"/>
        <v>12</v>
      </c>
      <c r="H137" s="79">
        <f t="shared" si="13"/>
        <v>10</v>
      </c>
    </row>
    <row r="138" spans="2:8" ht="14.25" customHeight="1" x14ac:dyDescent="0.35">
      <c r="B138" s="41">
        <f t="shared" si="15"/>
        <v>5.9999999999995085E-2</v>
      </c>
      <c r="C138" s="39">
        <f t="shared" si="8"/>
        <v>10.49642094754944</v>
      </c>
      <c r="D138" s="39">
        <f t="shared" si="9"/>
        <v>2.2654412283488203</v>
      </c>
      <c r="E138" s="39">
        <f t="shared" si="10"/>
        <v>11.019999999999998</v>
      </c>
      <c r="F138" s="39">
        <f t="shared" si="11"/>
        <v>0.52392218265410428</v>
      </c>
      <c r="G138" s="79">
        <f t="shared" si="12"/>
        <v>12</v>
      </c>
      <c r="H138" s="79">
        <f t="shared" si="13"/>
        <v>10</v>
      </c>
    </row>
    <row r="139" spans="2:8" ht="14.25" customHeight="1" x14ac:dyDescent="0.35">
      <c r="B139" s="41">
        <f t="shared" si="15"/>
        <v>8.9999999999995084E-2</v>
      </c>
      <c r="C139" s="39">
        <f t="shared" si="8"/>
        <v>10.501694421324162</v>
      </c>
      <c r="D139" s="39">
        <f t="shared" si="9"/>
        <v>2.2603497156847636</v>
      </c>
      <c r="E139" s="39">
        <f t="shared" si="10"/>
        <v>11.029999999999998</v>
      </c>
      <c r="F139" s="39">
        <f t="shared" si="11"/>
        <v>0.53585639258516926</v>
      </c>
      <c r="G139" s="79">
        <f t="shared" si="12"/>
        <v>12</v>
      </c>
      <c r="H139" s="79">
        <f t="shared" si="13"/>
        <v>10</v>
      </c>
    </row>
    <row r="140" spans="2:8" ht="14.25" customHeight="1" x14ac:dyDescent="0.35">
      <c r="B140" s="41">
        <f t="shared" si="15"/>
        <v>0.11999999999999508</v>
      </c>
      <c r="C140" s="39">
        <f t="shared" si="8"/>
        <v>10.506967895098882</v>
      </c>
      <c r="D140" s="39">
        <f t="shared" si="9"/>
        <v>2.2532408164747841</v>
      </c>
      <c r="E140" s="39">
        <f t="shared" si="10"/>
        <v>11.04</v>
      </c>
      <c r="F140" s="39">
        <f t="shared" si="11"/>
        <v>0.54775842602058278</v>
      </c>
      <c r="G140" s="79">
        <f t="shared" si="12"/>
        <v>12</v>
      </c>
      <c r="H140" s="79">
        <f t="shared" si="13"/>
        <v>10</v>
      </c>
    </row>
    <row r="141" spans="2:8" ht="14.25" customHeight="1" x14ac:dyDescent="0.35">
      <c r="B141" s="41">
        <f t="shared" si="15"/>
        <v>0.14999999999999508</v>
      </c>
      <c r="C141" s="39">
        <f t="shared" si="8"/>
        <v>10.512241368873603</v>
      </c>
      <c r="D141" s="39">
        <f t="shared" si="9"/>
        <v>2.2441336456373664</v>
      </c>
      <c r="E141" s="39">
        <f t="shared" si="10"/>
        <v>11.049999999999999</v>
      </c>
      <c r="F141" s="39">
        <f t="shared" si="11"/>
        <v>0.55961769237024128</v>
      </c>
      <c r="G141" s="79">
        <f t="shared" si="12"/>
        <v>12</v>
      </c>
      <c r="H141" s="79">
        <f t="shared" si="13"/>
        <v>10</v>
      </c>
    </row>
    <row r="142" spans="2:8" ht="14.25" customHeight="1" x14ac:dyDescent="0.35">
      <c r="B142" s="41">
        <f t="shared" si="15"/>
        <v>0.17999999999999508</v>
      </c>
      <c r="C142" s="39">
        <f t="shared" si="8"/>
        <v>10.517514842648323</v>
      </c>
      <c r="D142" s="39">
        <f t="shared" si="9"/>
        <v>2.2330526322256921</v>
      </c>
      <c r="E142" s="39">
        <f t="shared" si="10"/>
        <v>11.059999999999999</v>
      </c>
      <c r="F142" s="39">
        <f t="shared" si="11"/>
        <v>0.57142371590089924</v>
      </c>
      <c r="G142" s="79">
        <f t="shared" si="12"/>
        <v>12</v>
      </c>
      <c r="H142" s="79">
        <f t="shared" si="13"/>
        <v>10</v>
      </c>
    </row>
    <row r="143" spans="2:8" ht="14.25" customHeight="1" x14ac:dyDescent="0.35">
      <c r="B143" s="41">
        <f t="shared" si="15"/>
        <v>0.20999999999999508</v>
      </c>
      <c r="C143" s="39">
        <f t="shared" si="8"/>
        <v>10.522788316423044</v>
      </c>
      <c r="D143" s="39">
        <f t="shared" si="9"/>
        <v>2.2200274102477389</v>
      </c>
      <c r="E143" s="39">
        <f t="shared" si="10"/>
        <v>11.069999999999999</v>
      </c>
      <c r="F143" s="39">
        <f t="shared" si="11"/>
        <v>0.58316616348244055</v>
      </c>
      <c r="G143" s="79">
        <f t="shared" si="12"/>
        <v>12</v>
      </c>
      <c r="H143" s="79">
        <f t="shared" si="13"/>
        <v>10</v>
      </c>
    </row>
    <row r="144" spans="2:8" ht="14.25" customHeight="1" x14ac:dyDescent="0.35">
      <c r="B144" s="41">
        <f t="shared" si="15"/>
        <v>0.23999999999999508</v>
      </c>
      <c r="C144" s="39">
        <f t="shared" si="8"/>
        <v>10.528061790197764</v>
      </c>
      <c r="D144" s="39">
        <f t="shared" si="9"/>
        <v>2.2050926866260276</v>
      </c>
      <c r="E144" s="39">
        <f t="shared" si="10"/>
        <v>11.079999999999998</v>
      </c>
      <c r="F144" s="39">
        <f t="shared" si="11"/>
        <v>0.59483487169779381</v>
      </c>
      <c r="G144" s="79">
        <f t="shared" si="12"/>
        <v>12</v>
      </c>
      <c r="H144" s="79">
        <f t="shared" si="13"/>
        <v>10</v>
      </c>
    </row>
    <row r="145" spans="2:8" ht="14.25" customHeight="1" x14ac:dyDescent="0.35">
      <c r="B145" s="41">
        <f t="shared" si="15"/>
        <v>0.26999999999999508</v>
      </c>
      <c r="C145" s="39">
        <f t="shared" si="8"/>
        <v>10.533335263972486</v>
      </c>
      <c r="D145" s="39">
        <f t="shared" si="9"/>
        <v>2.1882880871202968</v>
      </c>
      <c r="E145" s="39">
        <f t="shared" si="10"/>
        <v>11.089999999999998</v>
      </c>
      <c r="F145" s="39">
        <f t="shared" si="11"/>
        <v>0.60641987319803725</v>
      </c>
      <c r="G145" s="79">
        <f t="shared" si="12"/>
        <v>12</v>
      </c>
      <c r="H145" s="79">
        <f t="shared" si="13"/>
        <v>10</v>
      </c>
    </row>
    <row r="146" spans="2:8" ht="14.25" customHeight="1" x14ac:dyDescent="0.35">
      <c r="B146" s="41">
        <f t="shared" si="15"/>
        <v>0.29999999999999505</v>
      </c>
      <c r="C146" s="39">
        <f t="shared" si="8"/>
        <v>10.538608737747206</v>
      </c>
      <c r="D146" s="39">
        <f t="shared" si="9"/>
        <v>2.1696579811704946</v>
      </c>
      <c r="E146" s="39">
        <f t="shared" si="10"/>
        <v>11.099999999999998</v>
      </c>
      <c r="F146" s="39">
        <f t="shared" si="11"/>
        <v>0.61791142218895023</v>
      </c>
      <c r="G146" s="79">
        <f t="shared" si="12"/>
        <v>12</v>
      </c>
      <c r="H146" s="79">
        <f t="shared" si="13"/>
        <v>10</v>
      </c>
    </row>
    <row r="147" spans="2:8" ht="14.25" customHeight="1" x14ac:dyDescent="0.35">
      <c r="B147" s="41">
        <f t="shared" si="15"/>
        <v>0.32999999999999508</v>
      </c>
      <c r="C147" s="39">
        <f t="shared" si="8"/>
        <v>10.543882211521925</v>
      </c>
      <c r="D147" s="39">
        <f t="shared" si="9"/>
        <v>2.1492512867434477</v>
      </c>
      <c r="E147" s="39">
        <f t="shared" si="10"/>
        <v>11.109999999999998</v>
      </c>
      <c r="F147" s="39">
        <f t="shared" si="11"/>
        <v>0.6293000189406508</v>
      </c>
      <c r="G147" s="79">
        <f t="shared" si="12"/>
        <v>12</v>
      </c>
      <c r="H147" s="79">
        <f t="shared" si="13"/>
        <v>10</v>
      </c>
    </row>
    <row r="148" spans="2:8" ht="14.25" customHeight="1" x14ac:dyDescent="0.35">
      <c r="B148" s="41">
        <f t="shared" si="15"/>
        <v>0.3599999999999951</v>
      </c>
      <c r="C148" s="39">
        <f t="shared" si="8"/>
        <v>10.549155685296647</v>
      </c>
      <c r="D148" s="39">
        <f t="shared" si="9"/>
        <v>2.1271212563844197</v>
      </c>
      <c r="E148" s="39">
        <f t="shared" si="10"/>
        <v>11.12</v>
      </c>
      <c r="F148" s="39">
        <f t="shared" si="11"/>
        <v>0.6405764332179904</v>
      </c>
      <c r="G148" s="79">
        <f t="shared" si="12"/>
        <v>12</v>
      </c>
      <c r="H148" s="79">
        <f t="shared" si="13"/>
        <v>10</v>
      </c>
    </row>
    <row r="149" spans="2:8" ht="14.25" customHeight="1" x14ac:dyDescent="0.35">
      <c r="B149" s="41">
        <f t="shared" si="15"/>
        <v>0.38999999999999513</v>
      </c>
      <c r="C149" s="39">
        <f t="shared" si="8"/>
        <v>10.554429159071367</v>
      </c>
      <c r="D149" s="39">
        <f t="shared" si="9"/>
        <v>2.1033252457827532</v>
      </c>
      <c r="E149" s="39">
        <f t="shared" si="10"/>
        <v>11.129999999999999</v>
      </c>
      <c r="F149" s="39">
        <f t="shared" si="11"/>
        <v>0.65173172653598133</v>
      </c>
      <c r="G149" s="79">
        <f t="shared" si="12"/>
        <v>12</v>
      </c>
      <c r="H149" s="79">
        <f t="shared" si="13"/>
        <v>10</v>
      </c>
    </row>
    <row r="150" spans="2:8" ht="14.25" customHeight="1" x14ac:dyDescent="0.35">
      <c r="B150" s="41">
        <f t="shared" si="15"/>
        <v>0.41999999999999515</v>
      </c>
      <c r="C150" s="39">
        <f t="shared" si="8"/>
        <v>10.559702632846088</v>
      </c>
      <c r="D150" s="39">
        <f t="shared" si="9"/>
        <v>2.0779244662585437</v>
      </c>
      <c r="E150" s="39">
        <f t="shared" si="10"/>
        <v>11.139999999999999</v>
      </c>
      <c r="F150" s="39">
        <f t="shared" si="11"/>
        <v>0.66275727315174926</v>
      </c>
      <c r="G150" s="79">
        <f t="shared" si="12"/>
        <v>12</v>
      </c>
      <c r="H150" s="79">
        <f t="shared" si="13"/>
        <v>10</v>
      </c>
    </row>
    <row r="151" spans="2:8" ht="14.25" customHeight="1" x14ac:dyDescent="0.35">
      <c r="B151" s="41">
        <f t="shared" si="15"/>
        <v>0.44999999999999518</v>
      </c>
      <c r="C151" s="39">
        <f t="shared" si="8"/>
        <v>10.564976106620808</v>
      </c>
      <c r="D151" s="39">
        <f t="shared" si="9"/>
        <v>2.0509837226644061</v>
      </c>
      <c r="E151" s="39">
        <f t="shared" si="10"/>
        <v>11.149999999999999</v>
      </c>
      <c r="F151" s="39">
        <f t="shared" si="11"/>
        <v>0.67364477971207848</v>
      </c>
      <c r="G151" s="79">
        <f t="shared" si="12"/>
        <v>12</v>
      </c>
      <c r="H151" s="79">
        <f t="shared" si="13"/>
        <v>10</v>
      </c>
    </row>
    <row r="152" spans="2:8" ht="14.25" customHeight="1" x14ac:dyDescent="0.35">
      <c r="B152" s="41">
        <f t="shared" si="15"/>
        <v>0.47999999999999521</v>
      </c>
      <c r="C152" s="39">
        <f t="shared" si="8"/>
        <v>10.570249580395529</v>
      </c>
      <c r="D152" s="39">
        <f t="shared" si="9"/>
        <v>2.0225711382712102</v>
      </c>
      <c r="E152" s="39">
        <f t="shared" si="10"/>
        <v>11.159999999999998</v>
      </c>
      <c r="F152" s="39">
        <f t="shared" si="11"/>
        <v>0.68438630348377572</v>
      </c>
      <c r="G152" s="79">
        <f t="shared" si="12"/>
        <v>12</v>
      </c>
      <c r="H152" s="79">
        <f t="shared" si="13"/>
        <v>10</v>
      </c>
    </row>
    <row r="153" spans="2:8" ht="14.25" customHeight="1" x14ac:dyDescent="0.35">
      <c r="B153" s="41">
        <f t="shared" si="15"/>
        <v>0.50999999999999523</v>
      </c>
      <c r="C153" s="39">
        <f t="shared" si="8"/>
        <v>10.575523054170249</v>
      </c>
      <c r="D153" s="39">
        <f t="shared" si="9"/>
        <v>1.9927578682703662</v>
      </c>
      <c r="E153" s="39">
        <f t="shared" si="10"/>
        <v>11.169999999999998</v>
      </c>
      <c r="F153" s="39">
        <f t="shared" si="11"/>
        <v>0.69497426910247873</v>
      </c>
      <c r="G153" s="79">
        <f t="shared" si="12"/>
        <v>12</v>
      </c>
      <c r="H153" s="79">
        <f t="shared" si="13"/>
        <v>10</v>
      </c>
    </row>
    <row r="154" spans="2:8" ht="14.25" customHeight="1" x14ac:dyDescent="0.35">
      <c r="B154" s="41">
        <f t="shared" si="15"/>
        <v>0.53999999999999526</v>
      </c>
      <c r="C154" s="39">
        <f t="shared" si="8"/>
        <v>10.580796527944971</v>
      </c>
      <c r="D154" s="39">
        <f t="shared" si="9"/>
        <v>1.9616178035754381</v>
      </c>
      <c r="E154" s="39">
        <f t="shared" si="10"/>
        <v>11.179999999999998</v>
      </c>
      <c r="F154" s="39">
        <f t="shared" si="11"/>
        <v>0.70540148378429979</v>
      </c>
      <c r="G154" s="79">
        <f t="shared" si="12"/>
        <v>12</v>
      </c>
      <c r="H154" s="79">
        <f t="shared" si="13"/>
        <v>10</v>
      </c>
    </row>
    <row r="155" spans="2:8" ht="14.25" customHeight="1" x14ac:dyDescent="0.35">
      <c r="B155" s="41">
        <f t="shared" si="15"/>
        <v>0.56999999999999529</v>
      </c>
      <c r="C155" s="39">
        <f t="shared" si="8"/>
        <v>10.58607000171969</v>
      </c>
      <c r="D155" s="39">
        <f t="shared" si="9"/>
        <v>1.9292272666445396</v>
      </c>
      <c r="E155" s="39">
        <f t="shared" si="10"/>
        <v>11.189999999999998</v>
      </c>
      <c r="F155" s="39">
        <f t="shared" si="11"/>
        <v>0.71566115095367355</v>
      </c>
      <c r="G155" s="79">
        <f t="shared" si="12"/>
        <v>12</v>
      </c>
      <c r="H155" s="79">
        <f t="shared" si="13"/>
        <v>10</v>
      </c>
    </row>
    <row r="156" spans="2:8" ht="14.25" customHeight="1" x14ac:dyDescent="0.35">
      <c r="B156" s="41">
        <f t="shared" si="15"/>
        <v>0.59999999999999531</v>
      </c>
      <c r="C156" s="39">
        <f t="shared" si="8"/>
        <v>10.59134347549441</v>
      </c>
      <c r="D156" s="39">
        <f t="shared" si="9"/>
        <v>1.8956647010696068</v>
      </c>
      <c r="E156" s="39">
        <f t="shared" si="10"/>
        <v>11.2</v>
      </c>
      <c r="F156" s="39">
        <f t="shared" si="11"/>
        <v>0.72574688224992567</v>
      </c>
      <c r="G156" s="79">
        <f t="shared" si="12"/>
        <v>12</v>
      </c>
      <c r="H156" s="79">
        <f t="shared" si="13"/>
        <v>10</v>
      </c>
    </row>
    <row r="157" spans="2:8" ht="14.25" customHeight="1" x14ac:dyDescent="0.35">
      <c r="B157" s="41">
        <f t="shared" si="15"/>
        <v>0.62999999999999534</v>
      </c>
      <c r="C157" s="39">
        <f t="shared" si="8"/>
        <v>10.596616949269132</v>
      </c>
      <c r="D157" s="39">
        <f t="shared" si="9"/>
        <v>1.8610103566916312</v>
      </c>
      <c r="E157" s="39">
        <f t="shared" si="10"/>
        <v>11.209999999999999</v>
      </c>
      <c r="F157" s="39">
        <f t="shared" si="11"/>
        <v>0.73565270788432158</v>
      </c>
      <c r="G157" s="79">
        <f t="shared" si="12"/>
        <v>12</v>
      </c>
      <c r="H157" s="79">
        <f t="shared" si="13"/>
        <v>10</v>
      </c>
    </row>
    <row r="158" spans="2:8" ht="14.25" customHeight="1" x14ac:dyDescent="0.35">
      <c r="B158" s="41">
        <f t="shared" si="15"/>
        <v>0.65999999999999537</v>
      </c>
      <c r="C158" s="39">
        <f t="shared" si="8"/>
        <v>10.601890423043852</v>
      </c>
      <c r="D158" s="39">
        <f t="shared" si="9"/>
        <v>1.8253459720002716</v>
      </c>
      <c r="E158" s="39">
        <f t="shared" si="10"/>
        <v>11.219999999999999</v>
      </c>
      <c r="F158" s="39">
        <f t="shared" si="11"/>
        <v>0.74537308532866287</v>
      </c>
      <c r="G158" s="79">
        <f t="shared" si="12"/>
        <v>12</v>
      </c>
      <c r="H158" s="79">
        <f t="shared" si="13"/>
        <v>10</v>
      </c>
    </row>
    <row r="159" spans="2:8" ht="14.25" customHeight="1" x14ac:dyDescent="0.35">
      <c r="B159" s="41">
        <f t="shared" si="15"/>
        <v>0.68999999999999539</v>
      </c>
      <c r="C159" s="39">
        <f t="shared" si="8"/>
        <v>10.607163896818573</v>
      </c>
      <c r="D159" s="39">
        <f t="shared" si="9"/>
        <v>1.7887544555633637</v>
      </c>
      <c r="E159" s="39">
        <f t="shared" si="10"/>
        <v>11.229999999999999</v>
      </c>
      <c r="F159" s="39">
        <f t="shared" si="11"/>
        <v>0.75490290632568935</v>
      </c>
      <c r="G159" s="79">
        <f t="shared" si="12"/>
        <v>12</v>
      </c>
      <c r="H159" s="79">
        <f t="shared" si="13"/>
        <v>10</v>
      </c>
    </row>
    <row r="160" spans="2:8" ht="14.25" customHeight="1" x14ac:dyDescent="0.35">
      <c r="B160" s="41">
        <f t="shared" si="15"/>
        <v>0.71999999999999542</v>
      </c>
      <c r="C160" s="39">
        <f t="shared" si="8"/>
        <v>10.612437370593293</v>
      </c>
      <c r="D160" s="39">
        <f t="shared" si="9"/>
        <v>1.7513195682072085</v>
      </c>
      <c r="E160" s="39">
        <f t="shared" si="10"/>
        <v>11.239999999999998</v>
      </c>
      <c r="F160" s="39">
        <f t="shared" si="11"/>
        <v>0.76423750222074749</v>
      </c>
      <c r="G160" s="79">
        <f t="shared" si="12"/>
        <v>12</v>
      </c>
      <c r="H160" s="79">
        <f t="shared" si="13"/>
        <v>10</v>
      </c>
    </row>
    <row r="161" spans="2:8" ht="14.25" customHeight="1" x14ac:dyDescent="0.35">
      <c r="B161" s="41">
        <f t="shared" si="15"/>
        <v>0.74999999999999545</v>
      </c>
      <c r="C161" s="39">
        <f t="shared" si="8"/>
        <v>10.617710844368014</v>
      </c>
      <c r="D161" s="39">
        <f t="shared" si="9"/>
        <v>1.7131256076309722</v>
      </c>
      <c r="E161" s="39">
        <f t="shared" si="10"/>
        <v>11.249999999999998</v>
      </c>
      <c r="F161" s="39">
        <f t="shared" si="11"/>
        <v>0.77337264762313018</v>
      </c>
      <c r="G161" s="79">
        <f t="shared" si="12"/>
        <v>12</v>
      </c>
      <c r="H161" s="79">
        <f t="shared" si="13"/>
        <v>10</v>
      </c>
    </row>
    <row r="162" spans="2:8" ht="14.25" customHeight="1" x14ac:dyDescent="0.35">
      <c r="B162" s="41">
        <f t="shared" si="15"/>
        <v>0.77999999999999547</v>
      </c>
      <c r="C162" s="39">
        <f t="shared" si="8"/>
        <v>10.622984318142734</v>
      </c>
      <c r="D162" s="39">
        <f t="shared" si="9"/>
        <v>1.6742570970911224</v>
      </c>
      <c r="E162" s="39">
        <f t="shared" si="10"/>
        <v>11.259999999999998</v>
      </c>
      <c r="F162" s="39">
        <f t="shared" si="11"/>
        <v>0.78230456241426516</v>
      </c>
      <c r="G162" s="79">
        <f t="shared" si="12"/>
        <v>12</v>
      </c>
      <c r="H162" s="79">
        <f t="shared" si="13"/>
        <v>10</v>
      </c>
    </row>
    <row r="163" spans="2:8" ht="14.25" customHeight="1" x14ac:dyDescent="0.35">
      <c r="B163" s="41">
        <f t="shared" si="15"/>
        <v>0.8099999999999955</v>
      </c>
      <c r="C163" s="39">
        <f t="shared" si="8"/>
        <v>10.628257791917456</v>
      </c>
      <c r="D163" s="39">
        <f t="shared" si="9"/>
        <v>1.6347984797322126</v>
      </c>
      <c r="E163" s="39">
        <f t="shared" si="10"/>
        <v>11.269999999999998</v>
      </c>
      <c r="F163" s="39">
        <f t="shared" si="11"/>
        <v>0.79102991212839657</v>
      </c>
      <c r="G163" s="79">
        <f t="shared" si="12"/>
        <v>12</v>
      </c>
      <c r="H163" s="79">
        <f t="shared" si="13"/>
        <v>10</v>
      </c>
    </row>
    <row r="164" spans="2:8" ht="14.25" customHeight="1" x14ac:dyDescent="0.35">
      <c r="B164" s="41">
        <f t="shared" si="15"/>
        <v>0.83999999999999553</v>
      </c>
      <c r="C164" s="39">
        <f t="shared" ref="C164:C227" si="16">$D$21+B164*$D$25</f>
        <v>10.633531265692175</v>
      </c>
      <c r="D164" s="39">
        <f t="shared" ref="D164:D227" si="17">_xlfn.NORM.DIST($D$21+B164*$D$25,$D$21,$D$25,FALSE())</f>
        <v>1.5948338200722965</v>
      </c>
      <c r="E164" s="39">
        <f t="shared" ref="E164:E227" si="18">$D$29+B164*$D$28</f>
        <v>11.279999999999998</v>
      </c>
      <c r="F164" s="39">
        <f t="shared" ref="F164:F227" si="19">_xlfn.NORM.DIST(E164,$D$29,$D$28,TRUE())</f>
        <v>0.79954580673954834</v>
      </c>
      <c r="G164" s="79">
        <f t="shared" ref="G164:G227" si="20">$D$26</f>
        <v>12</v>
      </c>
      <c r="H164" s="79">
        <f t="shared" ref="H164:H227" si="21">$D$27</f>
        <v>10</v>
      </c>
    </row>
    <row r="165" spans="2:8" ht="14.25" customHeight="1" x14ac:dyDescent="0.35">
      <c r="B165" s="41">
        <f t="shared" ref="B165:B196" si="22">B164+0.03</f>
        <v>0.86999999999999555</v>
      </c>
      <c r="C165" s="39">
        <f t="shared" si="16"/>
        <v>10.638804739466895</v>
      </c>
      <c r="D165" s="39">
        <f t="shared" si="17"/>
        <v>1.5544465140723946</v>
      </c>
      <c r="E165" s="39">
        <f t="shared" si="18"/>
        <v>11.29</v>
      </c>
      <c r="F165" s="39">
        <f t="shared" si="19"/>
        <v>0.80784979789630307</v>
      </c>
      <c r="G165" s="79">
        <f t="shared" si="20"/>
        <v>12</v>
      </c>
      <c r="H165" s="79">
        <f t="shared" si="21"/>
        <v>10</v>
      </c>
    </row>
    <row r="166" spans="2:8" ht="14.25" customHeight="1" x14ac:dyDescent="0.35">
      <c r="B166" s="41">
        <f t="shared" si="22"/>
        <v>0.89999999999999558</v>
      </c>
      <c r="C166" s="39">
        <f t="shared" si="16"/>
        <v>10.644078213241617</v>
      </c>
      <c r="D166" s="39">
        <f t="shared" si="17"/>
        <v>1.5137190091337236</v>
      </c>
      <c r="E166" s="39">
        <f t="shared" si="18"/>
        <v>11.299999999999999</v>
      </c>
      <c r="F166" s="39">
        <f t="shared" si="19"/>
        <v>0.81593987465323969</v>
      </c>
      <c r="G166" s="79">
        <f t="shared" si="20"/>
        <v>12</v>
      </c>
      <c r="H166" s="79">
        <f t="shared" si="21"/>
        <v>10</v>
      </c>
    </row>
    <row r="167" spans="2:8" ht="14.25" customHeight="1" x14ac:dyDescent="0.35">
      <c r="B167" s="41">
        <f t="shared" si="22"/>
        <v>0.92999999999999561</v>
      </c>
      <c r="C167" s="39">
        <f t="shared" si="16"/>
        <v>10.649351687016336</v>
      </c>
      <c r="D167" s="39">
        <f t="shared" si="17"/>
        <v>1.4727325352719851</v>
      </c>
      <c r="E167" s="39">
        <f t="shared" si="18"/>
        <v>11.309999999999999</v>
      </c>
      <c r="F167" s="39">
        <f t="shared" si="19"/>
        <v>0.82381445775474105</v>
      </c>
      <c r="G167" s="79">
        <f t="shared" si="20"/>
        <v>12</v>
      </c>
      <c r="H167" s="79">
        <f t="shared" si="21"/>
        <v>10</v>
      </c>
    </row>
    <row r="168" spans="2:8" ht="14.25" customHeight="1" x14ac:dyDescent="0.35">
      <c r="B168" s="41">
        <f t="shared" si="22"/>
        <v>0.95999999999999563</v>
      </c>
      <c r="C168" s="39">
        <f t="shared" si="16"/>
        <v>10.654625160791058</v>
      </c>
      <c r="D168" s="39">
        <f t="shared" si="17"/>
        <v>1.431566848617462</v>
      </c>
      <c r="E168" s="39">
        <f t="shared" si="18"/>
        <v>11.319999999999999</v>
      </c>
      <c r="F168" s="39">
        <f t="shared" si="19"/>
        <v>0.83147239253316108</v>
      </c>
      <c r="G168" s="79">
        <f t="shared" si="20"/>
        <v>12</v>
      </c>
      <c r="H168" s="79">
        <f t="shared" si="21"/>
        <v>10</v>
      </c>
    </row>
    <row r="169" spans="2:8" ht="14.25" customHeight="1" x14ac:dyDescent="0.35">
      <c r="B169" s="41">
        <f t="shared" si="22"/>
        <v>0.98999999999999566</v>
      </c>
      <c r="C169" s="39">
        <f t="shared" si="16"/>
        <v>10.659898634565778</v>
      </c>
      <c r="D169" s="39">
        <f t="shared" si="17"/>
        <v>1.3902999882840139</v>
      </c>
      <c r="E169" s="39">
        <f t="shared" si="18"/>
        <v>11.329999999999998</v>
      </c>
      <c r="F169" s="39">
        <f t="shared" si="19"/>
        <v>0.83891294048916787</v>
      </c>
      <c r="G169" s="79">
        <f t="shared" si="20"/>
        <v>12</v>
      </c>
      <c r="H169" s="79">
        <f t="shared" si="21"/>
        <v>10</v>
      </c>
    </row>
    <row r="170" spans="2:8" ht="14.25" customHeight="1" x14ac:dyDescent="0.35">
      <c r="B170" s="41">
        <f t="shared" si="22"/>
        <v>1.0199999999999956</v>
      </c>
      <c r="C170" s="39">
        <f t="shared" si="16"/>
        <v>10.665172108340499</v>
      </c>
      <c r="D170" s="39">
        <f t="shared" si="17"/>
        <v>1.3490080475385271</v>
      </c>
      <c r="E170" s="39">
        <f t="shared" si="18"/>
        <v>11.339999999999998</v>
      </c>
      <c r="F170" s="39">
        <f t="shared" si="19"/>
        <v>0.84613576962726378</v>
      </c>
      <c r="G170" s="79">
        <f t="shared" si="20"/>
        <v>12</v>
      </c>
      <c r="H170" s="79">
        <f t="shared" si="21"/>
        <v>10</v>
      </c>
    </row>
    <row r="171" spans="2:8" ht="14.25" customHeight="1" x14ac:dyDescent="0.35">
      <c r="B171" s="41">
        <f t="shared" si="22"/>
        <v>1.0499999999999956</v>
      </c>
      <c r="C171" s="39">
        <f t="shared" si="16"/>
        <v>10.670445582115219</v>
      </c>
      <c r="D171" s="39">
        <f t="shared" si="17"/>
        <v>1.3077649600888521</v>
      </c>
      <c r="E171" s="39">
        <f t="shared" si="18"/>
        <v>11.349999999999998</v>
      </c>
      <c r="F171" s="39">
        <f t="shared" si="19"/>
        <v>0.85314094362410264</v>
      </c>
      <c r="G171" s="79">
        <f t="shared" si="20"/>
        <v>12</v>
      </c>
      <c r="H171" s="79">
        <f t="shared" si="21"/>
        <v>10</v>
      </c>
    </row>
    <row r="172" spans="2:8" ht="14.25" customHeight="1" x14ac:dyDescent="0.35">
      <c r="B172" s="41">
        <f t="shared" si="22"/>
        <v>1.0799999999999956</v>
      </c>
      <c r="C172" s="39">
        <f t="shared" si="16"/>
        <v>10.675719055889941</v>
      </c>
      <c r="D172" s="39">
        <f t="shared" si="17"/>
        <v>1.2666423021904183</v>
      </c>
      <c r="E172" s="39">
        <f t="shared" si="18"/>
        <v>11.36</v>
      </c>
      <c r="F172" s="39">
        <f t="shared" si="19"/>
        <v>0.85992890991123061</v>
      </c>
      <c r="G172" s="79">
        <f t="shared" si="20"/>
        <v>12</v>
      </c>
      <c r="H172" s="79">
        <f t="shared" si="21"/>
        <v>10</v>
      </c>
    </row>
    <row r="173" spans="2:8" ht="14.25" customHeight="1" x14ac:dyDescent="0.35">
      <c r="B173" s="41">
        <f t="shared" si="22"/>
        <v>1.1099999999999957</v>
      </c>
      <c r="C173" s="39">
        <f t="shared" si="16"/>
        <v>10.68099252966466</v>
      </c>
      <c r="D173" s="39">
        <f t="shared" si="17"/>
        <v>1.2257091111539944</v>
      </c>
      <c r="E173" s="39">
        <f t="shared" si="18"/>
        <v>11.37</v>
      </c>
      <c r="F173" s="39">
        <f t="shared" si="19"/>
        <v>0.86650048675725222</v>
      </c>
      <c r="G173" s="79">
        <f t="shared" si="20"/>
        <v>12</v>
      </c>
      <c r="H173" s="79">
        <f t="shared" si="21"/>
        <v>10</v>
      </c>
    </row>
    <row r="174" spans="2:8" ht="14.25" customHeight="1" x14ac:dyDescent="0.35">
      <c r="B174" s="41">
        <f t="shared" si="22"/>
        <v>1.1399999999999957</v>
      </c>
      <c r="C174" s="39">
        <f t="shared" si="16"/>
        <v>10.68626600343938</v>
      </c>
      <c r="D174" s="39">
        <f t="shared" si="17"/>
        <v>1.1850317207170469</v>
      </c>
      <c r="E174" s="39">
        <f t="shared" si="18"/>
        <v>11.379999999999999</v>
      </c>
      <c r="F174" s="39">
        <f t="shared" si="19"/>
        <v>0.8728568494372011</v>
      </c>
      <c r="G174" s="79">
        <f t="shared" si="20"/>
        <v>12</v>
      </c>
      <c r="H174" s="79">
        <f t="shared" si="21"/>
        <v>10</v>
      </c>
    </row>
    <row r="175" spans="2:8" ht="14.25" customHeight="1" x14ac:dyDescent="0.35">
      <c r="B175" s="41">
        <f t="shared" si="22"/>
        <v>1.1699999999999957</v>
      </c>
      <c r="C175" s="39">
        <f t="shared" si="16"/>
        <v>10.691539477214102</v>
      </c>
      <c r="D175" s="39">
        <f t="shared" si="17"/>
        <v>1.1446736136230853</v>
      </c>
      <c r="E175" s="39">
        <f t="shared" si="18"/>
        <v>11.389999999999999</v>
      </c>
      <c r="F175" s="39">
        <f t="shared" si="19"/>
        <v>0.87899951557898115</v>
      </c>
      <c r="G175" s="79">
        <f t="shared" si="20"/>
        <v>12</v>
      </c>
      <c r="H175" s="79">
        <f t="shared" si="21"/>
        <v>10</v>
      </c>
    </row>
    <row r="176" spans="2:8" ht="14.25" customHeight="1" x14ac:dyDescent="0.35">
      <c r="B176" s="41">
        <f t="shared" si="22"/>
        <v>1.1999999999999957</v>
      </c>
      <c r="C176" s="39">
        <f t="shared" si="16"/>
        <v>10.696812950988821</v>
      </c>
      <c r="D176" s="39">
        <f t="shared" si="17"/>
        <v>1.1046952916353792</v>
      </c>
      <c r="E176" s="39">
        <f t="shared" si="18"/>
        <v>11.399999999999999</v>
      </c>
      <c r="F176" s="39">
        <f t="shared" si="19"/>
        <v>0.88493032977829089</v>
      </c>
      <c r="G176" s="79">
        <f t="shared" si="20"/>
        <v>12</v>
      </c>
      <c r="H176" s="79">
        <f t="shared" si="21"/>
        <v>10</v>
      </c>
    </row>
    <row r="177" spans="2:8" ht="14.25" customHeight="1" x14ac:dyDescent="0.35">
      <c r="B177" s="41">
        <f t="shared" si="22"/>
        <v>1.2299999999999958</v>
      </c>
      <c r="C177" s="39">
        <f t="shared" si="16"/>
        <v>10.702086424763543</v>
      </c>
      <c r="D177" s="39">
        <f t="shared" si="17"/>
        <v>1.0651541630961383</v>
      </c>
      <c r="E177" s="39">
        <f t="shared" si="18"/>
        <v>11.409999999999998</v>
      </c>
      <c r="F177" s="39">
        <f t="shared" si="19"/>
        <v>0.89065144757430725</v>
      </c>
      <c r="G177" s="79">
        <f t="shared" si="20"/>
        <v>12</v>
      </c>
      <c r="H177" s="79">
        <f t="shared" si="21"/>
        <v>10</v>
      </c>
    </row>
    <row r="178" spans="2:8" ht="14.25" customHeight="1" x14ac:dyDescent="0.35">
      <c r="B178" s="41">
        <f t="shared" si="22"/>
        <v>1.2599999999999958</v>
      </c>
      <c r="C178" s="39">
        <f t="shared" si="16"/>
        <v>10.707359898538263</v>
      </c>
      <c r="D178" s="39">
        <f t="shared" si="17"/>
        <v>1.0261044480304067</v>
      </c>
      <c r="E178" s="39">
        <f t="shared" si="18"/>
        <v>11.419999999999998</v>
      </c>
      <c r="F178" s="39">
        <f t="shared" si="19"/>
        <v>0.89616531887869866</v>
      </c>
      <c r="G178" s="79">
        <f t="shared" si="20"/>
        <v>12</v>
      </c>
      <c r="H178" s="79">
        <f t="shared" si="21"/>
        <v>10</v>
      </c>
    </row>
    <row r="179" spans="2:8" ht="14.25" customHeight="1" x14ac:dyDescent="0.35">
      <c r="B179" s="41">
        <f t="shared" si="22"/>
        <v>1.2899999999999958</v>
      </c>
      <c r="C179" s="39">
        <f t="shared" si="16"/>
        <v>10.712633372312984</v>
      </c>
      <c r="D179" s="39">
        <f t="shared" si="17"/>
        <v>0.98759710068473427</v>
      </c>
      <c r="E179" s="39">
        <f t="shared" si="18"/>
        <v>11.429999999999998</v>
      </c>
      <c r="F179" s="39">
        <f t="shared" si="19"/>
        <v>0.90147467095025113</v>
      </c>
      <c r="G179" s="79">
        <f t="shared" si="20"/>
        <v>12</v>
      </c>
      <c r="H179" s="79">
        <f t="shared" si="21"/>
        <v>10</v>
      </c>
    </row>
    <row r="180" spans="2:8" ht="14.25" customHeight="1" x14ac:dyDescent="0.35">
      <c r="B180" s="41">
        <f t="shared" si="22"/>
        <v>1.3199999999999958</v>
      </c>
      <c r="C180" s="39">
        <f t="shared" si="16"/>
        <v>10.717906846087704</v>
      </c>
      <c r="D180" s="39">
        <f t="shared" si="17"/>
        <v>0.94967974928761989</v>
      </c>
      <c r="E180" s="39">
        <f t="shared" si="18"/>
        <v>11.439999999999998</v>
      </c>
      <c r="F180" s="39">
        <f t="shared" si="19"/>
        <v>0.9065824910065271</v>
      </c>
      <c r="G180" s="79">
        <f t="shared" si="20"/>
        <v>12</v>
      </c>
      <c r="H180" s="79">
        <f t="shared" si="21"/>
        <v>10</v>
      </c>
    </row>
    <row r="181" spans="2:8" ht="14.25" customHeight="1" x14ac:dyDescent="0.35">
      <c r="B181" s="41">
        <f t="shared" si="22"/>
        <v>1.3499999999999959</v>
      </c>
      <c r="C181" s="39">
        <f t="shared" si="16"/>
        <v>10.723180319862426</v>
      </c>
      <c r="D181" s="39">
        <f t="shared" si="17"/>
        <v>0.91239665271921389</v>
      </c>
      <c r="E181" s="39">
        <f t="shared" si="18"/>
        <v>11.45</v>
      </c>
      <c r="F181" s="39">
        <f t="shared" si="19"/>
        <v>0.9114920085625976</v>
      </c>
      <c r="G181" s="79">
        <f t="shared" si="20"/>
        <v>12</v>
      </c>
      <c r="H181" s="79">
        <f t="shared" si="21"/>
        <v>10</v>
      </c>
    </row>
    <row r="182" spans="2:8" ht="14.25" customHeight="1" x14ac:dyDescent="0.35">
      <c r="B182" s="41">
        <f t="shared" si="22"/>
        <v>1.3799999999999959</v>
      </c>
      <c r="C182" s="39">
        <f t="shared" si="16"/>
        <v>10.728453793637145</v>
      </c>
      <c r="D182" s="39">
        <f t="shared" si="17"/>
        <v>0.87578867368573932</v>
      </c>
      <c r="E182" s="39">
        <f t="shared" si="18"/>
        <v>11.459999999999999</v>
      </c>
      <c r="F182" s="39">
        <f t="shared" si="19"/>
        <v>0.91620667758498531</v>
      </c>
      <c r="G182" s="79">
        <f t="shared" si="20"/>
        <v>12</v>
      </c>
      <c r="H182" s="79">
        <f t="shared" si="21"/>
        <v>10</v>
      </c>
    </row>
    <row r="183" spans="2:8" ht="14.25" customHeight="1" x14ac:dyDescent="0.35">
      <c r="B183" s="41">
        <f t="shared" si="22"/>
        <v>1.4099999999999959</v>
      </c>
      <c r="C183" s="39">
        <f t="shared" si="16"/>
        <v>10.733727267411865</v>
      </c>
      <c r="D183" s="39">
        <f t="shared" si="17"/>
        <v>0.83989326790677654</v>
      </c>
      <c r="E183" s="39">
        <f t="shared" si="18"/>
        <v>11.469999999999999</v>
      </c>
      <c r="F183" s="39">
        <f t="shared" si="19"/>
        <v>0.92073015854660711</v>
      </c>
      <c r="G183" s="79">
        <f t="shared" si="20"/>
        <v>12</v>
      </c>
      <c r="H183" s="79">
        <f t="shared" si="21"/>
        <v>10</v>
      </c>
    </row>
    <row r="184" spans="2:8" ht="14.25" customHeight="1" x14ac:dyDescent="0.35">
      <c r="B184" s="41">
        <f t="shared" si="22"/>
        <v>1.4399999999999959</v>
      </c>
      <c r="C184" s="39">
        <f t="shared" si="16"/>
        <v>10.739000741186587</v>
      </c>
      <c r="D184" s="39">
        <f t="shared" si="17"/>
        <v>0.80474448874453153</v>
      </c>
      <c r="E184" s="39">
        <f t="shared" si="18"/>
        <v>11.479999999999999</v>
      </c>
      <c r="F184" s="39">
        <f t="shared" si="19"/>
        <v>0.9250663004656724</v>
      </c>
      <c r="G184" s="79">
        <f t="shared" si="20"/>
        <v>12</v>
      </c>
      <c r="H184" s="79">
        <f t="shared" si="21"/>
        <v>10</v>
      </c>
    </row>
    <row r="185" spans="2:8" ht="14.25" customHeight="1" x14ac:dyDescent="0.35">
      <c r="B185" s="41">
        <f t="shared" si="22"/>
        <v>1.469999999999996</v>
      </c>
      <c r="C185" s="39">
        <f t="shared" si="16"/>
        <v>10.744274214961306</v>
      </c>
      <c r="D185" s="39">
        <f t="shared" si="17"/>
        <v>0.7703730066311868</v>
      </c>
      <c r="E185" s="39">
        <f t="shared" si="18"/>
        <v>11.489999999999998</v>
      </c>
      <c r="F185" s="39">
        <f t="shared" si="19"/>
        <v>0.92921912300831389</v>
      </c>
      <c r="G185" s="79">
        <f t="shared" si="20"/>
        <v>12</v>
      </c>
      <c r="H185" s="79">
        <f t="shared" si="21"/>
        <v>10</v>
      </c>
    </row>
    <row r="186" spans="2:8" ht="14.25" customHeight="1" x14ac:dyDescent="0.35">
      <c r="B186" s="41">
        <f t="shared" si="22"/>
        <v>1.499999999999996</v>
      </c>
      <c r="C186" s="39">
        <f t="shared" si="16"/>
        <v>10.749547688736028</v>
      </c>
      <c r="D186" s="39">
        <f t="shared" si="17"/>
        <v>0.73680614258533317</v>
      </c>
      <c r="E186" s="39">
        <f t="shared" si="18"/>
        <v>11.499999999999998</v>
      </c>
      <c r="F186" s="39">
        <f t="shared" si="19"/>
        <v>0.93319279873114125</v>
      </c>
      <c r="G186" s="79">
        <f t="shared" si="20"/>
        <v>12</v>
      </c>
      <c r="H186" s="79">
        <f t="shared" si="21"/>
        <v>10</v>
      </c>
    </row>
    <row r="187" spans="2:8" ht="14.25" customHeight="1" x14ac:dyDescent="0.35">
      <c r="B187" s="41">
        <f t="shared" si="22"/>
        <v>1.529999999999996</v>
      </c>
      <c r="C187" s="39">
        <f t="shared" si="16"/>
        <v>10.754821162510748</v>
      </c>
      <c r="D187" s="39">
        <f t="shared" si="17"/>
        <v>0.70406791505139954</v>
      </c>
      <c r="E187" s="39">
        <f t="shared" si="18"/>
        <v>11.509999999999998</v>
      </c>
      <c r="F187" s="39">
        <f t="shared" si="19"/>
        <v>0.93699163553602083</v>
      </c>
      <c r="G187" s="79">
        <f t="shared" si="20"/>
        <v>12</v>
      </c>
      <c r="H187" s="79">
        <f t="shared" si="21"/>
        <v>10</v>
      </c>
    </row>
    <row r="188" spans="2:8" ht="14.25" customHeight="1" x14ac:dyDescent="0.35">
      <c r="B188" s="41">
        <f t="shared" si="22"/>
        <v>1.5599999999999961</v>
      </c>
      <c r="C188" s="39">
        <f t="shared" si="16"/>
        <v>10.760094636285469</v>
      </c>
      <c r="D188" s="39">
        <f t="shared" si="17"/>
        <v>0.67217909924569885</v>
      </c>
      <c r="E188" s="39">
        <f t="shared" si="18"/>
        <v>11.52</v>
      </c>
      <c r="F188" s="39">
        <f t="shared" si="19"/>
        <v>0.94062005940520688</v>
      </c>
      <c r="G188" s="79">
        <f t="shared" si="20"/>
        <v>12</v>
      </c>
      <c r="H188" s="79">
        <f t="shared" si="21"/>
        <v>10</v>
      </c>
    </row>
    <row r="189" spans="2:8" ht="14.25" customHeight="1" x14ac:dyDescent="0.35">
      <c r="B189" s="41">
        <f t="shared" si="22"/>
        <v>1.5899999999999961</v>
      </c>
      <c r="C189" s="39">
        <f t="shared" si="16"/>
        <v>10.765368110060189</v>
      </c>
      <c r="D189" s="39">
        <f t="shared" si="17"/>
        <v>0.64115729815159983</v>
      </c>
      <c r="E189" s="39">
        <f t="shared" si="18"/>
        <v>11.53</v>
      </c>
      <c r="F189" s="39">
        <f t="shared" si="19"/>
        <v>0.94408259748053036</v>
      </c>
      <c r="G189" s="79">
        <f t="shared" si="20"/>
        <v>12</v>
      </c>
      <c r="H189" s="79">
        <f t="shared" si="21"/>
        <v>10</v>
      </c>
    </row>
    <row r="190" spans="2:8" ht="14.25" customHeight="1" x14ac:dyDescent="0.35">
      <c r="B190" s="41">
        <f t="shared" si="22"/>
        <v>1.6199999999999961</v>
      </c>
      <c r="C190" s="39">
        <f t="shared" si="16"/>
        <v>10.770641583834911</v>
      </c>
      <c r="D190" s="39">
        <f t="shared" si="17"/>
        <v>0.6110170242716837</v>
      </c>
      <c r="E190" s="39">
        <f t="shared" si="18"/>
        <v>11.54</v>
      </c>
      <c r="F190" s="39">
        <f t="shared" si="19"/>
        <v>0.94738386154574772</v>
      </c>
      <c r="G190" s="79">
        <f t="shared" si="20"/>
        <v>12</v>
      </c>
      <c r="H190" s="79">
        <f t="shared" si="21"/>
        <v>10</v>
      </c>
    </row>
    <row r="191" spans="2:8" ht="14.25" customHeight="1" x14ac:dyDescent="0.35">
      <c r="B191" s="41">
        <f t="shared" si="22"/>
        <v>1.6499999999999961</v>
      </c>
      <c r="C191" s="39">
        <f t="shared" si="16"/>
        <v>10.77591505760963</v>
      </c>
      <c r="D191" s="39">
        <f t="shared" si="17"/>
        <v>0.58176979121924977</v>
      </c>
      <c r="E191" s="39">
        <f t="shared" si="18"/>
        <v>11.549999999999999</v>
      </c>
      <c r="F191" s="39">
        <f t="shared" si="19"/>
        <v>0.95052853196635156</v>
      </c>
      <c r="G191" s="79">
        <f t="shared" si="20"/>
        <v>12</v>
      </c>
      <c r="H191" s="79">
        <f t="shared" si="21"/>
        <v>10</v>
      </c>
    </row>
    <row r="192" spans="2:8" ht="14.25" customHeight="1" x14ac:dyDescent="0.35">
      <c r="B192" s="41">
        <f t="shared" si="22"/>
        <v>1.6799999999999962</v>
      </c>
      <c r="C192" s="39">
        <f t="shared" si="16"/>
        <v>10.781188531384352</v>
      </c>
      <c r="D192" s="39">
        <f t="shared" si="17"/>
        <v>0.55342421421232391</v>
      </c>
      <c r="E192" s="39">
        <f t="shared" si="18"/>
        <v>11.559999999999999</v>
      </c>
      <c r="F192" s="39">
        <f t="shared" si="19"/>
        <v>0.95352134213627959</v>
      </c>
      <c r="G192" s="79">
        <f t="shared" si="20"/>
        <v>12</v>
      </c>
      <c r="H192" s="79">
        <f t="shared" si="21"/>
        <v>10</v>
      </c>
    </row>
    <row r="193" spans="2:8" ht="14.25" customHeight="1" x14ac:dyDescent="0.35">
      <c r="B193" s="41">
        <f t="shared" si="22"/>
        <v>1.7099999999999962</v>
      </c>
      <c r="C193" s="39">
        <f t="shared" si="16"/>
        <v>10.786462005159072</v>
      </c>
      <c r="D193" s="39">
        <f t="shared" si="17"/>
        <v>0.52598611852287491</v>
      </c>
      <c r="E193" s="39">
        <f t="shared" si="18"/>
        <v>11.569999999999999</v>
      </c>
      <c r="F193" s="39">
        <f t="shared" si="19"/>
        <v>0.95636706347596767</v>
      </c>
      <c r="G193" s="79">
        <f t="shared" si="20"/>
        <v>12</v>
      </c>
      <c r="H193" s="79">
        <f t="shared" si="21"/>
        <v>10</v>
      </c>
    </row>
    <row r="194" spans="2:8" ht="14.25" customHeight="1" x14ac:dyDescent="0.35">
      <c r="B194" s="41">
        <f t="shared" si="22"/>
        <v>1.7399999999999962</v>
      </c>
      <c r="C194" s="39">
        <f t="shared" si="16"/>
        <v>10.791735478933791</v>
      </c>
      <c r="D194" s="39">
        <f t="shared" si="17"/>
        <v>0.49945865492936448</v>
      </c>
      <c r="E194" s="39">
        <f t="shared" si="18"/>
        <v>11.579999999999998</v>
      </c>
      <c r="F194" s="39">
        <f t="shared" si="19"/>
        <v>0.95907049102119213</v>
      </c>
      <c r="G194" s="79">
        <f t="shared" si="20"/>
        <v>12</v>
      </c>
      <c r="H194" s="79">
        <f t="shared" si="21"/>
        <v>10</v>
      </c>
    </row>
    <row r="195" spans="2:8" ht="14.25" customHeight="1" x14ac:dyDescent="0.35">
      <c r="B195" s="41">
        <f t="shared" si="22"/>
        <v>1.7699999999999962</v>
      </c>
      <c r="C195" s="39">
        <f t="shared" si="16"/>
        <v>10.797008952708513</v>
      </c>
      <c r="D195" s="39">
        <f t="shared" si="17"/>
        <v>0.47384242122426384</v>
      </c>
      <c r="E195" s="39">
        <f t="shared" si="18"/>
        <v>11.589999999999998</v>
      </c>
      <c r="F195" s="39">
        <f t="shared" si="19"/>
        <v>0.96163642963712825</v>
      </c>
      <c r="G195" s="79">
        <f t="shared" si="20"/>
        <v>12</v>
      </c>
      <c r="H195" s="79">
        <f t="shared" si="21"/>
        <v>10</v>
      </c>
    </row>
    <row r="196" spans="2:8" ht="14.25" customHeight="1" x14ac:dyDescent="0.35">
      <c r="B196" s="41">
        <f t="shared" si="22"/>
        <v>1.7999999999999963</v>
      </c>
      <c r="C196" s="39">
        <f t="shared" si="16"/>
        <v>10.802282426483233</v>
      </c>
      <c r="D196" s="39">
        <f t="shared" si="17"/>
        <v>0.44913558883723925</v>
      </c>
      <c r="E196" s="39">
        <f t="shared" si="18"/>
        <v>11.599999999999998</v>
      </c>
      <c r="F196" s="39">
        <f t="shared" si="19"/>
        <v>0.96406968088707368</v>
      </c>
      <c r="G196" s="79">
        <f t="shared" si="20"/>
        <v>12</v>
      </c>
      <c r="H196" s="79">
        <f t="shared" si="21"/>
        <v>10</v>
      </c>
    </row>
    <row r="197" spans="2:8" ht="14.25" customHeight="1" x14ac:dyDescent="0.35">
      <c r="B197" s="41">
        <f t="shared" ref="B197:B228" si="23">B196+0.03</f>
        <v>1.8299999999999963</v>
      </c>
      <c r="C197" s="39">
        <f t="shared" si="16"/>
        <v>10.807555900257954</v>
      </c>
      <c r="D197" s="39">
        <f t="shared" si="17"/>
        <v>0.42533403365031286</v>
      </c>
      <c r="E197" s="39">
        <f t="shared" si="18"/>
        <v>11.61</v>
      </c>
      <c r="F197" s="39">
        <f t="shared" si="19"/>
        <v>0.96637503058037155</v>
      </c>
      <c r="G197" s="79">
        <f t="shared" si="20"/>
        <v>12</v>
      </c>
      <c r="H197" s="79">
        <f t="shared" si="21"/>
        <v>10</v>
      </c>
    </row>
    <row r="198" spans="2:8" ht="14.25" customHeight="1" x14ac:dyDescent="0.35">
      <c r="B198" s="41">
        <f t="shared" si="23"/>
        <v>1.8599999999999963</v>
      </c>
      <c r="C198" s="39">
        <f t="shared" si="16"/>
        <v>10.812829374032674</v>
      </c>
      <c r="D198" s="39">
        <f t="shared" si="17"/>
        <v>0.40243147010283248</v>
      </c>
      <c r="E198" s="39">
        <f t="shared" si="18"/>
        <v>11.62</v>
      </c>
      <c r="F198" s="39">
        <f t="shared" si="19"/>
        <v>0.96855723701924712</v>
      </c>
      <c r="G198" s="79">
        <f t="shared" si="20"/>
        <v>12</v>
      </c>
      <c r="H198" s="79">
        <f t="shared" si="21"/>
        <v>10</v>
      </c>
    </row>
    <row r="199" spans="2:8" ht="14.25" customHeight="1" x14ac:dyDescent="0.35">
      <c r="B199" s="41">
        <f t="shared" si="23"/>
        <v>1.8899999999999963</v>
      </c>
      <c r="C199" s="39">
        <f t="shared" si="16"/>
        <v>10.818102847807396</v>
      </c>
      <c r="D199" s="39">
        <f t="shared" si="17"/>
        <v>0.38041958771009954</v>
      </c>
      <c r="E199" s="39">
        <f t="shared" si="18"/>
        <v>11.629999999999999</v>
      </c>
      <c r="F199" s="39">
        <f t="shared" si="19"/>
        <v>0.97062101995959038</v>
      </c>
      <c r="G199" s="79">
        <f t="shared" si="20"/>
        <v>12</v>
      </c>
      <c r="H199" s="79">
        <f t="shared" si="21"/>
        <v>10</v>
      </c>
    </row>
    <row r="200" spans="2:8" ht="14.25" customHeight="1" x14ac:dyDescent="0.35">
      <c r="B200" s="41">
        <f t="shared" si="23"/>
        <v>1.9199999999999964</v>
      </c>
      <c r="C200" s="39">
        <f t="shared" si="16"/>
        <v>10.823376321582115</v>
      </c>
      <c r="D200" s="39">
        <f t="shared" si="17"/>
        <v>0.35928818915125421</v>
      </c>
      <c r="E200" s="39">
        <f t="shared" si="18"/>
        <v>11.639999999999999</v>
      </c>
      <c r="F200" s="39">
        <f t="shared" si="19"/>
        <v>0.97257105029616298</v>
      </c>
      <c r="G200" s="79">
        <f t="shared" si="20"/>
        <v>12</v>
      </c>
      <c r="H200" s="79">
        <f t="shared" si="21"/>
        <v>10</v>
      </c>
    </row>
    <row r="201" spans="2:8" ht="14.25" customHeight="1" x14ac:dyDescent="0.35">
      <c r="B201" s="41">
        <f t="shared" si="23"/>
        <v>1.9499999999999964</v>
      </c>
      <c r="C201" s="39">
        <f t="shared" si="16"/>
        <v>10.828649795356837</v>
      </c>
      <c r="D201" s="39">
        <f t="shared" si="17"/>
        <v>0.33902532911699529</v>
      </c>
      <c r="E201" s="39">
        <f t="shared" si="18"/>
        <v>11.649999999999999</v>
      </c>
      <c r="F201" s="39">
        <f t="shared" si="19"/>
        <v>0.9744119404783611</v>
      </c>
      <c r="G201" s="79">
        <f t="shared" si="20"/>
        <v>12</v>
      </c>
      <c r="H201" s="79">
        <f t="shared" si="21"/>
        <v>10</v>
      </c>
    </row>
    <row r="202" spans="2:8" ht="14.25" customHeight="1" x14ac:dyDescent="0.35">
      <c r="B202" s="41">
        <f t="shared" si="23"/>
        <v>1.9799999999999964</v>
      </c>
      <c r="C202" s="39">
        <f t="shared" si="16"/>
        <v>10.833923269131557</v>
      </c>
      <c r="D202" s="39">
        <f t="shared" si="17"/>
        <v>0.3196174531474501</v>
      </c>
      <c r="E202" s="39">
        <f t="shared" si="18"/>
        <v>11.659999999999998</v>
      </c>
      <c r="F202" s="39">
        <f t="shared" si="19"/>
        <v>0.97614823565849118</v>
      </c>
      <c r="G202" s="79">
        <f t="shared" si="20"/>
        <v>12</v>
      </c>
      <c r="H202" s="79">
        <f t="shared" si="21"/>
        <v>10</v>
      </c>
    </row>
    <row r="203" spans="2:8" ht="14.25" customHeight="1" x14ac:dyDescent="0.35">
      <c r="B203" s="41">
        <f t="shared" si="23"/>
        <v>2.0099999999999962</v>
      </c>
      <c r="C203" s="39">
        <f t="shared" si="16"/>
        <v>10.839196742906276</v>
      </c>
      <c r="D203" s="39">
        <f t="shared" si="17"/>
        <v>0.30104953573251847</v>
      </c>
      <c r="E203" s="39">
        <f t="shared" si="18"/>
        <v>11.669999999999998</v>
      </c>
      <c r="F203" s="39">
        <f t="shared" si="19"/>
        <v>0.97778440557056823</v>
      </c>
      <c r="G203" s="79">
        <f t="shared" si="20"/>
        <v>12</v>
      </c>
      <c r="H203" s="79">
        <f t="shared" si="21"/>
        <v>10</v>
      </c>
    </row>
    <row r="204" spans="2:8" ht="14.25" customHeight="1" x14ac:dyDescent="0.35">
      <c r="B204" s="41">
        <f t="shared" si="23"/>
        <v>2.039999999999996</v>
      </c>
      <c r="C204" s="39">
        <f t="shared" si="16"/>
        <v>10.844470216680998</v>
      </c>
      <c r="D204" s="39">
        <f t="shared" si="17"/>
        <v>0.28330521699262629</v>
      </c>
      <c r="E204" s="39">
        <f t="shared" si="18"/>
        <v>11.679999999999998</v>
      </c>
      <c r="F204" s="39">
        <f t="shared" si="19"/>
        <v>0.9793248371339297</v>
      </c>
      <c r="G204" s="79">
        <f t="shared" si="20"/>
        <v>12</v>
      </c>
      <c r="H204" s="79">
        <f t="shared" si="21"/>
        <v>10</v>
      </c>
    </row>
    <row r="205" spans="2:8" ht="14.25" customHeight="1" x14ac:dyDescent="0.35">
      <c r="B205" s="41">
        <f t="shared" si="23"/>
        <v>2.0699999999999958</v>
      </c>
      <c r="C205" s="39">
        <f t="shared" si="16"/>
        <v>10.849743690455718</v>
      </c>
      <c r="D205" s="39">
        <f t="shared" si="17"/>
        <v>0.26636693730499311</v>
      </c>
      <c r="E205" s="39">
        <f t="shared" si="18"/>
        <v>11.689999999999998</v>
      </c>
      <c r="F205" s="39">
        <f t="shared" si="19"/>
        <v>0.98077382777248234</v>
      </c>
      <c r="G205" s="79">
        <f t="shared" si="20"/>
        <v>12</v>
      </c>
      <c r="H205" s="79">
        <f t="shared" si="21"/>
        <v>10</v>
      </c>
    </row>
    <row r="206" spans="2:8" ht="14.25" customHeight="1" x14ac:dyDescent="0.35">
      <c r="B206" s="41">
        <f t="shared" si="23"/>
        <v>2.0999999999999956</v>
      </c>
      <c r="C206" s="39">
        <f t="shared" si="16"/>
        <v>10.855017164230439</v>
      </c>
      <c r="D206" s="39">
        <f t="shared" si="17"/>
        <v>0.25021606928968598</v>
      </c>
      <c r="E206" s="39">
        <f t="shared" si="18"/>
        <v>11.7</v>
      </c>
      <c r="F206" s="39">
        <f t="shared" si="19"/>
        <v>0.98213557943718333</v>
      </c>
      <c r="G206" s="79">
        <f t="shared" si="20"/>
        <v>12</v>
      </c>
      <c r="H206" s="79">
        <f t="shared" si="21"/>
        <v>10</v>
      </c>
    </row>
    <row r="207" spans="2:8" ht="14.25" customHeight="1" x14ac:dyDescent="0.35">
      <c r="B207" s="41">
        <f t="shared" si="23"/>
        <v>2.1299999999999955</v>
      </c>
      <c r="C207" s="39">
        <f t="shared" si="16"/>
        <v>10.860290638005159</v>
      </c>
      <c r="D207" s="39">
        <f t="shared" si="17"/>
        <v>0.23483304662030868</v>
      </c>
      <c r="E207" s="39">
        <f t="shared" si="18"/>
        <v>11.709999999999999</v>
      </c>
      <c r="F207" s="39">
        <f t="shared" si="19"/>
        <v>0.9834141933163949</v>
      </c>
      <c r="G207" s="79">
        <f t="shared" si="20"/>
        <v>12</v>
      </c>
      <c r="H207" s="79">
        <f t="shared" si="21"/>
        <v>10</v>
      </c>
    </row>
    <row r="208" spans="2:8" ht="14.25" customHeight="1" x14ac:dyDescent="0.35">
      <c r="B208" s="41">
        <f t="shared" si="23"/>
        <v>2.1599999999999953</v>
      </c>
      <c r="C208" s="39">
        <f t="shared" si="16"/>
        <v>10.86556411177988</v>
      </c>
      <c r="D208" s="39">
        <f t="shared" si="17"/>
        <v>0.22019748917499873</v>
      </c>
      <c r="E208" s="39">
        <f t="shared" si="18"/>
        <v>11.719999999999999</v>
      </c>
      <c r="F208" s="39">
        <f t="shared" si="19"/>
        <v>0.98461366521607441</v>
      </c>
      <c r="G208" s="79">
        <f t="shared" si="20"/>
        <v>12</v>
      </c>
      <c r="H208" s="79">
        <f t="shared" si="21"/>
        <v>10</v>
      </c>
    </row>
    <row r="209" spans="2:8" ht="14.25" customHeight="1" x14ac:dyDescent="0.35">
      <c r="B209" s="41">
        <f t="shared" si="23"/>
        <v>2.1899999999999951</v>
      </c>
      <c r="C209" s="39">
        <f t="shared" si="16"/>
        <v>10.8708375855546</v>
      </c>
      <c r="D209" s="39">
        <f t="shared" si="17"/>
        <v>0.20628832409522024</v>
      </c>
      <c r="E209" s="39">
        <f t="shared" si="18"/>
        <v>11.729999999999999</v>
      </c>
      <c r="F209" s="39">
        <f t="shared" si="19"/>
        <v>0.98573788158933096</v>
      </c>
      <c r="G209" s="79">
        <f t="shared" si="20"/>
        <v>12</v>
      </c>
      <c r="H209" s="79">
        <f t="shared" si="21"/>
        <v>10</v>
      </c>
    </row>
    <row r="210" spans="2:8" ht="14.25" customHeight="1" x14ac:dyDescent="0.35">
      <c r="B210" s="41">
        <f t="shared" si="23"/>
        <v>2.2199999999999949</v>
      </c>
      <c r="C210" s="39">
        <f t="shared" si="16"/>
        <v>10.87611105932932</v>
      </c>
      <c r="D210" s="39">
        <f t="shared" si="17"/>
        <v>0.193083902370872</v>
      </c>
      <c r="E210" s="39">
        <f t="shared" si="18"/>
        <v>11.739999999999998</v>
      </c>
      <c r="F210" s="39">
        <f t="shared" si="19"/>
        <v>0.98679061619274355</v>
      </c>
      <c r="G210" s="79">
        <f t="shared" si="20"/>
        <v>12</v>
      </c>
      <c r="H210" s="79">
        <f t="shared" si="21"/>
        <v>10</v>
      </c>
    </row>
    <row r="211" spans="2:8" ht="14.25" customHeight="1" x14ac:dyDescent="0.35">
      <c r="B211" s="41">
        <f t="shared" si="23"/>
        <v>2.2499999999999947</v>
      </c>
      <c r="C211" s="39">
        <f t="shared" si="16"/>
        <v>10.881384533104042</v>
      </c>
      <c r="D211" s="39">
        <f t="shared" si="17"/>
        <v>0.18056211062137825</v>
      </c>
      <c r="E211" s="39">
        <f t="shared" si="18"/>
        <v>11.749999999999998</v>
      </c>
      <c r="F211" s="39">
        <f t="shared" si="19"/>
        <v>0.98777552734495511</v>
      </c>
      <c r="G211" s="79">
        <f t="shared" si="20"/>
        <v>12</v>
      </c>
      <c r="H211" s="79">
        <f t="shared" si="21"/>
        <v>10</v>
      </c>
    </row>
    <row r="212" spans="2:8" ht="14.25" customHeight="1" x14ac:dyDescent="0.35">
      <c r="B212" s="41">
        <f t="shared" si="23"/>
        <v>2.2799999999999945</v>
      </c>
      <c r="C212" s="39">
        <f t="shared" si="16"/>
        <v>10.886658006878761</v>
      </c>
      <c r="D212" s="39">
        <f t="shared" si="17"/>
        <v>0.16870047779224939</v>
      </c>
      <c r="E212" s="39">
        <f t="shared" si="18"/>
        <v>11.759999999999998</v>
      </c>
      <c r="F212" s="39">
        <f t="shared" si="19"/>
        <v>0.98869615576144698</v>
      </c>
      <c r="G212" s="79">
        <f t="shared" si="20"/>
        <v>12</v>
      </c>
      <c r="H212" s="79">
        <f t="shared" si="21"/>
        <v>10</v>
      </c>
    </row>
    <row r="213" spans="2:8" ht="14.25" customHeight="1" x14ac:dyDescent="0.35">
      <c r="B213" s="41">
        <f t="shared" si="23"/>
        <v>2.3099999999999943</v>
      </c>
      <c r="C213" s="39">
        <f t="shared" si="16"/>
        <v>10.891931480653483</v>
      </c>
      <c r="D213" s="39">
        <f t="shared" si="17"/>
        <v>0.1574762765354053</v>
      </c>
      <c r="E213" s="39">
        <f t="shared" si="18"/>
        <v>11.769999999999998</v>
      </c>
      <c r="F213" s="39">
        <f t="shared" si="19"/>
        <v>0.98955592293804873</v>
      </c>
      <c r="G213" s="79">
        <f t="shared" si="20"/>
        <v>12</v>
      </c>
      <c r="H213" s="79">
        <f t="shared" si="21"/>
        <v>10</v>
      </c>
    </row>
    <row r="214" spans="2:8" ht="14.25" customHeight="1" x14ac:dyDescent="0.35">
      <c r="B214" s="41">
        <f t="shared" si="23"/>
        <v>2.3399999999999941</v>
      </c>
      <c r="C214" s="39">
        <f t="shared" si="16"/>
        <v>10.897204954428203</v>
      </c>
      <c r="D214" s="39">
        <f t="shared" si="17"/>
        <v>0.14686661908898649</v>
      </c>
      <c r="E214" s="39">
        <f t="shared" si="18"/>
        <v>11.779999999999998</v>
      </c>
      <c r="F214" s="39">
        <f t="shared" si="19"/>
        <v>0.99035813005464146</v>
      </c>
      <c r="G214" s="79">
        <f t="shared" si="20"/>
        <v>12</v>
      </c>
      <c r="H214" s="79">
        <f t="shared" si="21"/>
        <v>10</v>
      </c>
    </row>
    <row r="215" spans="2:8" ht="14.25" customHeight="1" x14ac:dyDescent="0.35">
      <c r="B215" s="41">
        <f t="shared" si="23"/>
        <v>2.3699999999999939</v>
      </c>
      <c r="C215" s="39">
        <f t="shared" si="16"/>
        <v>10.902478428202922</v>
      </c>
      <c r="D215" s="39">
        <f t="shared" si="17"/>
        <v>0.13684854751764652</v>
      </c>
      <c r="E215" s="39">
        <f t="shared" si="18"/>
        <v>11.789999999999997</v>
      </c>
      <c r="F215" s="39">
        <f t="shared" si="19"/>
        <v>0.991105957369663</v>
      </c>
      <c r="G215" s="79">
        <f t="shared" si="20"/>
        <v>12</v>
      </c>
      <c r="H215" s="79">
        <f t="shared" si="21"/>
        <v>10</v>
      </c>
    </row>
    <row r="216" spans="2:8" ht="14.25" customHeight="1" x14ac:dyDescent="0.35">
      <c r="B216" s="41">
        <f t="shared" si="23"/>
        <v>2.3999999999999937</v>
      </c>
      <c r="C216" s="39">
        <f t="shared" si="16"/>
        <v>10.907751901977644</v>
      </c>
      <c r="D216" s="39">
        <f t="shared" si="17"/>
        <v>0.12739911821802838</v>
      </c>
      <c r="E216" s="39">
        <f t="shared" si="18"/>
        <v>11.799999999999997</v>
      </c>
      <c r="F216" s="39">
        <f t="shared" si="19"/>
        <v>0.99180246407540362</v>
      </c>
      <c r="G216" s="79">
        <f t="shared" si="20"/>
        <v>12</v>
      </c>
      <c r="H216" s="79">
        <f t="shared" si="21"/>
        <v>10</v>
      </c>
    </row>
    <row r="217" spans="2:8" ht="14.25" customHeight="1" x14ac:dyDescent="0.35">
      <c r="B217" s="41">
        <f t="shared" si="23"/>
        <v>2.4299999999999935</v>
      </c>
      <c r="C217" s="39">
        <f t="shared" si="16"/>
        <v>10.913025375752364</v>
      </c>
      <c r="D217" s="39">
        <f t="shared" si="17"/>
        <v>0.11849548063522787</v>
      </c>
      <c r="E217" s="39">
        <f t="shared" si="18"/>
        <v>11.809999999999999</v>
      </c>
      <c r="F217" s="39">
        <f t="shared" si="19"/>
        <v>0.99245058858369073</v>
      </c>
      <c r="G217" s="79">
        <f t="shared" si="20"/>
        <v>12</v>
      </c>
      <c r="H217" s="79">
        <f t="shared" si="21"/>
        <v>10</v>
      </c>
    </row>
    <row r="218" spans="2:8" ht="14.25" customHeight="1" x14ac:dyDescent="0.35">
      <c r="B218" s="41">
        <f t="shared" si="23"/>
        <v>2.4599999999999933</v>
      </c>
      <c r="C218" s="39">
        <f t="shared" si="16"/>
        <v>10.918298849527085</v>
      </c>
      <c r="D218" s="39">
        <f t="shared" si="17"/>
        <v>0.11011495017492273</v>
      </c>
      <c r="E218" s="39">
        <f t="shared" si="18"/>
        <v>11.819999999999999</v>
      </c>
      <c r="F218" s="39">
        <f t="shared" si="19"/>
        <v>0.99305314921137555</v>
      </c>
      <c r="G218" s="79">
        <f t="shared" si="20"/>
        <v>12</v>
      </c>
      <c r="H218" s="79">
        <f t="shared" si="21"/>
        <v>10</v>
      </c>
    </row>
    <row r="219" spans="2:8" ht="14.25" customHeight="1" x14ac:dyDescent="0.35">
      <c r="B219" s="41">
        <f t="shared" si="23"/>
        <v>2.4899999999999931</v>
      </c>
      <c r="C219" s="39">
        <f t="shared" si="16"/>
        <v>10.923572323301805</v>
      </c>
      <c r="D219" s="39">
        <f t="shared" si="17"/>
        <v>0.10223507533225021</v>
      </c>
      <c r="E219" s="39">
        <f t="shared" si="18"/>
        <v>11.829999999999998</v>
      </c>
      <c r="F219" s="39">
        <f t="shared" si="19"/>
        <v>0.99361284523505677</v>
      </c>
      <c r="G219" s="79">
        <f t="shared" si="20"/>
        <v>12</v>
      </c>
      <c r="H219" s="79">
        <f t="shared" si="21"/>
        <v>10</v>
      </c>
    </row>
    <row r="220" spans="2:8" ht="14.25" customHeight="1" x14ac:dyDescent="0.35">
      <c r="B220" s="41">
        <f t="shared" si="23"/>
        <v>2.5199999999999929</v>
      </c>
      <c r="C220" s="39">
        <f t="shared" si="16"/>
        <v>10.928845797076526</v>
      </c>
      <c r="D220" s="39">
        <f t="shared" si="17"/>
        <v>9.4833699092006368E-2</v>
      </c>
      <c r="E220" s="39">
        <f t="shared" si="18"/>
        <v>11.839999999999998</v>
      </c>
      <c r="F220" s="39">
        <f t="shared" si="19"/>
        <v>0.99413225828466734</v>
      </c>
      <c r="G220" s="79">
        <f t="shared" si="20"/>
        <v>12</v>
      </c>
      <c r="H220" s="79">
        <f t="shared" si="21"/>
        <v>10</v>
      </c>
    </row>
    <row r="221" spans="2:8" ht="14.25" customHeight="1" x14ac:dyDescent="0.35">
      <c r="B221" s="41">
        <f t="shared" si="23"/>
        <v>2.5499999999999927</v>
      </c>
      <c r="C221" s="39">
        <f t="shared" si="16"/>
        <v>10.934119270851246</v>
      </c>
      <c r="D221" s="39">
        <f t="shared" si="17"/>
        <v>8.7889014685850933E-2</v>
      </c>
      <c r="E221" s="39">
        <f t="shared" si="18"/>
        <v>11.849999999999998</v>
      </c>
      <c r="F221" s="39">
        <f t="shared" si="19"/>
        <v>0.99461385404593317</v>
      </c>
      <c r="G221" s="79">
        <f t="shared" si="20"/>
        <v>12</v>
      </c>
      <c r="H221" s="79">
        <f t="shared" si="21"/>
        <v>10</v>
      </c>
    </row>
    <row r="222" spans="2:8" ht="14.25" customHeight="1" x14ac:dyDescent="0.35">
      <c r="B222" s="41">
        <f t="shared" si="23"/>
        <v>2.5799999999999925</v>
      </c>
      <c r="C222" s="39">
        <f t="shared" si="16"/>
        <v>10.939392744625966</v>
      </c>
      <c r="D222" s="39">
        <f t="shared" si="17"/>
        <v>8.1379615820170809E-2</v>
      </c>
      <c r="E222" s="39">
        <f t="shared" si="18"/>
        <v>11.859999999999998</v>
      </c>
      <c r="F222" s="39">
        <f t="shared" si="19"/>
        <v>0.9950599842422293</v>
      </c>
      <c r="G222" s="79">
        <f t="shared" si="20"/>
        <v>12</v>
      </c>
      <c r="H222" s="79">
        <f t="shared" si="21"/>
        <v>10</v>
      </c>
    </row>
    <row r="223" spans="2:8" ht="14.25" customHeight="1" x14ac:dyDescent="0.35">
      <c r="B223" s="41">
        <f t="shared" si="23"/>
        <v>2.6099999999999923</v>
      </c>
      <c r="C223" s="39">
        <f t="shared" si="16"/>
        <v>10.944666218400688</v>
      </c>
      <c r="D223" s="39">
        <f t="shared" si="17"/>
        <v>7.5284541513755091E-2</v>
      </c>
      <c r="E223" s="39">
        <f t="shared" si="18"/>
        <v>11.869999999999997</v>
      </c>
      <c r="F223" s="39">
        <f t="shared" si="19"/>
        <v>0.99547288886703256</v>
      </c>
      <c r="G223" s="79">
        <f t="shared" si="20"/>
        <v>12</v>
      </c>
      <c r="H223" s="79">
        <f t="shared" si="21"/>
        <v>10</v>
      </c>
    </row>
    <row r="224" spans="2:8" ht="14.25" customHeight="1" x14ac:dyDescent="0.35">
      <c r="B224" s="41">
        <f t="shared" si="23"/>
        <v>2.6399999999999921</v>
      </c>
      <c r="C224" s="39">
        <f t="shared" si="16"/>
        <v>10.949939692175407</v>
      </c>
      <c r="D224" s="39">
        <f t="shared" si="17"/>
        <v>6.9583315706883336E-2</v>
      </c>
      <c r="E224" s="39">
        <f t="shared" si="18"/>
        <v>11.879999999999997</v>
      </c>
      <c r="F224" s="39">
        <f t="shared" si="19"/>
        <v>0.99585469863896381</v>
      </c>
      <c r="G224" s="79">
        <f t="shared" si="20"/>
        <v>12</v>
      </c>
      <c r="H224" s="79">
        <f t="shared" si="21"/>
        <v>10</v>
      </c>
    </row>
    <row r="225" spans="2:8" ht="14.25" customHeight="1" x14ac:dyDescent="0.35">
      <c r="B225" s="41">
        <f t="shared" si="23"/>
        <v>2.6699999999999919</v>
      </c>
      <c r="C225" s="39">
        <f t="shared" si="16"/>
        <v>10.955213165950129</v>
      </c>
      <c r="D225" s="39">
        <f t="shared" si="17"/>
        <v>6.4255981823223382E-2</v>
      </c>
      <c r="E225" s="39">
        <f t="shared" si="18"/>
        <v>11.889999999999997</v>
      </c>
      <c r="F225" s="39">
        <f t="shared" si="19"/>
        <v>0.99620743765231445</v>
      </c>
      <c r="G225" s="79">
        <f t="shared" si="20"/>
        <v>12</v>
      </c>
      <c r="H225" s="79">
        <f t="shared" si="21"/>
        <v>10</v>
      </c>
    </row>
    <row r="226" spans="2:8" ht="14.25" customHeight="1" x14ac:dyDescent="0.35">
      <c r="B226" s="41">
        <f t="shared" si="23"/>
        <v>2.6999999999999917</v>
      </c>
      <c r="C226" s="39">
        <f t="shared" si="16"/>
        <v>10.960486639724849</v>
      </c>
      <c r="D226" s="39">
        <f t="shared" si="17"/>
        <v>5.9283132483057235E-2</v>
      </c>
      <c r="E226" s="39">
        <f t="shared" si="18"/>
        <v>11.899999999999997</v>
      </c>
      <c r="F226" s="39">
        <f t="shared" si="19"/>
        <v>0.99653302619695927</v>
      </c>
      <c r="G226" s="79">
        <f t="shared" si="20"/>
        <v>12</v>
      </c>
      <c r="H226" s="79">
        <f t="shared" si="21"/>
        <v>10</v>
      </c>
    </row>
    <row r="227" spans="2:8" ht="14.25" customHeight="1" x14ac:dyDescent="0.35">
      <c r="B227" s="41">
        <f t="shared" si="23"/>
        <v>2.7299999999999915</v>
      </c>
      <c r="C227" s="39">
        <f t="shared" si="16"/>
        <v>10.96576011349957</v>
      </c>
      <c r="D227" s="39">
        <f t="shared" si="17"/>
        <v>5.4645934580657286E-2</v>
      </c>
      <c r="E227" s="39">
        <f t="shared" si="18"/>
        <v>11.909999999999997</v>
      </c>
      <c r="F227" s="39">
        <f t="shared" si="19"/>
        <v>0.99683328372264213</v>
      </c>
      <c r="G227" s="79">
        <f t="shared" si="20"/>
        <v>12</v>
      </c>
      <c r="H227" s="79">
        <f t="shared" si="21"/>
        <v>10</v>
      </c>
    </row>
    <row r="228" spans="2:8" ht="14.25" customHeight="1" x14ac:dyDescent="0.35">
      <c r="B228" s="41">
        <f t="shared" si="23"/>
        <v>2.7599999999999913</v>
      </c>
      <c r="C228" s="39">
        <f t="shared" ref="C228:C291" si="24">$D$21+B228*$D$25</f>
        <v>10.97103358727429</v>
      </c>
      <c r="D228" s="39">
        <f t="shared" ref="D228:D236" si="25">_xlfn.NORM.DIST($D$21+B228*$D$25,$D$21,$D$25,FALSE())</f>
        <v>5.0326149950596276E-2</v>
      </c>
      <c r="E228" s="39">
        <f t="shared" ref="E228:E236" si="26">$D$29+B228*$D$28</f>
        <v>11.919999999999996</v>
      </c>
      <c r="F228" s="39">
        <f t="shared" ref="F228:F291" si="27">_xlfn.NORM.DIST(E228,$D$29,$D$28,TRUE())</f>
        <v>0.99710993192377373</v>
      </c>
      <c r="G228" s="79">
        <f t="shared" ref="G228:G236" si="28">$D$26</f>
        <v>12</v>
      </c>
      <c r="H228" s="79">
        <f t="shared" ref="H228:H236" si="29">$D$27</f>
        <v>10</v>
      </c>
    </row>
    <row r="229" spans="2:8" ht="14.25" customHeight="1" x14ac:dyDescent="0.35">
      <c r="B229" s="41">
        <f t="shared" ref="B229:B236" si="30">B228+0.03</f>
        <v>2.7899999999999912</v>
      </c>
      <c r="C229" s="39">
        <f t="shared" si="24"/>
        <v>10.97630706104901</v>
      </c>
      <c r="D229" s="39">
        <f t="shared" si="25"/>
        <v>4.6306151857051753E-2</v>
      </c>
      <c r="E229" s="39">
        <f t="shared" si="26"/>
        <v>11.929999999999996</v>
      </c>
      <c r="F229" s="39">
        <f t="shared" si="27"/>
        <v>0.99736459792209498</v>
      </c>
      <c r="G229" s="79">
        <f t="shared" si="28"/>
        <v>12</v>
      </c>
      <c r="H229" s="79">
        <f t="shared" si="29"/>
        <v>10</v>
      </c>
    </row>
    <row r="230" spans="2:8" ht="14.25" customHeight="1" x14ac:dyDescent="0.35">
      <c r="B230" s="41">
        <f t="shared" si="30"/>
        <v>2.819999999999991</v>
      </c>
      <c r="C230" s="39">
        <f t="shared" si="24"/>
        <v>10.981580534823731</v>
      </c>
      <c r="D230" s="39">
        <f t="shared" si="25"/>
        <v>4.2568937547303447E-2</v>
      </c>
      <c r="E230" s="39">
        <f t="shared" si="26"/>
        <v>11.939999999999998</v>
      </c>
      <c r="F230" s="39">
        <f t="shared" si="27"/>
        <v>0.9975988175258107</v>
      </c>
      <c r="G230" s="79">
        <f t="shared" si="28"/>
        <v>12</v>
      </c>
      <c r="H230" s="79">
        <f t="shared" si="29"/>
        <v>10</v>
      </c>
    </row>
    <row r="231" spans="2:8" ht="14.25" customHeight="1" x14ac:dyDescent="0.35">
      <c r="B231" s="41">
        <f t="shared" si="30"/>
        <v>2.8499999999999908</v>
      </c>
      <c r="C231" s="39">
        <f t="shared" si="24"/>
        <v>10.986854008598451</v>
      </c>
      <c r="D231" s="39">
        <f t="shared" si="25"/>
        <v>3.9098137115387933E-2</v>
      </c>
      <c r="E231" s="39">
        <f t="shared" si="26"/>
        <v>11.949999999999998</v>
      </c>
      <c r="F231" s="39">
        <f t="shared" si="27"/>
        <v>0.99781403854508666</v>
      </c>
      <c r="G231" s="79">
        <f t="shared" si="28"/>
        <v>12</v>
      </c>
      <c r="H231" s="79">
        <f t="shared" si="29"/>
        <v>10</v>
      </c>
    </row>
    <row r="232" spans="2:8" ht="14.25" customHeight="1" x14ac:dyDescent="0.35">
      <c r="B232" s="41">
        <f t="shared" si="30"/>
        <v>2.8799999999999906</v>
      </c>
      <c r="C232" s="39">
        <f t="shared" si="24"/>
        <v>10.992127482373172</v>
      </c>
      <c r="D232" s="39">
        <f t="shared" si="25"/>
        <v>3.5878018924633333E-2</v>
      </c>
      <c r="E232" s="39">
        <f t="shared" si="26"/>
        <v>11.959999999999997</v>
      </c>
      <c r="F232" s="39">
        <f t="shared" si="27"/>
        <v>0.99801162414510558</v>
      </c>
      <c r="G232" s="79">
        <f t="shared" si="28"/>
        <v>12</v>
      </c>
      <c r="H232" s="79">
        <f t="shared" si="29"/>
        <v>10</v>
      </c>
    </row>
    <row r="233" spans="2:8" ht="14.25" customHeight="1" x14ac:dyDescent="0.35">
      <c r="B233" s="41">
        <f t="shared" si="30"/>
        <v>2.9099999999999904</v>
      </c>
      <c r="C233" s="39">
        <f t="shared" si="24"/>
        <v>10.997400956147892</v>
      </c>
      <c r="D233" s="39">
        <f t="shared" si="25"/>
        <v>3.2893491838647086E-2</v>
      </c>
      <c r="E233" s="39">
        <f t="shared" si="26"/>
        <v>11.969999999999997</v>
      </c>
      <c r="F233" s="39">
        <f t="shared" si="27"/>
        <v>0.99819285621919351</v>
      </c>
      <c r="G233" s="79">
        <f t="shared" si="28"/>
        <v>12</v>
      </c>
      <c r="H233" s="79">
        <f t="shared" si="29"/>
        <v>10</v>
      </c>
    </row>
    <row r="234" spans="2:8" ht="14.25" customHeight="1" x14ac:dyDescent="0.35">
      <c r="B234" s="41">
        <f t="shared" si="30"/>
        <v>2.9399999999999902</v>
      </c>
      <c r="C234" s="39">
        <f t="shared" si="24"/>
        <v>11.002674429922614</v>
      </c>
      <c r="D234" s="39">
        <f t="shared" si="25"/>
        <v>3.0130104509290528E-2</v>
      </c>
      <c r="E234" s="39">
        <f t="shared" si="26"/>
        <v>11.979999999999997</v>
      </c>
      <c r="F234" s="39">
        <f t="shared" si="27"/>
        <v>0.99835893876584292</v>
      </c>
      <c r="G234" s="79">
        <f t="shared" si="28"/>
        <v>12</v>
      </c>
      <c r="H234" s="79">
        <f t="shared" si="29"/>
        <v>10</v>
      </c>
    </row>
    <row r="235" spans="2:8" ht="14.25" customHeight="1" x14ac:dyDescent="0.35">
      <c r="B235" s="41">
        <f t="shared" si="30"/>
        <v>2.96999999999999</v>
      </c>
      <c r="C235" s="39">
        <f t="shared" si="24"/>
        <v>11.007947903697334</v>
      </c>
      <c r="D235" s="39">
        <f t="shared" si="25"/>
        <v>2.7574041967636076E-2</v>
      </c>
      <c r="E235" s="39">
        <f t="shared" si="26"/>
        <v>11.989999999999997</v>
      </c>
      <c r="F235" s="39">
        <f t="shared" si="27"/>
        <v>0.99851100125476244</v>
      </c>
      <c r="G235" s="79">
        <f t="shared" si="28"/>
        <v>12</v>
      </c>
      <c r="H235" s="79">
        <f t="shared" si="29"/>
        <v>10</v>
      </c>
    </row>
    <row r="236" spans="2:8" ht="14.25" customHeight="1" x14ac:dyDescent="0.35">
      <c r="B236" s="41">
        <f t="shared" si="30"/>
        <v>2.9999999999999898</v>
      </c>
      <c r="C236" s="39">
        <f t="shared" si="24"/>
        <v>11.013221377472053</v>
      </c>
      <c r="D236" s="39">
        <f t="shared" si="25"/>
        <v>2.5212119759748242E-2</v>
      </c>
      <c r="E236" s="39">
        <f t="shared" si="26"/>
        <v>11.999999999999996</v>
      </c>
      <c r="F236" s="39">
        <f t="shared" si="27"/>
        <v>0.9986501019683699</v>
      </c>
      <c r="G236" s="79">
        <f t="shared" si="28"/>
        <v>12</v>
      </c>
      <c r="H236" s="79">
        <f t="shared" si="29"/>
        <v>10</v>
      </c>
    </row>
    <row r="237" spans="2:8" ht="14.25" customHeight="1" x14ac:dyDescent="0.35">
      <c r="B237" s="41"/>
    </row>
    <row r="238" spans="2:8" ht="14.25" customHeight="1" x14ac:dyDescent="0.35">
      <c r="B238" s="41"/>
    </row>
    <row r="239" spans="2:8" ht="14.25" customHeight="1" x14ac:dyDescent="0.35">
      <c r="B239" s="41"/>
    </row>
    <row r="240" spans="2:8" ht="14.25" customHeight="1" x14ac:dyDescent="0.35">
      <c r="B240" s="41"/>
    </row>
    <row r="241" spans="2:2" ht="14.25" customHeight="1" x14ac:dyDescent="0.35">
      <c r="B241" s="41"/>
    </row>
    <row r="242" spans="2:2" ht="14.25" customHeight="1" x14ac:dyDescent="0.35">
      <c r="B242" s="41"/>
    </row>
    <row r="243" spans="2:2" ht="14.25" customHeight="1" x14ac:dyDescent="0.35">
      <c r="B243" s="41"/>
    </row>
    <row r="244" spans="2:2" ht="14.25" customHeight="1" x14ac:dyDescent="0.35">
      <c r="B244" s="41"/>
    </row>
    <row r="245" spans="2:2" ht="14.25" customHeight="1" x14ac:dyDescent="0.35">
      <c r="B245" s="41"/>
    </row>
    <row r="246" spans="2:2" ht="14.25" customHeight="1" x14ac:dyDescent="0.35">
      <c r="B246" s="41"/>
    </row>
    <row r="247" spans="2:2" ht="14.25" customHeight="1" x14ac:dyDescent="0.35">
      <c r="B247" s="41"/>
    </row>
    <row r="248" spans="2:2" ht="14.25" customHeight="1" x14ac:dyDescent="0.35">
      <c r="B248" s="41"/>
    </row>
    <row r="249" spans="2:2" ht="14.25" customHeight="1" x14ac:dyDescent="0.35">
      <c r="B249" s="41"/>
    </row>
    <row r="250" spans="2:2" ht="14.25" customHeight="1" x14ac:dyDescent="0.35">
      <c r="B250" s="41"/>
    </row>
    <row r="251" spans="2:2" ht="14.25" customHeight="1" x14ac:dyDescent="0.35">
      <c r="B251" s="41"/>
    </row>
    <row r="252" spans="2:2" ht="14.25" customHeight="1" x14ac:dyDescent="0.35">
      <c r="B252" s="41"/>
    </row>
    <row r="253" spans="2:2" ht="14.25" customHeight="1" x14ac:dyDescent="0.35">
      <c r="B253" s="41"/>
    </row>
    <row r="254" spans="2:2" ht="14.25" customHeight="1" x14ac:dyDescent="0.35">
      <c r="B254" s="41"/>
    </row>
    <row r="255" spans="2:2" ht="14.25" customHeight="1" x14ac:dyDescent="0.35">
      <c r="B255" s="41"/>
    </row>
    <row r="256" spans="2:2" ht="14.25" customHeight="1" x14ac:dyDescent="0.35">
      <c r="B256" s="41"/>
    </row>
    <row r="257" spans="2:2" ht="14.25" customHeight="1" x14ac:dyDescent="0.35">
      <c r="B257" s="41"/>
    </row>
    <row r="258" spans="2:2" ht="14.25" customHeight="1" x14ac:dyDescent="0.35">
      <c r="B258" s="41"/>
    </row>
    <row r="259" spans="2:2" ht="14.25" customHeight="1" x14ac:dyDescent="0.35">
      <c r="B259" s="41"/>
    </row>
    <row r="260" spans="2:2" ht="14.25" customHeight="1" x14ac:dyDescent="0.35">
      <c r="B260" s="41"/>
    </row>
    <row r="261" spans="2:2" ht="14.25" customHeight="1" x14ac:dyDescent="0.35">
      <c r="B261" s="41"/>
    </row>
    <row r="262" spans="2:2" ht="14.25" customHeight="1" x14ac:dyDescent="0.35">
      <c r="B262" s="41"/>
    </row>
    <row r="263" spans="2:2" ht="14.25" customHeight="1" x14ac:dyDescent="0.35">
      <c r="B263" s="41"/>
    </row>
    <row r="264" spans="2:2" ht="14.25" customHeight="1" x14ac:dyDescent="0.35">
      <c r="B264" s="41"/>
    </row>
    <row r="265" spans="2:2" ht="14.25" customHeight="1" x14ac:dyDescent="0.35">
      <c r="B265" s="41"/>
    </row>
    <row r="266" spans="2:2" ht="14.25" customHeight="1" x14ac:dyDescent="0.35">
      <c r="B266" s="41"/>
    </row>
    <row r="267" spans="2:2" ht="14.25" customHeight="1" x14ac:dyDescent="0.35">
      <c r="B267" s="41"/>
    </row>
    <row r="268" spans="2:2" ht="14.25" customHeight="1" x14ac:dyDescent="0.35">
      <c r="B268" s="41"/>
    </row>
    <row r="269" spans="2:2" ht="14.25" customHeight="1" x14ac:dyDescent="0.35">
      <c r="B269" s="41"/>
    </row>
    <row r="270" spans="2:2" ht="14.25" customHeight="1" x14ac:dyDescent="0.35">
      <c r="B270" s="41"/>
    </row>
    <row r="271" spans="2:2" ht="14.25" customHeight="1" x14ac:dyDescent="0.35">
      <c r="B271" s="41"/>
    </row>
    <row r="272" spans="2:2" ht="14.25" customHeight="1" x14ac:dyDescent="0.35">
      <c r="B272" s="41"/>
    </row>
    <row r="273" spans="2:2" ht="14.25" customHeight="1" x14ac:dyDescent="0.35">
      <c r="B273" s="41"/>
    </row>
    <row r="274" spans="2:2" ht="14.25" customHeight="1" x14ac:dyDescent="0.35">
      <c r="B274" s="41"/>
    </row>
    <row r="275" spans="2:2" ht="14.25" customHeight="1" x14ac:dyDescent="0.35">
      <c r="B275" s="41"/>
    </row>
    <row r="276" spans="2:2" ht="14.25" customHeight="1" x14ac:dyDescent="0.35">
      <c r="B276" s="41"/>
    </row>
    <row r="277" spans="2:2" ht="14.25" customHeight="1" x14ac:dyDescent="0.35">
      <c r="B277" s="41"/>
    </row>
    <row r="278" spans="2:2" ht="14.25" customHeight="1" x14ac:dyDescent="0.35">
      <c r="B278" s="41"/>
    </row>
    <row r="279" spans="2:2" ht="14.25" customHeight="1" x14ac:dyDescent="0.35">
      <c r="B279" s="41"/>
    </row>
    <row r="280" spans="2:2" ht="14.25" customHeight="1" x14ac:dyDescent="0.35">
      <c r="B280" s="41"/>
    </row>
    <row r="281" spans="2:2" ht="14.25" customHeight="1" x14ac:dyDescent="0.35">
      <c r="B281" s="41"/>
    </row>
    <row r="282" spans="2:2" ht="14.25" customHeight="1" x14ac:dyDescent="0.35">
      <c r="B282" s="41"/>
    </row>
    <row r="283" spans="2:2" ht="14.25" customHeight="1" x14ac:dyDescent="0.35">
      <c r="B283" s="41"/>
    </row>
    <row r="284" spans="2:2" ht="14.25" customHeight="1" x14ac:dyDescent="0.35">
      <c r="B284" s="41"/>
    </row>
    <row r="285" spans="2:2" ht="14.25" customHeight="1" x14ac:dyDescent="0.35">
      <c r="B285" s="41"/>
    </row>
    <row r="286" spans="2:2" ht="14.25" customHeight="1" x14ac:dyDescent="0.35">
      <c r="B286" s="41"/>
    </row>
    <row r="287" spans="2:2" ht="14.25" customHeight="1" x14ac:dyDescent="0.35">
      <c r="B287" s="41"/>
    </row>
    <row r="288" spans="2:2" ht="14.25" customHeight="1" x14ac:dyDescent="0.35">
      <c r="B288" s="41"/>
    </row>
    <row r="289" spans="2:2" ht="14.25" customHeight="1" x14ac:dyDescent="0.35">
      <c r="B289" s="41"/>
    </row>
    <row r="290" spans="2:2" ht="14.25" customHeight="1" x14ac:dyDescent="0.35">
      <c r="B290" s="41"/>
    </row>
    <row r="291" spans="2:2" ht="14.25" customHeight="1" x14ac:dyDescent="0.35">
      <c r="B291" s="41"/>
    </row>
    <row r="292" spans="2:2" ht="14.25" customHeight="1" x14ac:dyDescent="0.35">
      <c r="B292" s="41"/>
    </row>
    <row r="293" spans="2:2" ht="14.25" customHeight="1" x14ac:dyDescent="0.35">
      <c r="B293" s="41"/>
    </row>
    <row r="294" spans="2:2" ht="14.25" customHeight="1" x14ac:dyDescent="0.35">
      <c r="B294" s="41"/>
    </row>
    <row r="295" spans="2:2" ht="14.25" customHeight="1" x14ac:dyDescent="0.35">
      <c r="B295" s="41"/>
    </row>
    <row r="296" spans="2:2" ht="14.25" customHeight="1" x14ac:dyDescent="0.35">
      <c r="B296" s="41"/>
    </row>
    <row r="297" spans="2:2" ht="14.25" customHeight="1" x14ac:dyDescent="0.35">
      <c r="B297" s="41"/>
    </row>
    <row r="298" spans="2:2" ht="14.25" customHeight="1" x14ac:dyDescent="0.35">
      <c r="B298" s="41"/>
    </row>
    <row r="299" spans="2:2" ht="14.25" customHeight="1" x14ac:dyDescent="0.35">
      <c r="B299" s="41"/>
    </row>
    <row r="300" spans="2:2" ht="14.25" customHeight="1" x14ac:dyDescent="0.35">
      <c r="B300" s="41"/>
    </row>
    <row r="301" spans="2:2" ht="14.25" customHeight="1" x14ac:dyDescent="0.35">
      <c r="B301" s="41"/>
    </row>
    <row r="302" spans="2:2" ht="14.25" customHeight="1" x14ac:dyDescent="0.35">
      <c r="B302" s="41"/>
    </row>
    <row r="303" spans="2:2" ht="14.25" customHeight="1" x14ac:dyDescent="0.35">
      <c r="B303" s="41"/>
    </row>
    <row r="304" spans="2:2" ht="14.25" customHeight="1" x14ac:dyDescent="0.35">
      <c r="B304" s="41"/>
    </row>
    <row r="305" spans="2:2" ht="14.25" customHeight="1" x14ac:dyDescent="0.35">
      <c r="B305" s="41"/>
    </row>
    <row r="306" spans="2:2" ht="14.25" customHeight="1" x14ac:dyDescent="0.35">
      <c r="B306" s="41"/>
    </row>
    <row r="307" spans="2:2" ht="14.25" customHeight="1" x14ac:dyDescent="0.35">
      <c r="B307" s="41"/>
    </row>
    <row r="308" spans="2:2" ht="14.25" customHeight="1" x14ac:dyDescent="0.35">
      <c r="B308" s="41"/>
    </row>
    <row r="309" spans="2:2" ht="14.25" customHeight="1" x14ac:dyDescent="0.35">
      <c r="B309" s="41"/>
    </row>
    <row r="310" spans="2:2" ht="14.25" customHeight="1" x14ac:dyDescent="0.35">
      <c r="B310" s="41"/>
    </row>
    <row r="311" spans="2:2" ht="14.25" customHeight="1" x14ac:dyDescent="0.35">
      <c r="B311" s="41"/>
    </row>
    <row r="312" spans="2:2" ht="14.25" customHeight="1" x14ac:dyDescent="0.35">
      <c r="B312" s="41"/>
    </row>
    <row r="313" spans="2:2" ht="14.25" customHeight="1" x14ac:dyDescent="0.35">
      <c r="B313" s="41"/>
    </row>
    <row r="314" spans="2:2" ht="14.25" customHeight="1" x14ac:dyDescent="0.35">
      <c r="B314" s="41"/>
    </row>
    <row r="315" spans="2:2" ht="14.25" customHeight="1" x14ac:dyDescent="0.35">
      <c r="B315" s="41"/>
    </row>
    <row r="316" spans="2:2" ht="14.25" customHeight="1" x14ac:dyDescent="0.35">
      <c r="B316" s="41"/>
    </row>
    <row r="317" spans="2:2" ht="14.25" customHeight="1" x14ac:dyDescent="0.35">
      <c r="B317" s="41"/>
    </row>
    <row r="318" spans="2:2" ht="14.25" customHeight="1" x14ac:dyDescent="0.35">
      <c r="B318" s="41"/>
    </row>
    <row r="319" spans="2:2" ht="14.25" customHeight="1" x14ac:dyDescent="0.35">
      <c r="B319" s="41"/>
    </row>
    <row r="320" spans="2:2" ht="14.25" customHeight="1" x14ac:dyDescent="0.35">
      <c r="B320" s="41"/>
    </row>
    <row r="321" spans="2:2" ht="14.25" customHeight="1" x14ac:dyDescent="0.35">
      <c r="B321" s="41"/>
    </row>
    <row r="322" spans="2:2" ht="14.25" customHeight="1" x14ac:dyDescent="0.35">
      <c r="B322" s="41"/>
    </row>
    <row r="323" spans="2:2" ht="14.25" customHeight="1" x14ac:dyDescent="0.35">
      <c r="B323" s="41"/>
    </row>
    <row r="324" spans="2:2" ht="14.25" customHeight="1" x14ac:dyDescent="0.35">
      <c r="B324" s="41"/>
    </row>
    <row r="325" spans="2:2" ht="14.25" customHeight="1" x14ac:dyDescent="0.35">
      <c r="B325" s="41"/>
    </row>
    <row r="326" spans="2:2" ht="14.25" customHeight="1" x14ac:dyDescent="0.35">
      <c r="B326" s="41"/>
    </row>
    <row r="327" spans="2:2" ht="14.25" customHeight="1" x14ac:dyDescent="0.35">
      <c r="B327" s="41"/>
    </row>
    <row r="328" spans="2:2" ht="14.25" customHeight="1" x14ac:dyDescent="0.35">
      <c r="B328" s="41"/>
    </row>
    <row r="329" spans="2:2" ht="14.25" customHeight="1" x14ac:dyDescent="0.35">
      <c r="B329" s="41"/>
    </row>
    <row r="330" spans="2:2" ht="14.25" customHeight="1" x14ac:dyDescent="0.35">
      <c r="B330" s="41"/>
    </row>
    <row r="331" spans="2:2" ht="14.25" customHeight="1" x14ac:dyDescent="0.35">
      <c r="B331" s="41"/>
    </row>
    <row r="332" spans="2:2" ht="14.25" customHeight="1" x14ac:dyDescent="0.35">
      <c r="B332" s="41"/>
    </row>
    <row r="333" spans="2:2" ht="14.25" customHeight="1" x14ac:dyDescent="0.35">
      <c r="B333" s="41"/>
    </row>
    <row r="334" spans="2:2" ht="14.25" customHeight="1" x14ac:dyDescent="0.35">
      <c r="B334" s="41"/>
    </row>
    <row r="335" spans="2:2" ht="14.25" customHeight="1" x14ac:dyDescent="0.35">
      <c r="B335" s="41"/>
    </row>
    <row r="336" spans="2:2" ht="14.25" customHeight="1" x14ac:dyDescent="0.35">
      <c r="B336" s="41"/>
    </row>
    <row r="337" spans="2:2" ht="14.25" customHeight="1" x14ac:dyDescent="0.35">
      <c r="B337" s="41"/>
    </row>
    <row r="338" spans="2:2" ht="14.25" customHeight="1" x14ac:dyDescent="0.35">
      <c r="B338" s="41"/>
    </row>
    <row r="339" spans="2:2" ht="14.25" customHeight="1" x14ac:dyDescent="0.35">
      <c r="B339" s="41"/>
    </row>
    <row r="340" spans="2:2" ht="14.25" customHeight="1" x14ac:dyDescent="0.35">
      <c r="B340" s="41"/>
    </row>
    <row r="341" spans="2:2" ht="14.25" customHeight="1" x14ac:dyDescent="0.35">
      <c r="B341" s="41"/>
    </row>
    <row r="342" spans="2:2" ht="14.25" customHeight="1" x14ac:dyDescent="0.35">
      <c r="B342" s="41"/>
    </row>
    <row r="343" spans="2:2" ht="14.25" customHeight="1" x14ac:dyDescent="0.35">
      <c r="B343" s="41"/>
    </row>
    <row r="344" spans="2:2" ht="14.25" customHeight="1" x14ac:dyDescent="0.35">
      <c r="B344" s="41"/>
    </row>
    <row r="345" spans="2:2" ht="14.25" customHeight="1" x14ac:dyDescent="0.35">
      <c r="B345" s="41"/>
    </row>
    <row r="346" spans="2:2" ht="14.25" customHeight="1" x14ac:dyDescent="0.35">
      <c r="B346" s="41"/>
    </row>
    <row r="347" spans="2:2" ht="14.25" customHeight="1" x14ac:dyDescent="0.35">
      <c r="B347" s="41"/>
    </row>
    <row r="348" spans="2:2" ht="14.25" customHeight="1" x14ac:dyDescent="0.35">
      <c r="B348" s="41"/>
    </row>
    <row r="349" spans="2:2" ht="14.25" customHeight="1" x14ac:dyDescent="0.35">
      <c r="B349" s="41"/>
    </row>
    <row r="350" spans="2:2" ht="14.25" customHeight="1" x14ac:dyDescent="0.35">
      <c r="B350" s="41"/>
    </row>
    <row r="351" spans="2:2" ht="14.25" customHeight="1" x14ac:dyDescent="0.35">
      <c r="B351" s="41"/>
    </row>
    <row r="352" spans="2:2" ht="14.25" customHeight="1" x14ac:dyDescent="0.35">
      <c r="B352" s="41"/>
    </row>
    <row r="353" spans="2:2" ht="14.25" customHeight="1" x14ac:dyDescent="0.35">
      <c r="B353" s="41"/>
    </row>
    <row r="354" spans="2:2" ht="14.25" customHeight="1" x14ac:dyDescent="0.35">
      <c r="B354" s="41"/>
    </row>
    <row r="355" spans="2:2" ht="14.25" customHeight="1" x14ac:dyDescent="0.35">
      <c r="B355" s="41"/>
    </row>
    <row r="356" spans="2:2" ht="14.25" customHeight="1" x14ac:dyDescent="0.35">
      <c r="B356" s="41"/>
    </row>
    <row r="357" spans="2:2" ht="14.25" customHeight="1" x14ac:dyDescent="0.35">
      <c r="B357" s="41"/>
    </row>
    <row r="358" spans="2:2" ht="14.25" customHeight="1" x14ac:dyDescent="0.35">
      <c r="B358" s="41"/>
    </row>
    <row r="359" spans="2:2" ht="14.25" customHeight="1" x14ac:dyDescent="0.35">
      <c r="B359" s="41"/>
    </row>
    <row r="360" spans="2:2" ht="14.25" customHeight="1" x14ac:dyDescent="0.35">
      <c r="B360" s="41"/>
    </row>
    <row r="361" spans="2:2" ht="14.25" customHeight="1" x14ac:dyDescent="0.35">
      <c r="B361" s="41"/>
    </row>
    <row r="362" spans="2:2" ht="14.25" customHeight="1" x14ac:dyDescent="0.35">
      <c r="B362" s="41"/>
    </row>
    <row r="363" spans="2:2" ht="14.25" customHeight="1" x14ac:dyDescent="0.35">
      <c r="B363" s="41"/>
    </row>
    <row r="364" spans="2:2" ht="14.25" customHeight="1" x14ac:dyDescent="0.35">
      <c r="B364" s="41"/>
    </row>
    <row r="365" spans="2:2" ht="14.25" customHeight="1" x14ac:dyDescent="0.35">
      <c r="B365" s="41"/>
    </row>
    <row r="366" spans="2:2" ht="14.25" customHeight="1" x14ac:dyDescent="0.35">
      <c r="B366" s="41"/>
    </row>
    <row r="367" spans="2:2" ht="14.25" customHeight="1" x14ac:dyDescent="0.35">
      <c r="B367" s="41"/>
    </row>
    <row r="368" spans="2:2" ht="14.25" customHeight="1" x14ac:dyDescent="0.35">
      <c r="B368" s="41"/>
    </row>
    <row r="369" spans="2:2" ht="14.25" customHeight="1" x14ac:dyDescent="0.35">
      <c r="B369" s="41"/>
    </row>
    <row r="370" spans="2:2" ht="14.25" customHeight="1" x14ac:dyDescent="0.35">
      <c r="B370" s="41"/>
    </row>
    <row r="371" spans="2:2" ht="14.25" customHeight="1" x14ac:dyDescent="0.35">
      <c r="B371" s="41"/>
    </row>
    <row r="372" spans="2:2" ht="14.25" customHeight="1" x14ac:dyDescent="0.35">
      <c r="B372" s="41"/>
    </row>
    <row r="373" spans="2:2" ht="14.25" customHeight="1" x14ac:dyDescent="0.35"/>
    <row r="374" spans="2:2" ht="14.25" customHeight="1" x14ac:dyDescent="0.35"/>
    <row r="375" spans="2:2" ht="14.25" customHeight="1" x14ac:dyDescent="0.35"/>
    <row r="376" spans="2:2" ht="14.25" customHeight="1" x14ac:dyDescent="0.35"/>
    <row r="377" spans="2:2" ht="14.25" customHeight="1" x14ac:dyDescent="0.35"/>
    <row r="378" spans="2:2" ht="14.25" customHeight="1" x14ac:dyDescent="0.35"/>
    <row r="379" spans="2:2" ht="14.25" customHeight="1" x14ac:dyDescent="0.35"/>
    <row r="380" spans="2:2" ht="14.25" customHeight="1" x14ac:dyDescent="0.35"/>
    <row r="381" spans="2:2" ht="14.25" customHeight="1" x14ac:dyDescent="0.35"/>
    <row r="382" spans="2:2" ht="14.25" customHeight="1" x14ac:dyDescent="0.35"/>
    <row r="383" spans="2:2" ht="14.25" customHeight="1" x14ac:dyDescent="0.35"/>
    <row r="384" spans="2:2"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B30:B34"/>
    <mergeCell ref="C2:H2"/>
    <mergeCell ref="C3:H3"/>
    <mergeCell ref="B19:H20"/>
    <mergeCell ref="B21:B25"/>
    <mergeCell ref="B26:B29"/>
  </mergeCells>
  <pageMargins left="0.7" right="0.7" top="0.75" bottom="0.75" header="0.511811023622047" footer="0.511811023622047"/>
  <pageSetup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Z1000"/>
  <sheetViews>
    <sheetView showGridLines="0" zoomScale="98" zoomScaleNormal="71" workbookViewId="0">
      <selection activeCell="L27" sqref="L27"/>
    </sheetView>
  </sheetViews>
  <sheetFormatPr defaultColWidth="14.453125" defaultRowHeight="14.5" x14ac:dyDescent="0.35"/>
  <cols>
    <col min="1" max="1" width="8.7265625" customWidth="1"/>
    <col min="2" max="15" width="12.453125" customWidth="1"/>
    <col min="16" max="26" width="12.54296875" customWidth="1"/>
  </cols>
  <sheetData>
    <row r="1" spans="2:14" ht="14.25" customHeight="1" x14ac:dyDescent="0.35"/>
    <row r="2" spans="2:14" ht="14.25" customHeight="1" x14ac:dyDescent="0.35">
      <c r="B2" s="44" t="s">
        <v>160</v>
      </c>
      <c r="C2" s="107"/>
      <c r="D2" s="107"/>
      <c r="E2" s="107"/>
      <c r="F2" s="107"/>
      <c r="G2" s="107"/>
      <c r="H2" s="107"/>
    </row>
    <row r="3" spans="2:14" ht="14.25" customHeight="1" x14ac:dyDescent="0.35">
      <c r="B3" s="44" t="s">
        <v>161</v>
      </c>
      <c r="C3" s="107"/>
      <c r="D3" s="107"/>
      <c r="E3" s="107"/>
      <c r="F3" s="107"/>
      <c r="G3" s="107"/>
      <c r="H3" s="107"/>
      <c r="I3" s="110"/>
      <c r="J3" s="110"/>
      <c r="K3" s="110"/>
      <c r="L3" s="110"/>
      <c r="M3" s="110"/>
      <c r="N3" s="110"/>
    </row>
    <row r="4" spans="2:14" ht="14.25" customHeight="1" x14ac:dyDescent="0.35"/>
    <row r="5" spans="2:14" ht="14.25" customHeight="1" x14ac:dyDescent="0.35">
      <c r="B5" t="s">
        <v>116</v>
      </c>
      <c r="C5">
        <v>10.485874000000001</v>
      </c>
    </row>
    <row r="6" spans="2:14" ht="14.25" customHeight="1" x14ac:dyDescent="0.35">
      <c r="B6" t="s">
        <v>130</v>
      </c>
      <c r="C6">
        <v>0.163024</v>
      </c>
    </row>
    <row r="7" spans="2:14" ht="14.25" customHeight="1" x14ac:dyDescent="0.35">
      <c r="B7" t="s">
        <v>139</v>
      </c>
      <c r="C7">
        <v>0.173429</v>
      </c>
    </row>
    <row r="8" spans="2:14" ht="14.25" customHeight="1" x14ac:dyDescent="0.35">
      <c r="B8" t="s">
        <v>131</v>
      </c>
      <c r="C8">
        <v>0.34055600000000003</v>
      </c>
    </row>
    <row r="9" spans="2:14" ht="14.25" customHeight="1" x14ac:dyDescent="0.35">
      <c r="B9" t="s">
        <v>132</v>
      </c>
      <c r="C9">
        <v>0</v>
      </c>
    </row>
    <row r="10" spans="2:14" ht="14.25" customHeight="1" x14ac:dyDescent="0.35">
      <c r="B10" t="s">
        <v>126</v>
      </c>
      <c r="C10">
        <v>10.718508999999999</v>
      </c>
    </row>
    <row r="11" spans="2:14" ht="14.25" customHeight="1" x14ac:dyDescent="0.35">
      <c r="B11" t="s">
        <v>127</v>
      </c>
      <c r="C11">
        <v>10.253239000000001</v>
      </c>
    </row>
    <row r="12" spans="2:14" ht="14.25" customHeight="1" x14ac:dyDescent="0.35"/>
    <row r="13" spans="2:14" ht="14.25" customHeight="1" x14ac:dyDescent="0.35">
      <c r="B13" t="s">
        <v>162</v>
      </c>
      <c r="C13" t="s">
        <v>163</v>
      </c>
      <c r="D13" t="s">
        <v>164</v>
      </c>
      <c r="E13" t="s">
        <v>165</v>
      </c>
      <c r="F13" t="s">
        <v>166</v>
      </c>
      <c r="G13" t="s">
        <v>167</v>
      </c>
      <c r="H13" t="s">
        <v>168</v>
      </c>
      <c r="I13" t="s">
        <v>169</v>
      </c>
      <c r="J13" t="s">
        <v>170</v>
      </c>
      <c r="K13" t="s">
        <v>171</v>
      </c>
    </row>
    <row r="14" spans="2:14" ht="14.25" customHeight="1" x14ac:dyDescent="0.35">
      <c r="B14">
        <v>26</v>
      </c>
      <c r="C14">
        <v>10.477</v>
      </c>
      <c r="D14">
        <v>10.499000000000001</v>
      </c>
      <c r="E14">
        <v>10.577</v>
      </c>
      <c r="F14">
        <v>10.654</v>
      </c>
      <c r="G14">
        <v>10.455</v>
      </c>
      <c r="H14">
        <v>10.532400000000001</v>
      </c>
      <c r="I14">
        <v>8.2084000000000004E-2</v>
      </c>
      <c r="J14" t="s">
        <v>172</v>
      </c>
      <c r="K14" t="s">
        <v>172</v>
      </c>
    </row>
    <row r="15" spans="2:14" ht="14.25" customHeight="1" x14ac:dyDescent="0.35">
      <c r="B15">
        <v>27</v>
      </c>
      <c r="C15">
        <v>10.298999999999999</v>
      </c>
      <c r="D15">
        <v>10.321</v>
      </c>
      <c r="E15">
        <v>10.343</v>
      </c>
      <c r="F15">
        <v>10.266</v>
      </c>
      <c r="G15">
        <v>10.542999999999999</v>
      </c>
      <c r="H15">
        <v>10.3544</v>
      </c>
      <c r="I15">
        <v>0.10920100000000001</v>
      </c>
      <c r="J15" t="s">
        <v>172</v>
      </c>
      <c r="K15" t="s">
        <v>172</v>
      </c>
    </row>
    <row r="16" spans="2:14" ht="14.25" customHeight="1" x14ac:dyDescent="0.35">
      <c r="B16">
        <v>28</v>
      </c>
      <c r="C16">
        <v>10.532</v>
      </c>
      <c r="D16">
        <v>10.643000000000001</v>
      </c>
      <c r="E16">
        <v>10.221</v>
      </c>
      <c r="F16">
        <v>10.210000000000001</v>
      </c>
      <c r="G16">
        <v>10.41</v>
      </c>
      <c r="H16">
        <v>10.4032</v>
      </c>
      <c r="I16">
        <v>0.19017300000000001</v>
      </c>
      <c r="J16" t="s">
        <v>172</v>
      </c>
      <c r="K16" t="s">
        <v>172</v>
      </c>
    </row>
    <row r="17" spans="1:26" ht="14.25" customHeight="1" x14ac:dyDescent="0.35">
      <c r="B17">
        <v>29</v>
      </c>
      <c r="C17">
        <v>10.465999999999999</v>
      </c>
      <c r="D17">
        <v>10.266</v>
      </c>
      <c r="E17">
        <v>10.243</v>
      </c>
      <c r="F17">
        <v>10.366</v>
      </c>
      <c r="G17">
        <v>10.41</v>
      </c>
      <c r="H17">
        <v>10.350199999999999</v>
      </c>
      <c r="I17">
        <v>9.4627000000000003E-2</v>
      </c>
      <c r="J17" t="s">
        <v>172</v>
      </c>
      <c r="K17" t="s">
        <v>172</v>
      </c>
    </row>
    <row r="18" spans="1:26" ht="14.25" customHeight="1" x14ac:dyDescent="0.35">
      <c r="B18">
        <v>30</v>
      </c>
      <c r="C18">
        <v>10.666</v>
      </c>
      <c r="D18">
        <v>10.532</v>
      </c>
      <c r="E18">
        <v>10.398999999999999</v>
      </c>
      <c r="F18">
        <v>10.477</v>
      </c>
      <c r="G18">
        <v>10.388</v>
      </c>
      <c r="H18">
        <v>10.4924</v>
      </c>
      <c r="I18">
        <v>0.11354</v>
      </c>
      <c r="J18" t="s">
        <v>172</v>
      </c>
      <c r="K18" t="s">
        <v>172</v>
      </c>
    </row>
    <row r="19" spans="1:26" ht="14.25" customHeight="1" x14ac:dyDescent="0.35">
      <c r="B19">
        <v>31</v>
      </c>
      <c r="C19">
        <v>10.343</v>
      </c>
      <c r="D19">
        <v>10.587999999999999</v>
      </c>
      <c r="E19">
        <v>10.276999999999999</v>
      </c>
      <c r="F19">
        <v>10.388</v>
      </c>
      <c r="G19">
        <v>10.398999999999999</v>
      </c>
      <c r="H19">
        <v>10.398999999999999</v>
      </c>
      <c r="I19">
        <v>0.11604100000000001</v>
      </c>
      <c r="J19" t="s">
        <v>172</v>
      </c>
      <c r="K19" t="s">
        <v>172</v>
      </c>
    </row>
    <row r="20" spans="1:26" ht="14.25" customHeight="1" x14ac:dyDescent="0.35">
      <c r="B20">
        <v>32</v>
      </c>
      <c r="C20">
        <v>10.51</v>
      </c>
      <c r="D20">
        <v>10.420999999999999</v>
      </c>
      <c r="E20">
        <v>10.221</v>
      </c>
      <c r="F20">
        <v>10.555</v>
      </c>
      <c r="G20">
        <v>10.555</v>
      </c>
      <c r="H20">
        <v>10.452400000000001</v>
      </c>
      <c r="I20">
        <v>0.14044899999999999</v>
      </c>
      <c r="J20" t="s">
        <v>172</v>
      </c>
      <c r="K20" t="s">
        <v>172</v>
      </c>
    </row>
    <row r="21" spans="1:26" ht="14.25" customHeight="1" x14ac:dyDescent="0.35">
      <c r="B21" s="111">
        <v>33</v>
      </c>
      <c r="C21" s="111"/>
      <c r="D21" s="111"/>
      <c r="E21" s="111"/>
      <c r="F21" s="111"/>
      <c r="G21" s="111"/>
      <c r="H21" s="111"/>
      <c r="I21" s="111"/>
      <c r="J21" s="111"/>
      <c r="K21" s="111"/>
      <c r="L21" s="111"/>
      <c r="M21" s="111"/>
      <c r="N21" s="111"/>
      <c r="O21" s="111"/>
    </row>
    <row r="22" spans="1:26" ht="14.25" customHeight="1" x14ac:dyDescent="0.35">
      <c r="B22" s="111"/>
      <c r="C22" s="111"/>
      <c r="D22" s="111"/>
      <c r="E22" s="111"/>
      <c r="F22" s="111"/>
      <c r="G22" s="111"/>
      <c r="H22" s="111"/>
      <c r="I22" s="111"/>
      <c r="J22" s="111"/>
      <c r="K22" s="111"/>
      <c r="L22" s="111"/>
      <c r="M22" s="111"/>
      <c r="N22" s="111"/>
      <c r="O22" s="111"/>
    </row>
    <row r="23" spans="1:26" ht="14.25" customHeight="1" x14ac:dyDescent="0.35">
      <c r="B23" s="113">
        <v>35</v>
      </c>
      <c r="C23" s="65">
        <v>10.343</v>
      </c>
      <c r="D23" s="67">
        <v>10.455</v>
      </c>
      <c r="E23" s="67">
        <v>10.587999999999999</v>
      </c>
      <c r="F23" s="67">
        <v>10.41</v>
      </c>
      <c r="G23" s="67">
        <v>10.210000000000001</v>
      </c>
      <c r="H23" s="67">
        <v>10.401199999999999</v>
      </c>
      <c r="I23" s="67">
        <v>0.13947300000000001</v>
      </c>
      <c r="J23" s="67" t="s">
        <v>172</v>
      </c>
      <c r="K23" s="67" t="s">
        <v>172</v>
      </c>
      <c r="L23" s="67"/>
      <c r="M23" s="67"/>
      <c r="N23" s="67"/>
      <c r="O23" s="67"/>
    </row>
    <row r="24" spans="1:26" ht="14.25" customHeight="1" x14ac:dyDescent="0.35">
      <c r="B24" s="113"/>
      <c r="C24" s="29">
        <v>10.432</v>
      </c>
      <c r="D24" s="26">
        <v>10.577</v>
      </c>
      <c r="E24" s="26">
        <v>10.255000000000001</v>
      </c>
      <c r="F24" s="26">
        <v>10.420999999999999</v>
      </c>
      <c r="G24" s="26">
        <v>10.477</v>
      </c>
      <c r="H24" s="26">
        <v>10.432399999999999</v>
      </c>
      <c r="I24" s="26">
        <v>0.116725</v>
      </c>
      <c r="J24" s="26" t="s">
        <v>172</v>
      </c>
      <c r="K24" s="26" t="s">
        <v>172</v>
      </c>
      <c r="L24" s="26"/>
      <c r="M24" s="26"/>
      <c r="N24" s="26"/>
      <c r="O24" s="26"/>
    </row>
    <row r="25" spans="1:26" ht="14.25" customHeight="1" x14ac:dyDescent="0.35">
      <c r="B25" s="113"/>
      <c r="C25" s="29">
        <v>10.455</v>
      </c>
      <c r="D25" s="70">
        <v>10.61</v>
      </c>
      <c r="E25" s="70">
        <v>10.654</v>
      </c>
      <c r="F25" s="70">
        <v>10.477</v>
      </c>
      <c r="G25" s="70">
        <v>10.398999999999999</v>
      </c>
      <c r="H25" s="70">
        <v>10.519</v>
      </c>
      <c r="I25" s="70">
        <v>0.108127</v>
      </c>
      <c r="J25" s="70" t="s">
        <v>172</v>
      </c>
      <c r="K25" s="70" t="s">
        <v>172</v>
      </c>
      <c r="L25" s="70"/>
      <c r="M25" s="70"/>
      <c r="N25" s="70"/>
      <c r="O25" s="70"/>
    </row>
    <row r="26" spans="1:26" ht="14.25" customHeight="1" x14ac:dyDescent="0.35">
      <c r="B26" s="113"/>
      <c r="C26" s="29">
        <v>10.455</v>
      </c>
      <c r="D26" s="70">
        <v>10.455</v>
      </c>
      <c r="E26" s="70">
        <v>10.432</v>
      </c>
      <c r="F26" s="70">
        <v>10.298999999999999</v>
      </c>
      <c r="G26" s="70">
        <v>10.231999999999999</v>
      </c>
      <c r="H26" s="70">
        <v>10.374599999999999</v>
      </c>
      <c r="I26" s="70">
        <v>0.102802</v>
      </c>
      <c r="J26" s="70" t="s">
        <v>172</v>
      </c>
      <c r="K26" s="70" t="s">
        <v>172</v>
      </c>
      <c r="L26" s="70"/>
      <c r="M26" s="70"/>
      <c r="N26" s="70"/>
      <c r="O26" s="70"/>
    </row>
    <row r="27" spans="1:26" ht="14.25" customHeight="1" x14ac:dyDescent="0.35">
      <c r="B27" s="113"/>
      <c r="C27" s="29">
        <v>10.587999999999999</v>
      </c>
      <c r="D27" s="70">
        <v>10.677</v>
      </c>
      <c r="E27" s="70">
        <v>10.231999999999999</v>
      </c>
      <c r="F27" s="70">
        <v>10.51</v>
      </c>
      <c r="G27" s="70">
        <v>10.632</v>
      </c>
      <c r="H27" s="70">
        <v>10.527799999999999</v>
      </c>
      <c r="I27" s="70">
        <v>0.17646300000000001</v>
      </c>
      <c r="J27" s="70" t="s">
        <v>172</v>
      </c>
      <c r="K27" s="70" t="s">
        <v>172</v>
      </c>
      <c r="L27" s="70"/>
      <c r="M27" s="70"/>
      <c r="N27" s="70"/>
      <c r="O27" s="70"/>
    </row>
    <row r="28" spans="1:26" ht="14.25" customHeight="1" x14ac:dyDescent="0.35">
      <c r="B28" s="113"/>
      <c r="C28" s="29">
        <v>10.398999999999999</v>
      </c>
      <c r="D28" s="70">
        <v>10.443</v>
      </c>
      <c r="E28" s="70">
        <v>10.532</v>
      </c>
      <c r="F28" s="70">
        <v>10.61</v>
      </c>
      <c r="G28" s="70">
        <v>10.266</v>
      </c>
      <c r="H28" s="70">
        <v>10.45</v>
      </c>
      <c r="I28" s="70">
        <v>0.13117699999999999</v>
      </c>
      <c r="J28" s="70" t="s">
        <v>172</v>
      </c>
      <c r="K28" s="70" t="s">
        <v>172</v>
      </c>
      <c r="L28" s="70"/>
      <c r="M28" s="70"/>
      <c r="N28" s="70"/>
      <c r="O28" s="70"/>
    </row>
    <row r="29" spans="1:26" ht="14.25" customHeight="1" x14ac:dyDescent="0.35">
      <c r="B29" s="113"/>
      <c r="C29" s="29">
        <v>10.666</v>
      </c>
      <c r="D29" s="70">
        <v>10.599</v>
      </c>
      <c r="E29" s="70">
        <v>10.465999999999999</v>
      </c>
      <c r="F29" s="70">
        <v>10.321</v>
      </c>
      <c r="G29" s="70">
        <v>10.465999999999999</v>
      </c>
      <c r="H29" s="70">
        <v>10.5036</v>
      </c>
      <c r="I29" s="70">
        <v>0.13383300000000001</v>
      </c>
      <c r="J29" s="70" t="s">
        <v>172</v>
      </c>
      <c r="K29" s="70" t="s">
        <v>172</v>
      </c>
      <c r="L29" s="70"/>
      <c r="M29" s="70"/>
      <c r="N29" s="70"/>
      <c r="O29" s="70"/>
    </row>
    <row r="30" spans="1:26" ht="14.25" customHeight="1" x14ac:dyDescent="0.35">
      <c r="B30" s="113"/>
      <c r="C30" s="29">
        <v>10.555</v>
      </c>
      <c r="D30" s="70">
        <v>10.288</v>
      </c>
      <c r="E30" s="70">
        <v>10.465999999999999</v>
      </c>
      <c r="F30" s="70">
        <v>10.420999999999999</v>
      </c>
      <c r="G30" s="70">
        <v>10.266</v>
      </c>
      <c r="H30" s="70">
        <v>10.3992</v>
      </c>
      <c r="I30" s="70">
        <v>0.121777</v>
      </c>
      <c r="J30" s="70" t="s">
        <v>172</v>
      </c>
      <c r="K30" s="70" t="s">
        <v>172</v>
      </c>
      <c r="L30" s="70"/>
      <c r="M30" s="70"/>
      <c r="N30" s="70"/>
      <c r="O30" s="70"/>
    </row>
    <row r="31" spans="1:26" ht="14.25" customHeight="1" x14ac:dyDescent="0.35">
      <c r="B31" s="29">
        <v>43</v>
      </c>
      <c r="C31" s="29">
        <v>10.231999999999999</v>
      </c>
      <c r="D31" s="29">
        <v>10.332000000000001</v>
      </c>
      <c r="E31" s="29">
        <v>10.377000000000001</v>
      </c>
      <c r="F31" s="29">
        <v>10.420999999999999</v>
      </c>
      <c r="G31" s="29">
        <v>10.266</v>
      </c>
      <c r="H31" s="29">
        <v>10.3256</v>
      </c>
      <c r="I31" s="29">
        <v>7.7616000000000004E-2</v>
      </c>
      <c r="J31" s="29" t="s">
        <v>172</v>
      </c>
      <c r="K31" s="29" t="s">
        <v>172</v>
      </c>
      <c r="L31" s="29"/>
      <c r="M31" s="29"/>
      <c r="N31" s="29"/>
      <c r="O31" s="29"/>
    </row>
    <row r="32" spans="1:26" ht="14.25" customHeight="1" x14ac:dyDescent="0.35">
      <c r="A32" s="28"/>
      <c r="B32" s="32">
        <v>44</v>
      </c>
      <c r="C32" s="11">
        <v>10.688000000000001</v>
      </c>
      <c r="D32" s="11"/>
      <c r="E32" s="11"/>
      <c r="F32" s="11"/>
      <c r="G32" s="11"/>
      <c r="H32" s="32">
        <v>10.559200000000001</v>
      </c>
      <c r="I32" s="32">
        <v>9.8727999999999996E-2</v>
      </c>
      <c r="J32" s="32" t="s">
        <v>172</v>
      </c>
      <c r="K32" s="32" t="s">
        <v>172</v>
      </c>
      <c r="L32" s="32" t="s">
        <v>119</v>
      </c>
      <c r="M32" s="32" t="s">
        <v>125</v>
      </c>
      <c r="N32" s="32" t="s">
        <v>126</v>
      </c>
      <c r="O32" s="32" t="s">
        <v>127</v>
      </c>
      <c r="P32" s="28"/>
      <c r="Q32" s="28"/>
      <c r="R32" s="28"/>
      <c r="S32" s="28"/>
      <c r="T32" s="28"/>
      <c r="U32" s="28"/>
      <c r="V32" s="28"/>
      <c r="W32" s="28"/>
      <c r="X32" s="28"/>
      <c r="Y32" s="28"/>
      <c r="Z32" s="28"/>
    </row>
    <row r="33" spans="2:15" ht="14.25" customHeight="1" x14ac:dyDescent="0.35">
      <c r="B33" s="29">
        <v>45</v>
      </c>
      <c r="C33" s="74">
        <v>10.388</v>
      </c>
      <c r="D33" s="74">
        <v>10.420999999999999</v>
      </c>
      <c r="E33" s="74">
        <v>10.61</v>
      </c>
      <c r="F33" s="74">
        <v>10.221</v>
      </c>
      <c r="G33" s="74">
        <v>10.288</v>
      </c>
      <c r="H33" s="39">
        <v>10.3856</v>
      </c>
      <c r="I33" s="39">
        <v>0.14852000000000001</v>
      </c>
      <c r="J33" s="39" t="s">
        <v>172</v>
      </c>
      <c r="K33" s="39" t="s">
        <v>172</v>
      </c>
      <c r="L33" s="39">
        <f t="shared" ref="L33:L57" si="0">$D$28</f>
        <v>10.443</v>
      </c>
      <c r="M33" s="39">
        <f t="shared" ref="M33:M57" si="1">$D$25</f>
        <v>10.61</v>
      </c>
      <c r="N33" s="39">
        <f t="shared" ref="N33:N57" si="2">$D$29</f>
        <v>10.599</v>
      </c>
      <c r="O33" s="39">
        <f t="shared" ref="O33:O57" si="3">$D$30</f>
        <v>10.288</v>
      </c>
    </row>
    <row r="34" spans="2:15" ht="14.25" customHeight="1" x14ac:dyDescent="0.35">
      <c r="B34" s="29">
        <v>46</v>
      </c>
      <c r="C34" s="74">
        <v>10.621</v>
      </c>
      <c r="D34" s="74">
        <v>10.288</v>
      </c>
      <c r="E34" s="74">
        <v>10.398999999999999</v>
      </c>
      <c r="F34" s="74">
        <v>10.465999999999999</v>
      </c>
      <c r="G34" s="74">
        <v>10.343</v>
      </c>
      <c r="H34" s="39">
        <v>10.423400000000001</v>
      </c>
      <c r="I34" s="39">
        <v>0.12869800000000001</v>
      </c>
      <c r="J34" s="39" t="s">
        <v>172</v>
      </c>
      <c r="K34" s="39" t="s">
        <v>172</v>
      </c>
      <c r="L34" s="39">
        <f t="shared" si="0"/>
        <v>10.443</v>
      </c>
      <c r="M34" s="39">
        <f t="shared" si="1"/>
        <v>10.61</v>
      </c>
      <c r="N34" s="39">
        <f t="shared" si="2"/>
        <v>10.599</v>
      </c>
      <c r="O34" s="39">
        <f t="shared" si="3"/>
        <v>10.288</v>
      </c>
    </row>
    <row r="35" spans="2:15" ht="14.25" customHeight="1" x14ac:dyDescent="0.35">
      <c r="B35" s="29">
        <v>47</v>
      </c>
      <c r="C35" s="74">
        <v>10.677</v>
      </c>
      <c r="D35" s="74">
        <v>10.443</v>
      </c>
      <c r="E35" s="74">
        <v>10.587999999999999</v>
      </c>
      <c r="F35" s="74">
        <v>10.366</v>
      </c>
      <c r="G35" s="74">
        <v>10.420999999999999</v>
      </c>
      <c r="H35" s="39">
        <v>10.499000000000001</v>
      </c>
      <c r="I35" s="39">
        <v>0.12895200000000001</v>
      </c>
      <c r="J35" s="39" t="s">
        <v>172</v>
      </c>
      <c r="K35" s="39" t="s">
        <v>172</v>
      </c>
      <c r="L35" s="39">
        <f t="shared" si="0"/>
        <v>10.443</v>
      </c>
      <c r="M35" s="39">
        <f t="shared" si="1"/>
        <v>10.61</v>
      </c>
      <c r="N35" s="39">
        <f t="shared" si="2"/>
        <v>10.599</v>
      </c>
      <c r="O35" s="39">
        <f t="shared" si="3"/>
        <v>10.288</v>
      </c>
    </row>
    <row r="36" spans="2:15" ht="14.25" customHeight="1" x14ac:dyDescent="0.35">
      <c r="B36" s="29">
        <v>48</v>
      </c>
      <c r="C36" s="74">
        <v>10.666</v>
      </c>
      <c r="D36" s="74">
        <v>10.366</v>
      </c>
      <c r="E36" s="74">
        <v>10.343</v>
      </c>
      <c r="F36" s="74">
        <v>10.210000000000001</v>
      </c>
      <c r="G36" s="74">
        <v>10.566000000000001</v>
      </c>
      <c r="H36" s="39">
        <v>10.430199999999999</v>
      </c>
      <c r="I36" s="39">
        <v>0.18320500000000001</v>
      </c>
      <c r="J36" s="39" t="s">
        <v>172</v>
      </c>
      <c r="K36" s="39" t="s">
        <v>172</v>
      </c>
      <c r="L36" s="39">
        <f t="shared" si="0"/>
        <v>10.443</v>
      </c>
      <c r="M36" s="39">
        <f t="shared" si="1"/>
        <v>10.61</v>
      </c>
      <c r="N36" s="39">
        <f t="shared" si="2"/>
        <v>10.599</v>
      </c>
      <c r="O36" s="39">
        <f t="shared" si="3"/>
        <v>10.288</v>
      </c>
    </row>
    <row r="37" spans="2:15" ht="14.25" customHeight="1" x14ac:dyDescent="0.35">
      <c r="B37" s="29">
        <v>49</v>
      </c>
      <c r="C37" s="74">
        <v>10.41</v>
      </c>
      <c r="D37" s="74">
        <v>10.677</v>
      </c>
      <c r="E37" s="74">
        <v>10.321</v>
      </c>
      <c r="F37" s="74">
        <v>10.587999999999999</v>
      </c>
      <c r="G37" s="74">
        <v>10.499000000000001</v>
      </c>
      <c r="H37" s="39">
        <v>10.499000000000001</v>
      </c>
      <c r="I37" s="39">
        <v>0.14072100000000001</v>
      </c>
      <c r="J37" s="39" t="s">
        <v>172</v>
      </c>
      <c r="K37" s="39" t="s">
        <v>172</v>
      </c>
      <c r="L37" s="39">
        <f t="shared" si="0"/>
        <v>10.443</v>
      </c>
      <c r="M37" s="39">
        <f t="shared" si="1"/>
        <v>10.61</v>
      </c>
      <c r="N37" s="39">
        <f t="shared" si="2"/>
        <v>10.599</v>
      </c>
      <c r="O37" s="39">
        <f t="shared" si="3"/>
        <v>10.288</v>
      </c>
    </row>
    <row r="38" spans="2:15" ht="14.25" customHeight="1" x14ac:dyDescent="0.35">
      <c r="B38" s="29">
        <v>50</v>
      </c>
      <c r="C38" s="74">
        <v>10.443</v>
      </c>
      <c r="D38" s="74">
        <v>10.31</v>
      </c>
      <c r="E38" s="74">
        <v>10.377000000000001</v>
      </c>
      <c r="F38" s="74">
        <v>10.688000000000001</v>
      </c>
      <c r="G38" s="74">
        <v>10.477</v>
      </c>
      <c r="H38" s="39">
        <v>10.459</v>
      </c>
      <c r="I38" s="39">
        <v>0.14313100000000001</v>
      </c>
      <c r="J38" s="39" t="s">
        <v>172</v>
      </c>
      <c r="K38" s="39" t="s">
        <v>172</v>
      </c>
      <c r="L38" s="39">
        <f t="shared" si="0"/>
        <v>10.443</v>
      </c>
      <c r="M38" s="39">
        <f t="shared" si="1"/>
        <v>10.61</v>
      </c>
      <c r="N38" s="39">
        <f t="shared" si="2"/>
        <v>10.599</v>
      </c>
      <c r="O38" s="39">
        <f t="shared" si="3"/>
        <v>10.288</v>
      </c>
    </row>
    <row r="39" spans="2:15" ht="14.25" customHeight="1" x14ac:dyDescent="0.35">
      <c r="B39" s="29">
        <v>32</v>
      </c>
      <c r="C39" s="74">
        <v>10.51</v>
      </c>
      <c r="D39" s="74">
        <v>10.420999999999999</v>
      </c>
      <c r="E39" s="74">
        <v>10.221</v>
      </c>
      <c r="F39" s="74">
        <v>10.555</v>
      </c>
      <c r="G39" s="74">
        <v>10.555</v>
      </c>
      <c r="H39" s="39">
        <f t="shared" ref="H39:H57" si="4">AVERAGE(C39:G39)</f>
        <v>10.452399999999999</v>
      </c>
      <c r="I39" s="39">
        <f t="shared" ref="I39:I57" si="5">MAX(C39:G39)-MIN(C39:G39)</f>
        <v>0.33399999999999963</v>
      </c>
      <c r="J39" s="39">
        <f t="shared" ref="J39:J57" si="6">$D$26</f>
        <v>10.455</v>
      </c>
      <c r="K39" s="39">
        <f t="shared" ref="K39:K57" si="7">$D$27</f>
        <v>10.677</v>
      </c>
      <c r="L39" s="39">
        <f t="shared" si="0"/>
        <v>10.443</v>
      </c>
      <c r="M39" s="39">
        <f t="shared" si="1"/>
        <v>10.61</v>
      </c>
      <c r="N39" s="39">
        <f t="shared" si="2"/>
        <v>10.599</v>
      </c>
      <c r="O39" s="39">
        <f t="shared" si="3"/>
        <v>10.288</v>
      </c>
    </row>
    <row r="40" spans="2:15" ht="14.25" customHeight="1" x14ac:dyDescent="0.35">
      <c r="B40" s="29">
        <v>33</v>
      </c>
      <c r="C40" s="74">
        <v>10.231999999999999</v>
      </c>
      <c r="D40" s="74">
        <v>10.477</v>
      </c>
      <c r="E40" s="74">
        <v>10.41</v>
      </c>
      <c r="F40" s="74">
        <v>10.542999999999999</v>
      </c>
      <c r="G40" s="74">
        <v>10.532</v>
      </c>
      <c r="H40" s="39">
        <f t="shared" si="4"/>
        <v>10.438800000000001</v>
      </c>
      <c r="I40" s="39">
        <f t="shared" si="5"/>
        <v>0.31099999999999994</v>
      </c>
      <c r="J40" s="39">
        <f t="shared" si="6"/>
        <v>10.455</v>
      </c>
      <c r="K40" s="39">
        <f t="shared" si="7"/>
        <v>10.677</v>
      </c>
      <c r="L40" s="39">
        <f t="shared" si="0"/>
        <v>10.443</v>
      </c>
      <c r="M40" s="39">
        <f t="shared" si="1"/>
        <v>10.61</v>
      </c>
      <c r="N40" s="39">
        <f t="shared" si="2"/>
        <v>10.599</v>
      </c>
      <c r="O40" s="39">
        <f t="shared" si="3"/>
        <v>10.288</v>
      </c>
    </row>
    <row r="41" spans="2:15" ht="14.25" customHeight="1" x14ac:dyDescent="0.35">
      <c r="B41" s="29">
        <v>34</v>
      </c>
      <c r="C41" s="74">
        <v>10.566000000000001</v>
      </c>
      <c r="D41" s="74">
        <v>10.332000000000001</v>
      </c>
      <c r="E41" s="74">
        <v>10.332000000000001</v>
      </c>
      <c r="F41" s="74">
        <v>10.332000000000001</v>
      </c>
      <c r="G41" s="74">
        <v>10.632</v>
      </c>
      <c r="H41" s="39">
        <f t="shared" si="4"/>
        <v>10.438800000000001</v>
      </c>
      <c r="I41" s="39">
        <f t="shared" si="5"/>
        <v>0.29999999999999893</v>
      </c>
      <c r="J41" s="39">
        <f t="shared" si="6"/>
        <v>10.455</v>
      </c>
      <c r="K41" s="39">
        <f t="shared" si="7"/>
        <v>10.677</v>
      </c>
      <c r="L41" s="39">
        <f t="shared" si="0"/>
        <v>10.443</v>
      </c>
      <c r="M41" s="39">
        <f t="shared" si="1"/>
        <v>10.61</v>
      </c>
      <c r="N41" s="39">
        <f t="shared" si="2"/>
        <v>10.599</v>
      </c>
      <c r="O41" s="39">
        <f t="shared" si="3"/>
        <v>10.288</v>
      </c>
    </row>
    <row r="42" spans="2:15" ht="14.25" customHeight="1" x14ac:dyDescent="0.35">
      <c r="B42" s="29">
        <v>35</v>
      </c>
      <c r="C42" s="74">
        <v>10.343</v>
      </c>
      <c r="D42" s="74">
        <v>10.455</v>
      </c>
      <c r="E42" s="74">
        <v>10.587999999999999</v>
      </c>
      <c r="F42" s="74">
        <v>10.41</v>
      </c>
      <c r="G42" s="74">
        <v>10.210000000000001</v>
      </c>
      <c r="H42" s="39">
        <f t="shared" si="4"/>
        <v>10.401200000000001</v>
      </c>
      <c r="I42" s="39">
        <f t="shared" si="5"/>
        <v>0.37799999999999834</v>
      </c>
      <c r="J42" s="39">
        <f t="shared" si="6"/>
        <v>10.455</v>
      </c>
      <c r="K42" s="39">
        <f t="shared" si="7"/>
        <v>10.677</v>
      </c>
      <c r="L42" s="39">
        <f t="shared" si="0"/>
        <v>10.443</v>
      </c>
      <c r="M42" s="39">
        <f t="shared" si="1"/>
        <v>10.61</v>
      </c>
      <c r="N42" s="39">
        <f t="shared" si="2"/>
        <v>10.599</v>
      </c>
      <c r="O42" s="39">
        <f t="shared" si="3"/>
        <v>10.288</v>
      </c>
    </row>
    <row r="43" spans="2:15" ht="14.25" customHeight="1" x14ac:dyDescent="0.35">
      <c r="B43" s="29">
        <v>36</v>
      </c>
      <c r="C43" s="74">
        <v>10.432</v>
      </c>
      <c r="D43" s="74">
        <v>10.577</v>
      </c>
      <c r="E43" s="74">
        <v>10.255000000000001</v>
      </c>
      <c r="F43" s="74">
        <v>10.420999999999999</v>
      </c>
      <c r="G43" s="74">
        <v>10.477</v>
      </c>
      <c r="H43" s="39">
        <f t="shared" si="4"/>
        <v>10.432400000000001</v>
      </c>
      <c r="I43" s="39">
        <f t="shared" si="5"/>
        <v>0.32199999999999918</v>
      </c>
      <c r="J43" s="39">
        <f t="shared" si="6"/>
        <v>10.455</v>
      </c>
      <c r="K43" s="39">
        <f t="shared" si="7"/>
        <v>10.677</v>
      </c>
      <c r="L43" s="39">
        <f t="shared" si="0"/>
        <v>10.443</v>
      </c>
      <c r="M43" s="39">
        <f t="shared" si="1"/>
        <v>10.61</v>
      </c>
      <c r="N43" s="39">
        <f t="shared" si="2"/>
        <v>10.599</v>
      </c>
      <c r="O43" s="39">
        <f t="shared" si="3"/>
        <v>10.288</v>
      </c>
    </row>
    <row r="44" spans="2:15" ht="14.25" customHeight="1" x14ac:dyDescent="0.35">
      <c r="B44" s="29">
        <v>37</v>
      </c>
      <c r="C44" s="74">
        <v>10.455</v>
      </c>
      <c r="D44" s="74">
        <v>10.61</v>
      </c>
      <c r="E44" s="74">
        <v>10.654</v>
      </c>
      <c r="F44" s="74">
        <v>10.477</v>
      </c>
      <c r="G44" s="74">
        <v>10.398999999999999</v>
      </c>
      <c r="H44" s="39">
        <f t="shared" si="4"/>
        <v>10.519</v>
      </c>
      <c r="I44" s="39">
        <f t="shared" si="5"/>
        <v>0.25500000000000078</v>
      </c>
      <c r="J44" s="39">
        <f t="shared" si="6"/>
        <v>10.455</v>
      </c>
      <c r="K44" s="39">
        <f t="shared" si="7"/>
        <v>10.677</v>
      </c>
      <c r="L44" s="39">
        <f t="shared" si="0"/>
        <v>10.443</v>
      </c>
      <c r="M44" s="39">
        <f t="shared" si="1"/>
        <v>10.61</v>
      </c>
      <c r="N44" s="39">
        <f t="shared" si="2"/>
        <v>10.599</v>
      </c>
      <c r="O44" s="39">
        <f t="shared" si="3"/>
        <v>10.288</v>
      </c>
    </row>
    <row r="45" spans="2:15" ht="14.25" customHeight="1" x14ac:dyDescent="0.35">
      <c r="B45" s="29">
        <v>38</v>
      </c>
      <c r="C45" s="74">
        <v>10.455</v>
      </c>
      <c r="D45" s="74">
        <v>10.455</v>
      </c>
      <c r="E45" s="74">
        <v>10.432</v>
      </c>
      <c r="F45" s="74">
        <v>10.298999999999999</v>
      </c>
      <c r="G45" s="74">
        <v>10.231999999999999</v>
      </c>
      <c r="H45" s="39">
        <f t="shared" si="4"/>
        <v>10.374599999999999</v>
      </c>
      <c r="I45" s="39">
        <f t="shared" si="5"/>
        <v>0.22300000000000075</v>
      </c>
      <c r="J45" s="39">
        <f t="shared" si="6"/>
        <v>10.455</v>
      </c>
      <c r="K45" s="39">
        <f t="shared" si="7"/>
        <v>10.677</v>
      </c>
      <c r="L45" s="39">
        <f t="shared" si="0"/>
        <v>10.443</v>
      </c>
      <c r="M45" s="39">
        <f t="shared" si="1"/>
        <v>10.61</v>
      </c>
      <c r="N45" s="39">
        <f t="shared" si="2"/>
        <v>10.599</v>
      </c>
      <c r="O45" s="39">
        <f t="shared" si="3"/>
        <v>10.288</v>
      </c>
    </row>
    <row r="46" spans="2:15" ht="14.25" customHeight="1" x14ac:dyDescent="0.35">
      <c r="B46" s="29">
        <v>39</v>
      </c>
      <c r="C46" s="74">
        <v>10.587999999999999</v>
      </c>
      <c r="D46" s="74">
        <v>10.677</v>
      </c>
      <c r="E46" s="74">
        <v>10.231999999999999</v>
      </c>
      <c r="F46" s="74">
        <v>10.51</v>
      </c>
      <c r="G46" s="74">
        <v>10.632</v>
      </c>
      <c r="H46" s="39">
        <f t="shared" si="4"/>
        <v>10.527799999999999</v>
      </c>
      <c r="I46" s="39">
        <f t="shared" si="5"/>
        <v>0.44500000000000028</v>
      </c>
      <c r="J46" s="39">
        <f t="shared" si="6"/>
        <v>10.455</v>
      </c>
      <c r="K46" s="39">
        <f t="shared" si="7"/>
        <v>10.677</v>
      </c>
      <c r="L46" s="39">
        <f t="shared" si="0"/>
        <v>10.443</v>
      </c>
      <c r="M46" s="39">
        <f t="shared" si="1"/>
        <v>10.61</v>
      </c>
      <c r="N46" s="39">
        <f t="shared" si="2"/>
        <v>10.599</v>
      </c>
      <c r="O46" s="39">
        <f t="shared" si="3"/>
        <v>10.288</v>
      </c>
    </row>
    <row r="47" spans="2:15" ht="14.25" customHeight="1" x14ac:dyDescent="0.35">
      <c r="B47" s="29">
        <v>40</v>
      </c>
      <c r="C47" s="74">
        <v>10.398999999999999</v>
      </c>
      <c r="D47" s="74">
        <v>10.443</v>
      </c>
      <c r="E47" s="74">
        <v>10.532</v>
      </c>
      <c r="F47" s="74">
        <v>10.61</v>
      </c>
      <c r="G47" s="74">
        <v>10.266</v>
      </c>
      <c r="H47" s="39">
        <f t="shared" si="4"/>
        <v>10.45</v>
      </c>
      <c r="I47" s="39">
        <f t="shared" si="5"/>
        <v>0.34399999999999942</v>
      </c>
      <c r="J47" s="39">
        <f t="shared" si="6"/>
        <v>10.455</v>
      </c>
      <c r="K47" s="39">
        <f t="shared" si="7"/>
        <v>10.677</v>
      </c>
      <c r="L47" s="39">
        <f t="shared" si="0"/>
        <v>10.443</v>
      </c>
      <c r="M47" s="39">
        <f t="shared" si="1"/>
        <v>10.61</v>
      </c>
      <c r="N47" s="39">
        <f t="shared" si="2"/>
        <v>10.599</v>
      </c>
      <c r="O47" s="39">
        <f t="shared" si="3"/>
        <v>10.288</v>
      </c>
    </row>
    <row r="48" spans="2:15" ht="14.25" customHeight="1" x14ac:dyDescent="0.35">
      <c r="B48" s="29">
        <v>41</v>
      </c>
      <c r="C48" s="74">
        <v>10.666</v>
      </c>
      <c r="D48" s="74">
        <v>10.599</v>
      </c>
      <c r="E48" s="74">
        <v>10.465999999999999</v>
      </c>
      <c r="F48" s="74">
        <v>10.321</v>
      </c>
      <c r="G48" s="74">
        <v>10.465999999999999</v>
      </c>
      <c r="H48" s="39">
        <f t="shared" si="4"/>
        <v>10.5036</v>
      </c>
      <c r="I48" s="39">
        <f t="shared" si="5"/>
        <v>0.34500000000000064</v>
      </c>
      <c r="J48" s="39">
        <f t="shared" si="6"/>
        <v>10.455</v>
      </c>
      <c r="K48" s="39">
        <f t="shared" si="7"/>
        <v>10.677</v>
      </c>
      <c r="L48" s="39">
        <f t="shared" si="0"/>
        <v>10.443</v>
      </c>
      <c r="M48" s="39">
        <f t="shared" si="1"/>
        <v>10.61</v>
      </c>
      <c r="N48" s="39">
        <f t="shared" si="2"/>
        <v>10.599</v>
      </c>
      <c r="O48" s="39">
        <f t="shared" si="3"/>
        <v>10.288</v>
      </c>
    </row>
    <row r="49" spans="2:15" ht="14.25" customHeight="1" x14ac:dyDescent="0.35">
      <c r="B49" s="29">
        <v>42</v>
      </c>
      <c r="C49" s="74">
        <v>10.555</v>
      </c>
      <c r="D49" s="74">
        <v>10.288</v>
      </c>
      <c r="E49" s="74">
        <v>10.465999999999999</v>
      </c>
      <c r="F49" s="74">
        <v>10.420999999999999</v>
      </c>
      <c r="G49" s="74">
        <v>10.266</v>
      </c>
      <c r="H49" s="39">
        <f t="shared" si="4"/>
        <v>10.399199999999999</v>
      </c>
      <c r="I49" s="39">
        <f t="shared" si="5"/>
        <v>0.2889999999999997</v>
      </c>
      <c r="J49" s="39">
        <f t="shared" si="6"/>
        <v>10.455</v>
      </c>
      <c r="K49" s="39">
        <f t="shared" si="7"/>
        <v>10.677</v>
      </c>
      <c r="L49" s="39">
        <f t="shared" si="0"/>
        <v>10.443</v>
      </c>
      <c r="M49" s="39">
        <f t="shared" si="1"/>
        <v>10.61</v>
      </c>
      <c r="N49" s="39">
        <f t="shared" si="2"/>
        <v>10.599</v>
      </c>
      <c r="O49" s="39">
        <f t="shared" si="3"/>
        <v>10.288</v>
      </c>
    </row>
    <row r="50" spans="2:15" ht="14.25" customHeight="1" x14ac:dyDescent="0.35">
      <c r="B50" s="29">
        <v>43</v>
      </c>
      <c r="C50" s="74">
        <v>10.231999999999999</v>
      </c>
      <c r="D50" s="74">
        <v>10.332000000000001</v>
      </c>
      <c r="E50" s="74">
        <v>10.377000000000001</v>
      </c>
      <c r="F50" s="74">
        <v>10.420999999999999</v>
      </c>
      <c r="G50" s="74">
        <v>10.266</v>
      </c>
      <c r="H50" s="39">
        <f t="shared" si="4"/>
        <v>10.3256</v>
      </c>
      <c r="I50" s="39">
        <f t="shared" si="5"/>
        <v>0.18900000000000006</v>
      </c>
      <c r="J50" s="39">
        <f t="shared" si="6"/>
        <v>10.455</v>
      </c>
      <c r="K50" s="39">
        <f t="shared" si="7"/>
        <v>10.677</v>
      </c>
      <c r="L50" s="39">
        <f t="shared" si="0"/>
        <v>10.443</v>
      </c>
      <c r="M50" s="39">
        <f t="shared" si="1"/>
        <v>10.61</v>
      </c>
      <c r="N50" s="39">
        <f t="shared" si="2"/>
        <v>10.599</v>
      </c>
      <c r="O50" s="39">
        <f t="shared" si="3"/>
        <v>10.288</v>
      </c>
    </row>
    <row r="51" spans="2:15" ht="14.25" customHeight="1" x14ac:dyDescent="0.35">
      <c r="B51" s="29">
        <v>44</v>
      </c>
      <c r="C51" s="74">
        <v>10.688000000000001</v>
      </c>
      <c r="D51" s="74">
        <v>10.41</v>
      </c>
      <c r="E51" s="74">
        <v>10.566000000000001</v>
      </c>
      <c r="F51" s="74">
        <v>10.566000000000001</v>
      </c>
      <c r="G51" s="74">
        <v>10.566000000000001</v>
      </c>
      <c r="H51" s="39">
        <f t="shared" si="4"/>
        <v>10.559200000000001</v>
      </c>
      <c r="I51" s="39">
        <f t="shared" si="5"/>
        <v>0.27800000000000047</v>
      </c>
      <c r="J51" s="39">
        <f t="shared" si="6"/>
        <v>10.455</v>
      </c>
      <c r="K51" s="39">
        <f t="shared" si="7"/>
        <v>10.677</v>
      </c>
      <c r="L51" s="39">
        <f t="shared" si="0"/>
        <v>10.443</v>
      </c>
      <c r="M51" s="39">
        <f t="shared" si="1"/>
        <v>10.61</v>
      </c>
      <c r="N51" s="39">
        <f t="shared" si="2"/>
        <v>10.599</v>
      </c>
      <c r="O51" s="39">
        <f t="shared" si="3"/>
        <v>10.288</v>
      </c>
    </row>
    <row r="52" spans="2:15" ht="14.25" customHeight="1" x14ac:dyDescent="0.35">
      <c r="B52" s="29">
        <v>45</v>
      </c>
      <c r="C52" s="74">
        <v>10.388</v>
      </c>
      <c r="D52" s="74">
        <v>10.420999999999999</v>
      </c>
      <c r="E52" s="74">
        <v>10.61</v>
      </c>
      <c r="F52" s="74">
        <v>10.221</v>
      </c>
      <c r="G52" s="74">
        <v>10.288</v>
      </c>
      <c r="H52" s="39">
        <f t="shared" si="4"/>
        <v>10.3856</v>
      </c>
      <c r="I52" s="39">
        <f t="shared" si="5"/>
        <v>0.38899999999999935</v>
      </c>
      <c r="J52" s="39">
        <f t="shared" si="6"/>
        <v>10.455</v>
      </c>
      <c r="K52" s="39">
        <f t="shared" si="7"/>
        <v>10.677</v>
      </c>
      <c r="L52" s="39">
        <f t="shared" si="0"/>
        <v>10.443</v>
      </c>
      <c r="M52" s="39">
        <f t="shared" si="1"/>
        <v>10.61</v>
      </c>
      <c r="N52" s="39">
        <f t="shared" si="2"/>
        <v>10.599</v>
      </c>
      <c r="O52" s="39">
        <f t="shared" si="3"/>
        <v>10.288</v>
      </c>
    </row>
    <row r="53" spans="2:15" ht="14.25" customHeight="1" x14ac:dyDescent="0.35">
      <c r="B53" s="29">
        <v>46</v>
      </c>
      <c r="C53" s="74">
        <v>10.621</v>
      </c>
      <c r="D53" s="74">
        <v>10.288</v>
      </c>
      <c r="E53" s="74">
        <v>10.398999999999999</v>
      </c>
      <c r="F53" s="74">
        <v>10.465999999999999</v>
      </c>
      <c r="G53" s="74">
        <v>10.343</v>
      </c>
      <c r="H53" s="39">
        <f t="shared" si="4"/>
        <v>10.423400000000001</v>
      </c>
      <c r="I53" s="39">
        <f t="shared" si="5"/>
        <v>0.33300000000000018</v>
      </c>
      <c r="J53" s="39">
        <f t="shared" si="6"/>
        <v>10.455</v>
      </c>
      <c r="K53" s="39">
        <f t="shared" si="7"/>
        <v>10.677</v>
      </c>
      <c r="L53" s="39">
        <f t="shared" si="0"/>
        <v>10.443</v>
      </c>
      <c r="M53" s="39">
        <f t="shared" si="1"/>
        <v>10.61</v>
      </c>
      <c r="N53" s="39">
        <f t="shared" si="2"/>
        <v>10.599</v>
      </c>
      <c r="O53" s="39">
        <f t="shared" si="3"/>
        <v>10.288</v>
      </c>
    </row>
    <row r="54" spans="2:15" ht="14.25" customHeight="1" x14ac:dyDescent="0.35">
      <c r="B54" s="29">
        <v>47</v>
      </c>
      <c r="C54" s="74">
        <v>10.677</v>
      </c>
      <c r="D54" s="74">
        <v>10.443</v>
      </c>
      <c r="E54" s="74">
        <v>10.587999999999999</v>
      </c>
      <c r="F54" s="74">
        <v>10.366</v>
      </c>
      <c r="G54" s="74">
        <v>10.420999999999999</v>
      </c>
      <c r="H54" s="39">
        <f t="shared" si="4"/>
        <v>10.498999999999999</v>
      </c>
      <c r="I54" s="39">
        <f t="shared" si="5"/>
        <v>0.31099999999999994</v>
      </c>
      <c r="J54" s="39">
        <f t="shared" si="6"/>
        <v>10.455</v>
      </c>
      <c r="K54" s="39">
        <f t="shared" si="7"/>
        <v>10.677</v>
      </c>
      <c r="L54" s="39">
        <f t="shared" si="0"/>
        <v>10.443</v>
      </c>
      <c r="M54" s="39">
        <f t="shared" si="1"/>
        <v>10.61</v>
      </c>
      <c r="N54" s="39">
        <f t="shared" si="2"/>
        <v>10.599</v>
      </c>
      <c r="O54" s="39">
        <f t="shared" si="3"/>
        <v>10.288</v>
      </c>
    </row>
    <row r="55" spans="2:15" ht="14.25" customHeight="1" x14ac:dyDescent="0.35">
      <c r="B55" s="29">
        <v>48</v>
      </c>
      <c r="C55" s="74">
        <v>10.666</v>
      </c>
      <c r="D55" s="74">
        <v>10.366</v>
      </c>
      <c r="E55" s="74">
        <v>10.343</v>
      </c>
      <c r="F55" s="74">
        <v>10.210000000000001</v>
      </c>
      <c r="G55" s="74">
        <v>10.566000000000001</v>
      </c>
      <c r="H55" s="39">
        <f t="shared" si="4"/>
        <v>10.430200000000001</v>
      </c>
      <c r="I55" s="39">
        <f t="shared" si="5"/>
        <v>0.45599999999999952</v>
      </c>
      <c r="J55" s="39">
        <f t="shared" si="6"/>
        <v>10.455</v>
      </c>
      <c r="K55" s="39">
        <f t="shared" si="7"/>
        <v>10.677</v>
      </c>
      <c r="L55" s="39">
        <f t="shared" si="0"/>
        <v>10.443</v>
      </c>
      <c r="M55" s="39">
        <f t="shared" si="1"/>
        <v>10.61</v>
      </c>
      <c r="N55" s="39">
        <f t="shared" si="2"/>
        <v>10.599</v>
      </c>
      <c r="O55" s="39">
        <f t="shared" si="3"/>
        <v>10.288</v>
      </c>
    </row>
    <row r="56" spans="2:15" ht="14.25" customHeight="1" x14ac:dyDescent="0.35">
      <c r="B56" s="29">
        <v>49</v>
      </c>
      <c r="C56" s="74">
        <v>10.41</v>
      </c>
      <c r="D56" s="74">
        <v>10.677</v>
      </c>
      <c r="E56" s="74">
        <v>10.321</v>
      </c>
      <c r="F56" s="74">
        <v>10.587999999999999</v>
      </c>
      <c r="G56" s="74">
        <v>10.499000000000001</v>
      </c>
      <c r="H56" s="39">
        <f t="shared" si="4"/>
        <v>10.499000000000001</v>
      </c>
      <c r="I56" s="39">
        <f t="shared" si="5"/>
        <v>0.35599999999999987</v>
      </c>
      <c r="J56" s="39">
        <f t="shared" si="6"/>
        <v>10.455</v>
      </c>
      <c r="K56" s="39">
        <f t="shared" si="7"/>
        <v>10.677</v>
      </c>
      <c r="L56" s="39">
        <f t="shared" si="0"/>
        <v>10.443</v>
      </c>
      <c r="M56" s="39">
        <f t="shared" si="1"/>
        <v>10.61</v>
      </c>
      <c r="N56" s="39">
        <f t="shared" si="2"/>
        <v>10.599</v>
      </c>
      <c r="O56" s="39">
        <f t="shared" si="3"/>
        <v>10.288</v>
      </c>
    </row>
    <row r="57" spans="2:15" ht="14.25" customHeight="1" x14ac:dyDescent="0.35">
      <c r="B57" s="29">
        <v>50</v>
      </c>
      <c r="C57" s="74">
        <v>10.443</v>
      </c>
      <c r="D57" s="74">
        <v>10.31</v>
      </c>
      <c r="E57" s="74">
        <v>10.377000000000001</v>
      </c>
      <c r="F57" s="74">
        <v>10.688000000000001</v>
      </c>
      <c r="G57" s="74">
        <v>10.477</v>
      </c>
      <c r="H57" s="39">
        <f t="shared" si="4"/>
        <v>10.459</v>
      </c>
      <c r="I57" s="39">
        <f t="shared" si="5"/>
        <v>0.37800000000000011</v>
      </c>
      <c r="J57" s="39">
        <f t="shared" si="6"/>
        <v>10.455</v>
      </c>
      <c r="K57" s="39">
        <f t="shared" si="7"/>
        <v>10.677</v>
      </c>
      <c r="L57" s="39">
        <f t="shared" si="0"/>
        <v>10.443</v>
      </c>
      <c r="M57" s="39">
        <f t="shared" si="1"/>
        <v>10.61</v>
      </c>
      <c r="N57" s="39">
        <f t="shared" si="2"/>
        <v>10.599</v>
      </c>
      <c r="O57" s="39">
        <f t="shared" si="3"/>
        <v>10.288</v>
      </c>
    </row>
    <row r="58" spans="2:15" ht="14.25" customHeight="1" x14ac:dyDescent="0.35">
      <c r="B58" s="76"/>
      <c r="C58" s="76"/>
      <c r="D58" s="76"/>
      <c r="E58" s="76"/>
      <c r="F58" s="76"/>
      <c r="G58" s="76"/>
      <c r="H58" s="76"/>
      <c r="I58" s="76"/>
      <c r="J58" s="76"/>
      <c r="K58" s="76"/>
      <c r="L58" s="76"/>
      <c r="M58" s="76"/>
      <c r="N58" s="76"/>
      <c r="O58" s="76"/>
    </row>
    <row r="59" spans="2:15" ht="14.25" customHeight="1" x14ac:dyDescent="0.35"/>
    <row r="60" spans="2:15" ht="14.25" customHeight="1" x14ac:dyDescent="0.35"/>
    <row r="61" spans="2:15" ht="14.25" customHeight="1" x14ac:dyDescent="0.35"/>
    <row r="62" spans="2:15" ht="14.25" customHeight="1" x14ac:dyDescent="0.35"/>
    <row r="63" spans="2:15" ht="14.25" customHeight="1" x14ac:dyDescent="0.35"/>
    <row r="64" spans="2: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C32:G32"/>
    <mergeCell ref="C2:H2"/>
    <mergeCell ref="C3:H3"/>
    <mergeCell ref="I3:N3"/>
    <mergeCell ref="B21:O22"/>
    <mergeCell ref="B23:B30"/>
  </mergeCells>
  <conditionalFormatting sqref="H33:H57">
    <cfRule type="cellIs" dxfId="20" priority="2" operator="greaterThan">
      <formula>$N$33</formula>
    </cfRule>
    <cfRule type="cellIs" dxfId="19" priority="3" operator="lessThan">
      <formula>$O$33</formula>
    </cfRule>
  </conditionalFormatting>
  <conditionalFormatting sqref="I33:I57">
    <cfRule type="cellIs" dxfId="18" priority="4" operator="greaterThan">
      <formula>$K$33</formula>
    </cfRule>
    <cfRule type="cellIs" dxfId="17" priority="5" operator="lessThan">
      <formula>$L$33</formula>
    </cfRule>
  </conditionalFormatting>
  <pageMargins left="0.7" right="0.7" top="0.75" bottom="0.75" header="0.511811023622047" footer="0.511811023622047"/>
  <pageSetup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Z1000"/>
  <sheetViews>
    <sheetView showGridLines="0" zoomScale="75" zoomScaleNormal="75" workbookViewId="0">
      <selection activeCell="L17" sqref="L17"/>
    </sheetView>
  </sheetViews>
  <sheetFormatPr defaultColWidth="14.453125" defaultRowHeight="14.5" x14ac:dyDescent="0.35"/>
  <cols>
    <col min="1" max="1" width="8.7265625" customWidth="1"/>
    <col min="2" max="11" width="12.453125" customWidth="1"/>
    <col min="12" max="26" width="12.54296875" customWidth="1"/>
  </cols>
  <sheetData>
    <row r="1" spans="2:11" ht="14.25" customHeight="1" x14ac:dyDescent="0.35"/>
    <row r="2" spans="2:11" ht="14.25" customHeight="1" x14ac:dyDescent="0.35">
      <c r="B2" s="44" t="s">
        <v>173</v>
      </c>
      <c r="C2" s="107"/>
      <c r="D2" s="107"/>
      <c r="E2" s="107"/>
      <c r="F2" s="107"/>
    </row>
    <row r="3" spans="2:11" ht="14.25" customHeight="1" x14ac:dyDescent="0.35">
      <c r="B3" s="49" t="s">
        <v>104</v>
      </c>
    </row>
    <row r="4" spans="2:11" ht="14.25" customHeight="1" x14ac:dyDescent="0.35">
      <c r="B4" s="108" t="s">
        <v>174</v>
      </c>
      <c r="C4" s="108"/>
      <c r="D4" s="108"/>
      <c r="E4" s="108"/>
      <c r="G4" s="108" t="s">
        <v>175</v>
      </c>
      <c r="H4" s="108"/>
      <c r="I4" s="108"/>
      <c r="J4" s="108"/>
      <c r="K4" s="108"/>
    </row>
    <row r="5" spans="2:11" ht="14.25" customHeight="1" x14ac:dyDescent="0.35">
      <c r="B5" s="109" t="s">
        <v>108</v>
      </c>
      <c r="C5" s="109"/>
      <c r="D5" s="109"/>
      <c r="E5" s="109"/>
      <c r="F5" s="29"/>
      <c r="G5" s="109" t="s">
        <v>108</v>
      </c>
      <c r="H5" s="109"/>
      <c r="I5" s="109"/>
      <c r="J5" s="109"/>
      <c r="K5" s="29"/>
    </row>
    <row r="6" spans="2:11" ht="14.25" customHeight="1" x14ac:dyDescent="0.35">
      <c r="B6" s="109" t="s">
        <v>109</v>
      </c>
      <c r="C6" s="109"/>
      <c r="D6" s="109"/>
      <c r="E6" s="109"/>
      <c r="F6" s="29"/>
      <c r="G6" s="109" t="s">
        <v>109</v>
      </c>
      <c r="H6" s="109"/>
      <c r="I6" s="109"/>
      <c r="J6" s="109"/>
      <c r="K6" s="29"/>
    </row>
    <row r="7" spans="2:11" ht="14.25" customHeight="1" x14ac:dyDescent="0.35">
      <c r="B7" s="110" t="s">
        <v>110</v>
      </c>
      <c r="C7" s="110"/>
      <c r="D7" s="110"/>
      <c r="E7" s="110"/>
      <c r="F7" s="29"/>
      <c r="G7" s="110" t="s">
        <v>110</v>
      </c>
      <c r="H7" s="110"/>
      <c r="I7" s="110"/>
      <c r="J7" s="110"/>
      <c r="K7" s="29"/>
    </row>
    <row r="8" spans="2:11" ht="14.25" customHeight="1" x14ac:dyDescent="0.35">
      <c r="B8" s="110" t="s">
        <v>111</v>
      </c>
      <c r="C8" s="110"/>
      <c r="D8" s="110"/>
      <c r="E8" s="110"/>
      <c r="F8" s="29"/>
      <c r="G8" s="110" t="s">
        <v>111</v>
      </c>
      <c r="H8" s="110"/>
      <c r="I8" s="110"/>
      <c r="J8" s="110"/>
      <c r="K8" s="29"/>
    </row>
    <row r="9" spans="2:11" ht="14.25" customHeight="1" x14ac:dyDescent="0.35">
      <c r="B9" s="110" t="s">
        <v>112</v>
      </c>
      <c r="C9" s="110"/>
      <c r="D9" s="110"/>
      <c r="E9" s="110"/>
      <c r="F9" s="29"/>
      <c r="G9" s="110" t="s">
        <v>112</v>
      </c>
      <c r="H9" s="110"/>
      <c r="I9" s="110"/>
      <c r="J9" s="110"/>
      <c r="K9" s="29"/>
    </row>
    <row r="10" spans="2:11" ht="14.25" customHeight="1" x14ac:dyDescent="0.35"/>
    <row r="11" spans="2:11" ht="14.25" customHeight="1" x14ac:dyDescent="0.35"/>
    <row r="12" spans="2:11" ht="14.25" customHeight="1" x14ac:dyDescent="0.35"/>
    <row r="13" spans="2:11" ht="14.25" customHeight="1" x14ac:dyDescent="0.35"/>
    <row r="14" spans="2:11" ht="14.25" customHeight="1" x14ac:dyDescent="0.35"/>
    <row r="15" spans="2:11" ht="14.25" customHeight="1" x14ac:dyDescent="0.35"/>
    <row r="16" spans="2:11" ht="14.25" customHeight="1" x14ac:dyDescent="0.35"/>
    <row r="17" spans="2:11" ht="14.25" customHeight="1" x14ac:dyDescent="0.35"/>
    <row r="18" spans="2:11" ht="14.25" customHeight="1" x14ac:dyDescent="0.35"/>
    <row r="19" spans="2:11" ht="14.25" customHeight="1" x14ac:dyDescent="0.35"/>
    <row r="20" spans="2:11" ht="14.25" customHeight="1" x14ac:dyDescent="0.35"/>
    <row r="21" spans="2:11" ht="14.25" customHeight="1" x14ac:dyDescent="0.35"/>
    <row r="22" spans="2:11" ht="14.25" customHeight="1" x14ac:dyDescent="0.35"/>
    <row r="23" spans="2:11" ht="14.25" customHeight="1" x14ac:dyDescent="0.35"/>
    <row r="24" spans="2:11" ht="14.25" customHeight="1" x14ac:dyDescent="0.35"/>
    <row r="25" spans="2:11" ht="14.25" customHeight="1" x14ac:dyDescent="0.35"/>
    <row r="26" spans="2:11" ht="14.25" customHeight="1" x14ac:dyDescent="0.35"/>
    <row r="27" spans="2:11" ht="14.25" customHeight="1" x14ac:dyDescent="0.35">
      <c r="B27" s="111" t="s">
        <v>176</v>
      </c>
      <c r="C27" s="111"/>
      <c r="D27" s="111"/>
      <c r="E27" s="111"/>
      <c r="F27" s="111"/>
      <c r="G27" s="111"/>
      <c r="H27" s="111"/>
      <c r="I27" s="111"/>
      <c r="J27" s="111"/>
      <c r="K27" s="111"/>
    </row>
    <row r="28" spans="2:11" ht="14.25" customHeight="1" x14ac:dyDescent="0.35">
      <c r="B28" s="111"/>
      <c r="C28" s="111"/>
      <c r="D28" s="111"/>
      <c r="E28" s="111"/>
      <c r="F28" s="111"/>
      <c r="G28" s="111"/>
      <c r="H28" s="111"/>
      <c r="I28" s="111"/>
      <c r="J28" s="111"/>
      <c r="K28" s="111"/>
    </row>
    <row r="29" spans="2:11" ht="14.25" customHeight="1" x14ac:dyDescent="0.35">
      <c r="B29" s="112" t="s">
        <v>114</v>
      </c>
      <c r="C29" s="65" t="s">
        <v>115</v>
      </c>
      <c r="D29" s="66">
        <v>25</v>
      </c>
      <c r="E29" s="67"/>
      <c r="F29" s="67"/>
      <c r="G29" s="67"/>
      <c r="H29" s="67"/>
      <c r="I29" s="67"/>
      <c r="J29" s="67"/>
      <c r="K29" s="67"/>
    </row>
    <row r="30" spans="2:11" ht="14.25" customHeight="1" x14ac:dyDescent="0.35">
      <c r="B30" s="112"/>
      <c r="C30" s="29" t="s">
        <v>55</v>
      </c>
      <c r="D30" s="26">
        <v>2</v>
      </c>
      <c r="E30" s="26"/>
      <c r="F30" s="26"/>
      <c r="G30" s="26"/>
      <c r="H30" s="26"/>
      <c r="I30" s="26"/>
      <c r="J30" s="26"/>
      <c r="K30" s="26"/>
    </row>
    <row r="31" spans="2:11" ht="14.25" customHeight="1" x14ac:dyDescent="0.35">
      <c r="B31" s="112"/>
      <c r="C31" s="29" t="s">
        <v>177</v>
      </c>
      <c r="D31" s="69">
        <f>AVERAGE(C42:C66)</f>
        <v>3.4969607999999992</v>
      </c>
      <c r="E31" s="70"/>
      <c r="F31" s="70"/>
      <c r="G31" s="70"/>
      <c r="H31" s="70"/>
      <c r="I31" s="70"/>
      <c r="J31" s="70"/>
      <c r="K31" s="70"/>
    </row>
    <row r="32" spans="2:11" ht="14.25" customHeight="1" x14ac:dyDescent="0.35">
      <c r="B32" s="112"/>
      <c r="C32" s="29" t="s">
        <v>178</v>
      </c>
      <c r="D32" s="69">
        <f>AVERAGE(E43:E66)</f>
        <v>0.27613220833333335</v>
      </c>
      <c r="E32" s="70"/>
      <c r="F32" s="70"/>
      <c r="G32" s="70"/>
      <c r="H32" s="70"/>
      <c r="I32" s="70"/>
      <c r="J32" s="70"/>
      <c r="K32" s="70"/>
    </row>
    <row r="33" spans="1:26" ht="14.25" customHeight="1" x14ac:dyDescent="0.35">
      <c r="B33" s="112"/>
      <c r="C33" s="29" t="s">
        <v>179</v>
      </c>
      <c r="D33" s="69">
        <f>D38*D32</f>
        <v>0.90212392462500002</v>
      </c>
      <c r="E33" s="70"/>
      <c r="F33" s="70"/>
      <c r="G33" s="70"/>
      <c r="H33" s="70"/>
      <c r="I33" s="70"/>
      <c r="J33" s="70"/>
      <c r="K33" s="70"/>
    </row>
    <row r="34" spans="1:26" ht="14.25" customHeight="1" x14ac:dyDescent="0.35">
      <c r="B34" s="112"/>
      <c r="C34" s="29" t="s">
        <v>180</v>
      </c>
      <c r="D34" s="69">
        <f>D39*D32</f>
        <v>0</v>
      </c>
      <c r="E34" s="70"/>
      <c r="F34" s="70"/>
      <c r="G34" s="70"/>
      <c r="H34" s="70"/>
      <c r="I34" s="70"/>
      <c r="J34" s="70"/>
      <c r="K34" s="70"/>
    </row>
    <row r="35" spans="1:26" ht="14.25" customHeight="1" x14ac:dyDescent="0.35">
      <c r="B35" s="112"/>
      <c r="C35" s="29" t="s">
        <v>181</v>
      </c>
      <c r="D35" s="69">
        <f>D31+(3*D32/D37)</f>
        <v>4.2313549710992904</v>
      </c>
      <c r="E35" s="70"/>
      <c r="F35" s="70"/>
      <c r="G35" s="70"/>
      <c r="H35" s="70"/>
      <c r="I35" s="70"/>
      <c r="J35" s="70"/>
      <c r="K35" s="70"/>
    </row>
    <row r="36" spans="1:26" ht="14.25" customHeight="1" x14ac:dyDescent="0.35">
      <c r="B36" s="112"/>
      <c r="C36" s="29" t="s">
        <v>182</v>
      </c>
      <c r="D36" s="88">
        <f>D31-(3*D32/D37)</f>
        <v>2.762566628900708</v>
      </c>
      <c r="E36" s="70"/>
      <c r="F36" s="70"/>
      <c r="G36" s="70"/>
      <c r="H36" s="70"/>
      <c r="I36" s="70"/>
      <c r="J36" s="70"/>
      <c r="K36" s="70"/>
    </row>
    <row r="37" spans="1:26" ht="14.25" customHeight="1" x14ac:dyDescent="0.35">
      <c r="B37" s="112"/>
      <c r="C37" s="29" t="s">
        <v>64</v>
      </c>
      <c r="D37" s="70">
        <f t="array" ref="D37">INDEX('Tabel Faktor'!$A$1:$Q$25,MATCH(D30,'Tabel Faktor'!$A$1:$A$25,0),MATCH(C37,'Tabel Faktor'!$A$1:$Q$1,0))</f>
        <v>1.1279999999999999</v>
      </c>
      <c r="E37" s="70"/>
      <c r="F37" s="70"/>
      <c r="G37" s="70"/>
      <c r="H37" s="70"/>
      <c r="I37" s="70"/>
      <c r="J37" s="70"/>
      <c r="K37" s="70"/>
    </row>
    <row r="38" spans="1:26" ht="14.25" customHeight="1" x14ac:dyDescent="0.35">
      <c r="B38" s="112"/>
      <c r="C38" s="29" t="s">
        <v>70</v>
      </c>
      <c r="D38" s="70">
        <f t="array" ref="D38">INDEX('Tabel Faktor'!$A$1:$Q$25,MATCH(D30,'Tabel Faktor'!$A$1:$A$25,0),MATCH(C38,'Tabel Faktor'!$A$1:$Q$1,0))</f>
        <v>3.2669999999999999</v>
      </c>
      <c r="E38" s="70"/>
      <c r="F38" s="70"/>
      <c r="G38" s="70"/>
      <c r="H38" s="70"/>
      <c r="I38" s="70"/>
      <c r="J38" s="70"/>
      <c r="K38" s="70"/>
    </row>
    <row r="39" spans="1:26" ht="14.25" customHeight="1" x14ac:dyDescent="0.35">
      <c r="B39" s="112"/>
      <c r="C39" s="71" t="s">
        <v>69</v>
      </c>
      <c r="D39" s="72">
        <f t="array" ref="D39">INDEX('Tabel Faktor'!$A$1:$Q$25,MATCH(D30,'Tabel Faktor'!$A$1:$A$25,0),MATCH(C39,'Tabel Faktor'!$A$1:$Q$1,0))</f>
        <v>0</v>
      </c>
      <c r="E39" s="73"/>
      <c r="F39" s="73"/>
      <c r="G39" s="73"/>
      <c r="H39" s="73"/>
      <c r="I39" s="73"/>
      <c r="J39" s="73"/>
      <c r="K39" s="69"/>
    </row>
    <row r="40" spans="1:26" ht="14.25" customHeight="1" x14ac:dyDescent="0.35">
      <c r="B40" s="29"/>
      <c r="C40" s="29"/>
      <c r="D40" s="29"/>
      <c r="E40" s="29"/>
      <c r="F40" s="29"/>
      <c r="G40" s="29"/>
      <c r="H40" s="29"/>
      <c r="I40" s="29"/>
      <c r="J40" s="29"/>
      <c r="K40" s="30"/>
      <c r="L40" s="89"/>
      <c r="M40" s="89"/>
    </row>
    <row r="41" spans="1:26" ht="14.25" customHeight="1" x14ac:dyDescent="0.35">
      <c r="A41" s="28"/>
      <c r="B41" s="32" t="s">
        <v>30</v>
      </c>
      <c r="C41" s="33" t="s">
        <v>31</v>
      </c>
      <c r="D41" s="32" t="s">
        <v>183</v>
      </c>
      <c r="E41" s="32" t="s">
        <v>90</v>
      </c>
      <c r="F41" s="32" t="s">
        <v>184</v>
      </c>
      <c r="G41" s="32" t="s">
        <v>179</v>
      </c>
      <c r="H41" s="32" t="s">
        <v>180</v>
      </c>
      <c r="I41" s="32" t="s">
        <v>185</v>
      </c>
      <c r="J41" s="32" t="s">
        <v>181</v>
      </c>
      <c r="K41" s="86" t="s">
        <v>182</v>
      </c>
      <c r="L41" s="33" t="s">
        <v>186</v>
      </c>
      <c r="M41" s="33" t="s">
        <v>187</v>
      </c>
      <c r="N41" s="28"/>
      <c r="O41" s="28"/>
      <c r="P41" s="28"/>
      <c r="Q41" s="28"/>
      <c r="R41" s="28"/>
      <c r="S41" s="28"/>
      <c r="T41" s="28"/>
      <c r="U41" s="28"/>
      <c r="V41" s="28"/>
      <c r="W41" s="28"/>
      <c r="X41" s="28"/>
      <c r="Y41" s="28"/>
      <c r="Z41" s="28"/>
    </row>
    <row r="42" spans="1:26" ht="14.25" customHeight="1" x14ac:dyDescent="0.35">
      <c r="B42" s="29">
        <v>1</v>
      </c>
      <c r="C42" s="74">
        <v>3.766486</v>
      </c>
      <c r="D42" s="39">
        <f t="shared" ref="D42:D66" si="0">C42</f>
        <v>3.766486</v>
      </c>
      <c r="E42" s="74"/>
      <c r="F42" s="39">
        <f t="shared" ref="F42:F66" si="1">$D$32</f>
        <v>0.27613220833333335</v>
      </c>
      <c r="G42" s="39">
        <f t="shared" ref="G42:G66" si="2">$D$33</f>
        <v>0.90212392462500002</v>
      </c>
      <c r="H42" s="39">
        <f t="shared" ref="H42:H66" si="3">$D$34</f>
        <v>0</v>
      </c>
      <c r="I42" s="39">
        <f t="shared" ref="I42:I66" si="4">$D$31</f>
        <v>3.4969607999999992</v>
      </c>
      <c r="J42" s="39">
        <f t="shared" ref="J42:J66" si="5">$D$35</f>
        <v>4.2313549710992904</v>
      </c>
      <c r="K42" s="39">
        <f t="shared" ref="K42:K66" si="6">$D$36</f>
        <v>2.762566628900708</v>
      </c>
      <c r="L42" s="90">
        <f>I42+(J42-I42)/2</f>
        <v>3.8641578855496448</v>
      </c>
      <c r="M42" s="90">
        <f>I42-(I42-K42)/2</f>
        <v>3.1297637144503536</v>
      </c>
    </row>
    <row r="43" spans="1:26" ht="14.25" customHeight="1" x14ac:dyDescent="0.35">
      <c r="B43" s="29">
        <v>2</v>
      </c>
      <c r="C43" s="74">
        <v>3.6070000000000002</v>
      </c>
      <c r="D43" s="39">
        <f t="shared" si="0"/>
        <v>3.6070000000000002</v>
      </c>
      <c r="E43" s="74">
        <v>0.15948599999999999</v>
      </c>
      <c r="F43" s="39">
        <f t="shared" si="1"/>
        <v>0.27613220833333335</v>
      </c>
      <c r="G43" s="39">
        <f t="shared" si="2"/>
        <v>0.90212392462500002</v>
      </c>
      <c r="H43" s="39">
        <f t="shared" si="3"/>
        <v>0</v>
      </c>
      <c r="I43" s="39">
        <f t="shared" si="4"/>
        <v>3.4969607999999992</v>
      </c>
      <c r="J43" s="39">
        <f t="shared" si="5"/>
        <v>4.2313549710992904</v>
      </c>
      <c r="K43" s="39">
        <f t="shared" si="6"/>
        <v>2.762566628900708</v>
      </c>
      <c r="L43" s="90">
        <f t="shared" ref="L43:L66" si="7">L42</f>
        <v>3.8641578855496448</v>
      </c>
      <c r="M43" s="90">
        <f t="shared" ref="M43:M66" si="8">M42</f>
        <v>3.1297637144503536</v>
      </c>
    </row>
    <row r="44" spans="1:26" ht="14.25" customHeight="1" x14ac:dyDescent="0.35">
      <c r="B44" s="29">
        <v>3</v>
      </c>
      <c r="C44" s="74">
        <v>3.1533440000000001</v>
      </c>
      <c r="D44" s="39">
        <f t="shared" si="0"/>
        <v>3.1533440000000001</v>
      </c>
      <c r="E44" s="74">
        <v>0.453656</v>
      </c>
      <c r="F44" s="39">
        <f t="shared" si="1"/>
        <v>0.27613220833333335</v>
      </c>
      <c r="G44" s="39">
        <f t="shared" si="2"/>
        <v>0.90212392462500002</v>
      </c>
      <c r="H44" s="39">
        <f t="shared" si="3"/>
        <v>0</v>
      </c>
      <c r="I44" s="39">
        <f t="shared" si="4"/>
        <v>3.4969607999999992</v>
      </c>
      <c r="J44" s="39">
        <f t="shared" si="5"/>
        <v>4.2313549710992904</v>
      </c>
      <c r="K44" s="39">
        <f t="shared" si="6"/>
        <v>2.762566628900708</v>
      </c>
      <c r="L44" s="90">
        <f t="shared" si="7"/>
        <v>3.8641578855496448</v>
      </c>
      <c r="M44" s="90">
        <f t="shared" si="8"/>
        <v>3.1297637144503536</v>
      </c>
    </row>
    <row r="45" spans="1:26" ht="14.25" customHeight="1" x14ac:dyDescent="0.35">
      <c r="B45" s="29">
        <v>4</v>
      </c>
      <c r="C45" s="74">
        <v>3.8022469999999999</v>
      </c>
      <c r="D45" s="39">
        <f t="shared" si="0"/>
        <v>3.8022469999999999</v>
      </c>
      <c r="E45" s="74">
        <v>0.64890400000000004</v>
      </c>
      <c r="F45" s="39">
        <f t="shared" si="1"/>
        <v>0.27613220833333335</v>
      </c>
      <c r="G45" s="39">
        <f t="shared" si="2"/>
        <v>0.90212392462500002</v>
      </c>
      <c r="H45" s="39">
        <f t="shared" si="3"/>
        <v>0</v>
      </c>
      <c r="I45" s="39">
        <f t="shared" si="4"/>
        <v>3.4969607999999992</v>
      </c>
      <c r="J45" s="39">
        <f t="shared" si="5"/>
        <v>4.2313549710992904</v>
      </c>
      <c r="K45" s="39">
        <f t="shared" si="6"/>
        <v>2.762566628900708</v>
      </c>
      <c r="L45" s="90">
        <f t="shared" si="7"/>
        <v>3.8641578855496448</v>
      </c>
      <c r="M45" s="90">
        <f t="shared" si="8"/>
        <v>3.1297637144503536</v>
      </c>
    </row>
    <row r="46" spans="1:26" ht="14.25" customHeight="1" x14ac:dyDescent="0.35">
      <c r="B46" s="29">
        <v>5</v>
      </c>
      <c r="C46" s="74">
        <v>3.8057880000000002</v>
      </c>
      <c r="D46" s="39">
        <f t="shared" si="0"/>
        <v>3.8057880000000002</v>
      </c>
      <c r="E46" s="74">
        <v>3.5409999999999999E-3</v>
      </c>
      <c r="F46" s="39">
        <f t="shared" si="1"/>
        <v>0.27613220833333335</v>
      </c>
      <c r="G46" s="39">
        <f t="shared" si="2"/>
        <v>0.90212392462500002</v>
      </c>
      <c r="H46" s="39">
        <f t="shared" si="3"/>
        <v>0</v>
      </c>
      <c r="I46" s="39">
        <f t="shared" si="4"/>
        <v>3.4969607999999992</v>
      </c>
      <c r="J46" s="39">
        <f t="shared" si="5"/>
        <v>4.2313549710992904</v>
      </c>
      <c r="K46" s="39">
        <f t="shared" si="6"/>
        <v>2.762566628900708</v>
      </c>
      <c r="L46" s="90">
        <f t="shared" si="7"/>
        <v>3.8641578855496448</v>
      </c>
      <c r="M46" s="90">
        <f t="shared" si="8"/>
        <v>3.1297637144503536</v>
      </c>
    </row>
    <row r="47" spans="1:26" ht="14.25" customHeight="1" x14ac:dyDescent="0.35">
      <c r="B47" s="29">
        <v>6</v>
      </c>
      <c r="C47" s="74">
        <v>3.09673</v>
      </c>
      <c r="D47" s="39">
        <f t="shared" si="0"/>
        <v>3.09673</v>
      </c>
      <c r="E47" s="74">
        <v>0.70905799999999997</v>
      </c>
      <c r="F47" s="39">
        <f t="shared" si="1"/>
        <v>0.27613220833333335</v>
      </c>
      <c r="G47" s="39">
        <f t="shared" si="2"/>
        <v>0.90212392462500002</v>
      </c>
      <c r="H47" s="39">
        <f t="shared" si="3"/>
        <v>0</v>
      </c>
      <c r="I47" s="39">
        <f t="shared" si="4"/>
        <v>3.4969607999999992</v>
      </c>
      <c r="J47" s="39">
        <f t="shared" si="5"/>
        <v>4.2313549710992904</v>
      </c>
      <c r="K47" s="39">
        <f t="shared" si="6"/>
        <v>2.762566628900708</v>
      </c>
      <c r="L47" s="90">
        <f t="shared" si="7"/>
        <v>3.8641578855496448</v>
      </c>
      <c r="M47" s="90">
        <f t="shared" si="8"/>
        <v>3.1297637144503536</v>
      </c>
    </row>
    <row r="48" spans="1:26" ht="14.25" customHeight="1" x14ac:dyDescent="0.35">
      <c r="B48" s="29">
        <v>7</v>
      </c>
      <c r="C48" s="74">
        <v>3.309072</v>
      </c>
      <c r="D48" s="39">
        <f t="shared" si="0"/>
        <v>3.309072</v>
      </c>
      <c r="E48" s="74">
        <v>0.212342</v>
      </c>
      <c r="F48" s="39">
        <f t="shared" si="1"/>
        <v>0.27613220833333335</v>
      </c>
      <c r="G48" s="39">
        <f t="shared" si="2"/>
        <v>0.90212392462500002</v>
      </c>
      <c r="H48" s="39">
        <f t="shared" si="3"/>
        <v>0</v>
      </c>
      <c r="I48" s="39">
        <f t="shared" si="4"/>
        <v>3.4969607999999992</v>
      </c>
      <c r="J48" s="39">
        <f t="shared" si="5"/>
        <v>4.2313549710992904</v>
      </c>
      <c r="K48" s="39">
        <f t="shared" si="6"/>
        <v>2.762566628900708</v>
      </c>
      <c r="L48" s="90">
        <f t="shared" si="7"/>
        <v>3.8641578855496448</v>
      </c>
      <c r="M48" s="90">
        <f t="shared" si="8"/>
        <v>3.1297637144503536</v>
      </c>
    </row>
    <row r="49" spans="2:13" ht="14.25" customHeight="1" x14ac:dyDescent="0.35">
      <c r="B49" s="29">
        <v>8</v>
      </c>
      <c r="C49" s="74">
        <v>3.7744089999999999</v>
      </c>
      <c r="D49" s="39">
        <f t="shared" si="0"/>
        <v>3.7744089999999999</v>
      </c>
      <c r="E49" s="74">
        <v>0.465337</v>
      </c>
      <c r="F49" s="39">
        <f t="shared" si="1"/>
        <v>0.27613220833333335</v>
      </c>
      <c r="G49" s="39">
        <f t="shared" si="2"/>
        <v>0.90212392462500002</v>
      </c>
      <c r="H49" s="39">
        <f t="shared" si="3"/>
        <v>0</v>
      </c>
      <c r="I49" s="39">
        <f t="shared" si="4"/>
        <v>3.4969607999999992</v>
      </c>
      <c r="J49" s="39">
        <f t="shared" si="5"/>
        <v>4.2313549710992904</v>
      </c>
      <c r="K49" s="39">
        <f t="shared" si="6"/>
        <v>2.762566628900708</v>
      </c>
      <c r="L49" s="90">
        <f t="shared" si="7"/>
        <v>3.8641578855496448</v>
      </c>
      <c r="M49" s="90">
        <f t="shared" si="8"/>
        <v>3.1297637144503536</v>
      </c>
    </row>
    <row r="50" spans="2:13" ht="14.25" customHeight="1" x14ac:dyDescent="0.35">
      <c r="B50" s="29">
        <v>9</v>
      </c>
      <c r="C50" s="74">
        <v>3.6511429999999998</v>
      </c>
      <c r="D50" s="39">
        <f t="shared" si="0"/>
        <v>3.6511429999999998</v>
      </c>
      <c r="E50" s="74">
        <v>0.123267</v>
      </c>
      <c r="F50" s="39">
        <f t="shared" si="1"/>
        <v>0.27613220833333335</v>
      </c>
      <c r="G50" s="39">
        <f t="shared" si="2"/>
        <v>0.90212392462500002</v>
      </c>
      <c r="H50" s="39">
        <f t="shared" si="3"/>
        <v>0</v>
      </c>
      <c r="I50" s="39">
        <f t="shared" si="4"/>
        <v>3.4969607999999992</v>
      </c>
      <c r="J50" s="39">
        <f t="shared" si="5"/>
        <v>4.2313549710992904</v>
      </c>
      <c r="K50" s="39">
        <f t="shared" si="6"/>
        <v>2.762566628900708</v>
      </c>
      <c r="L50" s="90">
        <f t="shared" si="7"/>
        <v>3.8641578855496448</v>
      </c>
      <c r="M50" s="90">
        <f t="shared" si="8"/>
        <v>3.1297637144503536</v>
      </c>
    </row>
    <row r="51" spans="2:13" ht="14.25" customHeight="1" x14ac:dyDescent="0.35">
      <c r="B51" s="29">
        <v>10</v>
      </c>
      <c r="C51" s="74">
        <v>3.1736179999999998</v>
      </c>
      <c r="D51" s="39">
        <f t="shared" si="0"/>
        <v>3.1736179999999998</v>
      </c>
      <c r="E51" s="74">
        <v>0.477524</v>
      </c>
      <c r="F51" s="39">
        <f t="shared" si="1"/>
        <v>0.27613220833333335</v>
      </c>
      <c r="G51" s="39">
        <f t="shared" si="2"/>
        <v>0.90212392462500002</v>
      </c>
      <c r="H51" s="39">
        <f t="shared" si="3"/>
        <v>0</v>
      </c>
      <c r="I51" s="39">
        <f t="shared" si="4"/>
        <v>3.4969607999999992</v>
      </c>
      <c r="J51" s="39">
        <f t="shared" si="5"/>
        <v>4.2313549710992904</v>
      </c>
      <c r="K51" s="39">
        <f t="shared" si="6"/>
        <v>2.762566628900708</v>
      </c>
      <c r="L51" s="90">
        <f t="shared" si="7"/>
        <v>3.8641578855496448</v>
      </c>
      <c r="M51" s="90">
        <f t="shared" si="8"/>
        <v>3.1297637144503536</v>
      </c>
    </row>
    <row r="52" spans="2:13" ht="14.25" customHeight="1" x14ac:dyDescent="0.35">
      <c r="B52" s="29">
        <v>11</v>
      </c>
      <c r="C52" s="74">
        <v>3.3752300000000002</v>
      </c>
      <c r="D52" s="39">
        <f t="shared" si="0"/>
        <v>3.3752300000000002</v>
      </c>
      <c r="E52" s="74">
        <v>0.20161100000000001</v>
      </c>
      <c r="F52" s="39">
        <f t="shared" si="1"/>
        <v>0.27613220833333335</v>
      </c>
      <c r="G52" s="39">
        <f t="shared" si="2"/>
        <v>0.90212392462500002</v>
      </c>
      <c r="H52" s="39">
        <f t="shared" si="3"/>
        <v>0</v>
      </c>
      <c r="I52" s="39">
        <f t="shared" si="4"/>
        <v>3.4969607999999992</v>
      </c>
      <c r="J52" s="39">
        <f t="shared" si="5"/>
        <v>4.2313549710992904</v>
      </c>
      <c r="K52" s="39">
        <f t="shared" si="6"/>
        <v>2.762566628900708</v>
      </c>
      <c r="L52" s="90">
        <f t="shared" si="7"/>
        <v>3.8641578855496448</v>
      </c>
      <c r="M52" s="90">
        <f t="shared" si="8"/>
        <v>3.1297637144503536</v>
      </c>
    </row>
    <row r="53" spans="2:13" ht="14.25" customHeight="1" x14ac:dyDescent="0.35">
      <c r="B53" s="29">
        <v>12</v>
      </c>
      <c r="C53" s="74">
        <v>3.717438</v>
      </c>
      <c r="D53" s="39">
        <f t="shared" si="0"/>
        <v>3.717438</v>
      </c>
      <c r="E53" s="74">
        <v>0.34220800000000001</v>
      </c>
      <c r="F53" s="39">
        <f t="shared" si="1"/>
        <v>0.27613220833333335</v>
      </c>
      <c r="G53" s="39">
        <f t="shared" si="2"/>
        <v>0.90212392462500002</v>
      </c>
      <c r="H53" s="39">
        <f t="shared" si="3"/>
        <v>0</v>
      </c>
      <c r="I53" s="39">
        <f t="shared" si="4"/>
        <v>3.4969607999999992</v>
      </c>
      <c r="J53" s="39">
        <f t="shared" si="5"/>
        <v>4.2313549710992904</v>
      </c>
      <c r="K53" s="39">
        <f t="shared" si="6"/>
        <v>2.762566628900708</v>
      </c>
      <c r="L53" s="90">
        <f t="shared" si="7"/>
        <v>3.8641578855496448</v>
      </c>
      <c r="M53" s="90">
        <f t="shared" si="8"/>
        <v>3.1297637144503536</v>
      </c>
    </row>
    <row r="54" spans="2:13" ht="14.25" customHeight="1" x14ac:dyDescent="0.35">
      <c r="B54" s="29">
        <v>13</v>
      </c>
      <c r="C54" s="74">
        <v>3.5066220000000001</v>
      </c>
      <c r="D54" s="39">
        <f t="shared" si="0"/>
        <v>3.5066220000000001</v>
      </c>
      <c r="E54" s="74">
        <v>0.210815</v>
      </c>
      <c r="F54" s="39">
        <f t="shared" si="1"/>
        <v>0.27613220833333335</v>
      </c>
      <c r="G54" s="39">
        <f t="shared" si="2"/>
        <v>0.90212392462500002</v>
      </c>
      <c r="H54" s="39">
        <f t="shared" si="3"/>
        <v>0</v>
      </c>
      <c r="I54" s="39">
        <f t="shared" si="4"/>
        <v>3.4969607999999992</v>
      </c>
      <c r="J54" s="39">
        <f t="shared" si="5"/>
        <v>4.2313549710992904</v>
      </c>
      <c r="K54" s="39">
        <f t="shared" si="6"/>
        <v>2.762566628900708</v>
      </c>
      <c r="L54" s="90">
        <f t="shared" si="7"/>
        <v>3.8641578855496448</v>
      </c>
      <c r="M54" s="90">
        <f t="shared" si="8"/>
        <v>3.1297637144503536</v>
      </c>
    </row>
    <row r="55" spans="2:13" ht="14.25" customHeight="1" x14ac:dyDescent="0.35">
      <c r="B55" s="29">
        <v>14</v>
      </c>
      <c r="C55" s="74">
        <v>3.7445360000000001</v>
      </c>
      <c r="D55" s="39">
        <f t="shared" si="0"/>
        <v>3.7445360000000001</v>
      </c>
      <c r="E55" s="74">
        <v>0.23791399999999999</v>
      </c>
      <c r="F55" s="39">
        <f t="shared" si="1"/>
        <v>0.27613220833333335</v>
      </c>
      <c r="G55" s="39">
        <f t="shared" si="2"/>
        <v>0.90212392462500002</v>
      </c>
      <c r="H55" s="39">
        <f t="shared" si="3"/>
        <v>0</v>
      </c>
      <c r="I55" s="39">
        <f t="shared" si="4"/>
        <v>3.4969607999999992</v>
      </c>
      <c r="J55" s="39">
        <f t="shared" si="5"/>
        <v>4.2313549710992904</v>
      </c>
      <c r="K55" s="39">
        <f t="shared" si="6"/>
        <v>2.762566628900708</v>
      </c>
      <c r="L55" s="90">
        <f t="shared" si="7"/>
        <v>3.8641578855496448</v>
      </c>
      <c r="M55" s="90">
        <f t="shared" si="8"/>
        <v>3.1297637144503536</v>
      </c>
    </row>
    <row r="56" spans="2:13" ht="14.25" customHeight="1" x14ac:dyDescent="0.35">
      <c r="B56" s="29">
        <v>15</v>
      </c>
      <c r="C56" s="74">
        <v>3.0840299999999998</v>
      </c>
      <c r="D56" s="39">
        <f t="shared" si="0"/>
        <v>3.0840299999999998</v>
      </c>
      <c r="E56" s="74">
        <v>0.66050600000000004</v>
      </c>
      <c r="F56" s="39">
        <f t="shared" si="1"/>
        <v>0.27613220833333335</v>
      </c>
      <c r="G56" s="39">
        <f t="shared" si="2"/>
        <v>0.90212392462500002</v>
      </c>
      <c r="H56" s="39">
        <f t="shared" si="3"/>
        <v>0</v>
      </c>
      <c r="I56" s="39">
        <f t="shared" si="4"/>
        <v>3.4969607999999992</v>
      </c>
      <c r="J56" s="39">
        <f t="shared" si="5"/>
        <v>4.2313549710992904</v>
      </c>
      <c r="K56" s="39">
        <f t="shared" si="6"/>
        <v>2.762566628900708</v>
      </c>
      <c r="L56" s="90">
        <f t="shared" si="7"/>
        <v>3.8641578855496448</v>
      </c>
      <c r="M56" s="90">
        <f t="shared" si="8"/>
        <v>3.1297637144503536</v>
      </c>
    </row>
    <row r="57" spans="2:13" ht="14.25" customHeight="1" x14ac:dyDescent="0.35">
      <c r="B57" s="29">
        <v>16</v>
      </c>
      <c r="C57" s="74">
        <v>3.6532830000000001</v>
      </c>
      <c r="D57" s="39">
        <f t="shared" si="0"/>
        <v>3.6532830000000001</v>
      </c>
      <c r="E57" s="74">
        <v>0.56925400000000004</v>
      </c>
      <c r="F57" s="39">
        <f t="shared" si="1"/>
        <v>0.27613220833333335</v>
      </c>
      <c r="G57" s="39">
        <f t="shared" si="2"/>
        <v>0.90212392462500002</v>
      </c>
      <c r="H57" s="39">
        <f t="shared" si="3"/>
        <v>0</v>
      </c>
      <c r="I57" s="39">
        <f t="shared" si="4"/>
        <v>3.4969607999999992</v>
      </c>
      <c r="J57" s="39">
        <f t="shared" si="5"/>
        <v>4.2313549710992904</v>
      </c>
      <c r="K57" s="39">
        <f t="shared" si="6"/>
        <v>2.762566628900708</v>
      </c>
      <c r="L57" s="90">
        <f t="shared" si="7"/>
        <v>3.8641578855496448</v>
      </c>
      <c r="M57" s="90">
        <f t="shared" si="8"/>
        <v>3.1297637144503536</v>
      </c>
    </row>
    <row r="58" spans="2:13" ht="14.25" customHeight="1" x14ac:dyDescent="0.35">
      <c r="B58" s="29">
        <v>17</v>
      </c>
      <c r="C58" s="74">
        <v>3.3985720000000001</v>
      </c>
      <c r="D58" s="39">
        <f t="shared" si="0"/>
        <v>3.3985720000000001</v>
      </c>
      <c r="E58" s="74">
        <v>0.25471199999999999</v>
      </c>
      <c r="F58" s="39">
        <f t="shared" si="1"/>
        <v>0.27613220833333335</v>
      </c>
      <c r="G58" s="39">
        <f t="shared" si="2"/>
        <v>0.90212392462500002</v>
      </c>
      <c r="H58" s="39">
        <f t="shared" si="3"/>
        <v>0</v>
      </c>
      <c r="I58" s="39">
        <f t="shared" si="4"/>
        <v>3.4969607999999992</v>
      </c>
      <c r="J58" s="39">
        <f t="shared" si="5"/>
        <v>4.2313549710992904</v>
      </c>
      <c r="K58" s="39">
        <f t="shared" si="6"/>
        <v>2.762566628900708</v>
      </c>
      <c r="L58" s="90">
        <f t="shared" si="7"/>
        <v>3.8641578855496448</v>
      </c>
      <c r="M58" s="90">
        <f t="shared" si="8"/>
        <v>3.1297637144503536</v>
      </c>
    </row>
    <row r="59" spans="2:13" ht="14.25" customHeight="1" x14ac:dyDescent="0.35">
      <c r="B59" s="29">
        <v>18</v>
      </c>
      <c r="C59" s="74">
        <v>3.4784709999999999</v>
      </c>
      <c r="D59" s="39">
        <f t="shared" si="0"/>
        <v>3.4784709999999999</v>
      </c>
      <c r="E59" s="74">
        <v>7.9899999999999999E-2</v>
      </c>
      <c r="F59" s="39">
        <f t="shared" si="1"/>
        <v>0.27613220833333335</v>
      </c>
      <c r="G59" s="39">
        <f t="shared" si="2"/>
        <v>0.90212392462500002</v>
      </c>
      <c r="H59" s="39">
        <f t="shared" si="3"/>
        <v>0</v>
      </c>
      <c r="I59" s="39">
        <f t="shared" si="4"/>
        <v>3.4969607999999992</v>
      </c>
      <c r="J59" s="39">
        <f t="shared" si="5"/>
        <v>4.2313549710992904</v>
      </c>
      <c r="K59" s="39">
        <f t="shared" si="6"/>
        <v>2.762566628900708</v>
      </c>
      <c r="L59" s="90">
        <f t="shared" si="7"/>
        <v>3.8641578855496448</v>
      </c>
      <c r="M59" s="90">
        <f t="shared" si="8"/>
        <v>3.1297637144503536</v>
      </c>
    </row>
    <row r="60" spans="2:13" ht="14.25" customHeight="1" x14ac:dyDescent="0.35">
      <c r="B60" s="29">
        <v>19</v>
      </c>
      <c r="C60" s="74">
        <v>3.4743629999999999</v>
      </c>
      <c r="D60" s="39">
        <f t="shared" si="0"/>
        <v>3.4743629999999999</v>
      </c>
      <c r="E60" s="74">
        <v>4.1079999999999997E-3</v>
      </c>
      <c r="F60" s="39">
        <f t="shared" si="1"/>
        <v>0.27613220833333335</v>
      </c>
      <c r="G60" s="39">
        <f t="shared" si="2"/>
        <v>0.90212392462500002</v>
      </c>
      <c r="H60" s="39">
        <f t="shared" si="3"/>
        <v>0</v>
      </c>
      <c r="I60" s="39">
        <f t="shared" si="4"/>
        <v>3.4969607999999992</v>
      </c>
      <c r="J60" s="39">
        <f t="shared" si="5"/>
        <v>4.2313549710992904</v>
      </c>
      <c r="K60" s="39">
        <f t="shared" si="6"/>
        <v>2.762566628900708</v>
      </c>
      <c r="L60" s="90">
        <f t="shared" si="7"/>
        <v>3.8641578855496448</v>
      </c>
      <c r="M60" s="90">
        <f t="shared" si="8"/>
        <v>3.1297637144503536</v>
      </c>
    </row>
    <row r="61" spans="2:13" ht="14.25" customHeight="1" x14ac:dyDescent="0.35">
      <c r="B61" s="29">
        <v>20</v>
      </c>
      <c r="C61" s="74">
        <v>3.4005049999999999</v>
      </c>
      <c r="D61" s="39">
        <f t="shared" si="0"/>
        <v>3.4005049999999999</v>
      </c>
      <c r="E61" s="74">
        <v>7.3857999999999993E-2</v>
      </c>
      <c r="F61" s="39">
        <f t="shared" si="1"/>
        <v>0.27613220833333335</v>
      </c>
      <c r="G61" s="39">
        <f t="shared" si="2"/>
        <v>0.90212392462500002</v>
      </c>
      <c r="H61" s="39">
        <f t="shared" si="3"/>
        <v>0</v>
      </c>
      <c r="I61" s="39">
        <f t="shared" si="4"/>
        <v>3.4969607999999992</v>
      </c>
      <c r="J61" s="39">
        <f t="shared" si="5"/>
        <v>4.2313549710992904</v>
      </c>
      <c r="K61" s="39">
        <f t="shared" si="6"/>
        <v>2.762566628900708</v>
      </c>
      <c r="L61" s="90">
        <f t="shared" si="7"/>
        <v>3.8641578855496448</v>
      </c>
      <c r="M61" s="90">
        <f t="shared" si="8"/>
        <v>3.1297637144503536</v>
      </c>
    </row>
    <row r="62" spans="2:13" ht="14.25" customHeight="1" x14ac:dyDescent="0.35">
      <c r="B62" s="29">
        <v>21</v>
      </c>
      <c r="C62" s="74">
        <v>3.4304239999999999</v>
      </c>
      <c r="D62" s="39">
        <f t="shared" si="0"/>
        <v>3.4304239999999999</v>
      </c>
      <c r="E62" s="74">
        <v>2.9918E-2</v>
      </c>
      <c r="F62" s="39">
        <f t="shared" si="1"/>
        <v>0.27613220833333335</v>
      </c>
      <c r="G62" s="39">
        <f t="shared" si="2"/>
        <v>0.90212392462500002</v>
      </c>
      <c r="H62" s="39">
        <f t="shared" si="3"/>
        <v>0</v>
      </c>
      <c r="I62" s="39">
        <f t="shared" si="4"/>
        <v>3.4969607999999992</v>
      </c>
      <c r="J62" s="39">
        <f t="shared" si="5"/>
        <v>4.2313549710992904</v>
      </c>
      <c r="K62" s="39">
        <f t="shared" si="6"/>
        <v>2.762566628900708</v>
      </c>
      <c r="L62" s="90">
        <f t="shared" si="7"/>
        <v>3.8641578855496448</v>
      </c>
      <c r="M62" s="90">
        <f t="shared" si="8"/>
        <v>3.1297637144503536</v>
      </c>
    </row>
    <row r="63" spans="2:13" ht="14.25" customHeight="1" x14ac:dyDescent="0.35">
      <c r="B63" s="29">
        <v>22</v>
      </c>
      <c r="C63" s="74">
        <v>3.5846110000000002</v>
      </c>
      <c r="D63" s="39">
        <f t="shared" si="0"/>
        <v>3.5846110000000002</v>
      </c>
      <c r="E63" s="74">
        <v>0.15418699999999999</v>
      </c>
      <c r="F63" s="39">
        <f t="shared" si="1"/>
        <v>0.27613220833333335</v>
      </c>
      <c r="G63" s="39">
        <f t="shared" si="2"/>
        <v>0.90212392462500002</v>
      </c>
      <c r="H63" s="39">
        <f t="shared" si="3"/>
        <v>0</v>
      </c>
      <c r="I63" s="39">
        <f t="shared" si="4"/>
        <v>3.4969607999999992</v>
      </c>
      <c r="J63" s="39">
        <f t="shared" si="5"/>
        <v>4.2313549710992904</v>
      </c>
      <c r="K63" s="39">
        <f t="shared" si="6"/>
        <v>2.762566628900708</v>
      </c>
      <c r="L63" s="90">
        <f t="shared" si="7"/>
        <v>3.8641578855496448</v>
      </c>
      <c r="M63" s="90">
        <f t="shared" si="8"/>
        <v>3.1297637144503536</v>
      </c>
    </row>
    <row r="64" spans="2:13" ht="14.25" customHeight="1" x14ac:dyDescent="0.35">
      <c r="B64" s="29">
        <v>23</v>
      </c>
      <c r="C64" s="74">
        <v>3.6765189999999999</v>
      </c>
      <c r="D64" s="39">
        <f t="shared" si="0"/>
        <v>3.6765189999999999</v>
      </c>
      <c r="E64" s="74">
        <v>9.1908000000000004E-2</v>
      </c>
      <c r="F64" s="39">
        <f t="shared" si="1"/>
        <v>0.27613220833333335</v>
      </c>
      <c r="G64" s="39">
        <f t="shared" si="2"/>
        <v>0.90212392462500002</v>
      </c>
      <c r="H64" s="39">
        <f t="shared" si="3"/>
        <v>0</v>
      </c>
      <c r="I64" s="39">
        <f t="shared" si="4"/>
        <v>3.4969607999999992</v>
      </c>
      <c r="J64" s="39">
        <f t="shared" si="5"/>
        <v>4.2313549710992904</v>
      </c>
      <c r="K64" s="39">
        <f t="shared" si="6"/>
        <v>2.762566628900708</v>
      </c>
      <c r="L64" s="90">
        <f t="shared" si="7"/>
        <v>3.8641578855496448</v>
      </c>
      <c r="M64" s="90">
        <f t="shared" si="8"/>
        <v>3.1297637144503536</v>
      </c>
    </row>
    <row r="65" spans="2:13" ht="14.25" customHeight="1" x14ac:dyDescent="0.35">
      <c r="B65" s="29">
        <v>24</v>
      </c>
      <c r="C65" s="74">
        <v>3.5462189999999998</v>
      </c>
      <c r="D65" s="39">
        <f t="shared" si="0"/>
        <v>3.5462189999999998</v>
      </c>
      <c r="E65" s="74">
        <v>0.1303</v>
      </c>
      <c r="F65" s="39">
        <f t="shared" si="1"/>
        <v>0.27613220833333335</v>
      </c>
      <c r="G65" s="39">
        <f t="shared" si="2"/>
        <v>0.90212392462500002</v>
      </c>
      <c r="H65" s="39">
        <f t="shared" si="3"/>
        <v>0</v>
      </c>
      <c r="I65" s="39">
        <f t="shared" si="4"/>
        <v>3.4969607999999992</v>
      </c>
      <c r="J65" s="39">
        <f t="shared" si="5"/>
        <v>4.2313549710992904</v>
      </c>
      <c r="K65" s="39">
        <f t="shared" si="6"/>
        <v>2.762566628900708</v>
      </c>
      <c r="L65" s="90">
        <f t="shared" si="7"/>
        <v>3.8641578855496448</v>
      </c>
      <c r="M65" s="90">
        <f t="shared" si="8"/>
        <v>3.1297637144503536</v>
      </c>
    </row>
    <row r="66" spans="2:13" ht="14.25" customHeight="1" x14ac:dyDescent="0.35">
      <c r="B66" s="29">
        <v>25</v>
      </c>
      <c r="C66" s="74">
        <v>3.2133600000000002</v>
      </c>
      <c r="D66" s="39">
        <f t="shared" si="0"/>
        <v>3.2133600000000002</v>
      </c>
      <c r="E66" s="74">
        <v>0.33285900000000002</v>
      </c>
      <c r="F66" s="39">
        <f t="shared" si="1"/>
        <v>0.27613220833333335</v>
      </c>
      <c r="G66" s="39">
        <f t="shared" si="2"/>
        <v>0.90212392462500002</v>
      </c>
      <c r="H66" s="39">
        <f t="shared" si="3"/>
        <v>0</v>
      </c>
      <c r="I66" s="39">
        <f t="shared" si="4"/>
        <v>3.4969607999999992</v>
      </c>
      <c r="J66" s="39">
        <f t="shared" si="5"/>
        <v>4.2313549710992904</v>
      </c>
      <c r="K66" s="39">
        <f t="shared" si="6"/>
        <v>2.762566628900708</v>
      </c>
      <c r="L66" s="90">
        <f t="shared" si="7"/>
        <v>3.8641578855496448</v>
      </c>
      <c r="M66" s="90">
        <f t="shared" si="8"/>
        <v>3.1297637144503536</v>
      </c>
    </row>
    <row r="67" spans="2:13" ht="14.25" customHeight="1" x14ac:dyDescent="0.35">
      <c r="B67" s="76"/>
      <c r="C67" s="76"/>
      <c r="D67" s="76"/>
      <c r="E67" s="76"/>
      <c r="F67" s="76"/>
      <c r="G67" s="76"/>
      <c r="H67" s="76"/>
      <c r="I67" s="76"/>
      <c r="J67" s="76"/>
      <c r="K67" s="76"/>
    </row>
    <row r="68" spans="2:13" ht="14.25" customHeight="1" x14ac:dyDescent="0.35"/>
    <row r="69" spans="2:13" ht="14.25" customHeight="1" x14ac:dyDescent="0.35">
      <c r="D69" s="79"/>
    </row>
    <row r="70" spans="2:13" ht="14.25" customHeight="1" x14ac:dyDescent="0.35">
      <c r="D70" s="79"/>
    </row>
    <row r="71" spans="2:13" ht="14.25" customHeight="1" x14ac:dyDescent="0.35">
      <c r="D71" s="79"/>
    </row>
    <row r="72" spans="2:13" ht="14.25" customHeight="1" x14ac:dyDescent="0.35">
      <c r="D72" s="79"/>
    </row>
    <row r="73" spans="2:13" ht="14.25" customHeight="1" x14ac:dyDescent="0.35">
      <c r="D73" s="79"/>
    </row>
    <row r="74" spans="2:13" ht="14.25" customHeight="1" x14ac:dyDescent="0.35">
      <c r="D74" s="79"/>
    </row>
    <row r="75" spans="2:13" ht="14.25" customHeight="1" x14ac:dyDescent="0.35">
      <c r="D75" s="79"/>
    </row>
    <row r="76" spans="2:13" ht="14.25" customHeight="1" x14ac:dyDescent="0.35">
      <c r="D76" s="79"/>
    </row>
    <row r="77" spans="2:13" ht="14.25" customHeight="1" x14ac:dyDescent="0.35">
      <c r="D77" s="79"/>
    </row>
    <row r="78" spans="2:13" ht="14.25" customHeight="1" x14ac:dyDescent="0.35">
      <c r="D78" s="79"/>
    </row>
    <row r="79" spans="2:13" ht="14.25" customHeight="1" x14ac:dyDescent="0.35">
      <c r="D79" s="79"/>
    </row>
    <row r="80" spans="2:13" ht="14.25" customHeight="1" x14ac:dyDescent="0.35">
      <c r="D80" s="79"/>
    </row>
    <row r="81" spans="4:4" ht="14.25" customHeight="1" x14ac:dyDescent="0.35">
      <c r="D81" s="79"/>
    </row>
    <row r="82" spans="4:4" ht="14.25" customHeight="1" x14ac:dyDescent="0.35">
      <c r="D82" s="79"/>
    </row>
    <row r="83" spans="4:4" ht="14.25" customHeight="1" x14ac:dyDescent="0.35">
      <c r="D83" s="79"/>
    </row>
    <row r="84" spans="4:4" ht="14.25" customHeight="1" x14ac:dyDescent="0.35">
      <c r="D84" s="79"/>
    </row>
    <row r="85" spans="4:4" ht="14.25" customHeight="1" x14ac:dyDescent="0.35">
      <c r="D85" s="79"/>
    </row>
    <row r="86" spans="4:4" ht="14.25" customHeight="1" x14ac:dyDescent="0.35">
      <c r="D86" s="79"/>
    </row>
    <row r="87" spans="4:4" ht="14.25" customHeight="1" x14ac:dyDescent="0.35">
      <c r="D87" s="79"/>
    </row>
    <row r="88" spans="4:4" ht="14.25" customHeight="1" x14ac:dyDescent="0.35">
      <c r="D88" s="79"/>
    </row>
    <row r="89" spans="4:4" ht="14.25" customHeight="1" x14ac:dyDescent="0.35">
      <c r="D89" s="79"/>
    </row>
    <row r="90" spans="4:4" ht="14.25" customHeight="1" x14ac:dyDescent="0.35">
      <c r="D90" s="79"/>
    </row>
    <row r="91" spans="4:4" ht="14.25" customHeight="1" x14ac:dyDescent="0.35">
      <c r="D91" s="79"/>
    </row>
    <row r="92" spans="4:4" ht="14.25" customHeight="1" x14ac:dyDescent="0.35">
      <c r="D92" s="79"/>
    </row>
    <row r="93" spans="4:4" ht="14.25" customHeight="1" x14ac:dyDescent="0.35">
      <c r="D93" s="79"/>
    </row>
    <row r="94" spans="4:4" ht="14.25" customHeight="1" x14ac:dyDescent="0.35"/>
    <row r="95" spans="4:4" ht="14.25" customHeight="1" x14ac:dyDescent="0.35"/>
    <row r="96" spans="4:4"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5">
    <mergeCell ref="B9:E9"/>
    <mergeCell ref="G9:J9"/>
    <mergeCell ref="B27:K28"/>
    <mergeCell ref="B29:B39"/>
    <mergeCell ref="B6:E6"/>
    <mergeCell ref="G6:J6"/>
    <mergeCell ref="B7:E7"/>
    <mergeCell ref="G7:J7"/>
    <mergeCell ref="B8:E8"/>
    <mergeCell ref="G8:J8"/>
    <mergeCell ref="C2:F2"/>
    <mergeCell ref="B4:E4"/>
    <mergeCell ref="G4:K4"/>
    <mergeCell ref="B5:E5"/>
    <mergeCell ref="G5:J5"/>
  </mergeCells>
  <conditionalFormatting sqref="D42:D66">
    <cfRule type="cellIs" dxfId="16" priority="2" operator="lessThan">
      <formula>$K$42</formula>
    </cfRule>
    <cfRule type="cellIs" dxfId="15" priority="3" operator="greaterThan">
      <formula>$J$42</formula>
    </cfRule>
  </conditionalFormatting>
  <conditionalFormatting sqref="E42:E66">
    <cfRule type="cellIs" dxfId="14" priority="4" operator="lessThan">
      <formula>$H$42</formula>
    </cfRule>
    <cfRule type="cellIs" dxfId="13" priority="5" operator="greaterThan">
      <formula>$G$42</formula>
    </cfRule>
  </conditionalFormatting>
  <pageMargins left="0.7" right="0.7" top="0.75" bottom="0.75" header="0.511811023622047" footer="0.511811023622047"/>
  <pageSetup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Z1000"/>
  <sheetViews>
    <sheetView showGridLines="0" topLeftCell="A16" zoomScale="110" zoomScaleNormal="110" workbookViewId="0">
      <selection activeCell="I33" sqref="I33"/>
    </sheetView>
  </sheetViews>
  <sheetFormatPr defaultColWidth="14.453125" defaultRowHeight="14.5" x14ac:dyDescent="0.35"/>
  <cols>
    <col min="1" max="1" width="8.7265625" customWidth="1"/>
    <col min="2" max="11" width="12.453125" customWidth="1"/>
    <col min="12" max="26" width="12.54296875" customWidth="1"/>
  </cols>
  <sheetData>
    <row r="1" spans="2:11" ht="14.25" customHeight="1" x14ac:dyDescent="0.35"/>
    <row r="2" spans="2:11" ht="14.25" customHeight="1" x14ac:dyDescent="0.35">
      <c r="B2" s="44" t="s">
        <v>188</v>
      </c>
      <c r="C2" s="107"/>
      <c r="D2" s="107"/>
      <c r="E2" s="107"/>
      <c r="F2" s="107"/>
    </row>
    <row r="3" spans="2:11" ht="14.25" customHeight="1" x14ac:dyDescent="0.35">
      <c r="B3" s="49"/>
    </row>
    <row r="4" spans="2:11" ht="14.25" customHeight="1" x14ac:dyDescent="0.35">
      <c r="B4" s="108" t="s">
        <v>189</v>
      </c>
      <c r="C4" s="108"/>
      <c r="D4" s="108"/>
      <c r="E4" s="108"/>
      <c r="G4" s="108" t="s">
        <v>190</v>
      </c>
      <c r="H4" s="108"/>
      <c r="I4" s="108"/>
      <c r="J4" s="108"/>
      <c r="K4" s="108"/>
    </row>
    <row r="5" spans="2:11" ht="14.25" customHeight="1" x14ac:dyDescent="0.35">
      <c r="B5" s="109" t="s">
        <v>108</v>
      </c>
      <c r="C5" s="109"/>
      <c r="D5" s="109"/>
      <c r="E5" s="109"/>
      <c r="F5" s="29"/>
      <c r="G5" s="109" t="s">
        <v>108</v>
      </c>
      <c r="H5" s="109"/>
      <c r="I5" s="109"/>
      <c r="J5" s="109"/>
      <c r="K5" s="29"/>
    </row>
    <row r="6" spans="2:11" ht="14.25" customHeight="1" x14ac:dyDescent="0.35">
      <c r="B6" s="109" t="s">
        <v>109</v>
      </c>
      <c r="C6" s="109"/>
      <c r="D6" s="109"/>
      <c r="E6" s="109"/>
      <c r="F6" s="29"/>
      <c r="G6" s="109" t="s">
        <v>109</v>
      </c>
      <c r="H6" s="109"/>
      <c r="I6" s="109"/>
      <c r="J6" s="109"/>
      <c r="K6" s="29"/>
    </row>
    <row r="7" spans="2:11" ht="14.25" customHeight="1" x14ac:dyDescent="0.35">
      <c r="B7" s="110" t="s">
        <v>110</v>
      </c>
      <c r="C7" s="110"/>
      <c r="D7" s="110"/>
      <c r="E7" s="110"/>
      <c r="F7" s="29"/>
      <c r="G7" s="110" t="s">
        <v>110</v>
      </c>
      <c r="H7" s="110"/>
      <c r="I7" s="110"/>
      <c r="J7" s="110"/>
      <c r="K7" s="29"/>
    </row>
    <row r="8" spans="2:11" ht="14.25" customHeight="1" x14ac:dyDescent="0.35">
      <c r="B8" s="110" t="s">
        <v>111</v>
      </c>
      <c r="C8" s="110"/>
      <c r="D8" s="110"/>
      <c r="E8" s="110"/>
      <c r="F8" s="29"/>
      <c r="G8" s="110" t="s">
        <v>111</v>
      </c>
      <c r="H8" s="110"/>
      <c r="I8" s="110"/>
      <c r="J8" s="110"/>
      <c r="K8" s="29"/>
    </row>
    <row r="9" spans="2:11" ht="14.25" customHeight="1" x14ac:dyDescent="0.35">
      <c r="B9" s="110" t="s">
        <v>112</v>
      </c>
      <c r="C9" s="110"/>
      <c r="D9" s="110"/>
      <c r="E9" s="110"/>
      <c r="F9" s="29"/>
      <c r="G9" s="110" t="s">
        <v>112</v>
      </c>
      <c r="H9" s="110"/>
      <c r="I9" s="110"/>
      <c r="J9" s="110"/>
      <c r="K9" s="29"/>
    </row>
    <row r="10" spans="2:11" ht="14.25" customHeight="1" x14ac:dyDescent="0.35"/>
    <row r="11" spans="2:11" ht="14.25" customHeight="1" x14ac:dyDescent="0.35"/>
    <row r="12" spans="2:11" ht="14.25" customHeight="1" x14ac:dyDescent="0.35"/>
    <row r="13" spans="2:11" ht="14.25" customHeight="1" x14ac:dyDescent="0.35"/>
    <row r="14" spans="2:11" ht="14.25" customHeight="1" x14ac:dyDescent="0.35"/>
    <row r="15" spans="2:11" ht="14.25" customHeight="1" x14ac:dyDescent="0.35"/>
    <row r="16" spans="2:11" ht="14.25" customHeight="1" x14ac:dyDescent="0.35"/>
    <row r="17" spans="2:11" ht="14.25" customHeight="1" x14ac:dyDescent="0.35"/>
    <row r="18" spans="2:11" ht="14.25" customHeight="1" x14ac:dyDescent="0.35"/>
    <row r="19" spans="2:11" ht="14.25" customHeight="1" x14ac:dyDescent="0.35"/>
    <row r="20" spans="2:11" ht="14.25" customHeight="1" x14ac:dyDescent="0.35"/>
    <row r="21" spans="2:11" ht="14.25" customHeight="1" x14ac:dyDescent="0.35"/>
    <row r="22" spans="2:11" ht="14.25" customHeight="1" x14ac:dyDescent="0.35"/>
    <row r="23" spans="2:11" ht="14.25" customHeight="1" x14ac:dyDescent="0.35"/>
    <row r="24" spans="2:11" ht="14.25" customHeight="1" x14ac:dyDescent="0.35"/>
    <row r="25" spans="2:11" ht="14.25" customHeight="1" x14ac:dyDescent="0.35"/>
    <row r="26" spans="2:11" ht="14.25" customHeight="1" x14ac:dyDescent="0.35"/>
    <row r="27" spans="2:11" ht="14.25" customHeight="1" x14ac:dyDescent="0.35">
      <c r="B27" s="111" t="s">
        <v>191</v>
      </c>
      <c r="C27" s="111"/>
      <c r="D27" s="111"/>
      <c r="E27" s="111"/>
      <c r="F27" s="111"/>
      <c r="G27" s="111"/>
      <c r="H27" s="111"/>
      <c r="I27" s="111"/>
      <c r="J27" s="111"/>
      <c r="K27" s="111"/>
    </row>
    <row r="28" spans="2:11" ht="14.25" customHeight="1" x14ac:dyDescent="0.35">
      <c r="B28" s="111"/>
      <c r="C28" s="111"/>
      <c r="D28" s="111"/>
      <c r="E28" s="111"/>
      <c r="F28" s="111"/>
      <c r="G28" s="111"/>
      <c r="H28" s="111"/>
      <c r="I28" s="111"/>
      <c r="J28" s="111"/>
      <c r="K28" s="111"/>
    </row>
    <row r="29" spans="2:11" ht="14.25" customHeight="1" x14ac:dyDescent="0.35">
      <c r="B29" s="112" t="s">
        <v>114</v>
      </c>
      <c r="C29" s="65" t="s">
        <v>115</v>
      </c>
      <c r="D29" s="66">
        <v>25</v>
      </c>
      <c r="E29" s="67"/>
      <c r="F29" s="67"/>
      <c r="G29" s="67"/>
      <c r="H29" s="67"/>
      <c r="I29" s="67"/>
      <c r="J29" s="67"/>
      <c r="K29" s="67"/>
    </row>
    <row r="30" spans="2:11" ht="14.25" customHeight="1" x14ac:dyDescent="0.35">
      <c r="B30" s="112"/>
      <c r="C30" s="29" t="s">
        <v>55</v>
      </c>
      <c r="D30" s="68">
        <v>50</v>
      </c>
      <c r="E30" s="26"/>
      <c r="F30" s="26"/>
      <c r="G30" s="26"/>
      <c r="H30" s="26"/>
      <c r="I30" s="26"/>
      <c r="J30" s="26"/>
      <c r="K30" s="26"/>
    </row>
    <row r="31" spans="2:11" ht="14.25" customHeight="1" x14ac:dyDescent="0.35">
      <c r="B31" s="112"/>
      <c r="C31" s="29" t="s">
        <v>192</v>
      </c>
      <c r="D31" s="69">
        <v>0.17199999999999999</v>
      </c>
      <c r="E31" s="70"/>
      <c r="F31" s="70"/>
      <c r="G31" s="70"/>
      <c r="H31" s="70"/>
      <c r="I31" s="70"/>
      <c r="J31" s="70"/>
      <c r="K31" s="70"/>
    </row>
    <row r="32" spans="2:11" ht="14.25" customHeight="1" x14ac:dyDescent="0.35">
      <c r="B32" s="112"/>
      <c r="C32" s="29" t="s">
        <v>193</v>
      </c>
      <c r="D32" s="69">
        <v>8.6</v>
      </c>
      <c r="E32" s="70"/>
      <c r="F32" s="70"/>
      <c r="G32" s="70"/>
      <c r="H32" s="70"/>
      <c r="I32" s="70"/>
      <c r="J32" s="70"/>
      <c r="K32" s="70"/>
    </row>
    <row r="33" spans="1:26" ht="14.25" customHeight="1" x14ac:dyDescent="0.35">
      <c r="B33" s="112"/>
      <c r="C33" s="29" t="s">
        <v>194</v>
      </c>
      <c r="D33" s="69">
        <v>0.33210899999999999</v>
      </c>
      <c r="E33" s="70"/>
      <c r="F33" s="70"/>
      <c r="G33" s="70"/>
      <c r="H33" s="70"/>
      <c r="I33" s="70"/>
      <c r="J33" s="70"/>
      <c r="K33" s="70"/>
    </row>
    <row r="34" spans="1:26" ht="14.25" customHeight="1" x14ac:dyDescent="0.35">
      <c r="B34" s="112"/>
      <c r="C34" s="29" t="s">
        <v>195</v>
      </c>
      <c r="D34" s="69">
        <v>1.1891000000000001E-2</v>
      </c>
      <c r="E34" s="70"/>
      <c r="F34" s="70"/>
      <c r="G34" s="70"/>
      <c r="H34" s="70"/>
      <c r="I34" s="70"/>
      <c r="J34" s="70"/>
      <c r="K34" s="70"/>
    </row>
    <row r="35" spans="1:26" ht="14.25" customHeight="1" x14ac:dyDescent="0.35">
      <c r="B35" s="112"/>
      <c r="C35" s="29" t="s">
        <v>196</v>
      </c>
      <c r="D35" s="69">
        <v>16.605447999999999</v>
      </c>
      <c r="E35" s="70"/>
      <c r="F35" s="70"/>
      <c r="G35" s="70"/>
      <c r="H35" s="70"/>
      <c r="I35" s="70"/>
      <c r="J35" s="70"/>
      <c r="K35" s="70"/>
    </row>
    <row r="36" spans="1:26" ht="14.25" customHeight="1" x14ac:dyDescent="0.35">
      <c r="B36" s="112"/>
      <c r="C36" s="71" t="s">
        <v>197</v>
      </c>
      <c r="D36" s="73">
        <v>0.59455199999999997</v>
      </c>
      <c r="E36" s="72"/>
      <c r="F36" s="72"/>
      <c r="G36" s="72"/>
      <c r="H36" s="72"/>
      <c r="I36" s="72"/>
      <c r="J36" s="72"/>
      <c r="K36" s="72"/>
    </row>
    <row r="37" spans="1:26" ht="14.25" customHeight="1" x14ac:dyDescent="0.35">
      <c r="B37" s="29"/>
      <c r="C37" s="29"/>
      <c r="D37" s="29"/>
      <c r="E37" s="29"/>
      <c r="F37" s="29"/>
      <c r="G37" s="29"/>
      <c r="H37" s="29"/>
      <c r="I37" s="29"/>
      <c r="J37" s="29"/>
      <c r="K37" s="29"/>
    </row>
    <row r="38" spans="1:26" ht="14.25" customHeight="1" x14ac:dyDescent="0.35">
      <c r="A38" s="28"/>
      <c r="B38" s="32" t="s">
        <v>30</v>
      </c>
      <c r="C38" s="32" t="s">
        <v>198</v>
      </c>
      <c r="D38" s="32" t="s">
        <v>199</v>
      </c>
      <c r="E38" s="32" t="s">
        <v>200</v>
      </c>
      <c r="F38" s="32" t="s">
        <v>201</v>
      </c>
      <c r="G38" s="32" t="s">
        <v>194</v>
      </c>
      <c r="H38" s="32" t="s">
        <v>195</v>
      </c>
      <c r="I38" s="32" t="s">
        <v>202</v>
      </c>
      <c r="J38" s="32" t="s">
        <v>196</v>
      </c>
      <c r="K38" s="32" t="s">
        <v>197</v>
      </c>
      <c r="L38" s="28"/>
      <c r="M38" s="28"/>
      <c r="N38" s="28"/>
      <c r="O38" s="28"/>
      <c r="P38" s="28"/>
      <c r="Q38" s="28"/>
      <c r="R38" s="28"/>
      <c r="S38" s="28"/>
      <c r="T38" s="28"/>
      <c r="U38" s="28"/>
      <c r="V38" s="28"/>
      <c r="W38" s="28"/>
      <c r="X38" s="28"/>
      <c r="Y38" s="28"/>
      <c r="Z38" s="28"/>
    </row>
    <row r="39" spans="1:26" ht="14.25" customHeight="1" x14ac:dyDescent="0.35">
      <c r="B39" s="29">
        <v>1</v>
      </c>
      <c r="C39" s="91">
        <v>7</v>
      </c>
      <c r="D39" s="74">
        <v>0.14000000000000001</v>
      </c>
      <c r="E39" s="74">
        <v>7</v>
      </c>
      <c r="F39" s="39">
        <v>0.17199999999999999</v>
      </c>
      <c r="G39" s="39">
        <v>0.33210899999999999</v>
      </c>
      <c r="H39" s="39">
        <v>1.1891000000000001E-2</v>
      </c>
      <c r="I39" s="39">
        <v>8.6</v>
      </c>
      <c r="J39" s="39">
        <v>16.605447999999999</v>
      </c>
      <c r="K39" s="39">
        <v>0.59455199999999997</v>
      </c>
    </row>
    <row r="40" spans="1:26" ht="14.25" customHeight="1" x14ac:dyDescent="0.35">
      <c r="B40" s="29">
        <v>2</v>
      </c>
      <c r="C40" s="91">
        <v>15</v>
      </c>
      <c r="D40" s="74">
        <v>0.3</v>
      </c>
      <c r="E40" s="74">
        <v>15</v>
      </c>
      <c r="F40" s="39">
        <v>0.17199999999999999</v>
      </c>
      <c r="G40" s="39">
        <v>0.33210899999999999</v>
      </c>
      <c r="H40" s="39">
        <v>1.1891000000000001E-2</v>
      </c>
      <c r="I40" s="39">
        <v>8.6</v>
      </c>
      <c r="J40" s="39">
        <v>16.605447999999999</v>
      </c>
      <c r="K40" s="39">
        <v>0.59455199999999997</v>
      </c>
    </row>
    <row r="41" spans="1:26" ht="14.25" customHeight="1" x14ac:dyDescent="0.35">
      <c r="B41" s="29">
        <v>3</v>
      </c>
      <c r="C41" s="91">
        <v>7</v>
      </c>
      <c r="D41" s="74">
        <v>0.14000000000000001</v>
      </c>
      <c r="E41" s="74">
        <v>7</v>
      </c>
      <c r="F41" s="39">
        <v>0.17199999999999999</v>
      </c>
      <c r="G41" s="39">
        <v>0.33210899999999999</v>
      </c>
      <c r="H41" s="39">
        <v>1.1891000000000001E-2</v>
      </c>
      <c r="I41" s="39">
        <v>8.6</v>
      </c>
      <c r="J41" s="39">
        <v>16.605447999999999</v>
      </c>
      <c r="K41" s="39">
        <v>0.59455199999999997</v>
      </c>
    </row>
    <row r="42" spans="1:26" ht="14.25" customHeight="1" x14ac:dyDescent="0.35">
      <c r="B42" s="29">
        <v>4</v>
      </c>
      <c r="C42" s="91">
        <v>8</v>
      </c>
      <c r="D42" s="74">
        <v>0.16</v>
      </c>
      <c r="E42" s="74">
        <v>8</v>
      </c>
      <c r="F42" s="39">
        <v>0.17199999999999999</v>
      </c>
      <c r="G42" s="39">
        <v>0.33210899999999999</v>
      </c>
      <c r="H42" s="39">
        <v>1.1891000000000001E-2</v>
      </c>
      <c r="I42" s="39">
        <v>8.6</v>
      </c>
      <c r="J42" s="39">
        <v>16.605447999999999</v>
      </c>
      <c r="K42" s="39">
        <v>0.59455199999999997</v>
      </c>
    </row>
    <row r="43" spans="1:26" ht="14.25" customHeight="1" x14ac:dyDescent="0.35">
      <c r="B43" s="29">
        <v>5</v>
      </c>
      <c r="C43" s="91">
        <v>15</v>
      </c>
      <c r="D43" s="74">
        <v>0.3</v>
      </c>
      <c r="E43" s="74">
        <v>15</v>
      </c>
      <c r="F43" s="39">
        <v>0.17199999999999999</v>
      </c>
      <c r="G43" s="39">
        <v>0.33210899999999999</v>
      </c>
      <c r="H43" s="39">
        <v>1.1891000000000001E-2</v>
      </c>
      <c r="I43" s="39">
        <v>8.6</v>
      </c>
      <c r="J43" s="39">
        <v>16.605447999999999</v>
      </c>
      <c r="K43" s="39">
        <v>0.59455199999999997</v>
      </c>
    </row>
    <row r="44" spans="1:26" ht="14.25" customHeight="1" x14ac:dyDescent="0.35">
      <c r="B44" s="29">
        <v>6</v>
      </c>
      <c r="C44" s="91">
        <v>9</v>
      </c>
      <c r="D44" s="74">
        <v>0.18</v>
      </c>
      <c r="E44" s="74">
        <v>9</v>
      </c>
      <c r="F44" s="39">
        <v>0.17199999999999999</v>
      </c>
      <c r="G44" s="39">
        <v>0.33210899999999999</v>
      </c>
      <c r="H44" s="39">
        <v>1.1891000000000001E-2</v>
      </c>
      <c r="I44" s="39">
        <v>8.6</v>
      </c>
      <c r="J44" s="39">
        <v>16.605447999999999</v>
      </c>
      <c r="K44" s="39">
        <v>0.59455199999999997</v>
      </c>
    </row>
    <row r="45" spans="1:26" ht="14.25" customHeight="1" x14ac:dyDescent="0.35">
      <c r="B45" s="29">
        <v>7</v>
      </c>
      <c r="C45" s="91">
        <v>9</v>
      </c>
      <c r="D45" s="74">
        <v>0.18</v>
      </c>
      <c r="E45" s="74">
        <v>9</v>
      </c>
      <c r="F45" s="39">
        <v>0.17199999999999999</v>
      </c>
      <c r="G45" s="39">
        <v>0.33210899999999999</v>
      </c>
      <c r="H45" s="39">
        <v>1.1891000000000001E-2</v>
      </c>
      <c r="I45" s="39">
        <v>8.6</v>
      </c>
      <c r="J45" s="39">
        <v>16.605447999999999</v>
      </c>
      <c r="K45" s="39">
        <v>0.59455199999999997</v>
      </c>
    </row>
    <row r="46" spans="1:26" ht="14.25" customHeight="1" x14ac:dyDescent="0.35">
      <c r="B46" s="29">
        <v>8</v>
      </c>
      <c r="C46" s="91">
        <v>5</v>
      </c>
      <c r="D46" s="74">
        <v>0.1</v>
      </c>
      <c r="E46" s="74">
        <v>5</v>
      </c>
      <c r="F46" s="39">
        <v>0.17199999999999999</v>
      </c>
      <c r="G46" s="39">
        <v>0.33210899999999999</v>
      </c>
      <c r="H46" s="39">
        <v>1.1891000000000001E-2</v>
      </c>
      <c r="I46" s="39">
        <v>8.6</v>
      </c>
      <c r="J46" s="39">
        <v>16.605447999999999</v>
      </c>
      <c r="K46" s="39">
        <v>0.59455199999999997</v>
      </c>
    </row>
    <row r="47" spans="1:26" ht="14.25" customHeight="1" x14ac:dyDescent="0.35">
      <c r="B47" s="29">
        <v>9</v>
      </c>
      <c r="C47" s="91">
        <v>6</v>
      </c>
      <c r="D47" s="74">
        <v>0.12</v>
      </c>
      <c r="E47" s="74">
        <v>6</v>
      </c>
      <c r="F47" s="39">
        <v>0.17199999999999999</v>
      </c>
      <c r="G47" s="39">
        <v>0.33210899999999999</v>
      </c>
      <c r="H47" s="39">
        <v>1.1891000000000001E-2</v>
      </c>
      <c r="I47" s="39">
        <v>8.6</v>
      </c>
      <c r="J47" s="39">
        <v>16.605447999999999</v>
      </c>
      <c r="K47" s="39">
        <v>0.59455199999999997</v>
      </c>
    </row>
    <row r="48" spans="1:26" ht="14.25" customHeight="1" x14ac:dyDescent="0.35">
      <c r="B48" s="29">
        <v>10</v>
      </c>
      <c r="C48" s="91">
        <v>11</v>
      </c>
      <c r="D48" s="74">
        <v>0.22</v>
      </c>
      <c r="E48" s="74">
        <v>11</v>
      </c>
      <c r="F48" s="39">
        <v>0.17199999999999999</v>
      </c>
      <c r="G48" s="39">
        <v>0.33210899999999999</v>
      </c>
      <c r="H48" s="39">
        <v>1.1891000000000001E-2</v>
      </c>
      <c r="I48" s="39">
        <v>8.6</v>
      </c>
      <c r="J48" s="39">
        <v>16.605447999999999</v>
      </c>
      <c r="K48" s="39">
        <v>0.59455199999999997</v>
      </c>
    </row>
    <row r="49" spans="2:11" ht="14.25" customHeight="1" x14ac:dyDescent="0.35">
      <c r="B49" s="29">
        <v>11</v>
      </c>
      <c r="C49" s="91">
        <v>6</v>
      </c>
      <c r="D49" s="74">
        <v>0.12</v>
      </c>
      <c r="E49" s="74">
        <v>6</v>
      </c>
      <c r="F49" s="39">
        <v>0.17199999999999999</v>
      </c>
      <c r="G49" s="39">
        <v>0.33210899999999999</v>
      </c>
      <c r="H49" s="39">
        <v>1.1891000000000001E-2</v>
      </c>
      <c r="I49" s="39">
        <v>8.6</v>
      </c>
      <c r="J49" s="39">
        <v>16.605447999999999</v>
      </c>
      <c r="K49" s="39">
        <v>0.59455199999999997</v>
      </c>
    </row>
    <row r="50" spans="2:11" ht="14.25" customHeight="1" x14ac:dyDescent="0.35">
      <c r="B50" s="29">
        <v>12</v>
      </c>
      <c r="C50" s="91">
        <v>8</v>
      </c>
      <c r="D50" s="74">
        <v>0.16</v>
      </c>
      <c r="E50" s="74">
        <v>8</v>
      </c>
      <c r="F50" s="39">
        <v>0.17199999999999999</v>
      </c>
      <c r="G50" s="39">
        <v>0.33210899999999999</v>
      </c>
      <c r="H50" s="39">
        <v>1.1891000000000001E-2</v>
      </c>
      <c r="I50" s="39">
        <v>8.6</v>
      </c>
      <c r="J50" s="39">
        <v>16.605447999999999</v>
      </c>
      <c r="K50" s="39">
        <v>0.59455199999999997</v>
      </c>
    </row>
    <row r="51" spans="2:11" ht="14.25" customHeight="1" x14ac:dyDescent="0.35">
      <c r="B51" s="29">
        <v>13</v>
      </c>
      <c r="C51" s="91">
        <v>5</v>
      </c>
      <c r="D51" s="74">
        <v>0.1</v>
      </c>
      <c r="E51" s="74">
        <v>5</v>
      </c>
      <c r="F51" s="39">
        <v>0.17199999999999999</v>
      </c>
      <c r="G51" s="39">
        <v>0.33210899999999999</v>
      </c>
      <c r="H51" s="39">
        <v>1.1891000000000001E-2</v>
      </c>
      <c r="I51" s="39">
        <v>8.6</v>
      </c>
      <c r="J51" s="39">
        <v>16.605447999999999</v>
      </c>
      <c r="K51" s="39">
        <v>0.59455199999999997</v>
      </c>
    </row>
    <row r="52" spans="2:11" ht="14.25" customHeight="1" x14ac:dyDescent="0.35">
      <c r="B52" s="29">
        <v>14</v>
      </c>
      <c r="C52" s="91">
        <v>5</v>
      </c>
      <c r="D52" s="74">
        <v>0.1</v>
      </c>
      <c r="E52" s="74">
        <v>5</v>
      </c>
      <c r="F52" s="39">
        <v>0.17199999999999999</v>
      </c>
      <c r="G52" s="39">
        <v>0.33210899999999999</v>
      </c>
      <c r="H52" s="39">
        <v>1.1891000000000001E-2</v>
      </c>
      <c r="I52" s="39">
        <v>8.6</v>
      </c>
      <c r="J52" s="39">
        <v>16.605447999999999</v>
      </c>
      <c r="K52" s="39">
        <v>0.59455199999999997</v>
      </c>
    </row>
    <row r="53" spans="2:11" ht="14.25" customHeight="1" x14ac:dyDescent="0.35">
      <c r="B53" s="29">
        <v>15</v>
      </c>
      <c r="C53" s="91">
        <v>12</v>
      </c>
      <c r="D53" s="74">
        <v>0.24</v>
      </c>
      <c r="E53" s="74">
        <v>12</v>
      </c>
      <c r="F53" s="39">
        <v>0.17199999999999999</v>
      </c>
      <c r="G53" s="39">
        <v>0.33210899999999999</v>
      </c>
      <c r="H53" s="39">
        <v>1.1891000000000001E-2</v>
      </c>
      <c r="I53" s="39">
        <v>8.6</v>
      </c>
      <c r="J53" s="39">
        <v>16.605447999999999</v>
      </c>
      <c r="K53" s="39">
        <v>0.59455199999999997</v>
      </c>
    </row>
    <row r="54" spans="2:11" ht="14.25" customHeight="1" x14ac:dyDescent="0.35">
      <c r="B54" s="29">
        <v>16</v>
      </c>
      <c r="C54" s="91">
        <v>6</v>
      </c>
      <c r="D54" s="74">
        <v>0.12</v>
      </c>
      <c r="E54" s="74">
        <v>6</v>
      </c>
      <c r="F54" s="39">
        <v>0.17199999999999999</v>
      </c>
      <c r="G54" s="39">
        <v>0.33210899999999999</v>
      </c>
      <c r="H54" s="39">
        <v>1.1891000000000001E-2</v>
      </c>
      <c r="I54" s="39">
        <v>8.6</v>
      </c>
      <c r="J54" s="39">
        <v>16.605447999999999</v>
      </c>
      <c r="K54" s="39">
        <v>0.59455199999999997</v>
      </c>
    </row>
    <row r="55" spans="2:11" ht="14.25" customHeight="1" x14ac:dyDescent="0.35">
      <c r="B55" s="29">
        <v>17</v>
      </c>
      <c r="C55" s="91">
        <v>13</v>
      </c>
      <c r="D55" s="74">
        <v>0.26</v>
      </c>
      <c r="E55" s="74">
        <v>13</v>
      </c>
      <c r="F55" s="39">
        <v>0.17199999999999999</v>
      </c>
      <c r="G55" s="39">
        <v>0.33210899999999999</v>
      </c>
      <c r="H55" s="39">
        <v>1.1891000000000001E-2</v>
      </c>
      <c r="I55" s="39">
        <v>8.6</v>
      </c>
      <c r="J55" s="39">
        <v>16.605447999999999</v>
      </c>
      <c r="K55" s="39">
        <v>0.59455199999999997</v>
      </c>
    </row>
    <row r="56" spans="2:11" ht="14.25" customHeight="1" x14ac:dyDescent="0.35">
      <c r="B56" s="29">
        <v>18</v>
      </c>
      <c r="C56" s="91">
        <v>5</v>
      </c>
      <c r="D56" s="74">
        <v>0.1</v>
      </c>
      <c r="E56" s="74">
        <v>5</v>
      </c>
      <c r="F56" s="39">
        <v>0.17199999999999999</v>
      </c>
      <c r="G56" s="39">
        <v>0.33210899999999999</v>
      </c>
      <c r="H56" s="39">
        <v>1.1891000000000001E-2</v>
      </c>
      <c r="I56" s="39">
        <v>8.6</v>
      </c>
      <c r="J56" s="39">
        <v>16.605447999999999</v>
      </c>
      <c r="K56" s="39">
        <v>0.59455199999999997</v>
      </c>
    </row>
    <row r="57" spans="2:11" ht="14.25" customHeight="1" x14ac:dyDescent="0.35">
      <c r="B57" s="29">
        <v>19</v>
      </c>
      <c r="C57" s="91">
        <v>7</v>
      </c>
      <c r="D57" s="74">
        <v>0.14000000000000001</v>
      </c>
      <c r="E57" s="74">
        <v>7</v>
      </c>
      <c r="F57" s="39">
        <v>0.17199999999999999</v>
      </c>
      <c r="G57" s="39">
        <v>0.33210899999999999</v>
      </c>
      <c r="H57" s="39">
        <v>1.1891000000000001E-2</v>
      </c>
      <c r="I57" s="39">
        <v>8.6</v>
      </c>
      <c r="J57" s="39">
        <v>16.605447999999999</v>
      </c>
      <c r="K57" s="39">
        <v>0.59455199999999997</v>
      </c>
    </row>
    <row r="58" spans="2:11" ht="14.25" customHeight="1" x14ac:dyDescent="0.35">
      <c r="B58" s="29">
        <v>20</v>
      </c>
      <c r="C58" s="91">
        <v>10</v>
      </c>
      <c r="D58" s="74">
        <v>0.2</v>
      </c>
      <c r="E58" s="74">
        <v>10</v>
      </c>
      <c r="F58" s="39">
        <v>0.17199999999999999</v>
      </c>
      <c r="G58" s="39">
        <v>0.33210899999999999</v>
      </c>
      <c r="H58" s="39">
        <v>1.1891000000000001E-2</v>
      </c>
      <c r="I58" s="39">
        <v>8.6</v>
      </c>
      <c r="J58" s="39">
        <v>16.605447999999999</v>
      </c>
      <c r="K58" s="39">
        <v>0.59455199999999997</v>
      </c>
    </row>
    <row r="59" spans="2:11" ht="14.25" customHeight="1" x14ac:dyDescent="0.35">
      <c r="B59" s="29">
        <v>21</v>
      </c>
      <c r="C59" s="91">
        <v>7</v>
      </c>
      <c r="D59" s="74">
        <v>0.14000000000000001</v>
      </c>
      <c r="E59" s="74">
        <v>7</v>
      </c>
      <c r="F59" s="39">
        <v>0.17199999999999999</v>
      </c>
      <c r="G59" s="39">
        <v>0.33210899999999999</v>
      </c>
      <c r="H59" s="39">
        <v>1.1891000000000001E-2</v>
      </c>
      <c r="I59" s="39">
        <v>8.6</v>
      </c>
      <c r="J59" s="39">
        <v>16.605447999999999</v>
      </c>
      <c r="K59" s="39">
        <v>0.59455199999999997</v>
      </c>
    </row>
    <row r="60" spans="2:11" ht="14.25" customHeight="1" x14ac:dyDescent="0.35">
      <c r="B60" s="29">
        <v>22</v>
      </c>
      <c r="C60" s="91">
        <v>8</v>
      </c>
      <c r="D60" s="74">
        <v>0.16</v>
      </c>
      <c r="E60" s="74">
        <v>8</v>
      </c>
      <c r="F60" s="39">
        <v>0.17199999999999999</v>
      </c>
      <c r="G60" s="39">
        <v>0.33210899999999999</v>
      </c>
      <c r="H60" s="39">
        <v>1.1891000000000001E-2</v>
      </c>
      <c r="I60" s="39">
        <v>8.6</v>
      </c>
      <c r="J60" s="39">
        <v>16.605447999999999</v>
      </c>
      <c r="K60" s="39">
        <v>0.59455199999999997</v>
      </c>
    </row>
    <row r="61" spans="2:11" ht="14.25" customHeight="1" x14ac:dyDescent="0.35">
      <c r="B61" s="29">
        <v>23</v>
      </c>
      <c r="C61" s="91">
        <v>14</v>
      </c>
      <c r="D61" s="74">
        <v>0.28000000000000003</v>
      </c>
      <c r="E61" s="74">
        <v>14</v>
      </c>
      <c r="F61" s="39">
        <v>0.17199999999999999</v>
      </c>
      <c r="G61" s="39">
        <v>0.33210899999999999</v>
      </c>
      <c r="H61" s="39">
        <v>1.1891000000000001E-2</v>
      </c>
      <c r="I61" s="39">
        <v>8.6</v>
      </c>
      <c r="J61" s="39">
        <v>16.605447999999999</v>
      </c>
      <c r="K61" s="39">
        <v>0.59455199999999997</v>
      </c>
    </row>
    <row r="62" spans="2:11" ht="14.25" customHeight="1" x14ac:dyDescent="0.35">
      <c r="B62" s="29">
        <v>24</v>
      </c>
      <c r="C62" s="91">
        <v>7</v>
      </c>
      <c r="D62" s="74">
        <v>0.14000000000000001</v>
      </c>
      <c r="E62" s="74">
        <v>7</v>
      </c>
      <c r="F62" s="39">
        <v>0.17199999999999999</v>
      </c>
      <c r="G62" s="39">
        <v>0.33210899999999999</v>
      </c>
      <c r="H62" s="39">
        <v>1.1891000000000001E-2</v>
      </c>
      <c r="I62" s="39">
        <v>8.6</v>
      </c>
      <c r="J62" s="39">
        <v>16.605447999999999</v>
      </c>
      <c r="K62" s="39">
        <v>0.59455199999999997</v>
      </c>
    </row>
    <row r="63" spans="2:11" ht="14.25" customHeight="1" x14ac:dyDescent="0.35">
      <c r="B63" s="29">
        <v>25</v>
      </c>
      <c r="C63" s="91">
        <v>10</v>
      </c>
      <c r="D63" s="74">
        <v>0.2</v>
      </c>
      <c r="E63" s="74">
        <v>10</v>
      </c>
      <c r="F63" s="39">
        <v>0.17199999999999999</v>
      </c>
      <c r="G63" s="39">
        <v>0.33210899999999999</v>
      </c>
      <c r="H63" s="39">
        <v>1.1891000000000001E-2</v>
      </c>
      <c r="I63" s="39">
        <v>8.6</v>
      </c>
      <c r="J63" s="39">
        <v>16.605447999999999</v>
      </c>
      <c r="K63" s="39">
        <v>0.59455199999999997</v>
      </c>
    </row>
    <row r="64" spans="2:11" ht="14.25" customHeight="1" x14ac:dyDescent="0.35">
      <c r="B64" s="76"/>
      <c r="C64" s="76"/>
      <c r="D64" s="76"/>
      <c r="E64" s="76"/>
      <c r="F64" s="76"/>
      <c r="G64" s="76"/>
      <c r="H64" s="76"/>
      <c r="I64" s="76"/>
      <c r="J64" s="76"/>
      <c r="K64" s="76"/>
    </row>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5">
    <mergeCell ref="B9:E9"/>
    <mergeCell ref="G9:J9"/>
    <mergeCell ref="B27:K28"/>
    <mergeCell ref="B29:B36"/>
    <mergeCell ref="B6:E6"/>
    <mergeCell ref="G6:J6"/>
    <mergeCell ref="B7:E7"/>
    <mergeCell ref="G7:J7"/>
    <mergeCell ref="B8:E8"/>
    <mergeCell ref="G8:J8"/>
    <mergeCell ref="C2:F2"/>
    <mergeCell ref="B4:E4"/>
    <mergeCell ref="G4:K4"/>
    <mergeCell ref="B5:E5"/>
    <mergeCell ref="G5:J5"/>
  </mergeCells>
  <conditionalFormatting sqref="D39:D63">
    <cfRule type="cellIs" dxfId="12" priority="2" operator="lessThan">
      <formula>$H$39</formula>
    </cfRule>
    <cfRule type="cellIs" dxfId="11" priority="3" operator="greaterThan">
      <formula>$G$39</formula>
    </cfRule>
  </conditionalFormatting>
  <conditionalFormatting sqref="E39:E63">
    <cfRule type="cellIs" dxfId="10" priority="4" operator="lessThan">
      <formula>$K$39</formula>
    </cfRule>
    <cfRule type="cellIs" dxfId="9" priority="5" operator="greaterThan">
      <formula>$J$39</formula>
    </cfRule>
  </conditionalFormatting>
  <pageMargins left="0.7" right="0.7" top="0.75" bottom="0.75" header="0.511811023622047" footer="0.511811023622047"/>
  <pageSetup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Z1000"/>
  <sheetViews>
    <sheetView showGridLines="0" zoomScale="79" zoomScaleNormal="79" workbookViewId="0">
      <selection activeCell="F53" sqref="F53"/>
    </sheetView>
  </sheetViews>
  <sheetFormatPr defaultColWidth="14.453125" defaultRowHeight="14.5" x14ac:dyDescent="0.35"/>
  <cols>
    <col min="1" max="1" width="8.7265625" customWidth="1"/>
    <col min="2" max="6" width="12.453125" customWidth="1"/>
    <col min="7" max="26" width="12.54296875" customWidth="1"/>
  </cols>
  <sheetData>
    <row r="1" spans="2:6" ht="14.25" customHeight="1" x14ac:dyDescent="0.35"/>
    <row r="2" spans="2:6" ht="14.25" customHeight="1" x14ac:dyDescent="0.35">
      <c r="B2" s="44" t="s">
        <v>203</v>
      </c>
      <c r="C2" s="107"/>
      <c r="D2" s="107"/>
      <c r="E2" s="107"/>
      <c r="F2" s="107"/>
    </row>
    <row r="3" spans="2:6" ht="14.25" customHeight="1" x14ac:dyDescent="0.35">
      <c r="B3" s="49" t="s">
        <v>104</v>
      </c>
    </row>
    <row r="4" spans="2:6" ht="14.25" customHeight="1" x14ac:dyDescent="0.35">
      <c r="B4" s="108" t="s">
        <v>204</v>
      </c>
      <c r="C4" s="108"/>
      <c r="D4" s="108"/>
      <c r="E4" s="108"/>
    </row>
    <row r="5" spans="2:6" ht="14.25" customHeight="1" x14ac:dyDescent="0.35">
      <c r="B5" s="109" t="s">
        <v>108</v>
      </c>
      <c r="C5" s="109"/>
      <c r="D5" s="109"/>
      <c r="E5" s="109"/>
      <c r="F5" s="29"/>
    </row>
    <row r="6" spans="2:6" ht="14.25" customHeight="1" x14ac:dyDescent="0.35">
      <c r="B6" s="109" t="s">
        <v>109</v>
      </c>
      <c r="C6" s="109"/>
      <c r="D6" s="109"/>
      <c r="E6" s="109"/>
      <c r="F6" s="29"/>
    </row>
    <row r="7" spans="2:6" ht="14.25" customHeight="1" x14ac:dyDescent="0.35">
      <c r="B7" s="110" t="s">
        <v>110</v>
      </c>
      <c r="C7" s="110"/>
      <c r="D7" s="110"/>
      <c r="E7" s="110"/>
      <c r="F7" s="29"/>
    </row>
    <row r="8" spans="2:6" ht="14.25" customHeight="1" x14ac:dyDescent="0.35">
      <c r="B8" s="110" t="s">
        <v>111</v>
      </c>
      <c r="C8" s="110"/>
      <c r="D8" s="110"/>
      <c r="E8" s="110"/>
      <c r="F8" s="29"/>
    </row>
    <row r="9" spans="2:6" ht="14.25" customHeight="1" x14ac:dyDescent="0.35">
      <c r="B9" s="110" t="s">
        <v>112</v>
      </c>
      <c r="C9" s="110"/>
      <c r="D9" s="110"/>
      <c r="E9" s="110"/>
      <c r="F9" s="29"/>
    </row>
    <row r="10" spans="2:6" ht="14.25" customHeight="1" x14ac:dyDescent="0.35"/>
    <row r="11" spans="2:6" ht="14.25" customHeight="1" x14ac:dyDescent="0.35"/>
    <row r="12" spans="2:6" ht="14.25" customHeight="1" x14ac:dyDescent="0.35"/>
    <row r="13" spans="2:6" ht="14.25" customHeight="1" x14ac:dyDescent="0.35"/>
    <row r="14" spans="2:6" ht="14.25" customHeight="1" x14ac:dyDescent="0.35"/>
    <row r="15" spans="2:6" ht="14.25" customHeight="1" x14ac:dyDescent="0.35"/>
    <row r="16" spans="2:6" ht="14.25" customHeight="1" x14ac:dyDescent="0.35"/>
    <row r="17" spans="2:6" ht="14.25" customHeight="1" x14ac:dyDescent="0.35"/>
    <row r="18" spans="2:6" ht="14.25" customHeight="1" x14ac:dyDescent="0.35"/>
    <row r="19" spans="2:6" ht="14.25" customHeight="1" x14ac:dyDescent="0.35"/>
    <row r="20" spans="2:6" ht="14.25" customHeight="1" x14ac:dyDescent="0.35"/>
    <row r="21" spans="2:6" ht="14.25" customHeight="1" x14ac:dyDescent="0.35"/>
    <row r="22" spans="2:6" ht="14.25" customHeight="1" x14ac:dyDescent="0.35"/>
    <row r="23" spans="2:6" ht="14.25" customHeight="1" x14ac:dyDescent="0.35"/>
    <row r="24" spans="2:6" ht="14.25" customHeight="1" x14ac:dyDescent="0.35"/>
    <row r="25" spans="2:6" ht="14.25" customHeight="1" x14ac:dyDescent="0.35"/>
    <row r="26" spans="2:6" ht="14.25" customHeight="1" x14ac:dyDescent="0.35"/>
    <row r="27" spans="2:6" ht="14.25" customHeight="1" x14ac:dyDescent="0.35">
      <c r="B27" s="111" t="s">
        <v>205</v>
      </c>
      <c r="C27" s="111"/>
      <c r="D27" s="111"/>
      <c r="E27" s="111"/>
      <c r="F27" s="111"/>
    </row>
    <row r="28" spans="2:6" ht="14.25" customHeight="1" x14ac:dyDescent="0.35">
      <c r="B28" s="111"/>
      <c r="C28" s="111"/>
      <c r="D28" s="111"/>
      <c r="E28" s="111"/>
      <c r="F28" s="111"/>
    </row>
    <row r="29" spans="2:6" ht="14.25" customHeight="1" x14ac:dyDescent="0.35">
      <c r="B29" s="113" t="s">
        <v>114</v>
      </c>
      <c r="C29" s="65" t="s">
        <v>115</v>
      </c>
      <c r="D29" s="66">
        <v>25</v>
      </c>
      <c r="E29" s="67"/>
      <c r="F29" s="67"/>
    </row>
    <row r="30" spans="2:6" ht="14.25" customHeight="1" x14ac:dyDescent="0.35">
      <c r="B30" s="113"/>
      <c r="C30" s="29" t="s">
        <v>55</v>
      </c>
      <c r="D30" s="68">
        <v>1</v>
      </c>
      <c r="E30" s="26"/>
      <c r="F30" s="26"/>
    </row>
    <row r="31" spans="2:6" ht="14.25" customHeight="1" x14ac:dyDescent="0.35">
      <c r="B31" s="113"/>
      <c r="C31" s="29" t="s">
        <v>206</v>
      </c>
      <c r="D31" s="69">
        <v>8.64</v>
      </c>
      <c r="E31" s="70"/>
      <c r="F31" s="70"/>
    </row>
    <row r="32" spans="2:6" ht="14.25" customHeight="1" x14ac:dyDescent="0.35">
      <c r="B32" s="113"/>
      <c r="C32" s="29" t="s">
        <v>207</v>
      </c>
      <c r="D32" s="69">
        <v>17.458162999999999</v>
      </c>
      <c r="E32" s="70"/>
      <c r="F32" s="70"/>
    </row>
    <row r="33" spans="1:26" ht="14.25" customHeight="1" x14ac:dyDescent="0.35">
      <c r="B33" s="113"/>
      <c r="C33" s="29" t="s">
        <v>208</v>
      </c>
      <c r="D33" s="69">
        <v>0</v>
      </c>
      <c r="E33" s="70"/>
      <c r="F33" s="70"/>
    </row>
    <row r="34" spans="1:26" ht="14.25" customHeight="1" x14ac:dyDescent="0.35">
      <c r="B34" s="29"/>
      <c r="C34" s="29"/>
      <c r="D34" s="29"/>
      <c r="E34" s="29"/>
      <c r="F34" s="29"/>
    </row>
    <row r="35" spans="1:26" ht="14.25" customHeight="1" x14ac:dyDescent="0.35">
      <c r="A35" s="28"/>
      <c r="B35" s="32" t="s">
        <v>30</v>
      </c>
      <c r="C35" s="32" t="s">
        <v>209</v>
      </c>
      <c r="D35" s="32" t="s">
        <v>210</v>
      </c>
      <c r="E35" s="32" t="s">
        <v>207</v>
      </c>
      <c r="F35" s="32" t="s">
        <v>208</v>
      </c>
      <c r="G35" s="28"/>
      <c r="H35" s="28"/>
      <c r="I35" s="28"/>
      <c r="J35" s="28"/>
      <c r="K35" s="28"/>
      <c r="L35" s="28"/>
      <c r="M35" s="28"/>
      <c r="N35" s="28"/>
      <c r="O35" s="28"/>
      <c r="P35" s="28"/>
      <c r="Q35" s="28"/>
      <c r="R35" s="28"/>
      <c r="S35" s="28"/>
      <c r="T35" s="28"/>
      <c r="U35" s="28"/>
      <c r="V35" s="28"/>
      <c r="W35" s="28"/>
      <c r="X35" s="28"/>
      <c r="Y35" s="28"/>
      <c r="Z35" s="28"/>
    </row>
    <row r="36" spans="1:26" ht="14.25" customHeight="1" x14ac:dyDescent="0.35">
      <c r="B36" s="29">
        <v>1</v>
      </c>
      <c r="C36" s="91">
        <v>5</v>
      </c>
      <c r="D36" s="39">
        <f t="shared" ref="D36:D60" si="0">$D$31</f>
        <v>8.64</v>
      </c>
      <c r="E36" s="39">
        <f t="shared" ref="E36:E60" si="1">$D$32</f>
        <v>17.458162999999999</v>
      </c>
      <c r="F36" s="39">
        <f t="shared" ref="F36:F60" si="2">$D$33</f>
        <v>0</v>
      </c>
    </row>
    <row r="37" spans="1:26" ht="14.25" customHeight="1" x14ac:dyDescent="0.35">
      <c r="B37" s="29">
        <v>2</v>
      </c>
      <c r="C37" s="91">
        <v>6</v>
      </c>
      <c r="D37" s="39">
        <f t="shared" si="0"/>
        <v>8.64</v>
      </c>
      <c r="E37" s="39">
        <f t="shared" si="1"/>
        <v>17.458162999999999</v>
      </c>
      <c r="F37" s="39">
        <f t="shared" si="2"/>
        <v>0</v>
      </c>
    </row>
    <row r="38" spans="1:26" ht="14.25" customHeight="1" x14ac:dyDescent="0.35">
      <c r="B38" s="29">
        <v>3</v>
      </c>
      <c r="C38" s="91">
        <v>10</v>
      </c>
      <c r="D38" s="39">
        <f t="shared" si="0"/>
        <v>8.64</v>
      </c>
      <c r="E38" s="39">
        <f t="shared" si="1"/>
        <v>17.458162999999999</v>
      </c>
      <c r="F38" s="39">
        <f t="shared" si="2"/>
        <v>0</v>
      </c>
    </row>
    <row r="39" spans="1:26" ht="14.25" customHeight="1" x14ac:dyDescent="0.35">
      <c r="B39" s="29">
        <v>4</v>
      </c>
      <c r="C39" s="91">
        <v>8</v>
      </c>
      <c r="D39" s="39">
        <f t="shared" si="0"/>
        <v>8.64</v>
      </c>
      <c r="E39" s="39">
        <f t="shared" si="1"/>
        <v>17.458162999999999</v>
      </c>
      <c r="F39" s="39">
        <f t="shared" si="2"/>
        <v>0</v>
      </c>
    </row>
    <row r="40" spans="1:26" ht="14.25" customHeight="1" x14ac:dyDescent="0.35">
      <c r="B40" s="29">
        <v>5</v>
      </c>
      <c r="C40" s="91">
        <v>8</v>
      </c>
      <c r="D40" s="39">
        <f t="shared" si="0"/>
        <v>8.64</v>
      </c>
      <c r="E40" s="39">
        <f t="shared" si="1"/>
        <v>17.458162999999999</v>
      </c>
      <c r="F40" s="39">
        <f t="shared" si="2"/>
        <v>0</v>
      </c>
    </row>
    <row r="41" spans="1:26" ht="14.25" customHeight="1" x14ac:dyDescent="0.35">
      <c r="B41" s="29">
        <v>6</v>
      </c>
      <c r="C41" s="91">
        <v>5</v>
      </c>
      <c r="D41" s="39">
        <f t="shared" si="0"/>
        <v>8.64</v>
      </c>
      <c r="E41" s="39">
        <f t="shared" si="1"/>
        <v>17.458162999999999</v>
      </c>
      <c r="F41" s="39">
        <f t="shared" si="2"/>
        <v>0</v>
      </c>
    </row>
    <row r="42" spans="1:26" ht="14.25" customHeight="1" x14ac:dyDescent="0.35">
      <c r="B42" s="29">
        <v>7</v>
      </c>
      <c r="C42" s="91">
        <v>7</v>
      </c>
      <c r="D42" s="39">
        <f t="shared" si="0"/>
        <v>8.64</v>
      </c>
      <c r="E42" s="39">
        <f t="shared" si="1"/>
        <v>17.458162999999999</v>
      </c>
      <c r="F42" s="39">
        <f t="shared" si="2"/>
        <v>0</v>
      </c>
    </row>
    <row r="43" spans="1:26" ht="14.25" customHeight="1" x14ac:dyDescent="0.35">
      <c r="B43" s="29">
        <v>8</v>
      </c>
      <c r="C43" s="91">
        <v>12</v>
      </c>
      <c r="D43" s="39">
        <f t="shared" si="0"/>
        <v>8.64</v>
      </c>
      <c r="E43" s="39">
        <f t="shared" si="1"/>
        <v>17.458162999999999</v>
      </c>
      <c r="F43" s="39">
        <f t="shared" si="2"/>
        <v>0</v>
      </c>
    </row>
    <row r="44" spans="1:26" ht="14.25" customHeight="1" x14ac:dyDescent="0.35">
      <c r="B44" s="29">
        <v>9</v>
      </c>
      <c r="C44" s="91">
        <v>8</v>
      </c>
      <c r="D44" s="39">
        <f t="shared" si="0"/>
        <v>8.64</v>
      </c>
      <c r="E44" s="39">
        <f t="shared" si="1"/>
        <v>17.458162999999999</v>
      </c>
      <c r="F44" s="39">
        <f t="shared" si="2"/>
        <v>0</v>
      </c>
    </row>
    <row r="45" spans="1:26" ht="14.25" customHeight="1" x14ac:dyDescent="0.35">
      <c r="B45" s="29">
        <v>10</v>
      </c>
      <c r="C45" s="91">
        <v>7</v>
      </c>
      <c r="D45" s="39">
        <f t="shared" si="0"/>
        <v>8.64</v>
      </c>
      <c r="E45" s="39">
        <f t="shared" si="1"/>
        <v>17.458162999999999</v>
      </c>
      <c r="F45" s="39">
        <f t="shared" si="2"/>
        <v>0</v>
      </c>
    </row>
    <row r="46" spans="1:26" ht="14.25" customHeight="1" x14ac:dyDescent="0.35">
      <c r="B46" s="29">
        <v>11</v>
      </c>
      <c r="C46" s="91">
        <v>5</v>
      </c>
      <c r="D46" s="39">
        <f t="shared" si="0"/>
        <v>8.64</v>
      </c>
      <c r="E46" s="39">
        <f t="shared" si="1"/>
        <v>17.458162999999999</v>
      </c>
      <c r="F46" s="39">
        <f t="shared" si="2"/>
        <v>0</v>
      </c>
    </row>
    <row r="47" spans="1:26" ht="14.25" customHeight="1" x14ac:dyDescent="0.35">
      <c r="B47" s="29">
        <v>12</v>
      </c>
      <c r="C47" s="91">
        <v>15</v>
      </c>
      <c r="D47" s="39">
        <f t="shared" si="0"/>
        <v>8.64</v>
      </c>
      <c r="E47" s="39">
        <f t="shared" si="1"/>
        <v>17.458162999999999</v>
      </c>
      <c r="F47" s="39">
        <f t="shared" si="2"/>
        <v>0</v>
      </c>
    </row>
    <row r="48" spans="1:26" ht="14.25" customHeight="1" x14ac:dyDescent="0.35">
      <c r="B48" s="29">
        <v>13</v>
      </c>
      <c r="C48" s="91">
        <v>5</v>
      </c>
      <c r="D48" s="39">
        <f t="shared" si="0"/>
        <v>8.64</v>
      </c>
      <c r="E48" s="39">
        <f t="shared" si="1"/>
        <v>17.458162999999999</v>
      </c>
      <c r="F48" s="39">
        <f t="shared" si="2"/>
        <v>0</v>
      </c>
    </row>
    <row r="49" spans="2:6" ht="14.25" customHeight="1" x14ac:dyDescent="0.35">
      <c r="B49" s="29">
        <v>14</v>
      </c>
      <c r="C49" s="91">
        <v>14</v>
      </c>
      <c r="D49" s="39">
        <f t="shared" si="0"/>
        <v>8.64</v>
      </c>
      <c r="E49" s="39">
        <f t="shared" si="1"/>
        <v>17.458162999999999</v>
      </c>
      <c r="F49" s="39">
        <f t="shared" si="2"/>
        <v>0</v>
      </c>
    </row>
    <row r="50" spans="2:6" ht="14.25" customHeight="1" x14ac:dyDescent="0.35">
      <c r="B50" s="29">
        <v>15</v>
      </c>
      <c r="C50" s="91">
        <v>11</v>
      </c>
      <c r="D50" s="39">
        <f t="shared" si="0"/>
        <v>8.64</v>
      </c>
      <c r="E50" s="39">
        <f t="shared" si="1"/>
        <v>17.458162999999999</v>
      </c>
      <c r="F50" s="39">
        <f t="shared" si="2"/>
        <v>0</v>
      </c>
    </row>
    <row r="51" spans="2:6" ht="14.25" customHeight="1" x14ac:dyDescent="0.35">
      <c r="B51" s="29">
        <v>16</v>
      </c>
      <c r="C51" s="91">
        <v>11</v>
      </c>
      <c r="D51" s="39">
        <f t="shared" si="0"/>
        <v>8.64</v>
      </c>
      <c r="E51" s="39">
        <f t="shared" si="1"/>
        <v>17.458162999999999</v>
      </c>
      <c r="F51" s="39">
        <f t="shared" si="2"/>
        <v>0</v>
      </c>
    </row>
    <row r="52" spans="2:6" ht="14.25" customHeight="1" x14ac:dyDescent="0.35">
      <c r="B52" s="29">
        <v>17</v>
      </c>
      <c r="C52" s="91">
        <v>5</v>
      </c>
      <c r="D52" s="39">
        <f t="shared" si="0"/>
        <v>8.64</v>
      </c>
      <c r="E52" s="39">
        <f t="shared" si="1"/>
        <v>17.458162999999999</v>
      </c>
      <c r="F52" s="39">
        <f t="shared" si="2"/>
        <v>0</v>
      </c>
    </row>
    <row r="53" spans="2:6" ht="14.25" customHeight="1" x14ac:dyDescent="0.35">
      <c r="B53" s="29">
        <v>18</v>
      </c>
      <c r="C53" s="91">
        <v>7</v>
      </c>
      <c r="D53" s="39">
        <f t="shared" si="0"/>
        <v>8.64</v>
      </c>
      <c r="E53" s="39">
        <f t="shared" si="1"/>
        <v>17.458162999999999</v>
      </c>
      <c r="F53" s="39">
        <f t="shared" si="2"/>
        <v>0</v>
      </c>
    </row>
    <row r="54" spans="2:6" ht="14.25" customHeight="1" x14ac:dyDescent="0.35">
      <c r="B54" s="29">
        <v>19</v>
      </c>
      <c r="C54" s="91">
        <v>15</v>
      </c>
      <c r="D54" s="39">
        <f t="shared" si="0"/>
        <v>8.64</v>
      </c>
      <c r="E54" s="39">
        <f t="shared" si="1"/>
        <v>17.458162999999999</v>
      </c>
      <c r="F54" s="39">
        <f t="shared" si="2"/>
        <v>0</v>
      </c>
    </row>
    <row r="55" spans="2:6" ht="14.25" customHeight="1" x14ac:dyDescent="0.35">
      <c r="B55" s="29">
        <v>20</v>
      </c>
      <c r="C55" s="91">
        <v>5</v>
      </c>
      <c r="D55" s="39">
        <f t="shared" si="0"/>
        <v>8.64</v>
      </c>
      <c r="E55" s="39">
        <f t="shared" si="1"/>
        <v>17.458162999999999</v>
      </c>
      <c r="F55" s="39">
        <f t="shared" si="2"/>
        <v>0</v>
      </c>
    </row>
    <row r="56" spans="2:6" ht="14.25" customHeight="1" x14ac:dyDescent="0.35">
      <c r="B56" s="29">
        <v>21</v>
      </c>
      <c r="C56" s="91">
        <v>6</v>
      </c>
      <c r="D56" s="39">
        <f t="shared" si="0"/>
        <v>8.64</v>
      </c>
      <c r="E56" s="39">
        <f t="shared" si="1"/>
        <v>17.458162999999999</v>
      </c>
      <c r="F56" s="39">
        <f t="shared" si="2"/>
        <v>0</v>
      </c>
    </row>
    <row r="57" spans="2:6" ht="14.25" customHeight="1" x14ac:dyDescent="0.35">
      <c r="B57" s="29">
        <v>22</v>
      </c>
      <c r="C57" s="91">
        <v>15</v>
      </c>
      <c r="D57" s="39">
        <f t="shared" si="0"/>
        <v>8.64</v>
      </c>
      <c r="E57" s="39">
        <f t="shared" si="1"/>
        <v>17.458162999999999</v>
      </c>
      <c r="F57" s="39">
        <f t="shared" si="2"/>
        <v>0</v>
      </c>
    </row>
    <row r="58" spans="2:6" ht="14.25" customHeight="1" x14ac:dyDescent="0.35">
      <c r="B58" s="29">
        <v>23</v>
      </c>
      <c r="C58" s="91">
        <v>6</v>
      </c>
      <c r="D58" s="39">
        <f t="shared" si="0"/>
        <v>8.64</v>
      </c>
      <c r="E58" s="39">
        <f t="shared" si="1"/>
        <v>17.458162999999999</v>
      </c>
      <c r="F58" s="39">
        <f t="shared" si="2"/>
        <v>0</v>
      </c>
    </row>
    <row r="59" spans="2:6" ht="14.25" customHeight="1" x14ac:dyDescent="0.35">
      <c r="B59" s="29">
        <v>24</v>
      </c>
      <c r="C59" s="91">
        <v>12</v>
      </c>
      <c r="D59" s="39">
        <f t="shared" si="0"/>
        <v>8.64</v>
      </c>
      <c r="E59" s="39">
        <f t="shared" si="1"/>
        <v>17.458162999999999</v>
      </c>
      <c r="F59" s="39">
        <f t="shared" si="2"/>
        <v>0</v>
      </c>
    </row>
    <row r="60" spans="2:6" ht="14.25" customHeight="1" x14ac:dyDescent="0.35">
      <c r="B60" s="29">
        <v>25</v>
      </c>
      <c r="C60" s="91">
        <v>8</v>
      </c>
      <c r="D60" s="39">
        <f t="shared" si="0"/>
        <v>8.64</v>
      </c>
      <c r="E60" s="39">
        <f t="shared" si="1"/>
        <v>17.458162999999999</v>
      </c>
      <c r="F60" s="39">
        <f t="shared" si="2"/>
        <v>0</v>
      </c>
    </row>
    <row r="61" spans="2:6" ht="14.25" customHeight="1" x14ac:dyDescent="0.35">
      <c r="B61" s="76"/>
      <c r="C61" s="76"/>
      <c r="D61" s="76"/>
      <c r="E61" s="76"/>
      <c r="F61" s="76"/>
    </row>
    <row r="62" spans="2:6" ht="14.25" customHeight="1" x14ac:dyDescent="0.35"/>
    <row r="63" spans="2:6" ht="14.25" customHeight="1" x14ac:dyDescent="0.35"/>
    <row r="64" spans="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
    <mergeCell ref="B8:E8"/>
    <mergeCell ref="B9:E9"/>
    <mergeCell ref="B27:F28"/>
    <mergeCell ref="B29:B33"/>
    <mergeCell ref="C2:F2"/>
    <mergeCell ref="B4:E4"/>
    <mergeCell ref="B5:E5"/>
    <mergeCell ref="B6:E6"/>
    <mergeCell ref="B7:E7"/>
  </mergeCells>
  <conditionalFormatting sqref="C36:C60">
    <cfRule type="cellIs" dxfId="8" priority="2" operator="lessThan">
      <formula>$F$36</formula>
    </cfRule>
    <cfRule type="cellIs" dxfId="7" priority="3" operator="greaterThan">
      <formula>$E$36</formula>
    </cfRule>
  </conditionalFormatting>
  <pageMargins left="0.7" right="0.7" top="0.75" bottom="0.75" header="0.511811023622047" footer="0.511811023622047"/>
  <pageSetup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Z1000"/>
  <sheetViews>
    <sheetView showGridLines="0" zoomScale="127" zoomScaleNormal="127" workbookViewId="0">
      <selection activeCell="D29" sqref="D29"/>
    </sheetView>
  </sheetViews>
  <sheetFormatPr defaultColWidth="14.453125" defaultRowHeight="14.5" x14ac:dyDescent="0.35"/>
  <cols>
    <col min="1" max="1" width="8.7265625" customWidth="1"/>
    <col min="2" max="7" width="12.453125" customWidth="1"/>
    <col min="8" max="26" width="12.54296875" customWidth="1"/>
  </cols>
  <sheetData>
    <row r="1" spans="2:7" ht="14.25" customHeight="1" x14ac:dyDescent="0.35"/>
    <row r="2" spans="2:7" ht="14.25" customHeight="1" x14ac:dyDescent="0.35">
      <c r="B2" s="44" t="s">
        <v>211</v>
      </c>
      <c r="C2" s="107"/>
      <c r="D2" s="107"/>
      <c r="E2" s="107"/>
      <c r="F2" s="107"/>
    </row>
    <row r="3" spans="2:7" ht="14.25" customHeight="1" x14ac:dyDescent="0.35">
      <c r="B3" s="49" t="s">
        <v>104</v>
      </c>
    </row>
    <row r="4" spans="2:7" ht="14.25" customHeight="1" x14ac:dyDescent="0.35">
      <c r="B4" s="108" t="s">
        <v>212</v>
      </c>
      <c r="C4" s="108"/>
      <c r="D4" s="108"/>
      <c r="E4" s="108"/>
      <c r="F4" s="108"/>
    </row>
    <row r="5" spans="2:7" ht="14.25" customHeight="1" x14ac:dyDescent="0.35">
      <c r="B5" s="109" t="s">
        <v>108</v>
      </c>
      <c r="C5" s="109"/>
      <c r="D5" s="109"/>
      <c r="E5" s="109"/>
      <c r="F5" s="109"/>
      <c r="G5" s="29"/>
    </row>
    <row r="6" spans="2:7" ht="14.25" customHeight="1" x14ac:dyDescent="0.35">
      <c r="B6" s="109" t="s">
        <v>109</v>
      </c>
      <c r="C6" s="109"/>
      <c r="D6" s="109"/>
      <c r="E6" s="109"/>
      <c r="F6" s="109"/>
      <c r="G6" s="29"/>
    </row>
    <row r="7" spans="2:7" ht="14.25" customHeight="1" x14ac:dyDescent="0.35">
      <c r="B7" s="110" t="s">
        <v>110</v>
      </c>
      <c r="C7" s="110"/>
      <c r="D7" s="110"/>
      <c r="E7" s="110"/>
      <c r="F7" s="110"/>
      <c r="G7" s="29"/>
    </row>
    <row r="8" spans="2:7" ht="14.25" customHeight="1" x14ac:dyDescent="0.35">
      <c r="B8" s="110" t="s">
        <v>111</v>
      </c>
      <c r="C8" s="110"/>
      <c r="D8" s="110"/>
      <c r="E8" s="110"/>
      <c r="F8" s="110"/>
      <c r="G8" s="29"/>
    </row>
    <row r="9" spans="2:7" ht="14.25" customHeight="1" x14ac:dyDescent="0.35">
      <c r="B9" s="110" t="s">
        <v>112</v>
      </c>
      <c r="C9" s="110"/>
      <c r="D9" s="110"/>
      <c r="E9" s="110"/>
      <c r="F9" s="110"/>
      <c r="G9" s="29"/>
    </row>
    <row r="10" spans="2:7" ht="14.25" customHeight="1" x14ac:dyDescent="0.35"/>
    <row r="11" spans="2:7" ht="14.25" customHeight="1" x14ac:dyDescent="0.35"/>
    <row r="12" spans="2:7" ht="14.25" customHeight="1" x14ac:dyDescent="0.35"/>
    <row r="13" spans="2:7" ht="14.25" customHeight="1" x14ac:dyDescent="0.35"/>
    <row r="14" spans="2:7" ht="14.25" customHeight="1" x14ac:dyDescent="0.35"/>
    <row r="15" spans="2:7" ht="14.25" customHeight="1" x14ac:dyDescent="0.35"/>
    <row r="16" spans="2:7" ht="14.25" customHeight="1" x14ac:dyDescent="0.35"/>
    <row r="17" spans="2:7" ht="14.25" customHeight="1" x14ac:dyDescent="0.35"/>
    <row r="18" spans="2:7" ht="14.25" customHeight="1" x14ac:dyDescent="0.35"/>
    <row r="19" spans="2:7" ht="14.25" customHeight="1" x14ac:dyDescent="0.35"/>
    <row r="20" spans="2:7" ht="14.25" customHeight="1" x14ac:dyDescent="0.35"/>
    <row r="21" spans="2:7" ht="14.25" customHeight="1" x14ac:dyDescent="0.35"/>
    <row r="22" spans="2:7" ht="14.25" customHeight="1" x14ac:dyDescent="0.35"/>
    <row r="23" spans="2:7" ht="14.25" customHeight="1" x14ac:dyDescent="0.35"/>
    <row r="24" spans="2:7" ht="14.25" customHeight="1" x14ac:dyDescent="0.35"/>
    <row r="25" spans="2:7" ht="14.25" customHeight="1" x14ac:dyDescent="0.35"/>
    <row r="26" spans="2:7" ht="14.25" customHeight="1" x14ac:dyDescent="0.35"/>
    <row r="27" spans="2:7" ht="14.25" customHeight="1" x14ac:dyDescent="0.35">
      <c r="B27" s="111" t="s">
        <v>213</v>
      </c>
      <c r="C27" s="111"/>
      <c r="D27" s="111"/>
      <c r="E27" s="111"/>
      <c r="F27" s="111"/>
      <c r="G27" s="111"/>
    </row>
    <row r="28" spans="2:7" ht="14.25" customHeight="1" x14ac:dyDescent="0.35">
      <c r="B28" s="111"/>
      <c r="C28" s="111"/>
      <c r="D28" s="111"/>
      <c r="E28" s="111"/>
      <c r="F28" s="111"/>
      <c r="G28" s="111"/>
    </row>
    <row r="29" spans="2:7" ht="14.25" customHeight="1" x14ac:dyDescent="0.35">
      <c r="B29" s="112" t="s">
        <v>114</v>
      </c>
      <c r="C29" s="65" t="s">
        <v>115</v>
      </c>
      <c r="D29" s="66">
        <v>25</v>
      </c>
      <c r="E29" s="67"/>
      <c r="F29" s="67"/>
      <c r="G29" s="67"/>
    </row>
    <row r="30" spans="2:7" ht="14.25" customHeight="1" x14ac:dyDescent="0.35">
      <c r="B30" s="112"/>
      <c r="C30" s="29" t="s">
        <v>55</v>
      </c>
      <c r="D30" s="68">
        <v>100</v>
      </c>
      <c r="E30" s="26"/>
      <c r="F30" s="26"/>
      <c r="G30" s="26"/>
    </row>
    <row r="31" spans="2:7" ht="14.25" customHeight="1" x14ac:dyDescent="0.35">
      <c r="B31" s="112"/>
      <c r="C31" s="29" t="s">
        <v>214</v>
      </c>
      <c r="D31" s="69">
        <v>9.0399999999999994E-2</v>
      </c>
      <c r="E31" s="70"/>
      <c r="F31" s="70"/>
      <c r="G31" s="70"/>
    </row>
    <row r="32" spans="2:7" ht="14.25" customHeight="1" x14ac:dyDescent="0.35">
      <c r="B32" s="112"/>
      <c r="C32" s="29" t="s">
        <v>215</v>
      </c>
      <c r="D32" s="69">
        <v>0.18060000000000001</v>
      </c>
      <c r="E32" s="70"/>
      <c r="F32" s="70"/>
      <c r="G32" s="70"/>
    </row>
    <row r="33" spans="1:26" ht="14.25" customHeight="1" x14ac:dyDescent="0.35">
      <c r="B33" s="112"/>
      <c r="C33" s="71" t="s">
        <v>216</v>
      </c>
      <c r="D33" s="73">
        <v>2.0000000000000001E-4</v>
      </c>
      <c r="E33" s="72"/>
      <c r="F33" s="72"/>
      <c r="G33" s="72"/>
    </row>
    <row r="34" spans="1:26" ht="14.25" customHeight="1" x14ac:dyDescent="0.35">
      <c r="B34" s="29"/>
      <c r="C34" s="29"/>
      <c r="D34" s="29"/>
      <c r="E34" s="29"/>
      <c r="F34" s="29"/>
      <c r="G34" s="29"/>
    </row>
    <row r="35" spans="1:26" ht="14.25" customHeight="1" x14ac:dyDescent="0.35">
      <c r="A35" s="28"/>
      <c r="B35" s="32" t="s">
        <v>30</v>
      </c>
      <c r="C35" s="32" t="s">
        <v>217</v>
      </c>
      <c r="D35" s="32" t="s">
        <v>218</v>
      </c>
      <c r="E35" s="32" t="s">
        <v>219</v>
      </c>
      <c r="F35" s="32" t="s">
        <v>215</v>
      </c>
      <c r="G35" s="32" t="s">
        <v>216</v>
      </c>
      <c r="H35" s="28"/>
      <c r="I35" s="28"/>
      <c r="J35" s="28"/>
      <c r="K35" s="28"/>
      <c r="L35" s="28"/>
      <c r="M35" s="28"/>
      <c r="N35" s="28"/>
      <c r="O35" s="28"/>
      <c r="P35" s="28"/>
      <c r="Q35" s="28"/>
      <c r="R35" s="28"/>
      <c r="S35" s="28"/>
      <c r="T35" s="28"/>
      <c r="U35" s="28"/>
      <c r="V35" s="28"/>
      <c r="W35" s="28"/>
      <c r="X35" s="28"/>
      <c r="Y35" s="28"/>
      <c r="Z35" s="28"/>
    </row>
    <row r="36" spans="1:26" ht="14.25" customHeight="1" x14ac:dyDescent="0.35">
      <c r="B36" s="29">
        <v>1</v>
      </c>
      <c r="C36" s="91">
        <v>12</v>
      </c>
      <c r="D36" s="74">
        <v>0.12</v>
      </c>
      <c r="E36" s="39">
        <f t="shared" ref="E36:E60" si="0">$D$31</f>
        <v>9.0399999999999994E-2</v>
      </c>
      <c r="F36" s="39">
        <f t="shared" ref="F36:F60" si="1">$D$32</f>
        <v>0.18060000000000001</v>
      </c>
      <c r="G36" s="39">
        <f t="shared" ref="G36:G60" si="2">$D$33</f>
        <v>2.0000000000000001E-4</v>
      </c>
    </row>
    <row r="37" spans="1:26" ht="14.25" customHeight="1" x14ac:dyDescent="0.35">
      <c r="B37" s="29">
        <v>2</v>
      </c>
      <c r="C37" s="91">
        <v>7</v>
      </c>
      <c r="D37" s="74">
        <v>7.0000000000000007E-2</v>
      </c>
      <c r="E37" s="39">
        <f t="shared" si="0"/>
        <v>9.0399999999999994E-2</v>
      </c>
      <c r="F37" s="39">
        <f t="shared" si="1"/>
        <v>0.18060000000000001</v>
      </c>
      <c r="G37" s="39">
        <f t="shared" si="2"/>
        <v>2.0000000000000001E-4</v>
      </c>
    </row>
    <row r="38" spans="1:26" ht="14.25" customHeight="1" x14ac:dyDescent="0.35">
      <c r="B38" s="29">
        <v>3</v>
      </c>
      <c r="C38" s="91">
        <v>5</v>
      </c>
      <c r="D38" s="74">
        <v>0.05</v>
      </c>
      <c r="E38" s="39">
        <f t="shared" si="0"/>
        <v>9.0399999999999994E-2</v>
      </c>
      <c r="F38" s="39">
        <f t="shared" si="1"/>
        <v>0.18060000000000001</v>
      </c>
      <c r="G38" s="39">
        <f t="shared" si="2"/>
        <v>2.0000000000000001E-4</v>
      </c>
    </row>
    <row r="39" spans="1:26" ht="14.25" customHeight="1" x14ac:dyDescent="0.35">
      <c r="B39" s="29">
        <v>4</v>
      </c>
      <c r="C39" s="91">
        <v>12</v>
      </c>
      <c r="D39" s="74">
        <v>0.12</v>
      </c>
      <c r="E39" s="39">
        <f t="shared" si="0"/>
        <v>9.0399999999999994E-2</v>
      </c>
      <c r="F39" s="39">
        <f t="shared" si="1"/>
        <v>0.18060000000000001</v>
      </c>
      <c r="G39" s="39">
        <f t="shared" si="2"/>
        <v>2.0000000000000001E-4</v>
      </c>
    </row>
    <row r="40" spans="1:26" ht="14.25" customHeight="1" x14ac:dyDescent="0.35">
      <c r="B40" s="29">
        <v>5</v>
      </c>
      <c r="C40" s="91">
        <v>4</v>
      </c>
      <c r="D40" s="74">
        <v>0.04</v>
      </c>
      <c r="E40" s="39">
        <f t="shared" si="0"/>
        <v>9.0399999999999994E-2</v>
      </c>
      <c r="F40" s="39">
        <f t="shared" si="1"/>
        <v>0.18060000000000001</v>
      </c>
      <c r="G40" s="39">
        <f t="shared" si="2"/>
        <v>2.0000000000000001E-4</v>
      </c>
    </row>
    <row r="41" spans="1:26" ht="14.25" customHeight="1" x14ac:dyDescent="0.35">
      <c r="B41" s="29">
        <v>6</v>
      </c>
      <c r="C41" s="91">
        <v>3</v>
      </c>
      <c r="D41" s="74">
        <v>0.03</v>
      </c>
      <c r="E41" s="39">
        <f t="shared" si="0"/>
        <v>9.0399999999999994E-2</v>
      </c>
      <c r="F41" s="39">
        <f t="shared" si="1"/>
        <v>0.18060000000000001</v>
      </c>
      <c r="G41" s="39">
        <f t="shared" si="2"/>
        <v>2.0000000000000001E-4</v>
      </c>
    </row>
    <row r="42" spans="1:26" ht="14.25" customHeight="1" x14ac:dyDescent="0.35">
      <c r="B42" s="29">
        <v>7</v>
      </c>
      <c r="C42" s="91">
        <v>12</v>
      </c>
      <c r="D42" s="74">
        <v>0.12</v>
      </c>
      <c r="E42" s="39">
        <f t="shared" si="0"/>
        <v>9.0399999999999994E-2</v>
      </c>
      <c r="F42" s="39">
        <f t="shared" si="1"/>
        <v>0.18060000000000001</v>
      </c>
      <c r="G42" s="39">
        <f t="shared" si="2"/>
        <v>2.0000000000000001E-4</v>
      </c>
    </row>
    <row r="43" spans="1:26" ht="14.25" customHeight="1" x14ac:dyDescent="0.35">
      <c r="B43" s="29">
        <v>8</v>
      </c>
      <c r="C43" s="91">
        <v>12</v>
      </c>
      <c r="D43" s="74">
        <v>0.12</v>
      </c>
      <c r="E43" s="39">
        <f t="shared" si="0"/>
        <v>9.0399999999999994E-2</v>
      </c>
      <c r="F43" s="39">
        <f t="shared" si="1"/>
        <v>0.18060000000000001</v>
      </c>
      <c r="G43" s="39">
        <f t="shared" si="2"/>
        <v>2.0000000000000001E-4</v>
      </c>
    </row>
    <row r="44" spans="1:26" ht="14.25" customHeight="1" x14ac:dyDescent="0.35">
      <c r="B44" s="29">
        <v>9</v>
      </c>
      <c r="C44" s="91">
        <v>12</v>
      </c>
      <c r="D44" s="74">
        <v>0.12</v>
      </c>
      <c r="E44" s="39">
        <f t="shared" si="0"/>
        <v>9.0399999999999994E-2</v>
      </c>
      <c r="F44" s="39">
        <f t="shared" si="1"/>
        <v>0.18060000000000001</v>
      </c>
      <c r="G44" s="39">
        <f t="shared" si="2"/>
        <v>2.0000000000000001E-4</v>
      </c>
    </row>
    <row r="45" spans="1:26" ht="14.25" customHeight="1" x14ac:dyDescent="0.35">
      <c r="B45" s="29">
        <v>10</v>
      </c>
      <c r="C45" s="91">
        <v>5</v>
      </c>
      <c r="D45" s="74">
        <v>0.05</v>
      </c>
      <c r="E45" s="39">
        <f t="shared" si="0"/>
        <v>9.0399999999999994E-2</v>
      </c>
      <c r="F45" s="39">
        <f t="shared" si="1"/>
        <v>0.18060000000000001</v>
      </c>
      <c r="G45" s="39">
        <f t="shared" si="2"/>
        <v>2.0000000000000001E-4</v>
      </c>
    </row>
    <row r="46" spans="1:26" ht="14.25" customHeight="1" x14ac:dyDescent="0.35">
      <c r="B46" s="29">
        <v>11</v>
      </c>
      <c r="C46" s="91">
        <v>4</v>
      </c>
      <c r="D46" s="74">
        <v>0.04</v>
      </c>
      <c r="E46" s="39">
        <f t="shared" si="0"/>
        <v>9.0399999999999994E-2</v>
      </c>
      <c r="F46" s="39">
        <f t="shared" si="1"/>
        <v>0.18060000000000001</v>
      </c>
      <c r="G46" s="39">
        <f t="shared" si="2"/>
        <v>2.0000000000000001E-4</v>
      </c>
    </row>
    <row r="47" spans="1:26" ht="14.25" customHeight="1" x14ac:dyDescent="0.35">
      <c r="B47" s="29">
        <v>12</v>
      </c>
      <c r="C47" s="91">
        <v>7</v>
      </c>
      <c r="D47" s="74">
        <v>7.0000000000000007E-2</v>
      </c>
      <c r="E47" s="39">
        <f t="shared" si="0"/>
        <v>9.0399999999999994E-2</v>
      </c>
      <c r="F47" s="39">
        <f t="shared" si="1"/>
        <v>0.18060000000000001</v>
      </c>
      <c r="G47" s="39">
        <f t="shared" si="2"/>
        <v>2.0000000000000001E-4</v>
      </c>
    </row>
    <row r="48" spans="1:26" ht="14.25" customHeight="1" x14ac:dyDescent="0.35">
      <c r="B48" s="29">
        <v>13</v>
      </c>
      <c r="C48" s="91">
        <v>9</v>
      </c>
      <c r="D48" s="74">
        <v>0.09</v>
      </c>
      <c r="E48" s="39">
        <f t="shared" si="0"/>
        <v>9.0399999999999994E-2</v>
      </c>
      <c r="F48" s="39">
        <f t="shared" si="1"/>
        <v>0.18060000000000001</v>
      </c>
      <c r="G48" s="39">
        <f t="shared" si="2"/>
        <v>2.0000000000000001E-4</v>
      </c>
    </row>
    <row r="49" spans="2:7" ht="14.25" customHeight="1" x14ac:dyDescent="0.35">
      <c r="B49" s="29">
        <v>14</v>
      </c>
      <c r="C49" s="91">
        <v>12</v>
      </c>
      <c r="D49" s="74">
        <v>0.12</v>
      </c>
      <c r="E49" s="39">
        <f t="shared" si="0"/>
        <v>9.0399999999999994E-2</v>
      </c>
      <c r="F49" s="39">
        <f t="shared" si="1"/>
        <v>0.18060000000000001</v>
      </c>
      <c r="G49" s="39">
        <f t="shared" si="2"/>
        <v>2.0000000000000001E-4</v>
      </c>
    </row>
    <row r="50" spans="2:7" ht="14.25" customHeight="1" x14ac:dyDescent="0.35">
      <c r="B50" s="29">
        <v>15</v>
      </c>
      <c r="C50" s="91">
        <v>7</v>
      </c>
      <c r="D50" s="74">
        <v>7.0000000000000007E-2</v>
      </c>
      <c r="E50" s="39">
        <f t="shared" si="0"/>
        <v>9.0399999999999994E-2</v>
      </c>
      <c r="F50" s="39">
        <f t="shared" si="1"/>
        <v>0.18060000000000001</v>
      </c>
      <c r="G50" s="39">
        <f t="shared" si="2"/>
        <v>2.0000000000000001E-4</v>
      </c>
    </row>
    <row r="51" spans="2:7" ht="14.25" customHeight="1" x14ac:dyDescent="0.35">
      <c r="B51" s="29">
        <v>16</v>
      </c>
      <c r="C51" s="91">
        <v>11</v>
      </c>
      <c r="D51" s="74">
        <v>0.11</v>
      </c>
      <c r="E51" s="39">
        <f t="shared" si="0"/>
        <v>9.0399999999999994E-2</v>
      </c>
      <c r="F51" s="39">
        <f t="shared" si="1"/>
        <v>0.18060000000000001</v>
      </c>
      <c r="G51" s="39">
        <f t="shared" si="2"/>
        <v>2.0000000000000001E-4</v>
      </c>
    </row>
    <row r="52" spans="2:7" ht="14.25" customHeight="1" x14ac:dyDescent="0.35">
      <c r="B52" s="29">
        <v>17</v>
      </c>
      <c r="C52" s="91">
        <v>8</v>
      </c>
      <c r="D52" s="74">
        <v>0.08</v>
      </c>
      <c r="E52" s="39">
        <f t="shared" si="0"/>
        <v>9.0399999999999994E-2</v>
      </c>
      <c r="F52" s="39">
        <f t="shared" si="1"/>
        <v>0.18060000000000001</v>
      </c>
      <c r="G52" s="39">
        <f t="shared" si="2"/>
        <v>2.0000000000000001E-4</v>
      </c>
    </row>
    <row r="53" spans="2:7" ht="14.25" customHeight="1" x14ac:dyDescent="0.35">
      <c r="B53" s="29">
        <v>18</v>
      </c>
      <c r="C53" s="91">
        <v>5</v>
      </c>
      <c r="D53" s="74">
        <v>0.05</v>
      </c>
      <c r="E53" s="39">
        <f t="shared" si="0"/>
        <v>9.0399999999999994E-2</v>
      </c>
      <c r="F53" s="39">
        <f t="shared" si="1"/>
        <v>0.18060000000000001</v>
      </c>
      <c r="G53" s="39">
        <f t="shared" si="2"/>
        <v>2.0000000000000001E-4</v>
      </c>
    </row>
    <row r="54" spans="2:7" ht="14.25" customHeight="1" x14ac:dyDescent="0.35">
      <c r="B54" s="29">
        <v>19</v>
      </c>
      <c r="C54" s="91">
        <v>12</v>
      </c>
      <c r="D54" s="74">
        <v>0.12</v>
      </c>
      <c r="E54" s="39">
        <f t="shared" si="0"/>
        <v>9.0399999999999994E-2</v>
      </c>
      <c r="F54" s="39">
        <f t="shared" si="1"/>
        <v>0.18060000000000001</v>
      </c>
      <c r="G54" s="39">
        <f t="shared" si="2"/>
        <v>2.0000000000000001E-4</v>
      </c>
    </row>
    <row r="55" spans="2:7" ht="14.25" customHeight="1" x14ac:dyDescent="0.35">
      <c r="B55" s="29">
        <v>20</v>
      </c>
      <c r="C55" s="91">
        <v>11</v>
      </c>
      <c r="D55" s="74">
        <v>0.11</v>
      </c>
      <c r="E55" s="39">
        <f t="shared" si="0"/>
        <v>9.0399999999999994E-2</v>
      </c>
      <c r="F55" s="39">
        <f t="shared" si="1"/>
        <v>0.18060000000000001</v>
      </c>
      <c r="G55" s="39">
        <f t="shared" si="2"/>
        <v>2.0000000000000001E-4</v>
      </c>
    </row>
    <row r="56" spans="2:7" ht="14.25" customHeight="1" x14ac:dyDescent="0.35">
      <c r="B56" s="29">
        <v>21</v>
      </c>
      <c r="C56" s="91">
        <v>7</v>
      </c>
      <c r="D56" s="74">
        <v>7.0000000000000007E-2</v>
      </c>
      <c r="E56" s="39">
        <f t="shared" si="0"/>
        <v>9.0399999999999994E-2</v>
      </c>
      <c r="F56" s="39">
        <f t="shared" si="1"/>
        <v>0.18060000000000001</v>
      </c>
      <c r="G56" s="39">
        <f t="shared" si="2"/>
        <v>2.0000000000000001E-4</v>
      </c>
    </row>
    <row r="57" spans="2:7" ht="14.25" customHeight="1" x14ac:dyDescent="0.35">
      <c r="B57" s="29">
        <v>22</v>
      </c>
      <c r="C57" s="91">
        <v>14</v>
      </c>
      <c r="D57" s="74">
        <v>0.14000000000000001</v>
      </c>
      <c r="E57" s="39">
        <f t="shared" si="0"/>
        <v>9.0399999999999994E-2</v>
      </c>
      <c r="F57" s="39">
        <f t="shared" si="1"/>
        <v>0.18060000000000001</v>
      </c>
      <c r="G57" s="39">
        <f t="shared" si="2"/>
        <v>2.0000000000000001E-4</v>
      </c>
    </row>
    <row r="58" spans="2:7" ht="14.25" customHeight="1" x14ac:dyDescent="0.35">
      <c r="B58" s="29">
        <v>23</v>
      </c>
      <c r="C58" s="91">
        <v>8</v>
      </c>
      <c r="D58" s="74">
        <v>0.08</v>
      </c>
      <c r="E58" s="39">
        <f t="shared" si="0"/>
        <v>9.0399999999999994E-2</v>
      </c>
      <c r="F58" s="39">
        <f t="shared" si="1"/>
        <v>0.18060000000000001</v>
      </c>
      <c r="G58" s="39">
        <f t="shared" si="2"/>
        <v>2.0000000000000001E-4</v>
      </c>
    </row>
    <row r="59" spans="2:7" ht="14.25" customHeight="1" x14ac:dyDescent="0.35">
      <c r="B59" s="29">
        <v>24</v>
      </c>
      <c r="C59" s="91">
        <v>12</v>
      </c>
      <c r="D59" s="74">
        <v>0.12</v>
      </c>
      <c r="E59" s="39">
        <f t="shared" si="0"/>
        <v>9.0399999999999994E-2</v>
      </c>
      <c r="F59" s="39">
        <f t="shared" si="1"/>
        <v>0.18060000000000001</v>
      </c>
      <c r="G59" s="39">
        <f t="shared" si="2"/>
        <v>2.0000000000000001E-4</v>
      </c>
    </row>
    <row r="60" spans="2:7" ht="14.25" customHeight="1" x14ac:dyDescent="0.35">
      <c r="B60" s="29">
        <v>25</v>
      </c>
      <c r="C60" s="91">
        <v>15</v>
      </c>
      <c r="D60" s="74">
        <v>0.15</v>
      </c>
      <c r="E60" s="39">
        <f t="shared" si="0"/>
        <v>9.0399999999999994E-2</v>
      </c>
      <c r="F60" s="39">
        <f t="shared" si="1"/>
        <v>0.18060000000000001</v>
      </c>
      <c r="G60" s="39">
        <f t="shared" si="2"/>
        <v>2.0000000000000001E-4</v>
      </c>
    </row>
    <row r="61" spans="2:7" ht="14.25" customHeight="1" x14ac:dyDescent="0.35">
      <c r="B61" s="76"/>
      <c r="C61" s="76"/>
      <c r="D61" s="76"/>
      <c r="E61" s="76"/>
      <c r="F61" s="76"/>
      <c r="G61" s="76"/>
    </row>
    <row r="62" spans="2:7" ht="14.25" customHeight="1" x14ac:dyDescent="0.35"/>
    <row r="63" spans="2:7" ht="14.25" customHeight="1" x14ac:dyDescent="0.35"/>
    <row r="64" spans="2:7"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
    <mergeCell ref="B8:F8"/>
    <mergeCell ref="B9:F9"/>
    <mergeCell ref="B27:G28"/>
    <mergeCell ref="B29:B33"/>
    <mergeCell ref="C2:F2"/>
    <mergeCell ref="B4:F4"/>
    <mergeCell ref="B5:F5"/>
    <mergeCell ref="B6:F6"/>
    <mergeCell ref="B7:F7"/>
  </mergeCells>
  <conditionalFormatting sqref="D36:D60">
    <cfRule type="cellIs" dxfId="6" priority="2" operator="lessThan">
      <formula>$G$36</formula>
    </cfRule>
    <cfRule type="cellIs" dxfId="5" priority="3" operator="greaterThan">
      <formula>$F$36</formula>
    </cfRule>
  </conditionalFormatting>
  <pageMargins left="0.7" right="0.7" top="0.75" bottom="0.75" header="0.511811023622047" footer="0.511811023622047"/>
  <pageSetup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sheetPr>
  <dimension ref="A1:Z1000"/>
  <sheetViews>
    <sheetView showGridLines="0" zoomScale="101" zoomScaleNormal="101" workbookViewId="0">
      <selection activeCell="C2" sqref="C2:H2"/>
    </sheetView>
  </sheetViews>
  <sheetFormatPr defaultColWidth="14.453125" defaultRowHeight="14.5" x14ac:dyDescent="0.35"/>
  <cols>
    <col min="1" max="1" width="8.7265625" customWidth="1"/>
    <col min="2" max="3" width="12.453125" customWidth="1"/>
    <col min="4" max="4" width="15.453125" customWidth="1"/>
    <col min="5" max="6" width="12.453125" customWidth="1"/>
    <col min="7" max="7" width="13.7265625" customWidth="1"/>
    <col min="8" max="9" width="12.453125" customWidth="1"/>
    <col min="10" max="10" width="7.7265625" customWidth="1"/>
    <col min="11" max="11" width="5.81640625" customWidth="1"/>
    <col min="12" max="12" width="6.54296875" customWidth="1"/>
    <col min="13" max="26" width="12.54296875" customWidth="1"/>
  </cols>
  <sheetData>
    <row r="1" spans="2:8" ht="14.25" customHeight="1" x14ac:dyDescent="0.35"/>
    <row r="2" spans="2:8" ht="14.25" customHeight="1" x14ac:dyDescent="0.35">
      <c r="B2" s="44" t="s">
        <v>220</v>
      </c>
      <c r="C2" s="107"/>
      <c r="D2" s="107"/>
      <c r="E2" s="107"/>
      <c r="F2" s="107"/>
      <c r="G2" s="107"/>
      <c r="H2" s="107"/>
    </row>
    <row r="3" spans="2:8" ht="14.25" customHeight="1" x14ac:dyDescent="0.35"/>
    <row r="4" spans="2:8" ht="14.25" customHeight="1" x14ac:dyDescent="0.35"/>
    <row r="5" spans="2:8" ht="14.25" customHeight="1" x14ac:dyDescent="0.35"/>
    <row r="6" spans="2:8" ht="14.25" customHeight="1" x14ac:dyDescent="0.35"/>
    <row r="7" spans="2:8" ht="14.25" customHeight="1" x14ac:dyDescent="0.35"/>
    <row r="8" spans="2:8" ht="14.25" customHeight="1" x14ac:dyDescent="0.35"/>
    <row r="9" spans="2:8" ht="14.25" customHeight="1" x14ac:dyDescent="0.35"/>
    <row r="10" spans="2:8" ht="14.25" customHeight="1" x14ac:dyDescent="0.35"/>
    <row r="11" spans="2:8" ht="14.25" customHeight="1" x14ac:dyDescent="0.35"/>
    <row r="12" spans="2:8" ht="14.25" customHeight="1" x14ac:dyDescent="0.35"/>
    <row r="13" spans="2:8" ht="14.25" customHeight="1" x14ac:dyDescent="0.35"/>
    <row r="14" spans="2:8" ht="14.25" customHeight="1" x14ac:dyDescent="0.35"/>
    <row r="15" spans="2:8" ht="14.25" customHeight="1" x14ac:dyDescent="0.35"/>
    <row r="16" spans="2:8" ht="14.25" customHeight="1" x14ac:dyDescent="0.35"/>
    <row r="17" spans="1:26" ht="14.25" customHeight="1" x14ac:dyDescent="0.35"/>
    <row r="18" spans="1:26" ht="14.25" customHeight="1" x14ac:dyDescent="0.35"/>
    <row r="19" spans="1:26" ht="14.25" customHeight="1" x14ac:dyDescent="0.35"/>
    <row r="20" spans="1:26" ht="14.25" customHeight="1" x14ac:dyDescent="0.35">
      <c r="B20" s="114" t="s">
        <v>221</v>
      </c>
      <c r="C20" s="114"/>
      <c r="D20" s="114"/>
      <c r="E20" s="114"/>
      <c r="F20" s="114"/>
      <c r="G20" s="114"/>
      <c r="H20" s="114"/>
      <c r="I20" s="114"/>
      <c r="J20" s="114"/>
      <c r="K20" s="114"/>
      <c r="L20" s="114"/>
    </row>
    <row r="21" spans="1:26" ht="14.25" customHeight="1" x14ac:dyDescent="0.35">
      <c r="B21" s="114"/>
      <c r="C21" s="114"/>
      <c r="D21" s="114"/>
      <c r="E21" s="114"/>
      <c r="F21" s="114"/>
      <c r="G21" s="114"/>
      <c r="H21" s="114"/>
      <c r="I21" s="114"/>
      <c r="J21" s="114"/>
      <c r="K21" s="114"/>
      <c r="L21" s="114"/>
    </row>
    <row r="22" spans="1:26" ht="14.25" customHeight="1" x14ac:dyDescent="0.35">
      <c r="B22" s="112" t="s">
        <v>114</v>
      </c>
      <c r="C22" s="65" t="s">
        <v>43</v>
      </c>
      <c r="D22" s="92">
        <f>0.5*D25</f>
        <v>0.05</v>
      </c>
      <c r="E22" s="67"/>
      <c r="F22" s="67"/>
      <c r="G22" s="112" t="s">
        <v>222</v>
      </c>
      <c r="H22" s="67" t="s">
        <v>223</v>
      </c>
      <c r="I22" s="66"/>
      <c r="J22" s="67"/>
      <c r="K22" s="67"/>
      <c r="L22" s="67"/>
    </row>
    <row r="23" spans="1:26" ht="14.25" customHeight="1" x14ac:dyDescent="0.35">
      <c r="B23" s="112"/>
      <c r="C23" s="29" t="s">
        <v>47</v>
      </c>
      <c r="D23" s="79">
        <f>5*D25</f>
        <v>0.5</v>
      </c>
      <c r="E23" s="26"/>
      <c r="F23" s="26"/>
      <c r="G23" s="112"/>
      <c r="H23" s="26" t="s">
        <v>224</v>
      </c>
      <c r="I23" s="69"/>
      <c r="J23" s="26"/>
      <c r="K23" s="26"/>
      <c r="L23" s="26"/>
    </row>
    <row r="24" spans="1:26" ht="14.25" customHeight="1" x14ac:dyDescent="0.35">
      <c r="B24" s="112"/>
      <c r="C24" s="29" t="s">
        <v>225</v>
      </c>
      <c r="D24" s="79">
        <v>1</v>
      </c>
      <c r="E24" s="26"/>
      <c r="F24" s="26"/>
      <c r="G24" s="112"/>
      <c r="H24" s="26" t="s">
        <v>226</v>
      </c>
      <c r="I24" s="68"/>
      <c r="J24" s="26"/>
      <c r="K24" s="26"/>
      <c r="L24" s="26"/>
    </row>
    <row r="25" spans="1:26" ht="14.25" customHeight="1" x14ac:dyDescent="0.35">
      <c r="B25" s="112"/>
      <c r="C25" s="71" t="s">
        <v>139</v>
      </c>
      <c r="D25" s="93">
        <v>0.1</v>
      </c>
      <c r="E25" s="94"/>
      <c r="F25" s="94"/>
      <c r="G25" s="112"/>
      <c r="H25" s="94" t="s">
        <v>227</v>
      </c>
      <c r="I25" s="73"/>
      <c r="J25" s="94"/>
      <c r="K25" s="94"/>
      <c r="L25" s="94"/>
    </row>
    <row r="26" spans="1:26" ht="14.25" customHeight="1" x14ac:dyDescent="0.35">
      <c r="B26" s="29"/>
      <c r="C26" s="29"/>
      <c r="D26" s="29"/>
      <c r="E26" s="29"/>
      <c r="F26" s="29"/>
      <c r="G26" s="29"/>
      <c r="H26" s="29"/>
      <c r="I26" s="29"/>
      <c r="J26" s="29"/>
      <c r="K26" s="29"/>
      <c r="L26" s="29"/>
    </row>
    <row r="27" spans="1:26" ht="14.25" customHeight="1" x14ac:dyDescent="0.35">
      <c r="A27" s="28"/>
      <c r="B27" s="32" t="s">
        <v>228</v>
      </c>
      <c r="C27" s="32" t="s">
        <v>229</v>
      </c>
      <c r="D27" s="32" t="s">
        <v>230</v>
      </c>
      <c r="E27" s="32" t="s">
        <v>231</v>
      </c>
      <c r="F27" s="32" t="s">
        <v>232</v>
      </c>
      <c r="G27" s="32" t="s">
        <v>233</v>
      </c>
      <c r="H27" s="32" t="s">
        <v>234</v>
      </c>
      <c r="I27" s="32" t="s">
        <v>235</v>
      </c>
      <c r="J27" s="32" t="s">
        <v>236</v>
      </c>
      <c r="K27" s="32" t="s">
        <v>47</v>
      </c>
      <c r="L27" s="32" t="s">
        <v>237</v>
      </c>
      <c r="M27" s="28"/>
      <c r="N27" s="28"/>
      <c r="O27" s="28"/>
      <c r="P27" s="28"/>
      <c r="Q27" s="28"/>
      <c r="R27" s="28"/>
      <c r="S27" s="28"/>
      <c r="T27" s="28"/>
      <c r="U27" s="28"/>
      <c r="V27" s="28"/>
      <c r="W27" s="28"/>
      <c r="X27" s="28"/>
      <c r="Y27" s="28"/>
      <c r="Z27" s="28"/>
    </row>
    <row r="28" spans="1:26" ht="14.25" customHeight="1" x14ac:dyDescent="0.35">
      <c r="B28" s="29">
        <v>1</v>
      </c>
      <c r="C28" s="74">
        <v>0.8</v>
      </c>
      <c r="D28" s="74">
        <v>-0.25</v>
      </c>
      <c r="E28" s="95">
        <v>0</v>
      </c>
      <c r="F28" s="96">
        <v>0</v>
      </c>
      <c r="G28" s="74">
        <v>0.15</v>
      </c>
      <c r="H28" s="74">
        <v>0.15</v>
      </c>
      <c r="I28" s="91">
        <v>1</v>
      </c>
      <c r="J28" s="70">
        <f t="shared" ref="J28:J57" si="0">-H28</f>
        <v>-0.15</v>
      </c>
      <c r="K28" s="39">
        <f t="shared" ref="K28:K57" si="1">$D$23</f>
        <v>0.5</v>
      </c>
      <c r="L28" s="39">
        <f t="shared" ref="L28:L57" si="2">-$D$23</f>
        <v>-0.5</v>
      </c>
    </row>
    <row r="29" spans="1:26" ht="14.25" customHeight="1" x14ac:dyDescent="0.35">
      <c r="B29" s="29">
        <v>2</v>
      </c>
      <c r="C29" s="74">
        <v>0.9</v>
      </c>
      <c r="D29" s="74">
        <v>-0.15</v>
      </c>
      <c r="E29" s="95">
        <v>0</v>
      </c>
      <c r="F29" s="96">
        <v>0</v>
      </c>
      <c r="G29" s="74">
        <v>0.05</v>
      </c>
      <c r="H29" s="74">
        <v>0.2</v>
      </c>
      <c r="I29" s="91">
        <v>2</v>
      </c>
      <c r="J29" s="70">
        <f t="shared" si="0"/>
        <v>-0.2</v>
      </c>
      <c r="K29" s="39">
        <f t="shared" si="1"/>
        <v>0.5</v>
      </c>
      <c r="L29" s="39">
        <f t="shared" si="2"/>
        <v>-0.5</v>
      </c>
    </row>
    <row r="30" spans="1:26" ht="14.25" customHeight="1" x14ac:dyDescent="0.35">
      <c r="B30" s="29">
        <v>3</v>
      </c>
      <c r="C30" s="74">
        <v>1</v>
      </c>
      <c r="D30" s="74">
        <v>-0.05</v>
      </c>
      <c r="E30" s="95">
        <v>0</v>
      </c>
      <c r="F30" s="96">
        <v>0</v>
      </c>
      <c r="G30" s="74">
        <v>-0.05</v>
      </c>
      <c r="H30" s="74">
        <v>0.15</v>
      </c>
      <c r="I30" s="91">
        <v>3</v>
      </c>
      <c r="J30" s="70">
        <f t="shared" si="0"/>
        <v>-0.15</v>
      </c>
      <c r="K30" s="39">
        <f t="shared" si="1"/>
        <v>0.5</v>
      </c>
      <c r="L30" s="39">
        <f t="shared" si="2"/>
        <v>-0.5</v>
      </c>
    </row>
    <row r="31" spans="1:26" ht="14.25" customHeight="1" x14ac:dyDescent="0.35">
      <c r="B31" s="29">
        <v>4</v>
      </c>
      <c r="C31" s="74">
        <v>0.9</v>
      </c>
      <c r="D31" s="74">
        <v>-0.15</v>
      </c>
      <c r="E31" s="95">
        <v>0</v>
      </c>
      <c r="F31" s="96">
        <v>0</v>
      </c>
      <c r="G31" s="74">
        <v>0.05</v>
      </c>
      <c r="H31" s="74">
        <v>0.2</v>
      </c>
      <c r="I31" s="91">
        <v>4</v>
      </c>
      <c r="J31" s="70">
        <f t="shared" si="0"/>
        <v>-0.2</v>
      </c>
      <c r="K31" s="39">
        <f t="shared" si="1"/>
        <v>0.5</v>
      </c>
      <c r="L31" s="39">
        <f t="shared" si="2"/>
        <v>-0.5</v>
      </c>
    </row>
    <row r="32" spans="1:26" ht="14.25" customHeight="1" x14ac:dyDescent="0.35">
      <c r="B32" s="29">
        <v>5</v>
      </c>
      <c r="C32" s="74">
        <v>1.2</v>
      </c>
      <c r="D32" s="74">
        <v>0.15</v>
      </c>
      <c r="E32" s="95">
        <v>0.15</v>
      </c>
      <c r="F32" s="96">
        <v>1</v>
      </c>
      <c r="G32" s="74">
        <v>-0.25</v>
      </c>
      <c r="H32" s="74">
        <v>0</v>
      </c>
      <c r="I32" s="91">
        <v>0</v>
      </c>
      <c r="J32" s="70">
        <f t="shared" si="0"/>
        <v>0</v>
      </c>
      <c r="K32" s="39">
        <f t="shared" si="1"/>
        <v>0.5</v>
      </c>
      <c r="L32" s="39">
        <f t="shared" si="2"/>
        <v>-0.5</v>
      </c>
    </row>
    <row r="33" spans="2:12" ht="14.25" customHeight="1" x14ac:dyDescent="0.35">
      <c r="B33" s="29">
        <v>6</v>
      </c>
      <c r="C33" s="74">
        <v>0.8</v>
      </c>
      <c r="D33" s="74">
        <v>-0.25</v>
      </c>
      <c r="E33" s="95">
        <v>0</v>
      </c>
      <c r="F33" s="96">
        <v>0</v>
      </c>
      <c r="G33" s="74">
        <v>0.15</v>
      </c>
      <c r="H33" s="74">
        <v>0.15</v>
      </c>
      <c r="I33" s="91">
        <v>1</v>
      </c>
      <c r="J33" s="70">
        <f t="shared" si="0"/>
        <v>-0.15</v>
      </c>
      <c r="K33" s="39">
        <f t="shared" si="1"/>
        <v>0.5</v>
      </c>
      <c r="L33" s="39">
        <f t="shared" si="2"/>
        <v>-0.5</v>
      </c>
    </row>
    <row r="34" spans="2:12" ht="14.25" customHeight="1" x14ac:dyDescent="0.35">
      <c r="B34" s="29">
        <v>7</v>
      </c>
      <c r="C34" s="74">
        <v>1.2</v>
      </c>
      <c r="D34" s="74">
        <v>0.15</v>
      </c>
      <c r="E34" s="95">
        <v>0.15</v>
      </c>
      <c r="F34" s="96">
        <v>1</v>
      </c>
      <c r="G34" s="74">
        <v>-0.25</v>
      </c>
      <c r="H34" s="74">
        <v>0</v>
      </c>
      <c r="I34" s="91">
        <v>0</v>
      </c>
      <c r="J34" s="70">
        <f t="shared" si="0"/>
        <v>0</v>
      </c>
      <c r="K34" s="39">
        <f t="shared" si="1"/>
        <v>0.5</v>
      </c>
      <c r="L34" s="39">
        <f t="shared" si="2"/>
        <v>-0.5</v>
      </c>
    </row>
    <row r="35" spans="2:12" ht="14.25" customHeight="1" x14ac:dyDescent="0.35">
      <c r="B35" s="29">
        <v>8</v>
      </c>
      <c r="C35" s="74">
        <v>1.2</v>
      </c>
      <c r="D35" s="74">
        <v>0.15</v>
      </c>
      <c r="E35" s="95">
        <v>0.3</v>
      </c>
      <c r="F35" s="96">
        <v>2</v>
      </c>
      <c r="G35" s="74">
        <v>-0.25</v>
      </c>
      <c r="H35" s="74">
        <v>0</v>
      </c>
      <c r="I35" s="91">
        <v>0</v>
      </c>
      <c r="J35" s="70">
        <f t="shared" si="0"/>
        <v>0</v>
      </c>
      <c r="K35" s="39">
        <f t="shared" si="1"/>
        <v>0.5</v>
      </c>
      <c r="L35" s="39">
        <f t="shared" si="2"/>
        <v>-0.5</v>
      </c>
    </row>
    <row r="36" spans="2:12" ht="14.25" customHeight="1" x14ac:dyDescent="0.35">
      <c r="B36" s="29">
        <v>9</v>
      </c>
      <c r="C36" s="74">
        <v>0.9</v>
      </c>
      <c r="D36" s="74">
        <v>-0.15</v>
      </c>
      <c r="E36" s="95">
        <v>0.15</v>
      </c>
      <c r="F36" s="96">
        <v>3</v>
      </c>
      <c r="G36" s="74">
        <v>0.05</v>
      </c>
      <c r="H36" s="74">
        <v>0.05</v>
      </c>
      <c r="I36" s="91">
        <v>1</v>
      </c>
      <c r="J36" s="70">
        <f t="shared" si="0"/>
        <v>-0.05</v>
      </c>
      <c r="K36" s="39">
        <f t="shared" si="1"/>
        <v>0.5</v>
      </c>
      <c r="L36" s="39">
        <f t="shared" si="2"/>
        <v>-0.5</v>
      </c>
    </row>
    <row r="37" spans="2:12" ht="14.25" customHeight="1" x14ac:dyDescent="0.35">
      <c r="B37" s="29">
        <v>10</v>
      </c>
      <c r="C37" s="74">
        <v>0.8</v>
      </c>
      <c r="D37" s="74">
        <v>-0.25</v>
      </c>
      <c r="E37" s="95">
        <v>0</v>
      </c>
      <c r="F37" s="96">
        <v>0</v>
      </c>
      <c r="G37" s="74">
        <v>0.15</v>
      </c>
      <c r="H37" s="74">
        <v>0.2</v>
      </c>
      <c r="I37" s="91">
        <v>2</v>
      </c>
      <c r="J37" s="70">
        <f t="shared" si="0"/>
        <v>-0.2</v>
      </c>
      <c r="K37" s="39">
        <f t="shared" si="1"/>
        <v>0.5</v>
      </c>
      <c r="L37" s="39">
        <f t="shared" si="2"/>
        <v>-0.5</v>
      </c>
    </row>
    <row r="38" spans="2:12" ht="14.25" customHeight="1" x14ac:dyDescent="0.35">
      <c r="B38" s="29">
        <v>11</v>
      </c>
      <c r="C38" s="74">
        <v>0.8</v>
      </c>
      <c r="D38" s="74">
        <v>-0.25</v>
      </c>
      <c r="E38" s="95">
        <v>0</v>
      </c>
      <c r="F38" s="96">
        <v>0</v>
      </c>
      <c r="G38" s="74">
        <v>0.15</v>
      </c>
      <c r="H38" s="74">
        <v>0.35</v>
      </c>
      <c r="I38" s="91">
        <v>3</v>
      </c>
      <c r="J38" s="70">
        <f t="shared" si="0"/>
        <v>-0.35</v>
      </c>
      <c r="K38" s="39">
        <f t="shared" si="1"/>
        <v>0.5</v>
      </c>
      <c r="L38" s="39">
        <f t="shared" si="2"/>
        <v>-0.5</v>
      </c>
    </row>
    <row r="39" spans="2:12" ht="14.25" customHeight="1" x14ac:dyDescent="0.35">
      <c r="B39" s="29">
        <v>12</v>
      </c>
      <c r="C39" s="74">
        <v>1</v>
      </c>
      <c r="D39" s="74">
        <v>-0.05</v>
      </c>
      <c r="E39" s="95">
        <v>0</v>
      </c>
      <c r="F39" s="96">
        <v>0</v>
      </c>
      <c r="G39" s="74">
        <v>-0.05</v>
      </c>
      <c r="H39" s="74">
        <v>0.3</v>
      </c>
      <c r="I39" s="91">
        <v>4</v>
      </c>
      <c r="J39" s="70">
        <f t="shared" si="0"/>
        <v>-0.3</v>
      </c>
      <c r="K39" s="39">
        <f t="shared" si="1"/>
        <v>0.5</v>
      </c>
      <c r="L39" s="39">
        <f t="shared" si="2"/>
        <v>-0.5</v>
      </c>
    </row>
    <row r="40" spans="2:12" ht="14.25" customHeight="1" x14ac:dyDescent="0.35">
      <c r="B40" s="29">
        <v>13</v>
      </c>
      <c r="C40" s="74">
        <v>1.3</v>
      </c>
      <c r="D40" s="74">
        <v>0.25</v>
      </c>
      <c r="E40" s="95">
        <v>0.25</v>
      </c>
      <c r="F40" s="96">
        <v>1</v>
      </c>
      <c r="G40" s="74">
        <v>-0.35</v>
      </c>
      <c r="H40" s="74">
        <v>0</v>
      </c>
      <c r="I40" s="91">
        <v>0</v>
      </c>
      <c r="J40" s="70">
        <f t="shared" si="0"/>
        <v>0</v>
      </c>
      <c r="K40" s="39">
        <f t="shared" si="1"/>
        <v>0.5</v>
      </c>
      <c r="L40" s="39">
        <f t="shared" si="2"/>
        <v>-0.5</v>
      </c>
    </row>
    <row r="41" spans="2:12" ht="14.25" customHeight="1" x14ac:dyDescent="0.35">
      <c r="B41" s="29">
        <v>14</v>
      </c>
      <c r="C41" s="74">
        <v>1.2</v>
      </c>
      <c r="D41" s="74">
        <v>0.15</v>
      </c>
      <c r="E41" s="95">
        <v>0.4</v>
      </c>
      <c r="F41" s="96">
        <v>2</v>
      </c>
      <c r="G41" s="74">
        <v>-0.25</v>
      </c>
      <c r="H41" s="74">
        <v>0</v>
      </c>
      <c r="I41" s="91">
        <v>0</v>
      </c>
      <c r="J41" s="70">
        <f t="shared" si="0"/>
        <v>0</v>
      </c>
      <c r="K41" s="39">
        <f t="shared" si="1"/>
        <v>0.5</v>
      </c>
      <c r="L41" s="39">
        <f t="shared" si="2"/>
        <v>-0.5</v>
      </c>
    </row>
    <row r="42" spans="2:12" ht="14.25" customHeight="1" x14ac:dyDescent="0.35">
      <c r="B42" s="29">
        <v>15</v>
      </c>
      <c r="C42" s="74">
        <v>0.8</v>
      </c>
      <c r="D42" s="74">
        <v>-0.25</v>
      </c>
      <c r="E42" s="95">
        <v>0.15</v>
      </c>
      <c r="F42" s="96">
        <v>3</v>
      </c>
      <c r="G42" s="74">
        <v>0.15</v>
      </c>
      <c r="H42" s="74">
        <v>0.15</v>
      </c>
      <c r="I42" s="91">
        <v>1</v>
      </c>
      <c r="J42" s="70">
        <f t="shared" si="0"/>
        <v>-0.15</v>
      </c>
      <c r="K42" s="39">
        <f t="shared" si="1"/>
        <v>0.5</v>
      </c>
      <c r="L42" s="39">
        <f t="shared" si="2"/>
        <v>-0.5</v>
      </c>
    </row>
    <row r="43" spans="2:12" ht="14.25" customHeight="1" x14ac:dyDescent="0.35">
      <c r="B43" s="29">
        <v>16</v>
      </c>
      <c r="C43" s="74">
        <v>1.1000000000000001</v>
      </c>
      <c r="D43" s="74">
        <v>0.05</v>
      </c>
      <c r="E43" s="95">
        <v>0.2</v>
      </c>
      <c r="F43" s="96">
        <v>4</v>
      </c>
      <c r="G43" s="74">
        <v>-0.15</v>
      </c>
      <c r="H43" s="74">
        <v>0</v>
      </c>
      <c r="I43" s="91">
        <v>0</v>
      </c>
      <c r="J43" s="70">
        <f t="shared" si="0"/>
        <v>0</v>
      </c>
      <c r="K43" s="39">
        <f t="shared" si="1"/>
        <v>0.5</v>
      </c>
      <c r="L43" s="39">
        <f t="shared" si="2"/>
        <v>-0.5</v>
      </c>
    </row>
    <row r="44" spans="2:12" ht="14.25" customHeight="1" x14ac:dyDescent="0.35">
      <c r="B44" s="29">
        <v>17</v>
      </c>
      <c r="C44" s="74">
        <v>0.7</v>
      </c>
      <c r="D44" s="74">
        <v>-0.35</v>
      </c>
      <c r="E44" s="95">
        <v>0</v>
      </c>
      <c r="F44" s="96">
        <v>0</v>
      </c>
      <c r="G44" s="74">
        <v>0.25</v>
      </c>
      <c r="H44" s="74">
        <v>0.25</v>
      </c>
      <c r="I44" s="91">
        <v>1</v>
      </c>
      <c r="J44" s="70">
        <f t="shared" si="0"/>
        <v>-0.25</v>
      </c>
      <c r="K44" s="39">
        <f t="shared" si="1"/>
        <v>0.5</v>
      </c>
      <c r="L44" s="39">
        <f t="shared" si="2"/>
        <v>-0.5</v>
      </c>
    </row>
    <row r="45" spans="2:12" ht="14.25" customHeight="1" x14ac:dyDescent="0.35">
      <c r="B45" s="29">
        <v>18</v>
      </c>
      <c r="C45" s="74">
        <v>0.9</v>
      </c>
      <c r="D45" s="74">
        <v>-0.15</v>
      </c>
      <c r="E45" s="95">
        <v>0</v>
      </c>
      <c r="F45" s="96">
        <v>0</v>
      </c>
      <c r="G45" s="74">
        <v>0.05</v>
      </c>
      <c r="H45" s="74">
        <v>0.3</v>
      </c>
      <c r="I45" s="91">
        <v>2</v>
      </c>
      <c r="J45" s="70">
        <f t="shared" si="0"/>
        <v>-0.3</v>
      </c>
      <c r="K45" s="39">
        <f t="shared" si="1"/>
        <v>0.5</v>
      </c>
      <c r="L45" s="39">
        <f t="shared" si="2"/>
        <v>-0.5</v>
      </c>
    </row>
    <row r="46" spans="2:12" ht="14.25" customHeight="1" x14ac:dyDescent="0.35">
      <c r="B46" s="29">
        <v>19</v>
      </c>
      <c r="C46" s="74">
        <v>1.2</v>
      </c>
      <c r="D46" s="74">
        <v>0.15</v>
      </c>
      <c r="E46" s="95">
        <v>0.15</v>
      </c>
      <c r="F46" s="96">
        <v>1</v>
      </c>
      <c r="G46" s="74">
        <v>-0.25</v>
      </c>
      <c r="H46" s="74">
        <v>0.05</v>
      </c>
      <c r="I46" s="91">
        <v>3</v>
      </c>
      <c r="J46" s="70">
        <f t="shared" si="0"/>
        <v>-0.05</v>
      </c>
      <c r="K46" s="39">
        <f t="shared" si="1"/>
        <v>0.5</v>
      </c>
      <c r="L46" s="39">
        <f t="shared" si="2"/>
        <v>-0.5</v>
      </c>
    </row>
    <row r="47" spans="2:12" ht="14.25" customHeight="1" x14ac:dyDescent="0.35">
      <c r="B47" s="29">
        <v>20</v>
      </c>
      <c r="C47" s="74">
        <v>1</v>
      </c>
      <c r="D47" s="74">
        <v>-0.05</v>
      </c>
      <c r="E47" s="95">
        <v>0.1</v>
      </c>
      <c r="F47" s="96">
        <v>2</v>
      </c>
      <c r="G47" s="74">
        <v>-0.05</v>
      </c>
      <c r="H47" s="74">
        <v>0</v>
      </c>
      <c r="I47" s="91">
        <v>0</v>
      </c>
      <c r="J47" s="70">
        <f t="shared" si="0"/>
        <v>0</v>
      </c>
      <c r="K47" s="39">
        <f t="shared" si="1"/>
        <v>0.5</v>
      </c>
      <c r="L47" s="39">
        <f t="shared" si="2"/>
        <v>-0.5</v>
      </c>
    </row>
    <row r="48" spans="2:12" ht="14.25" customHeight="1" x14ac:dyDescent="0.35">
      <c r="B48" s="29">
        <v>21</v>
      </c>
      <c r="C48" s="74">
        <v>1.1000000000000001</v>
      </c>
      <c r="D48" s="74">
        <v>0.05</v>
      </c>
      <c r="E48" s="95">
        <v>0.15</v>
      </c>
      <c r="F48" s="96">
        <v>3</v>
      </c>
      <c r="G48" s="74">
        <v>-0.15</v>
      </c>
      <c r="H48" s="74">
        <v>0</v>
      </c>
      <c r="I48" s="91">
        <v>0</v>
      </c>
      <c r="J48" s="70">
        <f t="shared" si="0"/>
        <v>0</v>
      </c>
      <c r="K48" s="39">
        <f t="shared" si="1"/>
        <v>0.5</v>
      </c>
      <c r="L48" s="39">
        <f t="shared" si="2"/>
        <v>-0.5</v>
      </c>
    </row>
    <row r="49" spans="2:12" ht="14.25" customHeight="1" x14ac:dyDescent="0.35">
      <c r="B49" s="29">
        <v>22</v>
      </c>
      <c r="C49" s="74">
        <v>0.7</v>
      </c>
      <c r="D49" s="74">
        <v>-0.35</v>
      </c>
      <c r="E49" s="95">
        <v>0</v>
      </c>
      <c r="F49" s="96">
        <v>0</v>
      </c>
      <c r="G49" s="74">
        <v>0.25</v>
      </c>
      <c r="H49" s="74">
        <v>0.25</v>
      </c>
      <c r="I49" s="91">
        <v>1</v>
      </c>
      <c r="J49" s="70">
        <f t="shared" si="0"/>
        <v>-0.25</v>
      </c>
      <c r="K49" s="39">
        <f t="shared" si="1"/>
        <v>0.5</v>
      </c>
      <c r="L49" s="39">
        <f t="shared" si="2"/>
        <v>-0.5</v>
      </c>
    </row>
    <row r="50" spans="2:12" ht="14.25" customHeight="1" x14ac:dyDescent="0.35">
      <c r="B50" s="29">
        <v>23</v>
      </c>
      <c r="C50" s="74">
        <v>1.1000000000000001</v>
      </c>
      <c r="D50" s="74">
        <v>0.05</v>
      </c>
      <c r="E50" s="95">
        <v>0.05</v>
      </c>
      <c r="F50" s="96">
        <v>1</v>
      </c>
      <c r="G50" s="74">
        <v>-0.15</v>
      </c>
      <c r="H50" s="74">
        <v>0.1</v>
      </c>
      <c r="I50" s="91">
        <v>2</v>
      </c>
      <c r="J50" s="70">
        <f t="shared" si="0"/>
        <v>-0.1</v>
      </c>
      <c r="K50" s="39">
        <f t="shared" si="1"/>
        <v>0.5</v>
      </c>
      <c r="L50" s="39">
        <f t="shared" si="2"/>
        <v>-0.5</v>
      </c>
    </row>
    <row r="51" spans="2:12" ht="14.25" customHeight="1" x14ac:dyDescent="0.35">
      <c r="B51" s="29">
        <v>24</v>
      </c>
      <c r="C51" s="74">
        <v>1</v>
      </c>
      <c r="D51" s="74">
        <v>-0.05</v>
      </c>
      <c r="E51" s="95">
        <v>0</v>
      </c>
      <c r="F51" s="96">
        <v>0</v>
      </c>
      <c r="G51" s="74">
        <v>-0.05</v>
      </c>
      <c r="H51" s="74">
        <v>0.05</v>
      </c>
      <c r="I51" s="91">
        <v>3</v>
      </c>
      <c r="J51" s="70">
        <f t="shared" si="0"/>
        <v>-0.05</v>
      </c>
      <c r="K51" s="39">
        <f t="shared" si="1"/>
        <v>0.5</v>
      </c>
      <c r="L51" s="39">
        <f t="shared" si="2"/>
        <v>-0.5</v>
      </c>
    </row>
    <row r="52" spans="2:12" ht="14.25" customHeight="1" x14ac:dyDescent="0.35">
      <c r="B52" s="29">
        <v>25</v>
      </c>
      <c r="C52" s="74">
        <v>0.9</v>
      </c>
      <c r="D52" s="74">
        <v>-0.15</v>
      </c>
      <c r="E52" s="95">
        <v>0</v>
      </c>
      <c r="F52" s="96">
        <v>0</v>
      </c>
      <c r="G52" s="74">
        <v>0.05</v>
      </c>
      <c r="H52" s="74">
        <v>0.1</v>
      </c>
      <c r="I52" s="91">
        <v>4</v>
      </c>
      <c r="J52" s="70">
        <f t="shared" si="0"/>
        <v>-0.1</v>
      </c>
      <c r="K52" s="39">
        <f t="shared" si="1"/>
        <v>0.5</v>
      </c>
      <c r="L52" s="39">
        <f t="shared" si="2"/>
        <v>-0.5</v>
      </c>
    </row>
    <row r="53" spans="2:12" ht="14.25" customHeight="1" x14ac:dyDescent="0.35">
      <c r="B53" s="29">
        <v>26</v>
      </c>
      <c r="C53" s="74">
        <v>0.9</v>
      </c>
      <c r="D53" s="74">
        <v>-0.15</v>
      </c>
      <c r="E53" s="95">
        <v>0</v>
      </c>
      <c r="F53" s="96">
        <v>0</v>
      </c>
      <c r="G53" s="74">
        <v>0.05</v>
      </c>
      <c r="H53" s="74">
        <v>0.15</v>
      </c>
      <c r="I53" s="91">
        <v>5</v>
      </c>
      <c r="J53" s="70">
        <f t="shared" si="0"/>
        <v>-0.15</v>
      </c>
      <c r="K53" s="39">
        <f t="shared" si="1"/>
        <v>0.5</v>
      </c>
      <c r="L53" s="39">
        <f t="shared" si="2"/>
        <v>-0.5</v>
      </c>
    </row>
    <row r="54" spans="2:12" ht="14.25" customHeight="1" x14ac:dyDescent="0.35">
      <c r="B54" s="29">
        <v>27</v>
      </c>
      <c r="C54" s="74">
        <v>0.7</v>
      </c>
      <c r="D54" s="74">
        <v>-0.35</v>
      </c>
      <c r="E54" s="95">
        <v>0</v>
      </c>
      <c r="F54" s="96">
        <v>0</v>
      </c>
      <c r="G54" s="74">
        <v>0.25</v>
      </c>
      <c r="H54" s="74">
        <v>0.4</v>
      </c>
      <c r="I54" s="91">
        <v>6</v>
      </c>
      <c r="J54" s="70">
        <f t="shared" si="0"/>
        <v>-0.4</v>
      </c>
      <c r="K54" s="39">
        <f t="shared" si="1"/>
        <v>0.5</v>
      </c>
      <c r="L54" s="39">
        <f t="shared" si="2"/>
        <v>-0.5</v>
      </c>
    </row>
    <row r="55" spans="2:12" ht="14.25" customHeight="1" x14ac:dyDescent="0.35">
      <c r="B55" s="29">
        <v>28</v>
      </c>
      <c r="C55" s="74">
        <v>0.6</v>
      </c>
      <c r="D55" s="74">
        <v>-0.45</v>
      </c>
      <c r="E55" s="95">
        <v>0</v>
      </c>
      <c r="F55" s="96">
        <v>0</v>
      </c>
      <c r="G55" s="74">
        <v>0.35</v>
      </c>
      <c r="H55" s="74">
        <v>0.75</v>
      </c>
      <c r="I55" s="91">
        <v>7</v>
      </c>
      <c r="J55" s="70">
        <f t="shared" si="0"/>
        <v>-0.75</v>
      </c>
      <c r="K55" s="39">
        <f t="shared" si="1"/>
        <v>0.5</v>
      </c>
      <c r="L55" s="39">
        <f t="shared" si="2"/>
        <v>-0.5</v>
      </c>
    </row>
    <row r="56" spans="2:12" ht="14.25" customHeight="1" x14ac:dyDescent="0.35">
      <c r="B56" s="29">
        <v>29</v>
      </c>
      <c r="C56" s="74">
        <v>0.9</v>
      </c>
      <c r="D56" s="74">
        <v>-0.15</v>
      </c>
      <c r="E56" s="95">
        <v>0</v>
      </c>
      <c r="F56" s="96">
        <v>0</v>
      </c>
      <c r="G56" s="74">
        <v>0.05</v>
      </c>
      <c r="H56" s="74">
        <v>0.8</v>
      </c>
      <c r="I56" s="91">
        <v>8</v>
      </c>
      <c r="J56" s="70">
        <f t="shared" si="0"/>
        <v>-0.8</v>
      </c>
      <c r="K56" s="39">
        <f t="shared" si="1"/>
        <v>0.5</v>
      </c>
      <c r="L56" s="39">
        <f t="shared" si="2"/>
        <v>-0.5</v>
      </c>
    </row>
    <row r="57" spans="2:12" ht="14.25" customHeight="1" x14ac:dyDescent="0.35">
      <c r="B57" s="29">
        <v>30</v>
      </c>
      <c r="C57" s="74">
        <v>0.7</v>
      </c>
      <c r="D57" s="74">
        <v>-0.35</v>
      </c>
      <c r="E57" s="95">
        <v>0</v>
      </c>
      <c r="F57" s="96">
        <v>0</v>
      </c>
      <c r="G57" s="74">
        <v>0.25</v>
      </c>
      <c r="H57" s="74">
        <v>1.05</v>
      </c>
      <c r="I57" s="91">
        <v>9</v>
      </c>
      <c r="J57" s="70">
        <f t="shared" si="0"/>
        <v>-1.05</v>
      </c>
      <c r="K57" s="39">
        <f t="shared" si="1"/>
        <v>0.5</v>
      </c>
      <c r="L57" s="39">
        <f t="shared" si="2"/>
        <v>-0.5</v>
      </c>
    </row>
    <row r="58" spans="2:12" ht="14.25" customHeight="1" x14ac:dyDescent="0.35">
      <c r="B58" s="76"/>
      <c r="C58" s="76"/>
      <c r="D58" s="76"/>
      <c r="E58" s="76"/>
      <c r="F58" s="76"/>
      <c r="G58" s="76"/>
      <c r="H58" s="76"/>
      <c r="I58" s="76"/>
      <c r="J58" s="76"/>
      <c r="K58" s="76"/>
      <c r="L58" s="76"/>
    </row>
    <row r="59" spans="2:12" ht="14.25" customHeight="1" x14ac:dyDescent="0.35"/>
    <row r="60" spans="2:12" ht="14.25" customHeight="1" x14ac:dyDescent="0.35"/>
    <row r="61" spans="2:12" ht="14.25" customHeight="1" x14ac:dyDescent="0.35"/>
    <row r="62" spans="2:12" ht="14.25" customHeight="1" x14ac:dyDescent="0.35"/>
    <row r="63" spans="2:12" ht="14.25" customHeight="1" x14ac:dyDescent="0.35"/>
    <row r="64" spans="2:12"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
    <mergeCell ref="C2:H2"/>
    <mergeCell ref="B20:L21"/>
    <mergeCell ref="B22:B25"/>
    <mergeCell ref="G22:G25"/>
  </mergeCells>
  <conditionalFormatting sqref="E28:E57 H28:H57">
    <cfRule type="cellIs" dxfId="4" priority="2" operator="greaterThan">
      <formula>$D$23</formula>
    </cfRule>
  </conditionalFormatting>
  <pageMargins left="0.7" right="0.7" top="0.75" bottom="0.75" header="0.511811023622047" footer="0.511811023622047"/>
  <pageSetup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472C4"/>
  </sheetPr>
  <dimension ref="A1:Z1000"/>
  <sheetViews>
    <sheetView showGridLines="0" zoomScale="119" zoomScaleNormal="119" workbookViewId="0">
      <selection activeCell="I31" sqref="I31"/>
    </sheetView>
  </sheetViews>
  <sheetFormatPr defaultColWidth="14.453125" defaultRowHeight="14.5" x14ac:dyDescent="0.35"/>
  <cols>
    <col min="1" max="1" width="8.7265625" customWidth="1"/>
    <col min="2" max="6" width="12.453125" customWidth="1"/>
    <col min="7" max="26" width="12.54296875" customWidth="1"/>
  </cols>
  <sheetData>
    <row r="1" spans="2:6" ht="14.25" customHeight="1" x14ac:dyDescent="0.35"/>
    <row r="2" spans="2:6" ht="14.25" customHeight="1" x14ac:dyDescent="0.35">
      <c r="B2" s="44" t="s">
        <v>220</v>
      </c>
      <c r="C2" s="107"/>
      <c r="D2" s="107"/>
      <c r="E2" s="107"/>
      <c r="F2" s="107"/>
    </row>
    <row r="3" spans="2:6" ht="14.25" customHeight="1" x14ac:dyDescent="0.35"/>
    <row r="4" spans="2:6" ht="14.25" customHeight="1" x14ac:dyDescent="0.35"/>
    <row r="5" spans="2:6" ht="14.25" customHeight="1" x14ac:dyDescent="0.35"/>
    <row r="6" spans="2:6" ht="14.25" customHeight="1" x14ac:dyDescent="0.35"/>
    <row r="7" spans="2:6" ht="14.25" customHeight="1" x14ac:dyDescent="0.35"/>
    <row r="8" spans="2:6" ht="14.25" customHeight="1" x14ac:dyDescent="0.35"/>
    <row r="9" spans="2:6" ht="14.25" customHeight="1" x14ac:dyDescent="0.35"/>
    <row r="10" spans="2:6" ht="14.25" customHeight="1" x14ac:dyDescent="0.35"/>
    <row r="11" spans="2:6" ht="14.25" customHeight="1" x14ac:dyDescent="0.35"/>
    <row r="12" spans="2:6" ht="14.25" customHeight="1" x14ac:dyDescent="0.35"/>
    <row r="13" spans="2:6" ht="14.25" customHeight="1" x14ac:dyDescent="0.35"/>
    <row r="14" spans="2:6" ht="14.25" customHeight="1" x14ac:dyDescent="0.35"/>
    <row r="15" spans="2:6" ht="14.25" customHeight="1" x14ac:dyDescent="0.35"/>
    <row r="16" spans="2:6" ht="14.25" customHeight="1" x14ac:dyDescent="0.35"/>
    <row r="17" spans="1:26" ht="14.25" customHeight="1" x14ac:dyDescent="0.35"/>
    <row r="18" spans="1:26" ht="14.25" customHeight="1" x14ac:dyDescent="0.35"/>
    <row r="19" spans="1:26" ht="14.25" customHeight="1" x14ac:dyDescent="0.35"/>
    <row r="20" spans="1:26" ht="14.25" customHeight="1" x14ac:dyDescent="0.35">
      <c r="B20" s="114" t="s">
        <v>238</v>
      </c>
      <c r="C20" s="114"/>
      <c r="D20" s="114"/>
      <c r="E20" s="114"/>
      <c r="F20" s="114"/>
    </row>
    <row r="21" spans="1:26" ht="14.25" customHeight="1" x14ac:dyDescent="0.35">
      <c r="B21" s="114"/>
      <c r="C21" s="114"/>
      <c r="D21" s="114"/>
      <c r="E21" s="114"/>
      <c r="F21" s="114"/>
    </row>
    <row r="22" spans="1:26" ht="14.25" customHeight="1" x14ac:dyDescent="0.35">
      <c r="B22" s="112" t="s">
        <v>114</v>
      </c>
      <c r="C22" s="65" t="s">
        <v>50</v>
      </c>
      <c r="D22" s="92">
        <v>0.01</v>
      </c>
      <c r="E22" s="67"/>
      <c r="F22" s="67"/>
    </row>
    <row r="23" spans="1:26" ht="14.25" customHeight="1" x14ac:dyDescent="0.35">
      <c r="B23" s="112"/>
      <c r="C23" s="29" t="s">
        <v>52</v>
      </c>
      <c r="D23" s="79">
        <v>2.7</v>
      </c>
      <c r="E23" s="26"/>
      <c r="F23" s="26"/>
    </row>
    <row r="24" spans="1:26" ht="14.25" customHeight="1" x14ac:dyDescent="0.35">
      <c r="B24" s="112"/>
      <c r="C24" s="29" t="s">
        <v>225</v>
      </c>
      <c r="D24" s="26">
        <v>1</v>
      </c>
      <c r="E24" s="26"/>
      <c r="F24" s="26"/>
    </row>
    <row r="25" spans="1:26" ht="14.25" customHeight="1" x14ac:dyDescent="0.35">
      <c r="B25" s="112"/>
      <c r="C25" s="29" t="s">
        <v>139</v>
      </c>
      <c r="D25" s="97">
        <v>0.1</v>
      </c>
      <c r="E25" s="26"/>
      <c r="F25" s="26"/>
    </row>
    <row r="26" spans="1:26" ht="14.25" customHeight="1" x14ac:dyDescent="0.35">
      <c r="B26" s="112"/>
      <c r="C26" s="29" t="s">
        <v>239</v>
      </c>
      <c r="D26" s="70">
        <f>$D$24+$D$23*$D$25*SQRT($D$22/(2-$D$22))</f>
        <v>1.019139792535225</v>
      </c>
      <c r="E26" s="26"/>
      <c r="F26" s="26"/>
    </row>
    <row r="27" spans="1:26" ht="14.25" customHeight="1" x14ac:dyDescent="0.35">
      <c r="B27" s="112"/>
      <c r="C27" s="71" t="s">
        <v>240</v>
      </c>
      <c r="D27" s="72">
        <f>$D$24-$D$23*$D$25*SQRT($D$22/(2-$D$22))</f>
        <v>0.98086020746477498</v>
      </c>
      <c r="E27" s="94"/>
      <c r="F27" s="94"/>
    </row>
    <row r="28" spans="1:26" ht="14.25" customHeight="1" x14ac:dyDescent="0.35">
      <c r="B28" s="29"/>
      <c r="C28" s="29"/>
      <c r="D28" s="29"/>
      <c r="E28" s="29"/>
      <c r="F28" s="29"/>
    </row>
    <row r="29" spans="1:26" ht="14.25" customHeight="1" x14ac:dyDescent="0.35">
      <c r="A29" s="28"/>
      <c r="B29" s="32" t="s">
        <v>228</v>
      </c>
      <c r="C29" s="32" t="s">
        <v>229</v>
      </c>
      <c r="D29" s="32" t="s">
        <v>241</v>
      </c>
      <c r="E29" s="32" t="s">
        <v>242</v>
      </c>
      <c r="F29" s="32" t="s">
        <v>243</v>
      </c>
      <c r="G29" s="33" t="s">
        <v>244</v>
      </c>
      <c r="H29" s="28"/>
      <c r="I29" s="28"/>
      <c r="J29" s="28"/>
      <c r="K29" s="28"/>
      <c r="L29" s="28"/>
      <c r="M29" s="28"/>
      <c r="N29" s="28"/>
      <c r="O29" s="28"/>
      <c r="P29" s="28"/>
      <c r="Q29" s="28"/>
      <c r="R29" s="28"/>
      <c r="S29" s="28"/>
      <c r="T29" s="28"/>
      <c r="U29" s="28"/>
      <c r="V29" s="28"/>
      <c r="W29" s="28"/>
      <c r="X29" s="28"/>
      <c r="Y29" s="28"/>
      <c r="Z29" s="28"/>
    </row>
    <row r="30" spans="1:26" ht="14.25" customHeight="1" x14ac:dyDescent="0.35">
      <c r="B30" s="29">
        <v>1</v>
      </c>
      <c r="C30" s="74">
        <v>0.8</v>
      </c>
      <c r="D30" s="74">
        <v>0.998</v>
      </c>
      <c r="E30" s="39">
        <f t="shared" ref="E30:E59" si="0">$D$24+$D$23*$D$25*SQRT($D$22/(2-$D$22)*(1-(1-$D$22)^(2*B30)))</f>
        <v>1.0026999999999999</v>
      </c>
      <c r="F30" s="39">
        <f t="shared" ref="F30:F59" si="1">$D$24-$D$23*$D$25*SQRT($D$22/(2-$D$22)*(1-(1-$D$22)^(2*B30)))</f>
        <v>0.99729999999999996</v>
      </c>
      <c r="G30" s="44" t="str">
        <f t="shared" ref="G30:G59" si="2">IF(OR(D30&lt;F30,D30&gt;E30),"Yes","No")</f>
        <v>No</v>
      </c>
    </row>
    <row r="31" spans="1:26" ht="14.25" customHeight="1" x14ac:dyDescent="0.35">
      <c r="B31" s="29">
        <v>2</v>
      </c>
      <c r="C31" s="74">
        <v>0.9</v>
      </c>
      <c r="D31" s="74">
        <v>0.99702000000000002</v>
      </c>
      <c r="E31" s="39">
        <f t="shared" si="0"/>
        <v>1.003799332704568</v>
      </c>
      <c r="F31" s="39">
        <f t="shared" si="1"/>
        <v>0.996200667295432</v>
      </c>
      <c r="G31" s="44" t="str">
        <f t="shared" si="2"/>
        <v>No</v>
      </c>
    </row>
    <row r="32" spans="1:26" ht="14.25" customHeight="1" x14ac:dyDescent="0.35">
      <c r="B32" s="29">
        <v>3</v>
      </c>
      <c r="C32" s="74">
        <v>1</v>
      </c>
      <c r="D32" s="74">
        <v>0.99704999999999999</v>
      </c>
      <c r="E32" s="39">
        <f t="shared" si="0"/>
        <v>1.0046300835751529</v>
      </c>
      <c r="F32" s="39">
        <f t="shared" si="1"/>
        <v>0.99536991642484718</v>
      </c>
      <c r="G32" s="44" t="str">
        <f t="shared" si="2"/>
        <v>No</v>
      </c>
    </row>
    <row r="33" spans="2:7" ht="14.25" customHeight="1" x14ac:dyDescent="0.35">
      <c r="B33" s="29">
        <v>4</v>
      </c>
      <c r="C33" s="74">
        <v>0.9</v>
      </c>
      <c r="D33" s="74">
        <v>0.99607900000000005</v>
      </c>
      <c r="E33" s="39">
        <f t="shared" si="0"/>
        <v>1.0053198744535969</v>
      </c>
      <c r="F33" s="39">
        <f t="shared" si="1"/>
        <v>0.99468012554640306</v>
      </c>
      <c r="G33" s="44" t="str">
        <f t="shared" si="2"/>
        <v>No</v>
      </c>
    </row>
    <row r="34" spans="2:7" ht="14.25" customHeight="1" x14ac:dyDescent="0.35">
      <c r="B34" s="29">
        <v>5</v>
      </c>
      <c r="C34" s="74">
        <v>1.2</v>
      </c>
      <c r="D34" s="74">
        <v>0.99811899999999998</v>
      </c>
      <c r="E34" s="39">
        <f t="shared" si="0"/>
        <v>1.0059184350148003</v>
      </c>
      <c r="F34" s="39">
        <f t="shared" si="1"/>
        <v>0.99408156498519984</v>
      </c>
      <c r="G34" s="44" t="str">
        <f t="shared" si="2"/>
        <v>No</v>
      </c>
    </row>
    <row r="35" spans="2:7" ht="14.25" customHeight="1" x14ac:dyDescent="0.35">
      <c r="B35" s="29">
        <v>6</v>
      </c>
      <c r="C35" s="74">
        <v>0.8</v>
      </c>
      <c r="D35" s="74">
        <v>0.99613700000000005</v>
      </c>
      <c r="E35" s="39">
        <f t="shared" si="0"/>
        <v>1.0064514198709453</v>
      </c>
      <c r="F35" s="39">
        <f t="shared" si="1"/>
        <v>0.99354858012905478</v>
      </c>
      <c r="G35" s="44" t="str">
        <f t="shared" si="2"/>
        <v>No</v>
      </c>
    </row>
    <row r="36" spans="2:7" ht="14.25" customHeight="1" x14ac:dyDescent="0.35">
      <c r="B36" s="29">
        <v>7</v>
      </c>
      <c r="C36" s="74">
        <v>1.2</v>
      </c>
      <c r="D36" s="74">
        <v>0.99817599999999995</v>
      </c>
      <c r="E36" s="39">
        <f t="shared" si="0"/>
        <v>1.006934159218394</v>
      </c>
      <c r="F36" s="39">
        <f t="shared" si="1"/>
        <v>0.99306584078160609</v>
      </c>
      <c r="G36" s="44" t="str">
        <f t="shared" si="2"/>
        <v>No</v>
      </c>
    </row>
    <row r="37" spans="2:7" ht="14.25" customHeight="1" x14ac:dyDescent="0.35">
      <c r="B37" s="29">
        <v>8</v>
      </c>
      <c r="C37" s="74">
        <v>1.2</v>
      </c>
      <c r="D37" s="74">
        <v>1.000194</v>
      </c>
      <c r="E37" s="39">
        <f t="shared" si="0"/>
        <v>1.007376701230301</v>
      </c>
      <c r="F37" s="39">
        <f t="shared" si="1"/>
        <v>0.99262329876969901</v>
      </c>
      <c r="G37" s="44" t="str">
        <f t="shared" si="2"/>
        <v>No</v>
      </c>
    </row>
    <row r="38" spans="2:7" ht="14.25" customHeight="1" x14ac:dyDescent="0.35">
      <c r="B38" s="29">
        <v>9</v>
      </c>
      <c r="C38" s="74">
        <v>0.9</v>
      </c>
      <c r="D38" s="74">
        <v>0.99919199999999997</v>
      </c>
      <c r="E38" s="39">
        <f t="shared" si="0"/>
        <v>1.0077860675692165</v>
      </c>
      <c r="F38" s="39">
        <f t="shared" si="1"/>
        <v>0.99221393243078349</v>
      </c>
      <c r="G38" s="44" t="str">
        <f t="shared" si="2"/>
        <v>No</v>
      </c>
    </row>
    <row r="39" spans="2:7" ht="14.25" customHeight="1" x14ac:dyDescent="0.35">
      <c r="B39" s="29">
        <v>10</v>
      </c>
      <c r="C39" s="74">
        <v>0.8</v>
      </c>
      <c r="D39" s="74">
        <v>0.99719999999999998</v>
      </c>
      <c r="E39" s="39">
        <f t="shared" si="0"/>
        <v>1.0081674018826905</v>
      </c>
      <c r="F39" s="39">
        <f t="shared" si="1"/>
        <v>0.99183259811730951</v>
      </c>
      <c r="G39" s="44" t="str">
        <f t="shared" si="2"/>
        <v>No</v>
      </c>
    </row>
    <row r="40" spans="2:7" ht="14.25" customHeight="1" x14ac:dyDescent="0.35">
      <c r="B40" s="29">
        <v>11</v>
      </c>
      <c r="C40" s="74">
        <v>0.8</v>
      </c>
      <c r="D40" s="74">
        <v>0.995228</v>
      </c>
      <c r="E40" s="39">
        <f t="shared" si="0"/>
        <v>1.0085246111400146</v>
      </c>
      <c r="F40" s="39">
        <f t="shared" si="1"/>
        <v>0.99147538885998543</v>
      </c>
      <c r="G40" s="44" t="str">
        <f t="shared" si="2"/>
        <v>No</v>
      </c>
    </row>
    <row r="41" spans="2:7" ht="14.25" customHeight="1" x14ac:dyDescent="0.35">
      <c r="B41" s="29">
        <v>12</v>
      </c>
      <c r="C41" s="74">
        <v>1</v>
      </c>
      <c r="D41" s="74">
        <v>0.99527600000000005</v>
      </c>
      <c r="E41" s="39">
        <f t="shared" si="0"/>
        <v>1.0088607495216939</v>
      </c>
      <c r="F41" s="39">
        <f t="shared" si="1"/>
        <v>0.99113925047830609</v>
      </c>
      <c r="G41" s="44" t="str">
        <f t="shared" si="2"/>
        <v>No</v>
      </c>
    </row>
    <row r="42" spans="2:7" ht="14.25" customHeight="1" x14ac:dyDescent="0.35">
      <c r="B42" s="29">
        <v>13</v>
      </c>
      <c r="C42" s="74">
        <v>1.3</v>
      </c>
      <c r="D42" s="74">
        <v>0.99832299999999996</v>
      </c>
      <c r="E42" s="39">
        <f t="shared" si="0"/>
        <v>1.0091782610407791</v>
      </c>
      <c r="F42" s="39">
        <f t="shared" si="1"/>
        <v>0.99082173895922088</v>
      </c>
      <c r="G42" s="44" t="str">
        <f t="shared" si="2"/>
        <v>No</v>
      </c>
    </row>
    <row r="43" spans="2:7" ht="14.25" customHeight="1" x14ac:dyDescent="0.35">
      <c r="B43" s="29">
        <v>14</v>
      </c>
      <c r="C43" s="74">
        <v>1.2</v>
      </c>
      <c r="D43" s="74">
        <v>1.00034</v>
      </c>
      <c r="E43" s="39">
        <f t="shared" si="0"/>
        <v>1.0094791397429095</v>
      </c>
      <c r="F43" s="39">
        <f t="shared" si="1"/>
        <v>0.99052086025709063</v>
      </c>
      <c r="G43" s="44" t="str">
        <f t="shared" si="2"/>
        <v>No</v>
      </c>
    </row>
    <row r="44" spans="2:7" ht="14.25" customHeight="1" x14ac:dyDescent="0.35">
      <c r="B44" s="29">
        <v>15</v>
      </c>
      <c r="C44" s="74">
        <v>0.8</v>
      </c>
      <c r="D44" s="74">
        <v>0.99833700000000003</v>
      </c>
      <c r="E44" s="39">
        <f t="shared" si="0"/>
        <v>1.0097650393685493</v>
      </c>
      <c r="F44" s="39">
        <f t="shared" si="1"/>
        <v>0.99023496063145067</v>
      </c>
      <c r="G44" s="44" t="str">
        <f t="shared" si="2"/>
        <v>No</v>
      </c>
    </row>
    <row r="45" spans="2:7" ht="14.25" customHeight="1" x14ac:dyDescent="0.35">
      <c r="B45" s="29">
        <v>16</v>
      </c>
      <c r="C45" s="74">
        <v>1.1000000000000001</v>
      </c>
      <c r="D45" s="74">
        <v>0.99935300000000005</v>
      </c>
      <c r="E45" s="39">
        <f t="shared" si="0"/>
        <v>1.0100373507257303</v>
      </c>
      <c r="F45" s="39">
        <f t="shared" si="1"/>
        <v>0.98996264927426969</v>
      </c>
      <c r="G45" s="44" t="str">
        <f t="shared" si="2"/>
        <v>No</v>
      </c>
    </row>
    <row r="46" spans="2:7" ht="14.25" customHeight="1" x14ac:dyDescent="0.35">
      <c r="B46" s="29">
        <v>17</v>
      </c>
      <c r="C46" s="74">
        <v>0.7</v>
      </c>
      <c r="D46" s="74">
        <v>0.99636000000000002</v>
      </c>
      <c r="E46" s="39">
        <f t="shared" si="0"/>
        <v>1.0102972577048674</v>
      </c>
      <c r="F46" s="39">
        <f t="shared" si="1"/>
        <v>0.98970274229513255</v>
      </c>
      <c r="G46" s="44" t="str">
        <f t="shared" si="2"/>
        <v>No</v>
      </c>
    </row>
    <row r="47" spans="2:7" ht="14.25" customHeight="1" x14ac:dyDescent="0.35">
      <c r="B47" s="29">
        <v>18</v>
      </c>
      <c r="C47" s="74">
        <v>0.9</v>
      </c>
      <c r="D47" s="74">
        <v>0.99539599999999995</v>
      </c>
      <c r="E47" s="39">
        <f t="shared" si="0"/>
        <v>1.010545778741623</v>
      </c>
      <c r="F47" s="39">
        <f t="shared" si="1"/>
        <v>0.98945422125837701</v>
      </c>
      <c r="G47" s="44" t="str">
        <f t="shared" si="2"/>
        <v>No</v>
      </c>
    </row>
    <row r="48" spans="2:7" ht="14.25" customHeight="1" x14ac:dyDescent="0.35">
      <c r="B48" s="29">
        <v>19</v>
      </c>
      <c r="C48" s="74">
        <v>1.2</v>
      </c>
      <c r="D48" s="74">
        <v>0.99744200000000005</v>
      </c>
      <c r="E48" s="39">
        <f t="shared" si="0"/>
        <v>1.0107837981076635</v>
      </c>
      <c r="F48" s="39">
        <f t="shared" si="1"/>
        <v>0.98921620189233639</v>
      </c>
      <c r="G48" s="44" t="str">
        <f t="shared" si="2"/>
        <v>No</v>
      </c>
    </row>
    <row r="49" spans="2:7" ht="14.25" customHeight="1" x14ac:dyDescent="0.35">
      <c r="B49" s="29">
        <v>20</v>
      </c>
      <c r="C49" s="74">
        <v>1</v>
      </c>
      <c r="D49" s="74">
        <v>0.99746800000000002</v>
      </c>
      <c r="E49" s="39">
        <f t="shared" si="0"/>
        <v>1.0110120899299122</v>
      </c>
      <c r="F49" s="39">
        <f t="shared" si="1"/>
        <v>0.98898791007008779</v>
      </c>
      <c r="G49" s="44" t="str">
        <f t="shared" si="2"/>
        <v>No</v>
      </c>
    </row>
    <row r="50" spans="2:7" ht="14.25" customHeight="1" x14ac:dyDescent="0.35">
      <c r="B50" s="29">
        <v>21</v>
      </c>
      <c r="C50" s="74">
        <v>1.1000000000000001</v>
      </c>
      <c r="D50" s="74">
        <v>0.99849299999999996</v>
      </c>
      <c r="E50" s="39">
        <f t="shared" si="0"/>
        <v>1.0112313369081534</v>
      </c>
      <c r="F50" s="39">
        <f t="shared" si="1"/>
        <v>0.98876866309184663</v>
      </c>
      <c r="G50" s="44" t="str">
        <f t="shared" si="2"/>
        <v>No</v>
      </c>
    </row>
    <row r="51" spans="2:7" ht="14.25" customHeight="1" x14ac:dyDescent="0.35">
      <c r="B51" s="29">
        <v>22</v>
      </c>
      <c r="C51" s="74">
        <v>0.7</v>
      </c>
      <c r="D51" s="74">
        <v>0.99550799999999995</v>
      </c>
      <c r="E51" s="39">
        <f t="shared" si="0"/>
        <v>1.0114421450988191</v>
      </c>
      <c r="F51" s="39">
        <f t="shared" si="1"/>
        <v>0.98855785490118075</v>
      </c>
      <c r="G51" s="44" t="str">
        <f t="shared" si="2"/>
        <v>No</v>
      </c>
    </row>
    <row r="52" spans="2:7" ht="14.25" customHeight="1" x14ac:dyDescent="0.35">
      <c r="B52" s="29">
        <v>23</v>
      </c>
      <c r="C52" s="74">
        <v>1.1000000000000001</v>
      </c>
      <c r="D52" s="74">
        <v>0.99655300000000002</v>
      </c>
      <c r="E52" s="39">
        <f t="shared" si="0"/>
        <v>1.011645055733728</v>
      </c>
      <c r="F52" s="39">
        <f t="shared" si="1"/>
        <v>0.98835494426627202</v>
      </c>
      <c r="G52" s="44" t="str">
        <f t="shared" si="2"/>
        <v>No</v>
      </c>
    </row>
    <row r="53" spans="2:7" ht="14.25" customHeight="1" x14ac:dyDescent="0.35">
      <c r="B53" s="29">
        <v>24</v>
      </c>
      <c r="C53" s="74">
        <v>1</v>
      </c>
      <c r="D53" s="74">
        <v>0.99658800000000003</v>
      </c>
      <c r="E53" s="39">
        <f t="shared" si="0"/>
        <v>1.0118405547721845</v>
      </c>
      <c r="F53" s="39">
        <f t="shared" si="1"/>
        <v>0.98815944522781551</v>
      </c>
      <c r="G53" s="44" t="str">
        <f t="shared" si="2"/>
        <v>No</v>
      </c>
    </row>
    <row r="54" spans="2:7" ht="14.25" customHeight="1" x14ac:dyDescent="0.35">
      <c r="B54" s="29">
        <v>25</v>
      </c>
      <c r="C54" s="74">
        <v>0.9</v>
      </c>
      <c r="D54" s="74">
        <v>0.99562200000000001</v>
      </c>
      <c r="E54" s="39">
        <f t="shared" si="0"/>
        <v>1.0120290806980654</v>
      </c>
      <c r="F54" s="39">
        <f t="shared" si="1"/>
        <v>0.98797091930193459</v>
      </c>
      <c r="G54" s="44" t="str">
        <f t="shared" si="2"/>
        <v>No</v>
      </c>
    </row>
    <row r="55" spans="2:7" ht="14.25" customHeight="1" x14ac:dyDescent="0.35">
      <c r="B55" s="29">
        <v>26</v>
      </c>
      <c r="C55" s="74">
        <v>0.9</v>
      </c>
      <c r="D55" s="74">
        <v>0.99466500000000002</v>
      </c>
      <c r="E55" s="39">
        <f t="shared" si="0"/>
        <v>1.0122110309421442</v>
      </c>
      <c r="F55" s="39">
        <f t="shared" si="1"/>
        <v>0.98778896905785574</v>
      </c>
      <c r="G55" s="44" t="str">
        <f t="shared" si="2"/>
        <v>No</v>
      </c>
    </row>
    <row r="56" spans="2:7" ht="14.25" customHeight="1" x14ac:dyDescent="0.35">
      <c r="B56" s="29">
        <v>27</v>
      </c>
      <c r="C56" s="74">
        <v>0.7</v>
      </c>
      <c r="D56" s="74">
        <v>0.99171900000000002</v>
      </c>
      <c r="E56" s="39">
        <f t="shared" si="0"/>
        <v>1.0123867672160363</v>
      </c>
      <c r="F56" s="39">
        <f t="shared" si="1"/>
        <v>0.98761323278396373</v>
      </c>
      <c r="G56" s="44" t="str">
        <f t="shared" si="2"/>
        <v>No</v>
      </c>
    </row>
    <row r="57" spans="2:7" ht="14.25" customHeight="1" x14ac:dyDescent="0.35">
      <c r="B57" s="29">
        <v>28</v>
      </c>
      <c r="C57" s="74">
        <v>0.6</v>
      </c>
      <c r="D57" s="74">
        <v>0.98780199999999996</v>
      </c>
      <c r="E57" s="39">
        <f t="shared" si="0"/>
        <v>1.0125566199760601</v>
      </c>
      <c r="F57" s="39">
        <f t="shared" si="1"/>
        <v>0.98744338002393994</v>
      </c>
      <c r="G57" s="44" t="str">
        <f t="shared" si="2"/>
        <v>No</v>
      </c>
    </row>
    <row r="58" spans="2:7" ht="14.25" customHeight="1" x14ac:dyDescent="0.35">
      <c r="B58" s="29">
        <v>29</v>
      </c>
      <c r="C58" s="74">
        <v>0.9</v>
      </c>
      <c r="D58" s="74">
        <v>0.98692400000000002</v>
      </c>
      <c r="E58" s="39">
        <f t="shared" si="0"/>
        <v>1.0127208921852695</v>
      </c>
      <c r="F58" s="39">
        <f t="shared" si="1"/>
        <v>0.98727910781473049</v>
      </c>
      <c r="G58" s="44" t="str">
        <f t="shared" si="2"/>
        <v>Yes</v>
      </c>
    </row>
    <row r="59" spans="2:7" ht="14.25" customHeight="1" x14ac:dyDescent="0.35">
      <c r="B59" s="29">
        <v>30</v>
      </c>
      <c r="C59" s="74">
        <v>0.7</v>
      </c>
      <c r="D59" s="74">
        <v>0.98405399999999998</v>
      </c>
      <c r="E59" s="39">
        <f t="shared" si="0"/>
        <v>1.0128798625046722</v>
      </c>
      <c r="F59" s="39">
        <f t="shared" si="1"/>
        <v>0.98712013749532768</v>
      </c>
      <c r="G59" s="98" t="str">
        <f t="shared" si="2"/>
        <v>Yes</v>
      </c>
    </row>
    <row r="60" spans="2:7" ht="14.25" customHeight="1" x14ac:dyDescent="0.35">
      <c r="B60" s="76"/>
      <c r="C60" s="76"/>
      <c r="D60" s="76"/>
      <c r="E60" s="76"/>
      <c r="F60" s="76"/>
    </row>
    <row r="61" spans="2:7" ht="14.25" customHeight="1" x14ac:dyDescent="0.35"/>
    <row r="62" spans="2:7" ht="14.25" customHeight="1" x14ac:dyDescent="0.35"/>
    <row r="63" spans="2:7" ht="14.25" customHeight="1" x14ac:dyDescent="0.35"/>
    <row r="64" spans="2:7"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3">
    <mergeCell ref="C2:F2"/>
    <mergeCell ref="B20:F21"/>
    <mergeCell ref="B22:B27"/>
  </mergeCells>
  <conditionalFormatting sqref="G30:G59">
    <cfRule type="cellIs" dxfId="3" priority="2" operator="equal">
      <formula>"Yes"</formula>
    </cfRule>
  </conditionalFormatting>
  <pageMargins left="0.7" right="0.7" top="0.75" bottom="0.75" header="0.511811023622047" footer="0.511811023622047"/>
  <pageSetup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472C4"/>
  </sheetPr>
  <dimension ref="A1:Z1000"/>
  <sheetViews>
    <sheetView showGridLines="0" zoomScale="76" zoomScaleNormal="76" workbookViewId="0">
      <selection activeCell="K68" sqref="K68"/>
    </sheetView>
  </sheetViews>
  <sheetFormatPr defaultColWidth="14.453125" defaultRowHeight="14.5" x14ac:dyDescent="0.35"/>
  <cols>
    <col min="1" max="1" width="8.7265625" customWidth="1"/>
    <col min="2" max="18" width="12.453125" customWidth="1"/>
    <col min="19" max="26" width="12.54296875" customWidth="1"/>
  </cols>
  <sheetData>
    <row r="1" spans="2:8" ht="14.25" customHeight="1" x14ac:dyDescent="0.35"/>
    <row r="2" spans="2:8" ht="14.25" customHeight="1" x14ac:dyDescent="0.35">
      <c r="B2" s="44" t="s">
        <v>245</v>
      </c>
      <c r="C2" s="107"/>
      <c r="D2" s="107"/>
      <c r="E2" s="107"/>
      <c r="F2" s="107"/>
      <c r="G2" s="107"/>
      <c r="H2" s="107"/>
    </row>
    <row r="3" spans="2:8" ht="14.25" customHeight="1" x14ac:dyDescent="0.35"/>
    <row r="4" spans="2:8" ht="14.25" customHeight="1" x14ac:dyDescent="0.35"/>
    <row r="5" spans="2:8" ht="14.25" customHeight="1" x14ac:dyDescent="0.35"/>
    <row r="6" spans="2:8" ht="14.25" customHeight="1" x14ac:dyDescent="0.35"/>
    <row r="7" spans="2:8" ht="14.25" customHeight="1" x14ac:dyDescent="0.35"/>
    <row r="8" spans="2:8" ht="14.25" customHeight="1" x14ac:dyDescent="0.35"/>
    <row r="9" spans="2:8" ht="14.25" customHeight="1" x14ac:dyDescent="0.35"/>
    <row r="10" spans="2:8" ht="14.25" customHeight="1" x14ac:dyDescent="0.35"/>
    <row r="11" spans="2:8" ht="14.25" customHeight="1" x14ac:dyDescent="0.35"/>
    <row r="12" spans="2:8" ht="14.25" customHeight="1" x14ac:dyDescent="0.35"/>
    <row r="13" spans="2:8" ht="14.25" customHeight="1" x14ac:dyDescent="0.35"/>
    <row r="14" spans="2:8" ht="14.25" customHeight="1" x14ac:dyDescent="0.35"/>
    <row r="15" spans="2:8" ht="14.25" customHeight="1" x14ac:dyDescent="0.35"/>
    <row r="16" spans="2:8" ht="14.25" customHeight="1" x14ac:dyDescent="0.35"/>
    <row r="17" spans="2:18" ht="14.25" customHeight="1" x14ac:dyDescent="0.35"/>
    <row r="18" spans="2:18" ht="14.25" customHeight="1" x14ac:dyDescent="0.35"/>
    <row r="19" spans="2:18" ht="14.25" customHeight="1" x14ac:dyDescent="0.35"/>
    <row r="20" spans="2:18" ht="14.25" customHeight="1" x14ac:dyDescent="0.35">
      <c r="B20" s="111" t="s">
        <v>246</v>
      </c>
      <c r="C20" s="111"/>
      <c r="D20" s="111"/>
      <c r="E20" s="111"/>
      <c r="F20" s="111"/>
      <c r="G20" s="111"/>
      <c r="H20" s="111"/>
      <c r="I20" s="111"/>
      <c r="J20" s="111"/>
      <c r="K20" s="111"/>
      <c r="L20" s="111"/>
      <c r="M20" s="111"/>
      <c r="N20" s="111"/>
      <c r="O20" s="111"/>
      <c r="P20" s="111"/>
      <c r="Q20" s="111"/>
      <c r="R20" s="111"/>
    </row>
    <row r="21" spans="2:18" ht="14.25" customHeight="1" x14ac:dyDescent="0.35">
      <c r="B21" s="111"/>
      <c r="C21" s="111"/>
      <c r="D21" s="111"/>
      <c r="E21" s="111"/>
      <c r="F21" s="111"/>
      <c r="G21" s="111"/>
      <c r="H21" s="111"/>
      <c r="I21" s="111"/>
      <c r="J21" s="111"/>
      <c r="K21" s="111"/>
      <c r="L21" s="111"/>
      <c r="M21" s="111"/>
      <c r="N21" s="111"/>
      <c r="O21" s="111"/>
      <c r="P21" s="111"/>
      <c r="Q21" s="111"/>
      <c r="R21" s="111"/>
    </row>
    <row r="22" spans="2:18" ht="14.25" customHeight="1" x14ac:dyDescent="0.35">
      <c r="B22" s="112" t="s">
        <v>114</v>
      </c>
      <c r="C22" s="65" t="s">
        <v>115</v>
      </c>
      <c r="D22" s="66">
        <v>20</v>
      </c>
      <c r="E22" s="67"/>
      <c r="F22" s="67"/>
      <c r="G22" s="67"/>
      <c r="H22" s="67"/>
      <c r="I22" s="67"/>
      <c r="J22" s="67"/>
      <c r="K22" s="67"/>
      <c r="L22" s="67"/>
      <c r="M22" s="67"/>
      <c r="N22" s="67"/>
      <c r="O22" s="67"/>
      <c r="P22" s="67"/>
      <c r="Q22" s="67"/>
      <c r="R22" s="67"/>
    </row>
    <row r="23" spans="2:18" ht="14.25" customHeight="1" x14ac:dyDescent="0.35">
      <c r="B23" s="112"/>
      <c r="C23" s="29" t="s">
        <v>55</v>
      </c>
      <c r="D23" s="68">
        <v>3</v>
      </c>
      <c r="E23" s="26"/>
      <c r="F23" s="26"/>
      <c r="G23" s="26"/>
      <c r="H23" s="26"/>
      <c r="I23" s="26"/>
      <c r="J23" s="26"/>
      <c r="K23" s="26"/>
      <c r="L23" s="26"/>
      <c r="M23" s="26"/>
      <c r="N23" s="26"/>
      <c r="O23" s="26"/>
      <c r="P23" s="26"/>
      <c r="Q23" s="26"/>
      <c r="R23" s="26"/>
    </row>
    <row r="24" spans="2:18" ht="14.25" customHeight="1" x14ac:dyDescent="0.35">
      <c r="B24" s="112"/>
      <c r="C24" s="29" t="s">
        <v>42</v>
      </c>
      <c r="D24" s="68">
        <f>'Data Awal'!AI5</f>
        <v>264</v>
      </c>
      <c r="E24" s="116" t="s">
        <v>247</v>
      </c>
      <c r="F24" s="26"/>
      <c r="G24" s="26"/>
      <c r="H24" s="26"/>
      <c r="I24" s="26"/>
      <c r="J24" s="26"/>
      <c r="K24" s="26"/>
      <c r="L24" s="26"/>
      <c r="M24" s="26"/>
      <c r="N24" s="26"/>
      <c r="O24" s="26"/>
      <c r="P24" s="26"/>
      <c r="Q24" s="26"/>
      <c r="R24" s="26"/>
    </row>
    <row r="25" spans="2:18" ht="14.25" customHeight="1" x14ac:dyDescent="0.35">
      <c r="B25" s="112"/>
      <c r="C25" s="29" t="s">
        <v>46</v>
      </c>
      <c r="D25" s="68">
        <f>'Data Awal'!AI6</f>
        <v>284</v>
      </c>
      <c r="E25" s="116"/>
      <c r="F25" s="26"/>
      <c r="G25" s="26"/>
      <c r="H25" s="26"/>
      <c r="I25" s="26"/>
      <c r="J25" s="26"/>
      <c r="K25" s="26"/>
      <c r="L25" s="26"/>
      <c r="M25" s="26"/>
      <c r="N25" s="26"/>
      <c r="O25" s="26"/>
      <c r="P25" s="26"/>
      <c r="Q25" s="26"/>
      <c r="R25" s="26"/>
    </row>
    <row r="26" spans="2:18" ht="14.25" customHeight="1" x14ac:dyDescent="0.35">
      <c r="B26" s="112"/>
      <c r="C26" s="29" t="s">
        <v>49</v>
      </c>
      <c r="D26" s="68">
        <f>'Data Awal'!AI7</f>
        <v>304</v>
      </c>
      <c r="E26" s="116"/>
      <c r="F26" s="26"/>
      <c r="G26" s="26"/>
      <c r="H26" s="26"/>
      <c r="I26" s="26"/>
      <c r="J26" s="26"/>
      <c r="K26" s="26"/>
      <c r="L26" s="26"/>
      <c r="M26" s="26"/>
      <c r="N26" s="26"/>
      <c r="O26" s="26"/>
      <c r="P26" s="26"/>
      <c r="Q26" s="26"/>
      <c r="R26" s="26"/>
    </row>
    <row r="27" spans="2:18" ht="14.25" customHeight="1" x14ac:dyDescent="0.35">
      <c r="B27" s="112"/>
      <c r="C27" s="29" t="s">
        <v>51</v>
      </c>
      <c r="D27" s="68">
        <f>'Data Awal'!AI8</f>
        <v>324</v>
      </c>
      <c r="E27" s="116"/>
      <c r="F27" s="26"/>
      <c r="G27" s="26"/>
      <c r="H27" s="26"/>
      <c r="I27" s="26"/>
      <c r="J27" s="26"/>
      <c r="K27" s="26"/>
      <c r="L27" s="26"/>
      <c r="M27" s="26"/>
      <c r="N27" s="26"/>
      <c r="O27" s="26"/>
      <c r="P27" s="26"/>
      <c r="Q27" s="26"/>
      <c r="R27" s="26"/>
    </row>
    <row r="28" spans="2:18" ht="14.25" customHeight="1" x14ac:dyDescent="0.35">
      <c r="B28" s="112"/>
      <c r="C28" s="29" t="s">
        <v>42</v>
      </c>
      <c r="D28" s="99">
        <v>0.24</v>
      </c>
      <c r="E28" s="117" t="s">
        <v>248</v>
      </c>
      <c r="F28" s="26"/>
      <c r="G28" s="26"/>
      <c r="H28" s="26"/>
      <c r="I28" s="26"/>
      <c r="J28" s="26"/>
      <c r="K28" s="26"/>
      <c r="L28" s="26"/>
      <c r="M28" s="26"/>
      <c r="N28" s="26"/>
      <c r="O28" s="26"/>
      <c r="P28" s="26"/>
      <c r="Q28" s="26"/>
      <c r="R28" s="26"/>
    </row>
    <row r="29" spans="2:18" ht="14.25" customHeight="1" x14ac:dyDescent="0.35">
      <c r="B29" s="112"/>
      <c r="C29" s="29" t="s">
        <v>46</v>
      </c>
      <c r="D29" s="99">
        <v>0.16</v>
      </c>
      <c r="E29" s="117"/>
      <c r="F29" s="26"/>
      <c r="G29" s="26"/>
      <c r="H29" s="26"/>
      <c r="I29" s="26"/>
      <c r="J29" s="26"/>
      <c r="K29" s="26"/>
      <c r="L29" s="26"/>
      <c r="M29" s="26"/>
      <c r="N29" s="26"/>
      <c r="O29" s="26"/>
      <c r="P29" s="26"/>
      <c r="Q29" s="26"/>
      <c r="R29" s="26"/>
    </row>
    <row r="30" spans="2:18" ht="14.25" customHeight="1" x14ac:dyDescent="0.35">
      <c r="B30" s="112"/>
      <c r="C30" s="29" t="s">
        <v>49</v>
      </c>
      <c r="D30" s="99">
        <v>0.2</v>
      </c>
      <c r="E30" s="117"/>
      <c r="F30" s="26"/>
      <c r="G30" s="26"/>
      <c r="H30" s="26"/>
      <c r="I30" s="26"/>
      <c r="J30" s="26"/>
      <c r="K30" s="26"/>
      <c r="L30" s="26"/>
      <c r="M30" s="26"/>
      <c r="N30" s="26"/>
      <c r="O30" s="26"/>
      <c r="P30" s="26"/>
      <c r="Q30" s="26"/>
      <c r="R30" s="26"/>
    </row>
    <row r="31" spans="2:18" ht="14.25" customHeight="1" x14ac:dyDescent="0.35">
      <c r="B31" s="112"/>
      <c r="C31" s="29" t="s">
        <v>51</v>
      </c>
      <c r="D31" s="99">
        <v>0.16</v>
      </c>
      <c r="E31" s="117"/>
      <c r="F31" s="26"/>
      <c r="G31" s="26"/>
      <c r="H31" s="26"/>
      <c r="I31" s="26"/>
      <c r="J31" s="26"/>
      <c r="K31" s="26"/>
      <c r="L31" s="26"/>
      <c r="M31" s="26"/>
      <c r="N31" s="26"/>
      <c r="O31" s="26"/>
      <c r="P31" s="26"/>
      <c r="Q31" s="26"/>
      <c r="R31" s="26"/>
    </row>
    <row r="32" spans="2:18" ht="14.25" customHeight="1" x14ac:dyDescent="0.35">
      <c r="B32" s="112"/>
      <c r="C32" s="29" t="s">
        <v>125</v>
      </c>
      <c r="D32" s="100">
        <v>0</v>
      </c>
      <c r="E32" s="36"/>
      <c r="F32" s="26"/>
      <c r="G32" s="26"/>
      <c r="H32" s="26"/>
      <c r="I32" s="26"/>
      <c r="J32" s="26"/>
      <c r="K32" s="26"/>
      <c r="L32" s="26"/>
      <c r="M32" s="26"/>
      <c r="N32" s="26"/>
      <c r="O32" s="26"/>
      <c r="P32" s="26"/>
      <c r="Q32" s="26"/>
      <c r="R32" s="26"/>
    </row>
    <row r="33" spans="1:26" ht="14.25" customHeight="1" x14ac:dyDescent="0.35">
      <c r="B33" s="112"/>
      <c r="C33" s="29" t="s">
        <v>124</v>
      </c>
      <c r="D33" s="100">
        <v>1</v>
      </c>
      <c r="E33" s="36"/>
      <c r="F33" s="26"/>
      <c r="G33" s="26"/>
      <c r="H33" s="26"/>
      <c r="I33" s="26"/>
      <c r="J33" s="26"/>
      <c r="K33" s="26"/>
      <c r="L33" s="26"/>
      <c r="M33" s="26"/>
      <c r="N33" s="26"/>
      <c r="O33" s="26"/>
      <c r="P33" s="26"/>
      <c r="Q33" s="26"/>
      <c r="R33" s="26"/>
    </row>
    <row r="34" spans="1:26" ht="14.25" customHeight="1" x14ac:dyDescent="0.35">
      <c r="B34" s="112"/>
      <c r="C34" s="29" t="s">
        <v>118</v>
      </c>
      <c r="D34" s="100">
        <v>2.5739999999999998</v>
      </c>
      <c r="E34" s="70"/>
      <c r="F34" s="70"/>
      <c r="G34" s="70"/>
      <c r="H34" s="70"/>
      <c r="I34" s="70"/>
      <c r="J34" s="70"/>
      <c r="K34" s="70"/>
      <c r="L34" s="70"/>
      <c r="M34" s="70"/>
      <c r="N34" s="70"/>
      <c r="O34" s="70"/>
      <c r="P34" s="70"/>
      <c r="Q34" s="70"/>
      <c r="R34" s="70"/>
    </row>
    <row r="35" spans="1:26" ht="14.25" customHeight="1" x14ac:dyDescent="0.35">
      <c r="B35" s="112"/>
      <c r="C35" s="29" t="s">
        <v>119</v>
      </c>
      <c r="D35" s="100">
        <v>0</v>
      </c>
      <c r="E35" s="70"/>
      <c r="F35" s="70"/>
      <c r="G35" s="70"/>
      <c r="H35" s="70"/>
      <c r="I35" s="70"/>
      <c r="J35" s="70"/>
      <c r="K35" s="70"/>
      <c r="L35" s="70"/>
      <c r="M35" s="70"/>
      <c r="N35" s="70"/>
      <c r="O35" s="70"/>
      <c r="P35" s="70"/>
      <c r="Q35" s="70"/>
      <c r="R35" s="70"/>
    </row>
    <row r="36" spans="1:26" ht="14.25" customHeight="1" x14ac:dyDescent="0.35">
      <c r="B36" s="112"/>
      <c r="C36" s="29" t="s">
        <v>120</v>
      </c>
      <c r="D36" s="100">
        <v>1.0229999999999999</v>
      </c>
      <c r="E36" s="70"/>
      <c r="F36" s="70"/>
      <c r="G36" s="70"/>
      <c r="H36" s="70"/>
      <c r="I36" s="70"/>
      <c r="J36" s="70"/>
      <c r="K36" s="70"/>
      <c r="L36" s="70"/>
      <c r="M36" s="70"/>
      <c r="N36" s="70"/>
      <c r="O36" s="70"/>
      <c r="P36" s="70"/>
      <c r="Q36" s="70"/>
      <c r="R36" s="70"/>
    </row>
    <row r="37" spans="1:26" ht="14.25" customHeight="1" x14ac:dyDescent="0.35">
      <c r="B37" s="112"/>
      <c r="C37" s="29" t="s">
        <v>121</v>
      </c>
      <c r="D37" s="100">
        <v>-1.0229999999999999</v>
      </c>
      <c r="E37" s="70"/>
      <c r="F37" s="70"/>
      <c r="G37" s="70"/>
      <c r="H37" s="70"/>
      <c r="I37" s="70"/>
      <c r="J37" s="70"/>
      <c r="K37" s="70"/>
      <c r="L37" s="70"/>
      <c r="M37" s="70"/>
      <c r="N37" s="70"/>
      <c r="O37" s="70"/>
      <c r="P37" s="70"/>
      <c r="Q37" s="70"/>
      <c r="R37" s="70"/>
    </row>
    <row r="38" spans="1:26" ht="14.25" customHeight="1" x14ac:dyDescent="0.35">
      <c r="B38" s="112"/>
      <c r="C38" s="29" t="s">
        <v>56</v>
      </c>
      <c r="D38" s="70">
        <f t="array" ref="D38">INDEX('Tabel Faktor'!$A$1:$Q$25,MATCH('Peta Kendali xbar-R SPR'!D23,'Tabel Faktor'!$A$1:$A$25,0),MATCH('Peta Kendali xbar-R SPR'!C38,'Tabel Faktor'!$A$1:$Q$1,0))</f>
        <v>1.0229999999999999</v>
      </c>
      <c r="E38" s="70"/>
      <c r="F38" s="70"/>
      <c r="G38" s="70"/>
      <c r="H38" s="70"/>
      <c r="I38" s="70"/>
      <c r="J38" s="70"/>
      <c r="K38" s="70"/>
      <c r="L38" s="70"/>
      <c r="M38" s="70"/>
      <c r="N38" s="70"/>
      <c r="O38" s="70"/>
      <c r="P38" s="70"/>
      <c r="Q38" s="70"/>
      <c r="R38" s="70"/>
    </row>
    <row r="39" spans="1:26" ht="14.25" customHeight="1" x14ac:dyDescent="0.35">
      <c r="B39" s="112"/>
      <c r="C39" s="29" t="s">
        <v>70</v>
      </c>
      <c r="D39" s="70">
        <f t="array" ref="D39">INDEX('Tabel Faktor'!$A$1:$Q$25,MATCH('Peta Kendali xbar-R SPR'!D23,'Tabel Faktor'!$A$1:$A$25,0),MATCH('Peta Kendali xbar-R SPR'!C39,'Tabel Faktor'!$A$1:$Q$1,0))</f>
        <v>2.5739999999999998</v>
      </c>
      <c r="E39" s="70"/>
      <c r="F39" s="70"/>
      <c r="G39" s="70"/>
      <c r="H39" s="70"/>
      <c r="I39" s="70"/>
      <c r="J39" s="70"/>
      <c r="K39" s="70"/>
      <c r="L39" s="70"/>
      <c r="M39" s="70"/>
      <c r="N39" s="70"/>
      <c r="O39" s="70"/>
      <c r="P39" s="70"/>
      <c r="Q39" s="70"/>
      <c r="R39" s="70"/>
    </row>
    <row r="40" spans="1:26" ht="14.25" customHeight="1" x14ac:dyDescent="0.35">
      <c r="B40" s="112"/>
      <c r="C40" s="71" t="s">
        <v>69</v>
      </c>
      <c r="D40" s="72">
        <f t="array" ref="D40">INDEX('Tabel Faktor'!$A$1:$Q$25,MATCH('Peta Kendali xbar-R SPR'!D23,'Tabel Faktor'!$A$1:$A$25,0),MATCH('Peta Kendali xbar-R SPR'!C40,'Tabel Faktor'!$A$1:$Q$1,0))</f>
        <v>0</v>
      </c>
      <c r="E40" s="73"/>
      <c r="F40" s="73"/>
      <c r="G40" s="73"/>
      <c r="H40" s="73"/>
      <c r="I40" s="73"/>
      <c r="J40" s="73"/>
      <c r="K40" s="73"/>
      <c r="L40" s="73"/>
      <c r="M40" s="73"/>
      <c r="N40" s="73"/>
      <c r="O40" s="73"/>
      <c r="P40" s="73"/>
      <c r="Q40" s="73"/>
      <c r="R40" s="73"/>
    </row>
    <row r="41" spans="1:26" ht="14.25" customHeight="1" x14ac:dyDescent="0.35">
      <c r="B41" s="29"/>
      <c r="C41" s="29"/>
      <c r="D41" s="29"/>
      <c r="E41" s="29"/>
      <c r="F41" s="29"/>
      <c r="G41" s="29"/>
      <c r="H41" s="29"/>
      <c r="I41" s="29"/>
      <c r="J41" s="29"/>
      <c r="K41" s="29"/>
      <c r="L41" s="29"/>
      <c r="M41" s="29"/>
      <c r="N41" s="29"/>
      <c r="O41" s="29"/>
      <c r="P41" s="29"/>
      <c r="Q41" s="29"/>
      <c r="R41" s="29"/>
    </row>
    <row r="42" spans="1:26" ht="14.25" customHeight="1" x14ac:dyDescent="0.35">
      <c r="A42" s="28"/>
      <c r="B42" s="32" t="s">
        <v>30</v>
      </c>
      <c r="C42" s="33" t="s">
        <v>35</v>
      </c>
      <c r="D42" s="11" t="s">
        <v>31</v>
      </c>
      <c r="E42" s="11"/>
      <c r="F42" s="11"/>
      <c r="G42" s="32" t="s">
        <v>122</v>
      </c>
      <c r="H42" s="32" t="s">
        <v>123</v>
      </c>
      <c r="I42" s="32" t="s">
        <v>249</v>
      </c>
      <c r="J42" s="32" t="s">
        <v>250</v>
      </c>
      <c r="K42" s="32" t="s">
        <v>251</v>
      </c>
      <c r="L42" s="32" t="s">
        <v>252</v>
      </c>
      <c r="M42" s="32" t="s">
        <v>124</v>
      </c>
      <c r="N42" s="32" t="s">
        <v>118</v>
      </c>
      <c r="O42" s="32" t="s">
        <v>119</v>
      </c>
      <c r="P42" s="32" t="s">
        <v>125</v>
      </c>
      <c r="Q42" s="32" t="s">
        <v>126</v>
      </c>
      <c r="R42" s="32" t="s">
        <v>127</v>
      </c>
      <c r="S42" s="28"/>
      <c r="T42" s="28"/>
      <c r="U42" s="28"/>
      <c r="V42" s="28"/>
      <c r="W42" s="28"/>
      <c r="X42" s="28"/>
      <c r="Y42" s="28"/>
      <c r="Z42" s="28"/>
    </row>
    <row r="43" spans="1:26" ht="14.25" customHeight="1" x14ac:dyDescent="0.35">
      <c r="B43" s="29">
        <v>1</v>
      </c>
      <c r="C43" s="74" t="s">
        <v>42</v>
      </c>
      <c r="D43" s="74">
        <v>263.7</v>
      </c>
      <c r="E43" s="74">
        <v>264.10000000000002</v>
      </c>
      <c r="F43" s="74">
        <v>263.89999999999998</v>
      </c>
      <c r="G43" s="39">
        <v>263.89999999999998</v>
      </c>
      <c r="H43" s="39">
        <v>0.4</v>
      </c>
      <c r="I43" s="26">
        <v>264</v>
      </c>
      <c r="J43" s="79">
        <v>0.24</v>
      </c>
      <c r="K43" s="79">
        <v>-0.41666700000000001</v>
      </c>
      <c r="L43" s="79">
        <v>1.6666669999999999</v>
      </c>
      <c r="M43" s="39">
        <f t="shared" ref="M43:M62" si="0">$D$33</f>
        <v>1</v>
      </c>
      <c r="N43" s="39">
        <f t="shared" ref="N43:N62" si="1">$D$34</f>
        <v>2.5739999999999998</v>
      </c>
      <c r="O43" s="39">
        <f t="shared" ref="O43:O62" si="2">$D$35</f>
        <v>0</v>
      </c>
      <c r="P43" s="39">
        <f t="shared" ref="P43:P62" si="3">$D$32</f>
        <v>0</v>
      </c>
      <c r="Q43" s="39">
        <f t="shared" ref="Q43:Q62" si="4">$D$36</f>
        <v>1.0229999999999999</v>
      </c>
      <c r="R43" s="39">
        <f t="shared" ref="R43:R62" si="5">$D$37</f>
        <v>-1.0229999999999999</v>
      </c>
    </row>
    <row r="44" spans="1:26" ht="14.25" customHeight="1" x14ac:dyDescent="0.35">
      <c r="B44" s="29">
        <v>2</v>
      </c>
      <c r="C44" s="74" t="s">
        <v>42</v>
      </c>
      <c r="D44" s="74">
        <v>263.89999999999998</v>
      </c>
      <c r="E44" s="74">
        <v>263.89999999999998</v>
      </c>
      <c r="F44" s="74">
        <v>264.10000000000002</v>
      </c>
      <c r="G44" s="39">
        <v>263.96666699999997</v>
      </c>
      <c r="H44" s="39">
        <v>0.2</v>
      </c>
      <c r="I44" s="26">
        <v>264</v>
      </c>
      <c r="J44" s="79">
        <v>0.24</v>
      </c>
      <c r="K44" s="79">
        <v>-0.13888900000000001</v>
      </c>
      <c r="L44" s="79">
        <v>0.83333299999999999</v>
      </c>
      <c r="M44" s="39">
        <f t="shared" si="0"/>
        <v>1</v>
      </c>
      <c r="N44" s="39">
        <f t="shared" si="1"/>
        <v>2.5739999999999998</v>
      </c>
      <c r="O44" s="39">
        <f t="shared" si="2"/>
        <v>0</v>
      </c>
      <c r="P44" s="39">
        <f t="shared" si="3"/>
        <v>0</v>
      </c>
      <c r="Q44" s="39">
        <f t="shared" si="4"/>
        <v>1.0229999999999999</v>
      </c>
      <c r="R44" s="39">
        <f t="shared" si="5"/>
        <v>-1.0229999999999999</v>
      </c>
    </row>
    <row r="45" spans="1:26" ht="14.25" customHeight="1" x14ac:dyDescent="0.35">
      <c r="B45" s="29">
        <v>3</v>
      </c>
      <c r="C45" s="74" t="s">
        <v>42</v>
      </c>
      <c r="D45" s="74">
        <v>263.8</v>
      </c>
      <c r="E45" s="74">
        <v>263.89999999999998</v>
      </c>
      <c r="F45" s="74">
        <v>264.10000000000002</v>
      </c>
      <c r="G45" s="39">
        <v>263.933333</v>
      </c>
      <c r="H45" s="39">
        <v>0.3</v>
      </c>
      <c r="I45" s="26">
        <v>264</v>
      </c>
      <c r="J45" s="79">
        <v>0.24</v>
      </c>
      <c r="K45" s="79">
        <v>-0.27777800000000002</v>
      </c>
      <c r="L45" s="79">
        <v>1.25</v>
      </c>
      <c r="M45" s="39">
        <f t="shared" si="0"/>
        <v>1</v>
      </c>
      <c r="N45" s="39">
        <f t="shared" si="1"/>
        <v>2.5739999999999998</v>
      </c>
      <c r="O45" s="39">
        <f t="shared" si="2"/>
        <v>0</v>
      </c>
      <c r="P45" s="39">
        <f t="shared" si="3"/>
        <v>0</v>
      </c>
      <c r="Q45" s="39">
        <f t="shared" si="4"/>
        <v>1.0229999999999999</v>
      </c>
      <c r="R45" s="39">
        <f t="shared" si="5"/>
        <v>-1.0229999999999999</v>
      </c>
    </row>
    <row r="46" spans="1:26" ht="14.25" customHeight="1" x14ac:dyDescent="0.35">
      <c r="B46" s="29">
        <v>4</v>
      </c>
      <c r="C46" s="74" t="s">
        <v>42</v>
      </c>
      <c r="D46" s="74">
        <v>264.10000000000002</v>
      </c>
      <c r="E46" s="74">
        <v>263.89999999999998</v>
      </c>
      <c r="F46" s="74">
        <v>264.10000000000002</v>
      </c>
      <c r="G46" s="39">
        <v>264.03333300000003</v>
      </c>
      <c r="H46" s="39">
        <v>0.2</v>
      </c>
      <c r="I46" s="26">
        <v>264</v>
      </c>
      <c r="J46" s="79">
        <v>0.24</v>
      </c>
      <c r="K46" s="79">
        <v>0.13888900000000001</v>
      </c>
      <c r="L46" s="79">
        <v>0.83333299999999999</v>
      </c>
      <c r="M46" s="39">
        <f t="shared" si="0"/>
        <v>1</v>
      </c>
      <c r="N46" s="39">
        <f t="shared" si="1"/>
        <v>2.5739999999999998</v>
      </c>
      <c r="O46" s="39">
        <f t="shared" si="2"/>
        <v>0</v>
      </c>
      <c r="P46" s="39">
        <f t="shared" si="3"/>
        <v>0</v>
      </c>
      <c r="Q46" s="39">
        <f t="shared" si="4"/>
        <v>1.0229999999999999</v>
      </c>
      <c r="R46" s="39">
        <f t="shared" si="5"/>
        <v>-1.0229999999999999</v>
      </c>
    </row>
    <row r="47" spans="1:26" ht="14.25" customHeight="1" x14ac:dyDescent="0.35">
      <c r="B47" s="29">
        <v>5</v>
      </c>
      <c r="C47" s="74" t="s">
        <v>42</v>
      </c>
      <c r="D47" s="74">
        <v>264</v>
      </c>
      <c r="E47" s="74">
        <v>263.89999999999998</v>
      </c>
      <c r="F47" s="74">
        <v>264</v>
      </c>
      <c r="G47" s="39">
        <v>263.96666699999997</v>
      </c>
      <c r="H47" s="39">
        <v>0.1</v>
      </c>
      <c r="I47" s="26">
        <v>264</v>
      </c>
      <c r="J47" s="79">
        <v>0.24</v>
      </c>
      <c r="K47" s="79">
        <v>-0.13888900000000001</v>
      </c>
      <c r="L47" s="79">
        <v>0.41666700000000001</v>
      </c>
      <c r="M47" s="39">
        <f t="shared" si="0"/>
        <v>1</v>
      </c>
      <c r="N47" s="39">
        <f t="shared" si="1"/>
        <v>2.5739999999999998</v>
      </c>
      <c r="O47" s="39">
        <f t="shared" si="2"/>
        <v>0</v>
      </c>
      <c r="P47" s="39">
        <f t="shared" si="3"/>
        <v>0</v>
      </c>
      <c r="Q47" s="39">
        <f t="shared" si="4"/>
        <v>1.0229999999999999</v>
      </c>
      <c r="R47" s="39">
        <f t="shared" si="5"/>
        <v>-1.0229999999999999</v>
      </c>
    </row>
    <row r="48" spans="1:26" ht="14.25" customHeight="1" x14ac:dyDescent="0.35">
      <c r="B48" s="29">
        <v>6</v>
      </c>
      <c r="C48" s="74" t="s">
        <v>46</v>
      </c>
      <c r="D48" s="74">
        <v>284</v>
      </c>
      <c r="E48" s="74">
        <v>284</v>
      </c>
      <c r="F48" s="74">
        <v>284.10000000000002</v>
      </c>
      <c r="G48" s="39">
        <v>284.03333300000003</v>
      </c>
      <c r="H48" s="39">
        <v>0.1</v>
      </c>
      <c r="I48" s="26">
        <v>284</v>
      </c>
      <c r="J48" s="79">
        <v>0.16</v>
      </c>
      <c r="K48" s="79">
        <v>0.20833299999999999</v>
      </c>
      <c r="L48" s="79">
        <v>0.625</v>
      </c>
      <c r="M48" s="39">
        <f t="shared" si="0"/>
        <v>1</v>
      </c>
      <c r="N48" s="39">
        <f t="shared" si="1"/>
        <v>2.5739999999999998</v>
      </c>
      <c r="O48" s="39">
        <f t="shared" si="2"/>
        <v>0</v>
      </c>
      <c r="P48" s="39">
        <f t="shared" si="3"/>
        <v>0</v>
      </c>
      <c r="Q48" s="39">
        <f t="shared" si="4"/>
        <v>1.0229999999999999</v>
      </c>
      <c r="R48" s="39">
        <f t="shared" si="5"/>
        <v>-1.0229999999999999</v>
      </c>
    </row>
    <row r="49" spans="2:18" ht="14.25" customHeight="1" x14ac:dyDescent="0.35">
      <c r="B49" s="29">
        <v>7</v>
      </c>
      <c r="C49" s="74" t="s">
        <v>46</v>
      </c>
      <c r="D49" s="74">
        <v>284</v>
      </c>
      <c r="E49" s="74">
        <v>284.10000000000002</v>
      </c>
      <c r="F49" s="74">
        <v>284</v>
      </c>
      <c r="G49" s="39">
        <v>284.03333300000003</v>
      </c>
      <c r="H49" s="39">
        <v>0.1</v>
      </c>
      <c r="I49" s="26">
        <v>284</v>
      </c>
      <c r="J49" s="79">
        <v>0.16</v>
      </c>
      <c r="K49" s="79">
        <v>0.20833299999999999</v>
      </c>
      <c r="L49" s="79">
        <v>0.625</v>
      </c>
      <c r="M49" s="39">
        <f t="shared" si="0"/>
        <v>1</v>
      </c>
      <c r="N49" s="39">
        <f t="shared" si="1"/>
        <v>2.5739999999999998</v>
      </c>
      <c r="O49" s="39">
        <f t="shared" si="2"/>
        <v>0</v>
      </c>
      <c r="P49" s="39">
        <f t="shared" si="3"/>
        <v>0</v>
      </c>
      <c r="Q49" s="39">
        <f t="shared" si="4"/>
        <v>1.0229999999999999</v>
      </c>
      <c r="R49" s="39">
        <f t="shared" si="5"/>
        <v>-1.0229999999999999</v>
      </c>
    </row>
    <row r="50" spans="2:18" ht="14.25" customHeight="1" x14ac:dyDescent="0.35">
      <c r="B50" s="29">
        <v>8</v>
      </c>
      <c r="C50" s="74" t="s">
        <v>46</v>
      </c>
      <c r="D50" s="74">
        <v>283.89999999999998</v>
      </c>
      <c r="E50" s="74">
        <v>284</v>
      </c>
      <c r="F50" s="74">
        <v>283.89999999999998</v>
      </c>
      <c r="G50" s="39">
        <v>283.933333</v>
      </c>
      <c r="H50" s="39">
        <v>0.1</v>
      </c>
      <c r="I50" s="26">
        <v>284</v>
      </c>
      <c r="J50" s="79">
        <v>0.16</v>
      </c>
      <c r="K50" s="79">
        <v>-0.41666700000000001</v>
      </c>
      <c r="L50" s="79">
        <v>0.625</v>
      </c>
      <c r="M50" s="39">
        <f t="shared" si="0"/>
        <v>1</v>
      </c>
      <c r="N50" s="39">
        <f t="shared" si="1"/>
        <v>2.5739999999999998</v>
      </c>
      <c r="O50" s="39">
        <f t="shared" si="2"/>
        <v>0</v>
      </c>
      <c r="P50" s="39">
        <f t="shared" si="3"/>
        <v>0</v>
      </c>
      <c r="Q50" s="39">
        <f t="shared" si="4"/>
        <v>1.0229999999999999</v>
      </c>
      <c r="R50" s="39">
        <f t="shared" si="5"/>
        <v>-1.0229999999999999</v>
      </c>
    </row>
    <row r="51" spans="2:18" ht="14.25" customHeight="1" x14ac:dyDescent="0.35">
      <c r="B51" s="29">
        <v>9</v>
      </c>
      <c r="C51" s="74" t="s">
        <v>46</v>
      </c>
      <c r="D51" s="74">
        <v>283.89999999999998</v>
      </c>
      <c r="E51" s="74">
        <v>284.10000000000002</v>
      </c>
      <c r="F51" s="74">
        <v>284.10000000000002</v>
      </c>
      <c r="G51" s="39">
        <v>284.03333300000003</v>
      </c>
      <c r="H51" s="39">
        <v>0.2</v>
      </c>
      <c r="I51" s="26">
        <v>284</v>
      </c>
      <c r="J51" s="79">
        <v>0.16</v>
      </c>
      <c r="K51" s="79">
        <v>0.20833299999999999</v>
      </c>
      <c r="L51" s="79">
        <v>1.25</v>
      </c>
      <c r="M51" s="39">
        <f t="shared" si="0"/>
        <v>1</v>
      </c>
      <c r="N51" s="39">
        <f t="shared" si="1"/>
        <v>2.5739999999999998</v>
      </c>
      <c r="O51" s="39">
        <f t="shared" si="2"/>
        <v>0</v>
      </c>
      <c r="P51" s="39">
        <f t="shared" si="3"/>
        <v>0</v>
      </c>
      <c r="Q51" s="39">
        <f t="shared" si="4"/>
        <v>1.0229999999999999</v>
      </c>
      <c r="R51" s="39">
        <f t="shared" si="5"/>
        <v>-1.0229999999999999</v>
      </c>
    </row>
    <row r="52" spans="2:18" ht="14.25" customHeight="1" x14ac:dyDescent="0.35">
      <c r="B52" s="29">
        <v>10</v>
      </c>
      <c r="C52" s="74" t="s">
        <v>46</v>
      </c>
      <c r="D52" s="74">
        <v>283.89999999999998</v>
      </c>
      <c r="E52" s="74">
        <v>284.2</v>
      </c>
      <c r="F52" s="74">
        <v>284</v>
      </c>
      <c r="G52" s="39">
        <v>284.03333300000003</v>
      </c>
      <c r="H52" s="39">
        <v>0.3</v>
      </c>
      <c r="I52" s="26">
        <v>284</v>
      </c>
      <c r="J52" s="79">
        <v>0.16</v>
      </c>
      <c r="K52" s="79">
        <v>0.20833299999999999</v>
      </c>
      <c r="L52" s="79">
        <v>1.875</v>
      </c>
      <c r="M52" s="39">
        <f t="shared" si="0"/>
        <v>1</v>
      </c>
      <c r="N52" s="39">
        <f t="shared" si="1"/>
        <v>2.5739999999999998</v>
      </c>
      <c r="O52" s="39">
        <f t="shared" si="2"/>
        <v>0</v>
      </c>
      <c r="P52" s="39">
        <f t="shared" si="3"/>
        <v>0</v>
      </c>
      <c r="Q52" s="39">
        <f t="shared" si="4"/>
        <v>1.0229999999999999</v>
      </c>
      <c r="R52" s="39">
        <f t="shared" si="5"/>
        <v>-1.0229999999999999</v>
      </c>
    </row>
    <row r="53" spans="2:18" ht="14.25" customHeight="1" x14ac:dyDescent="0.35">
      <c r="B53" s="29">
        <v>11</v>
      </c>
      <c r="C53" s="74" t="s">
        <v>49</v>
      </c>
      <c r="D53" s="74">
        <v>304.10000000000002</v>
      </c>
      <c r="E53" s="74">
        <v>304.10000000000002</v>
      </c>
      <c r="F53" s="74">
        <v>303.89999999999998</v>
      </c>
      <c r="G53" s="39">
        <v>304.03333300000003</v>
      </c>
      <c r="H53" s="39">
        <v>0.2</v>
      </c>
      <c r="I53" s="26">
        <v>304</v>
      </c>
      <c r="J53" s="79">
        <v>0.2</v>
      </c>
      <c r="K53" s="79">
        <v>0.16666700000000001</v>
      </c>
      <c r="L53" s="79">
        <v>1</v>
      </c>
      <c r="M53" s="39">
        <f t="shared" si="0"/>
        <v>1</v>
      </c>
      <c r="N53" s="39">
        <f t="shared" si="1"/>
        <v>2.5739999999999998</v>
      </c>
      <c r="O53" s="39">
        <f t="shared" si="2"/>
        <v>0</v>
      </c>
      <c r="P53" s="39">
        <f t="shared" si="3"/>
        <v>0</v>
      </c>
      <c r="Q53" s="39">
        <f t="shared" si="4"/>
        <v>1.0229999999999999</v>
      </c>
      <c r="R53" s="39">
        <f t="shared" si="5"/>
        <v>-1.0229999999999999</v>
      </c>
    </row>
    <row r="54" spans="2:18" ht="14.25" customHeight="1" x14ac:dyDescent="0.35">
      <c r="B54" s="29">
        <v>12</v>
      </c>
      <c r="C54" s="74" t="s">
        <v>49</v>
      </c>
      <c r="D54" s="74">
        <v>303.89999999999998</v>
      </c>
      <c r="E54" s="74">
        <v>304.10000000000002</v>
      </c>
      <c r="F54" s="74">
        <v>304</v>
      </c>
      <c r="G54" s="39">
        <v>304</v>
      </c>
      <c r="H54" s="39">
        <v>0.2</v>
      </c>
      <c r="I54" s="26">
        <v>304</v>
      </c>
      <c r="J54" s="79">
        <v>0.2</v>
      </c>
      <c r="K54" s="79">
        <v>0</v>
      </c>
      <c r="L54" s="79">
        <v>1</v>
      </c>
      <c r="M54" s="39">
        <f t="shared" si="0"/>
        <v>1</v>
      </c>
      <c r="N54" s="39">
        <f t="shared" si="1"/>
        <v>2.5739999999999998</v>
      </c>
      <c r="O54" s="39">
        <f t="shared" si="2"/>
        <v>0</v>
      </c>
      <c r="P54" s="39">
        <f t="shared" si="3"/>
        <v>0</v>
      </c>
      <c r="Q54" s="39">
        <f t="shared" si="4"/>
        <v>1.0229999999999999</v>
      </c>
      <c r="R54" s="39">
        <f t="shared" si="5"/>
        <v>-1.0229999999999999</v>
      </c>
    </row>
    <row r="55" spans="2:18" ht="14.25" customHeight="1" x14ac:dyDescent="0.35">
      <c r="B55" s="29">
        <v>13</v>
      </c>
      <c r="C55" s="74" t="s">
        <v>49</v>
      </c>
      <c r="D55" s="74">
        <v>304</v>
      </c>
      <c r="E55" s="74">
        <v>304</v>
      </c>
      <c r="F55" s="74">
        <v>304.2</v>
      </c>
      <c r="G55" s="39">
        <v>304.066667</v>
      </c>
      <c r="H55" s="39">
        <v>0.2</v>
      </c>
      <c r="I55" s="26">
        <v>304</v>
      </c>
      <c r="J55" s="79">
        <v>0.2</v>
      </c>
      <c r="K55" s="79">
        <v>0.33333299999999999</v>
      </c>
      <c r="L55" s="79">
        <v>1</v>
      </c>
      <c r="M55" s="39">
        <f t="shared" si="0"/>
        <v>1</v>
      </c>
      <c r="N55" s="39">
        <f t="shared" si="1"/>
        <v>2.5739999999999998</v>
      </c>
      <c r="O55" s="39">
        <f t="shared" si="2"/>
        <v>0</v>
      </c>
      <c r="P55" s="39">
        <f t="shared" si="3"/>
        <v>0</v>
      </c>
      <c r="Q55" s="39">
        <f t="shared" si="4"/>
        <v>1.0229999999999999</v>
      </c>
      <c r="R55" s="39">
        <f t="shared" si="5"/>
        <v>-1.0229999999999999</v>
      </c>
    </row>
    <row r="56" spans="2:18" ht="14.25" customHeight="1" x14ac:dyDescent="0.35">
      <c r="B56" s="29">
        <v>14</v>
      </c>
      <c r="C56" s="74" t="s">
        <v>49</v>
      </c>
      <c r="D56" s="74">
        <v>304.10000000000002</v>
      </c>
      <c r="E56" s="74">
        <v>304</v>
      </c>
      <c r="F56" s="74">
        <v>303.89999999999998</v>
      </c>
      <c r="G56" s="39">
        <v>304</v>
      </c>
      <c r="H56" s="39">
        <v>0.2</v>
      </c>
      <c r="I56" s="26">
        <v>304</v>
      </c>
      <c r="J56" s="79">
        <v>0.2</v>
      </c>
      <c r="K56" s="79">
        <v>0</v>
      </c>
      <c r="L56" s="79">
        <v>1</v>
      </c>
      <c r="M56" s="39">
        <f t="shared" si="0"/>
        <v>1</v>
      </c>
      <c r="N56" s="39">
        <f t="shared" si="1"/>
        <v>2.5739999999999998</v>
      </c>
      <c r="O56" s="39">
        <f t="shared" si="2"/>
        <v>0</v>
      </c>
      <c r="P56" s="39">
        <f t="shared" si="3"/>
        <v>0</v>
      </c>
      <c r="Q56" s="39">
        <f t="shared" si="4"/>
        <v>1.0229999999999999</v>
      </c>
      <c r="R56" s="39">
        <f t="shared" si="5"/>
        <v>-1.0229999999999999</v>
      </c>
    </row>
    <row r="57" spans="2:18" ht="14.25" customHeight="1" x14ac:dyDescent="0.35">
      <c r="B57" s="29">
        <v>15</v>
      </c>
      <c r="C57" s="74" t="s">
        <v>49</v>
      </c>
      <c r="D57" s="74">
        <v>303.89999999999998</v>
      </c>
      <c r="E57" s="74">
        <v>303.8</v>
      </c>
      <c r="F57" s="74">
        <v>304</v>
      </c>
      <c r="G57" s="39">
        <v>303.89999999999998</v>
      </c>
      <c r="H57" s="39">
        <v>0.2</v>
      </c>
      <c r="I57" s="26">
        <v>304</v>
      </c>
      <c r="J57" s="79">
        <v>0.2</v>
      </c>
      <c r="K57" s="79">
        <v>-0.5</v>
      </c>
      <c r="L57" s="79">
        <v>1</v>
      </c>
      <c r="M57" s="39">
        <f t="shared" si="0"/>
        <v>1</v>
      </c>
      <c r="N57" s="39">
        <f t="shared" si="1"/>
        <v>2.5739999999999998</v>
      </c>
      <c r="O57" s="39">
        <f t="shared" si="2"/>
        <v>0</v>
      </c>
      <c r="P57" s="39">
        <f t="shared" si="3"/>
        <v>0</v>
      </c>
      <c r="Q57" s="39">
        <f t="shared" si="4"/>
        <v>1.0229999999999999</v>
      </c>
      <c r="R57" s="39">
        <f t="shared" si="5"/>
        <v>-1.0229999999999999</v>
      </c>
    </row>
    <row r="58" spans="2:18" ht="14.25" customHeight="1" x14ac:dyDescent="0.35">
      <c r="B58" s="29">
        <v>16</v>
      </c>
      <c r="C58" s="74" t="s">
        <v>51</v>
      </c>
      <c r="D58" s="74">
        <v>323.89999999999998</v>
      </c>
      <c r="E58" s="74">
        <v>323.89999999999998</v>
      </c>
      <c r="F58" s="74">
        <v>324.10000000000002</v>
      </c>
      <c r="G58" s="39">
        <v>323.96666699999997</v>
      </c>
      <c r="H58" s="39">
        <v>0.2</v>
      </c>
      <c r="I58" s="26">
        <v>324</v>
      </c>
      <c r="J58" s="79">
        <v>0.16</v>
      </c>
      <c r="K58" s="79">
        <v>-0.20833299999999999</v>
      </c>
      <c r="L58" s="79">
        <v>1.25</v>
      </c>
      <c r="M58" s="39">
        <f t="shared" si="0"/>
        <v>1</v>
      </c>
      <c r="N58" s="39">
        <f t="shared" si="1"/>
        <v>2.5739999999999998</v>
      </c>
      <c r="O58" s="39">
        <f t="shared" si="2"/>
        <v>0</v>
      </c>
      <c r="P58" s="39">
        <f t="shared" si="3"/>
        <v>0</v>
      </c>
      <c r="Q58" s="39">
        <f t="shared" si="4"/>
        <v>1.0229999999999999</v>
      </c>
      <c r="R58" s="39">
        <f t="shared" si="5"/>
        <v>-1.0229999999999999</v>
      </c>
    </row>
    <row r="59" spans="2:18" ht="14.25" customHeight="1" x14ac:dyDescent="0.35">
      <c r="B59" s="29">
        <v>17</v>
      </c>
      <c r="C59" s="74" t="s">
        <v>51</v>
      </c>
      <c r="D59" s="74">
        <v>324.10000000000002</v>
      </c>
      <c r="E59" s="74">
        <v>324.2</v>
      </c>
      <c r="F59" s="74">
        <v>324.10000000000002</v>
      </c>
      <c r="G59" s="39">
        <v>324.13333299999999</v>
      </c>
      <c r="H59" s="39">
        <v>0.1</v>
      </c>
      <c r="I59" s="26">
        <v>324</v>
      </c>
      <c r="J59" s="79">
        <v>0.16</v>
      </c>
      <c r="K59" s="79">
        <v>0.83333299999999999</v>
      </c>
      <c r="L59" s="79">
        <v>0.625</v>
      </c>
      <c r="M59" s="39">
        <f t="shared" si="0"/>
        <v>1</v>
      </c>
      <c r="N59" s="39">
        <f t="shared" si="1"/>
        <v>2.5739999999999998</v>
      </c>
      <c r="O59" s="39">
        <f t="shared" si="2"/>
        <v>0</v>
      </c>
      <c r="P59" s="39">
        <f t="shared" si="3"/>
        <v>0</v>
      </c>
      <c r="Q59" s="39">
        <f t="shared" si="4"/>
        <v>1.0229999999999999</v>
      </c>
      <c r="R59" s="39">
        <f t="shared" si="5"/>
        <v>-1.0229999999999999</v>
      </c>
    </row>
    <row r="60" spans="2:18" ht="14.25" customHeight="1" x14ac:dyDescent="0.35">
      <c r="B60" s="29">
        <v>18</v>
      </c>
      <c r="C60" s="74" t="s">
        <v>51</v>
      </c>
      <c r="D60" s="74">
        <v>323.8</v>
      </c>
      <c r="E60" s="74">
        <v>323.89999999999998</v>
      </c>
      <c r="F60" s="74">
        <v>324</v>
      </c>
      <c r="G60" s="39">
        <v>323.89999999999998</v>
      </c>
      <c r="H60" s="39">
        <v>0.2</v>
      </c>
      <c r="I60" s="26">
        <v>324</v>
      </c>
      <c r="J60" s="79">
        <v>0.16</v>
      </c>
      <c r="K60" s="79">
        <v>-0.625</v>
      </c>
      <c r="L60" s="79">
        <v>1.25</v>
      </c>
      <c r="M60" s="39">
        <f t="shared" si="0"/>
        <v>1</v>
      </c>
      <c r="N60" s="39">
        <f t="shared" si="1"/>
        <v>2.5739999999999998</v>
      </c>
      <c r="O60" s="39">
        <f t="shared" si="2"/>
        <v>0</v>
      </c>
      <c r="P60" s="39">
        <f t="shared" si="3"/>
        <v>0</v>
      </c>
      <c r="Q60" s="39">
        <f t="shared" si="4"/>
        <v>1.0229999999999999</v>
      </c>
      <c r="R60" s="39">
        <f t="shared" si="5"/>
        <v>-1.0229999999999999</v>
      </c>
    </row>
    <row r="61" spans="2:18" ht="14.25" customHeight="1" x14ac:dyDescent="0.35">
      <c r="B61" s="29">
        <v>19</v>
      </c>
      <c r="C61" s="74" t="s">
        <v>51</v>
      </c>
      <c r="D61" s="74">
        <v>323.89999999999998</v>
      </c>
      <c r="E61" s="74">
        <v>324</v>
      </c>
      <c r="F61" s="74">
        <v>324.10000000000002</v>
      </c>
      <c r="G61" s="39">
        <v>324</v>
      </c>
      <c r="H61" s="39">
        <v>0.2</v>
      </c>
      <c r="I61" s="26">
        <v>324</v>
      </c>
      <c r="J61" s="79">
        <v>0.16</v>
      </c>
      <c r="K61" s="79">
        <v>0</v>
      </c>
      <c r="L61" s="79">
        <v>1.25</v>
      </c>
      <c r="M61" s="39">
        <f t="shared" si="0"/>
        <v>1</v>
      </c>
      <c r="N61" s="39">
        <f t="shared" si="1"/>
        <v>2.5739999999999998</v>
      </c>
      <c r="O61" s="39">
        <f t="shared" si="2"/>
        <v>0</v>
      </c>
      <c r="P61" s="39">
        <f t="shared" si="3"/>
        <v>0</v>
      </c>
      <c r="Q61" s="39">
        <f t="shared" si="4"/>
        <v>1.0229999999999999</v>
      </c>
      <c r="R61" s="39">
        <f t="shared" si="5"/>
        <v>-1.0229999999999999</v>
      </c>
    </row>
    <row r="62" spans="2:18" ht="14.25" customHeight="1" x14ac:dyDescent="0.35">
      <c r="B62" s="29">
        <v>20</v>
      </c>
      <c r="C62" s="74" t="s">
        <v>51</v>
      </c>
      <c r="D62" s="74">
        <v>324</v>
      </c>
      <c r="E62" s="74">
        <v>324</v>
      </c>
      <c r="F62" s="74">
        <v>324.10000000000002</v>
      </c>
      <c r="G62" s="39">
        <v>324.03333300000003</v>
      </c>
      <c r="H62" s="39">
        <v>0.1</v>
      </c>
      <c r="I62" s="26">
        <v>324</v>
      </c>
      <c r="J62" s="79">
        <v>0.16</v>
      </c>
      <c r="K62" s="79">
        <v>0.20833299999999999</v>
      </c>
      <c r="L62" s="79">
        <v>0.625</v>
      </c>
      <c r="M62" s="39">
        <f t="shared" si="0"/>
        <v>1</v>
      </c>
      <c r="N62" s="39">
        <f t="shared" si="1"/>
        <v>2.5739999999999998</v>
      </c>
      <c r="O62" s="39">
        <f t="shared" si="2"/>
        <v>0</v>
      </c>
      <c r="P62" s="39">
        <f t="shared" si="3"/>
        <v>0</v>
      </c>
      <c r="Q62" s="39">
        <f t="shared" si="4"/>
        <v>1.0229999999999999</v>
      </c>
      <c r="R62" s="39">
        <f t="shared" si="5"/>
        <v>-1.0229999999999999</v>
      </c>
    </row>
    <row r="63" spans="2:18" ht="14.25" customHeight="1" x14ac:dyDescent="0.35">
      <c r="B63" s="76"/>
      <c r="C63" s="76"/>
      <c r="D63" s="76"/>
      <c r="E63" s="76"/>
      <c r="F63" s="76"/>
      <c r="G63" s="76"/>
      <c r="H63" s="76"/>
      <c r="I63" s="76"/>
      <c r="J63" s="76"/>
      <c r="K63" s="76"/>
      <c r="L63" s="76"/>
      <c r="M63" s="76"/>
      <c r="N63" s="76"/>
      <c r="O63" s="76"/>
      <c r="P63" s="76"/>
      <c r="Q63" s="76"/>
      <c r="R63" s="76"/>
    </row>
    <row r="64" spans="2:18"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D42:F42"/>
    <mergeCell ref="C2:H2"/>
    <mergeCell ref="B20:R21"/>
    <mergeCell ref="B22:B40"/>
    <mergeCell ref="E24:E27"/>
    <mergeCell ref="E28:E31"/>
  </mergeCells>
  <conditionalFormatting sqref="K43:K62">
    <cfRule type="cellIs" dxfId="2" priority="2" operator="notBetween">
      <formula>$Q$43</formula>
      <formula>$R$43</formula>
    </cfRule>
  </conditionalFormatting>
  <conditionalFormatting sqref="L43:L62">
    <cfRule type="cellIs" dxfId="1" priority="3" operator="notBetween">
      <formula>$N$43</formula>
      <formula>$O$43</formula>
    </cfRule>
  </conditionalFormatting>
  <pageMargins left="0.7" right="0.7" top="0.75" bottom="0.75" header="0.511811023622047" footer="0.511811023622047"/>
  <pageSetup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472C4"/>
  </sheetPr>
  <dimension ref="A1:Z1000"/>
  <sheetViews>
    <sheetView showGridLines="0" tabSelected="1" zoomScale="92" zoomScaleNormal="92" workbookViewId="0">
      <selection activeCell="L2" sqref="L2:Q2"/>
    </sheetView>
  </sheetViews>
  <sheetFormatPr defaultColWidth="14.453125" defaultRowHeight="14.5" x14ac:dyDescent="0.35"/>
  <cols>
    <col min="1" max="9" width="12.54296875" customWidth="1"/>
    <col min="10" max="10" width="8.7265625" customWidth="1"/>
    <col min="11" max="19" width="12.453125" customWidth="1"/>
    <col min="20" max="26" width="12.54296875" customWidth="1"/>
  </cols>
  <sheetData>
    <row r="1" spans="11:17" ht="14.25" customHeight="1" x14ac:dyDescent="0.35"/>
    <row r="2" spans="11:17" ht="14.25" customHeight="1" x14ac:dyDescent="0.35">
      <c r="K2" s="44" t="s">
        <v>253</v>
      </c>
      <c r="L2" s="107"/>
      <c r="M2" s="107"/>
      <c r="N2" s="107"/>
      <c r="O2" s="107"/>
      <c r="P2" s="107"/>
      <c r="Q2" s="107"/>
    </row>
    <row r="3" spans="11:17" ht="14.25" customHeight="1" x14ac:dyDescent="0.35"/>
    <row r="4" spans="11:17" ht="14.25" customHeight="1" x14ac:dyDescent="0.35"/>
    <row r="5" spans="11:17" ht="14.25" customHeight="1" x14ac:dyDescent="0.35"/>
    <row r="6" spans="11:17" ht="14.25" customHeight="1" x14ac:dyDescent="0.35"/>
    <row r="7" spans="11:17" ht="14.25" customHeight="1" x14ac:dyDescent="0.35"/>
    <row r="8" spans="11:17" ht="14.25" customHeight="1" x14ac:dyDescent="0.35"/>
    <row r="9" spans="11:17" ht="14.25" customHeight="1" x14ac:dyDescent="0.35"/>
    <row r="10" spans="11:17" ht="14.25" customHeight="1" x14ac:dyDescent="0.35"/>
    <row r="11" spans="11:17" ht="14.25" customHeight="1" x14ac:dyDescent="0.35"/>
    <row r="12" spans="11:17" ht="14.25" customHeight="1" x14ac:dyDescent="0.35"/>
    <row r="13" spans="11:17" ht="14.25" customHeight="1" x14ac:dyDescent="0.35"/>
    <row r="14" spans="11:17" ht="14.25" customHeight="1" x14ac:dyDescent="0.35"/>
    <row r="15" spans="11:17" ht="14.25" customHeight="1" x14ac:dyDescent="0.35"/>
    <row r="16" spans="11:17" ht="14.25" customHeight="1" x14ac:dyDescent="0.35"/>
    <row r="17" spans="11:19" ht="14.25" customHeight="1" x14ac:dyDescent="0.35"/>
    <row r="18" spans="11:19" ht="14.25" customHeight="1" x14ac:dyDescent="0.35"/>
    <row r="19" spans="11:19" ht="14.25" customHeight="1" x14ac:dyDescent="0.35"/>
    <row r="20" spans="11:19" ht="14.25" customHeight="1" x14ac:dyDescent="0.35">
      <c r="K20" s="114" t="s">
        <v>254</v>
      </c>
      <c r="L20" s="114"/>
      <c r="M20" s="114"/>
      <c r="N20" s="114"/>
      <c r="O20" s="114"/>
      <c r="P20" s="114"/>
      <c r="Q20" s="114"/>
      <c r="R20" s="114"/>
      <c r="S20" s="114"/>
    </row>
    <row r="21" spans="11:19" ht="14.25" customHeight="1" x14ac:dyDescent="0.35">
      <c r="K21" s="114"/>
      <c r="L21" s="114"/>
      <c r="M21" s="114"/>
      <c r="N21" s="114"/>
      <c r="O21" s="114"/>
      <c r="P21" s="114"/>
      <c r="Q21" s="114"/>
      <c r="R21" s="114"/>
      <c r="S21" s="114"/>
    </row>
    <row r="22" spans="11:19" ht="14.25" customHeight="1" x14ac:dyDescent="0.35">
      <c r="K22" s="112" t="s">
        <v>114</v>
      </c>
      <c r="L22" s="65" t="s">
        <v>255</v>
      </c>
      <c r="M22" s="66">
        <v>2</v>
      </c>
      <c r="N22" s="65"/>
      <c r="O22" s="65"/>
      <c r="P22" s="65"/>
      <c r="Q22" s="67"/>
      <c r="R22" s="67"/>
      <c r="S22" s="67"/>
    </row>
    <row r="23" spans="11:19" ht="14.25" customHeight="1" x14ac:dyDescent="0.35">
      <c r="K23" s="112"/>
      <c r="L23" s="29" t="s">
        <v>115</v>
      </c>
      <c r="M23" s="68">
        <v>20</v>
      </c>
      <c r="N23" s="29"/>
      <c r="O23" s="29"/>
      <c r="P23" s="29"/>
      <c r="Q23" s="26"/>
      <c r="R23" s="26"/>
      <c r="S23" s="26"/>
    </row>
    <row r="24" spans="11:19" ht="14.25" customHeight="1" x14ac:dyDescent="0.35">
      <c r="K24" s="112"/>
      <c r="L24" s="29" t="s">
        <v>55</v>
      </c>
      <c r="M24" s="68">
        <v>4</v>
      </c>
      <c r="N24" s="29"/>
      <c r="O24" s="29"/>
      <c r="P24" s="29"/>
      <c r="Q24" s="26"/>
      <c r="R24" s="26"/>
      <c r="S24" s="26"/>
    </row>
    <row r="25" spans="11:19" ht="14.25" customHeight="1" x14ac:dyDescent="0.35">
      <c r="K25" s="112"/>
      <c r="L25" s="29" t="s">
        <v>256</v>
      </c>
      <c r="M25" s="101">
        <v>2.7000000000000001E-3</v>
      </c>
      <c r="N25" s="29"/>
      <c r="O25" s="29"/>
      <c r="P25" s="29"/>
      <c r="Q25" s="26"/>
      <c r="R25" s="26"/>
      <c r="S25" s="26"/>
    </row>
    <row r="26" spans="11:19" ht="14.25" customHeight="1" x14ac:dyDescent="0.35">
      <c r="K26" s="112"/>
      <c r="L26" s="29" t="s">
        <v>257</v>
      </c>
      <c r="M26" s="100">
        <v>119.21475</v>
      </c>
      <c r="R26" s="26"/>
      <c r="S26" s="26"/>
    </row>
    <row r="27" spans="11:19" ht="14.25" customHeight="1" x14ac:dyDescent="0.35">
      <c r="K27" s="112"/>
      <c r="L27" s="29" t="s">
        <v>258</v>
      </c>
      <c r="M27" s="100">
        <v>101.17</v>
      </c>
      <c r="N27" s="29"/>
      <c r="O27" s="29"/>
      <c r="P27" s="29"/>
      <c r="Q27" s="26"/>
      <c r="R27" s="26"/>
      <c r="S27" s="26"/>
    </row>
    <row r="28" spans="11:19" ht="14.25" customHeight="1" x14ac:dyDescent="0.35">
      <c r="K28" s="112"/>
      <c r="L28" s="29" t="s">
        <v>259</v>
      </c>
      <c r="M28" s="100">
        <v>2.144803</v>
      </c>
      <c r="N28" s="29"/>
      <c r="O28" s="29"/>
      <c r="P28" s="29"/>
      <c r="Q28" s="26"/>
      <c r="R28" s="26"/>
      <c r="S28" s="26"/>
    </row>
    <row r="29" spans="11:19" ht="14.25" customHeight="1" x14ac:dyDescent="0.35">
      <c r="K29" s="112"/>
      <c r="L29" s="29" t="s">
        <v>260</v>
      </c>
      <c r="M29" s="100">
        <v>2.2217199999999999</v>
      </c>
      <c r="N29" s="29"/>
      <c r="O29" s="29"/>
      <c r="P29" s="29"/>
      <c r="Q29" s="26"/>
      <c r="R29" s="26"/>
      <c r="S29" s="26"/>
    </row>
    <row r="30" spans="11:19" ht="14.25" customHeight="1" x14ac:dyDescent="0.35">
      <c r="K30" s="112"/>
      <c r="L30" s="29" t="s">
        <v>261</v>
      </c>
      <c r="M30" s="100">
        <v>-0.17355200000000001</v>
      </c>
      <c r="N30" s="29"/>
      <c r="O30" s="29"/>
      <c r="P30" s="29"/>
      <c r="Q30" s="26"/>
      <c r="R30" s="26"/>
      <c r="S30" s="26"/>
    </row>
    <row r="31" spans="11:19" ht="14.25" customHeight="1" x14ac:dyDescent="0.35">
      <c r="K31" s="112"/>
      <c r="L31" s="29" t="s">
        <v>262</v>
      </c>
      <c r="M31" s="79">
        <f>_xlfn.F.INV.RT(M25,M22,M23*M24-M23-M22+1)</f>
        <v>6.5491003432820118</v>
      </c>
      <c r="N31" s="29"/>
      <c r="O31" s="29"/>
      <c r="P31" s="29"/>
      <c r="Q31" s="26"/>
      <c r="R31" s="26"/>
      <c r="S31" s="26"/>
    </row>
    <row r="32" spans="11:19" ht="14.25" customHeight="1" x14ac:dyDescent="0.35">
      <c r="K32" s="112"/>
      <c r="L32" s="29" t="s">
        <v>263</v>
      </c>
      <c r="M32" s="79">
        <f>(M22*(M23-1)*(M24-1))/(M23*M24-M23-M22+1)*M31</f>
        <v>12.654193883629651</v>
      </c>
      <c r="N32" s="29"/>
      <c r="O32" s="29"/>
      <c r="P32" s="29"/>
      <c r="Q32" s="26"/>
      <c r="R32" s="26"/>
      <c r="S32" s="26"/>
    </row>
    <row r="33" spans="1:26" ht="14.25" customHeight="1" x14ac:dyDescent="0.35">
      <c r="K33" s="112"/>
      <c r="L33" s="29" t="s">
        <v>264</v>
      </c>
      <c r="M33" s="79">
        <f>(M22*(M23+1)*(M24-1))/(M23*M24-M23-M22+1)*M31</f>
        <v>13.986214292432772</v>
      </c>
      <c r="N33" s="29"/>
      <c r="O33" s="29"/>
      <c r="P33" s="29"/>
      <c r="Q33" s="26"/>
      <c r="R33" s="26"/>
      <c r="S33" s="26"/>
    </row>
    <row r="34" spans="1:26" ht="14.25" customHeight="1" x14ac:dyDescent="0.35">
      <c r="K34" s="112"/>
      <c r="L34" s="71" t="s">
        <v>243</v>
      </c>
      <c r="M34" s="98">
        <v>0</v>
      </c>
      <c r="N34" s="71"/>
      <c r="O34" s="71"/>
      <c r="P34" s="71"/>
      <c r="Q34" s="94"/>
      <c r="R34" s="94"/>
      <c r="S34" s="94"/>
    </row>
    <row r="35" spans="1:26" ht="14.25" customHeight="1" x14ac:dyDescent="0.35">
      <c r="K35" s="29"/>
      <c r="L35" s="29"/>
      <c r="M35" s="29"/>
      <c r="N35" s="29"/>
      <c r="O35" s="29"/>
      <c r="P35" s="29"/>
      <c r="Q35" s="29"/>
      <c r="R35" s="29"/>
      <c r="S35" s="29"/>
    </row>
    <row r="36" spans="1:26" ht="14.25" customHeight="1" x14ac:dyDescent="0.35">
      <c r="A36" s="32" t="s">
        <v>265</v>
      </c>
      <c r="B36" s="11" t="s">
        <v>266</v>
      </c>
      <c r="C36" s="11"/>
      <c r="D36" s="11"/>
      <c r="E36" s="11"/>
      <c r="F36" s="11" t="s">
        <v>267</v>
      </c>
      <c r="G36" s="11"/>
      <c r="H36" s="11"/>
      <c r="I36" s="11"/>
      <c r="J36" s="28"/>
      <c r="K36" s="32" t="s">
        <v>265</v>
      </c>
      <c r="L36" s="32" t="s">
        <v>268</v>
      </c>
      <c r="M36" s="32" t="s">
        <v>269</v>
      </c>
      <c r="N36" s="32" t="s">
        <v>270</v>
      </c>
      <c r="O36" s="32" t="s">
        <v>271</v>
      </c>
      <c r="P36" s="32" t="s">
        <v>272</v>
      </c>
      <c r="Q36" s="33" t="s">
        <v>273</v>
      </c>
      <c r="R36" s="32" t="s">
        <v>242</v>
      </c>
      <c r="S36" s="32" t="s">
        <v>243</v>
      </c>
      <c r="T36" s="28"/>
      <c r="U36" s="28"/>
      <c r="V36" s="28"/>
      <c r="W36" s="28"/>
      <c r="X36" s="28"/>
      <c r="Y36" s="28"/>
      <c r="Z36" s="28"/>
    </row>
    <row r="37" spans="1:26" ht="14.25" customHeight="1" x14ac:dyDescent="0.35">
      <c r="A37" s="29">
        <v>1</v>
      </c>
      <c r="B37" s="100">
        <v>119.98</v>
      </c>
      <c r="C37" s="100">
        <v>118.85</v>
      </c>
      <c r="D37" s="100">
        <v>120.11</v>
      </c>
      <c r="E37" s="100">
        <v>119.14</v>
      </c>
      <c r="F37" s="100">
        <v>100.36</v>
      </c>
      <c r="G37" s="100">
        <v>100.68</v>
      </c>
      <c r="H37" s="100">
        <v>100.14</v>
      </c>
      <c r="I37" s="100">
        <v>99.63</v>
      </c>
      <c r="K37" s="29">
        <v>1</v>
      </c>
      <c r="L37" s="74">
        <v>119.52</v>
      </c>
      <c r="M37" s="74">
        <v>100.2025</v>
      </c>
      <c r="N37" s="74">
        <v>0.38433299999999998</v>
      </c>
      <c r="O37" s="74">
        <v>0.194825</v>
      </c>
      <c r="P37" s="95">
        <v>-2.2266999999999999E-2</v>
      </c>
      <c r="Q37" s="39">
        <f t="shared" ref="Q37:Q56" si="0">($M$24/($M$28*$M$29-$M$30^2))*($M$29*(L37-$M$26)^2+$M$28*(M37-$M$27)^2-2*$M$30*(L37-$M$26)*(M37-$M$27))</f>
        <v>1.7842844201938268</v>
      </c>
      <c r="R37" s="39">
        <f t="shared" ref="R37:R56" si="1">$M$32</f>
        <v>12.654193883629651</v>
      </c>
      <c r="S37" s="39">
        <f t="shared" ref="S37:S56" si="2">$M$34</f>
        <v>0</v>
      </c>
    </row>
    <row r="38" spans="1:26" ht="14.25" customHeight="1" x14ac:dyDescent="0.35">
      <c r="A38" s="29">
        <v>2</v>
      </c>
      <c r="B38" s="100">
        <v>119.1</v>
      </c>
      <c r="C38" s="100">
        <v>117.84</v>
      </c>
      <c r="D38" s="100">
        <v>119.24</v>
      </c>
      <c r="E38" s="100">
        <v>118.38</v>
      </c>
      <c r="F38" s="100">
        <v>100.45</v>
      </c>
      <c r="G38" s="100">
        <v>102.03</v>
      </c>
      <c r="H38" s="100">
        <v>101.49</v>
      </c>
      <c r="I38" s="100">
        <v>101.99</v>
      </c>
      <c r="K38" s="29">
        <v>2</v>
      </c>
      <c r="L38" s="74">
        <v>118.64</v>
      </c>
      <c r="M38" s="74">
        <v>101.49</v>
      </c>
      <c r="N38" s="74">
        <v>0.4264</v>
      </c>
      <c r="O38" s="74">
        <v>0.54106699999999996</v>
      </c>
      <c r="P38" s="95">
        <v>-0.3468</v>
      </c>
      <c r="Q38" s="39">
        <f t="shared" si="0"/>
        <v>0.75159461395101146</v>
      </c>
      <c r="R38" s="39">
        <f t="shared" si="1"/>
        <v>12.654193883629651</v>
      </c>
      <c r="S38" s="39">
        <f t="shared" si="2"/>
        <v>0</v>
      </c>
    </row>
    <row r="39" spans="1:26" ht="14.25" customHeight="1" x14ac:dyDescent="0.35">
      <c r="A39" s="29">
        <v>3</v>
      </c>
      <c r="B39" s="100">
        <v>118.66</v>
      </c>
      <c r="C39" s="100">
        <v>120.68</v>
      </c>
      <c r="D39" s="100">
        <v>120.63</v>
      </c>
      <c r="E39" s="100">
        <v>119.69</v>
      </c>
      <c r="F39" s="100">
        <v>98.64</v>
      </c>
      <c r="G39" s="100">
        <v>102.57</v>
      </c>
      <c r="H39" s="100">
        <v>100.85</v>
      </c>
      <c r="I39" s="100">
        <v>101.58</v>
      </c>
      <c r="K39" s="29">
        <v>3</v>
      </c>
      <c r="L39" s="74">
        <v>119.91500000000001</v>
      </c>
      <c r="M39" s="74">
        <v>100.91</v>
      </c>
      <c r="N39" s="74">
        <v>0.90736700000000003</v>
      </c>
      <c r="O39" s="74">
        <v>2.7869999999999999</v>
      </c>
      <c r="P39" s="95">
        <v>1.3083670000000001</v>
      </c>
      <c r="Q39" s="39">
        <f t="shared" si="0"/>
        <v>0.98940313498096544</v>
      </c>
      <c r="R39" s="39">
        <f t="shared" si="1"/>
        <v>12.654193883629651</v>
      </c>
      <c r="S39" s="39">
        <f t="shared" si="2"/>
        <v>0</v>
      </c>
    </row>
    <row r="40" spans="1:26" ht="14.25" customHeight="1" x14ac:dyDescent="0.35">
      <c r="A40" s="29">
        <v>4</v>
      </c>
      <c r="B40" s="100">
        <v>118.75</v>
      </c>
      <c r="C40" s="100">
        <v>119.85</v>
      </c>
      <c r="D40" s="100">
        <v>120.43</v>
      </c>
      <c r="E40" s="100">
        <v>116.88</v>
      </c>
      <c r="F40" s="100">
        <v>100.85</v>
      </c>
      <c r="G40" s="100">
        <v>100.22</v>
      </c>
      <c r="H40" s="100">
        <v>100.63</v>
      </c>
      <c r="I40" s="100">
        <v>102.38</v>
      </c>
      <c r="K40" s="29">
        <v>4</v>
      </c>
      <c r="L40" s="74">
        <v>118.97750000000001</v>
      </c>
      <c r="M40" s="74">
        <v>101.02</v>
      </c>
      <c r="N40" s="74">
        <v>2.4407580000000002</v>
      </c>
      <c r="O40" s="74">
        <v>0.89019999999999999</v>
      </c>
      <c r="P40" s="95">
        <v>-1.359467</v>
      </c>
      <c r="Q40" s="39">
        <f t="shared" si="0"/>
        <v>0.15684443697547173</v>
      </c>
      <c r="R40" s="39">
        <f t="shared" si="1"/>
        <v>12.654193883629651</v>
      </c>
      <c r="S40" s="39">
        <f t="shared" si="2"/>
        <v>0</v>
      </c>
    </row>
    <row r="41" spans="1:26" ht="14.25" customHeight="1" x14ac:dyDescent="0.35">
      <c r="A41" s="29">
        <v>5</v>
      </c>
      <c r="B41" s="100">
        <v>117.54</v>
      </c>
      <c r="C41" s="100">
        <v>118.88</v>
      </c>
      <c r="D41" s="100">
        <v>118.17</v>
      </c>
      <c r="E41" s="100">
        <v>122.43</v>
      </c>
      <c r="F41" s="100">
        <v>104.45</v>
      </c>
      <c r="G41" s="100">
        <v>102</v>
      </c>
      <c r="H41" s="100">
        <v>101.53</v>
      </c>
      <c r="I41" s="100">
        <v>100.97</v>
      </c>
      <c r="K41" s="29">
        <v>5</v>
      </c>
      <c r="L41" s="74">
        <v>119.255</v>
      </c>
      <c r="M41" s="74">
        <v>102.2375</v>
      </c>
      <c r="N41" s="74">
        <v>4.7798999999999996</v>
      </c>
      <c r="O41" s="74">
        <v>2.3528920000000002</v>
      </c>
      <c r="P41" s="95">
        <v>-2.3206829999999998</v>
      </c>
      <c r="Q41" s="39">
        <f t="shared" si="0"/>
        <v>2.0803553280655644</v>
      </c>
      <c r="R41" s="39">
        <f t="shared" si="1"/>
        <v>12.654193883629651</v>
      </c>
      <c r="S41" s="39">
        <f t="shared" si="2"/>
        <v>0</v>
      </c>
    </row>
    <row r="42" spans="1:26" ht="14.25" customHeight="1" x14ac:dyDescent="0.35">
      <c r="A42" s="29">
        <v>6</v>
      </c>
      <c r="B42" s="100">
        <v>118.44</v>
      </c>
      <c r="C42" s="100">
        <v>119.79</v>
      </c>
      <c r="D42" s="100">
        <v>120.63</v>
      </c>
      <c r="E42" s="100">
        <v>118.93</v>
      </c>
      <c r="F42" s="100">
        <v>99.93</v>
      </c>
      <c r="G42" s="100">
        <v>99.74</v>
      </c>
      <c r="H42" s="100">
        <v>100.51</v>
      </c>
      <c r="I42" s="100">
        <v>104.34</v>
      </c>
      <c r="K42" s="29">
        <v>6</v>
      </c>
      <c r="L42" s="74">
        <v>119.44750000000001</v>
      </c>
      <c r="M42" s="74">
        <v>101.13</v>
      </c>
      <c r="N42" s="74">
        <v>0.93282500000000002</v>
      </c>
      <c r="O42" s="74">
        <v>4.6868670000000003</v>
      </c>
      <c r="P42" s="95">
        <v>-0.55379999999999996</v>
      </c>
      <c r="Q42" s="39">
        <f t="shared" si="0"/>
        <v>0.10184212209857618</v>
      </c>
      <c r="R42" s="39">
        <f t="shared" si="1"/>
        <v>12.654193883629651</v>
      </c>
      <c r="S42" s="39">
        <f t="shared" si="2"/>
        <v>0</v>
      </c>
    </row>
    <row r="43" spans="1:26" ht="14.25" customHeight="1" x14ac:dyDescent="0.35">
      <c r="A43" s="29">
        <v>7</v>
      </c>
      <c r="B43" s="100">
        <v>117.51</v>
      </c>
      <c r="C43" s="100">
        <v>119.63</v>
      </c>
      <c r="D43" s="100">
        <v>119.02</v>
      </c>
      <c r="E43" s="100">
        <v>118.83</v>
      </c>
      <c r="F43" s="100">
        <v>102.4</v>
      </c>
      <c r="G43" s="100">
        <v>100.21</v>
      </c>
      <c r="H43" s="100">
        <v>102.97</v>
      </c>
      <c r="I43" s="100">
        <v>98.01</v>
      </c>
      <c r="K43" s="29">
        <v>7</v>
      </c>
      <c r="L43" s="74">
        <v>118.7475</v>
      </c>
      <c r="M43" s="74">
        <v>100.89749999999999</v>
      </c>
      <c r="N43" s="74">
        <v>0.79709200000000002</v>
      </c>
      <c r="O43" s="74">
        <v>5.1210250000000004</v>
      </c>
      <c r="P43" s="95">
        <v>-0.713175</v>
      </c>
      <c r="Q43" s="39">
        <f t="shared" si="0"/>
        <v>0.58163235116890233</v>
      </c>
      <c r="R43" s="39">
        <f t="shared" si="1"/>
        <v>12.654193883629651</v>
      </c>
      <c r="S43" s="39">
        <f t="shared" si="2"/>
        <v>0</v>
      </c>
    </row>
    <row r="44" spans="1:26" ht="14.25" customHeight="1" x14ac:dyDescent="0.35">
      <c r="A44" s="29">
        <v>8</v>
      </c>
      <c r="B44" s="100">
        <v>119.62</v>
      </c>
      <c r="C44" s="100">
        <v>116.58</v>
      </c>
      <c r="D44" s="100">
        <v>117.57</v>
      </c>
      <c r="E44" s="100">
        <v>119.32</v>
      </c>
      <c r="F44" s="100">
        <v>102.56</v>
      </c>
      <c r="G44" s="100">
        <v>101.39</v>
      </c>
      <c r="H44" s="100">
        <v>100.89</v>
      </c>
      <c r="I44" s="100">
        <v>100.72</v>
      </c>
      <c r="K44" s="29">
        <v>8</v>
      </c>
      <c r="L44" s="74">
        <v>118.27249999999999</v>
      </c>
      <c r="M44" s="74">
        <v>101.39</v>
      </c>
      <c r="N44" s="74">
        <v>2.0903580000000002</v>
      </c>
      <c r="O44" s="74">
        <v>0.68926699999999996</v>
      </c>
      <c r="P44" s="95">
        <v>0.408667</v>
      </c>
      <c r="Q44" s="39">
        <f t="shared" si="0"/>
        <v>1.6932318093815266</v>
      </c>
      <c r="R44" s="39">
        <f t="shared" si="1"/>
        <v>12.654193883629651</v>
      </c>
      <c r="S44" s="39">
        <f t="shared" si="2"/>
        <v>0</v>
      </c>
    </row>
    <row r="45" spans="1:26" ht="14.25" customHeight="1" x14ac:dyDescent="0.35">
      <c r="A45" s="29">
        <v>9</v>
      </c>
      <c r="B45" s="100">
        <v>116.91</v>
      </c>
      <c r="C45" s="100">
        <v>121</v>
      </c>
      <c r="D45" s="100">
        <v>120.04</v>
      </c>
      <c r="E45" s="100">
        <v>118</v>
      </c>
      <c r="F45" s="100">
        <v>99.83</v>
      </c>
      <c r="G45" s="100">
        <v>101.28</v>
      </c>
      <c r="H45" s="100">
        <v>102.21</v>
      </c>
      <c r="I45" s="100">
        <v>100.43</v>
      </c>
      <c r="K45" s="29">
        <v>9</v>
      </c>
      <c r="L45" s="74">
        <v>118.9875</v>
      </c>
      <c r="M45" s="74">
        <v>100.9375</v>
      </c>
      <c r="N45" s="74">
        <v>3.483025</v>
      </c>
      <c r="O45" s="74">
        <v>1.073558</v>
      </c>
      <c r="P45" s="95">
        <v>1.6101920000000001</v>
      </c>
      <c r="Q45" s="39">
        <f t="shared" si="0"/>
        <v>0.21035955674558884</v>
      </c>
      <c r="R45" s="39">
        <f t="shared" si="1"/>
        <v>12.654193883629651</v>
      </c>
      <c r="S45" s="39">
        <f t="shared" si="2"/>
        <v>0</v>
      </c>
    </row>
    <row r="46" spans="1:26" ht="14.25" customHeight="1" x14ac:dyDescent="0.35">
      <c r="A46" s="29">
        <v>10</v>
      </c>
      <c r="B46" s="100">
        <v>118.76</v>
      </c>
      <c r="C46" s="100">
        <v>120.06</v>
      </c>
      <c r="D46" s="100">
        <v>120.65</v>
      </c>
      <c r="E46" s="100">
        <v>118.47</v>
      </c>
      <c r="F46" s="100">
        <v>100.93</v>
      </c>
      <c r="G46" s="100">
        <v>101.25</v>
      </c>
      <c r="H46" s="100">
        <v>101.16</v>
      </c>
      <c r="I46" s="100">
        <v>100.71</v>
      </c>
      <c r="K46" s="29">
        <v>10</v>
      </c>
      <c r="L46" s="74">
        <v>119.485</v>
      </c>
      <c r="M46" s="74">
        <v>101.0125</v>
      </c>
      <c r="N46" s="74">
        <v>1.0812330000000001</v>
      </c>
      <c r="O46" s="74">
        <v>5.8825000000000002E-2</v>
      </c>
      <c r="P46" s="95">
        <v>0.22508300000000001</v>
      </c>
      <c r="Q46" s="39">
        <f t="shared" si="0"/>
        <v>0.16953949882544794</v>
      </c>
      <c r="R46" s="39">
        <f t="shared" si="1"/>
        <v>12.654193883629651</v>
      </c>
      <c r="S46" s="39">
        <f t="shared" si="2"/>
        <v>0</v>
      </c>
    </row>
    <row r="47" spans="1:26" ht="14.25" customHeight="1" x14ac:dyDescent="0.35">
      <c r="A47" s="29">
        <v>11</v>
      </c>
      <c r="B47" s="100">
        <v>120.67</v>
      </c>
      <c r="C47" s="100">
        <v>119.22</v>
      </c>
      <c r="D47" s="100">
        <v>121.23</v>
      </c>
      <c r="E47" s="100">
        <v>117.91</v>
      </c>
      <c r="F47" s="100">
        <v>101.94</v>
      </c>
      <c r="G47" s="100">
        <v>103.29</v>
      </c>
      <c r="H47" s="100">
        <v>100.41</v>
      </c>
      <c r="I47" s="100">
        <v>103.62</v>
      </c>
      <c r="K47" s="29">
        <v>11</v>
      </c>
      <c r="L47" s="74">
        <v>119.75749999999999</v>
      </c>
      <c r="M47" s="74">
        <v>102.315</v>
      </c>
      <c r="N47" s="74">
        <v>2.2343579999999998</v>
      </c>
      <c r="O47" s="74">
        <v>2.1410999999999998</v>
      </c>
      <c r="P47" s="95">
        <v>-2.02745</v>
      </c>
      <c r="Q47" s="39">
        <f t="shared" si="0"/>
        <v>3.1104896521995107</v>
      </c>
      <c r="R47" s="39">
        <f t="shared" si="1"/>
        <v>12.654193883629651</v>
      </c>
      <c r="S47" s="39">
        <f t="shared" si="2"/>
        <v>0</v>
      </c>
    </row>
    <row r="48" spans="1:26" ht="14.25" customHeight="1" x14ac:dyDescent="0.35">
      <c r="A48" s="29">
        <v>12</v>
      </c>
      <c r="B48" s="100">
        <v>120.45</v>
      </c>
      <c r="C48" s="100">
        <v>119.85</v>
      </c>
      <c r="D48" s="100">
        <v>120.15</v>
      </c>
      <c r="E48" s="100">
        <v>118.45</v>
      </c>
      <c r="F48" s="100">
        <v>101.95</v>
      </c>
      <c r="G48" s="100">
        <v>99.18</v>
      </c>
      <c r="H48" s="100">
        <v>102.29</v>
      </c>
      <c r="I48" s="100">
        <v>101.41</v>
      </c>
      <c r="K48" s="29">
        <v>12</v>
      </c>
      <c r="L48" s="74">
        <v>119.72499999999999</v>
      </c>
      <c r="M48" s="74">
        <v>101.2075</v>
      </c>
      <c r="N48" s="74">
        <v>0.78249999999999997</v>
      </c>
      <c r="O48" s="74">
        <v>1.9582919999999999</v>
      </c>
      <c r="P48" s="95">
        <v>0.16225000000000001</v>
      </c>
      <c r="Q48" s="39">
        <f t="shared" si="0"/>
        <v>0.49680244463747048</v>
      </c>
      <c r="R48" s="39">
        <f t="shared" si="1"/>
        <v>12.654193883629651</v>
      </c>
      <c r="S48" s="39">
        <f t="shared" si="2"/>
        <v>0</v>
      </c>
    </row>
    <row r="49" spans="1:19" ht="14.25" customHeight="1" x14ac:dyDescent="0.35">
      <c r="A49" s="29">
        <v>13</v>
      </c>
      <c r="B49" s="100">
        <v>118.73</v>
      </c>
      <c r="C49" s="100">
        <v>120.47</v>
      </c>
      <c r="D49" s="100">
        <v>116.48</v>
      </c>
      <c r="E49" s="100">
        <v>120.33</v>
      </c>
      <c r="F49" s="100">
        <v>101.31</v>
      </c>
      <c r="G49" s="100">
        <v>99.5</v>
      </c>
      <c r="H49" s="100">
        <v>98.15</v>
      </c>
      <c r="I49" s="100">
        <v>102.29</v>
      </c>
      <c r="K49" s="29">
        <v>13</v>
      </c>
      <c r="L49" s="74">
        <v>119.0025</v>
      </c>
      <c r="M49" s="74">
        <v>100.3125</v>
      </c>
      <c r="N49" s="74">
        <v>3.451025</v>
      </c>
      <c r="O49" s="74">
        <v>3.4140250000000001</v>
      </c>
      <c r="P49" s="95">
        <v>2.205292</v>
      </c>
      <c r="Q49" s="39">
        <f t="shared" si="0"/>
        <v>1.4701909798253971</v>
      </c>
      <c r="R49" s="39">
        <f t="shared" si="1"/>
        <v>12.654193883629651</v>
      </c>
      <c r="S49" s="39">
        <f t="shared" si="2"/>
        <v>0</v>
      </c>
    </row>
    <row r="50" spans="1:19" ht="14.25" customHeight="1" x14ac:dyDescent="0.35">
      <c r="A50" s="29">
        <v>14</v>
      </c>
      <c r="B50" s="100">
        <v>118.8</v>
      </c>
      <c r="C50" s="100">
        <v>119.09</v>
      </c>
      <c r="D50" s="100">
        <v>119.23</v>
      </c>
      <c r="E50" s="100">
        <v>118.95</v>
      </c>
      <c r="F50" s="100">
        <v>101.68</v>
      </c>
      <c r="G50" s="100">
        <v>97.57</v>
      </c>
      <c r="H50" s="100">
        <v>99.69</v>
      </c>
      <c r="I50" s="100">
        <v>101.98</v>
      </c>
      <c r="K50" s="29">
        <v>14</v>
      </c>
      <c r="L50" s="74">
        <v>119.0175</v>
      </c>
      <c r="M50" s="74">
        <v>100.23</v>
      </c>
      <c r="N50" s="74">
        <v>3.4091999999999997E-2</v>
      </c>
      <c r="O50" s="74">
        <v>4.1773999999999996</v>
      </c>
      <c r="P50" s="95">
        <v>-0.247033</v>
      </c>
      <c r="Q50" s="39">
        <f t="shared" si="0"/>
        <v>1.7283500321880485</v>
      </c>
      <c r="R50" s="39">
        <f t="shared" si="1"/>
        <v>12.654193883629651</v>
      </c>
      <c r="S50" s="39">
        <f t="shared" si="2"/>
        <v>0</v>
      </c>
    </row>
    <row r="51" spans="1:19" ht="14.25" customHeight="1" x14ac:dyDescent="0.35">
      <c r="A51" s="29">
        <v>15</v>
      </c>
      <c r="B51" s="100">
        <v>120.37</v>
      </c>
      <c r="C51" s="100">
        <v>117.86</v>
      </c>
      <c r="D51" s="100">
        <v>120.62</v>
      </c>
      <c r="E51" s="100">
        <v>119.69</v>
      </c>
      <c r="F51" s="100">
        <v>102.78</v>
      </c>
      <c r="G51" s="100">
        <v>103.3</v>
      </c>
      <c r="H51" s="100">
        <v>99.44</v>
      </c>
      <c r="I51" s="100">
        <v>103.01</v>
      </c>
      <c r="K51" s="29">
        <v>15</v>
      </c>
      <c r="L51" s="74">
        <v>119.63500000000001</v>
      </c>
      <c r="M51" s="74">
        <v>102.13249999999999</v>
      </c>
      <c r="N51" s="74">
        <v>1.5547</v>
      </c>
      <c r="O51" s="74">
        <v>3.2672919999999999</v>
      </c>
      <c r="P51" s="95">
        <v>-1.400083</v>
      </c>
      <c r="Q51" s="39">
        <f t="shared" si="0"/>
        <v>2.1285918510800372</v>
      </c>
      <c r="R51" s="39">
        <f t="shared" si="1"/>
        <v>12.654193883629651</v>
      </c>
      <c r="S51" s="39">
        <f t="shared" si="2"/>
        <v>0</v>
      </c>
    </row>
    <row r="52" spans="1:19" ht="14.25" customHeight="1" x14ac:dyDescent="0.35">
      <c r="A52" s="29">
        <v>16</v>
      </c>
      <c r="B52" s="100">
        <v>120.91</v>
      </c>
      <c r="C52" s="100">
        <v>119.15</v>
      </c>
      <c r="D52" s="100">
        <v>120.05</v>
      </c>
      <c r="E52" s="100">
        <v>118.61</v>
      </c>
      <c r="F52" s="100">
        <v>100.25</v>
      </c>
      <c r="G52" s="100">
        <v>101.8</v>
      </c>
      <c r="H52" s="100">
        <v>102.18</v>
      </c>
      <c r="I52" s="100">
        <v>100.4</v>
      </c>
      <c r="K52" s="29">
        <v>16</v>
      </c>
      <c r="L52" s="74">
        <v>119.68</v>
      </c>
      <c r="M52" s="74">
        <v>101.1575</v>
      </c>
      <c r="N52" s="74">
        <v>1.0251999999999999</v>
      </c>
      <c r="O52" s="74">
        <v>0.95189199999999996</v>
      </c>
      <c r="P52" s="95">
        <v>-8.9300000000000004E-2</v>
      </c>
      <c r="Q52" s="39">
        <f t="shared" si="0"/>
        <v>0.40483329597444534</v>
      </c>
      <c r="R52" s="39">
        <f t="shared" si="1"/>
        <v>12.654193883629651</v>
      </c>
      <c r="S52" s="39">
        <f t="shared" si="2"/>
        <v>0</v>
      </c>
    </row>
    <row r="53" spans="1:19" ht="14.25" customHeight="1" x14ac:dyDescent="0.35">
      <c r="A53" s="29">
        <v>17</v>
      </c>
      <c r="B53" s="100">
        <v>116.18</v>
      </c>
      <c r="C53" s="100">
        <v>120.58</v>
      </c>
      <c r="D53" s="100">
        <v>117.95</v>
      </c>
      <c r="E53" s="100">
        <v>120</v>
      </c>
      <c r="F53" s="100">
        <v>100.82</v>
      </c>
      <c r="G53" s="100">
        <v>102.45</v>
      </c>
      <c r="H53" s="100">
        <v>99.65</v>
      </c>
      <c r="I53" s="100">
        <v>100.63</v>
      </c>
      <c r="K53" s="29">
        <v>17</v>
      </c>
      <c r="L53" s="74">
        <v>118.67749999999999</v>
      </c>
      <c r="M53" s="74">
        <v>100.8875</v>
      </c>
      <c r="N53" s="74">
        <v>4.0450920000000004</v>
      </c>
      <c r="O53" s="74">
        <v>1.3478920000000001</v>
      </c>
      <c r="P53" s="95">
        <v>1.2336579999999999</v>
      </c>
      <c r="Q53" s="39">
        <f t="shared" si="0"/>
        <v>0.7308264811827655</v>
      </c>
      <c r="R53" s="39">
        <f t="shared" si="1"/>
        <v>12.654193883629651</v>
      </c>
      <c r="S53" s="39">
        <f t="shared" si="2"/>
        <v>0</v>
      </c>
    </row>
    <row r="54" spans="1:19" ht="14.25" customHeight="1" x14ac:dyDescent="0.35">
      <c r="A54" s="29">
        <v>18</v>
      </c>
      <c r="B54" s="100">
        <v>121</v>
      </c>
      <c r="C54" s="100">
        <v>118.53</v>
      </c>
      <c r="D54" s="100">
        <v>122.1</v>
      </c>
      <c r="E54" s="100">
        <v>117.61</v>
      </c>
      <c r="F54" s="100">
        <v>103.04</v>
      </c>
      <c r="G54" s="100">
        <v>97.98</v>
      </c>
      <c r="H54" s="100">
        <v>101.45</v>
      </c>
      <c r="I54" s="100">
        <v>103.42</v>
      </c>
      <c r="K54" s="29">
        <v>18</v>
      </c>
      <c r="L54" s="74">
        <v>119.81</v>
      </c>
      <c r="M54" s="74">
        <v>101.4725</v>
      </c>
      <c r="N54" s="74">
        <v>4.3795330000000003</v>
      </c>
      <c r="O54" s="74">
        <v>6.149292</v>
      </c>
      <c r="P54" s="95">
        <v>0.66656700000000002</v>
      </c>
      <c r="Q54" s="39">
        <f t="shared" si="0"/>
        <v>0.88360050040126759</v>
      </c>
      <c r="R54" s="39">
        <f t="shared" si="1"/>
        <v>12.654193883629651</v>
      </c>
      <c r="S54" s="39">
        <f t="shared" si="2"/>
        <v>0</v>
      </c>
    </row>
    <row r="55" spans="1:19" ht="14.25" customHeight="1" x14ac:dyDescent="0.35">
      <c r="A55" s="29">
        <v>19</v>
      </c>
      <c r="B55" s="100">
        <v>117.06</v>
      </c>
      <c r="C55" s="100">
        <v>118.63</v>
      </c>
      <c r="D55" s="100">
        <v>120.51</v>
      </c>
      <c r="E55" s="100">
        <v>121.22</v>
      </c>
      <c r="F55" s="100">
        <v>101.89</v>
      </c>
      <c r="G55" s="100">
        <v>101.03</v>
      </c>
      <c r="H55" s="100">
        <v>102.41</v>
      </c>
      <c r="I55" s="100">
        <v>100.66</v>
      </c>
      <c r="K55" s="29">
        <v>19</v>
      </c>
      <c r="L55" s="74">
        <v>119.355</v>
      </c>
      <c r="M55" s="74">
        <v>101.4975</v>
      </c>
      <c r="N55" s="74">
        <v>3.534967</v>
      </c>
      <c r="O55" s="74">
        <v>0.63555799999999996</v>
      </c>
      <c r="P55" s="95">
        <v>-0.35661700000000002</v>
      </c>
      <c r="Q55" s="39">
        <f t="shared" si="0"/>
        <v>0.24471899727638172</v>
      </c>
      <c r="R55" s="39">
        <f t="shared" si="1"/>
        <v>12.654193883629651</v>
      </c>
      <c r="S55" s="39">
        <f t="shared" si="2"/>
        <v>0</v>
      </c>
    </row>
    <row r="56" spans="1:19" ht="14.25" customHeight="1" x14ac:dyDescent="0.35">
      <c r="A56" s="71">
        <v>20</v>
      </c>
      <c r="B56" s="102">
        <v>120.06</v>
      </c>
      <c r="C56" s="102">
        <v>117.44</v>
      </c>
      <c r="D56" s="102">
        <v>115.83</v>
      </c>
      <c r="E56" s="102">
        <v>120.22</v>
      </c>
      <c r="F56" s="102">
        <v>100.13</v>
      </c>
      <c r="G56" s="102">
        <v>102.93</v>
      </c>
      <c r="H56" s="102">
        <v>101.01</v>
      </c>
      <c r="I56" s="102">
        <v>99.77</v>
      </c>
      <c r="K56" s="29">
        <v>20</v>
      </c>
      <c r="L56" s="74">
        <v>118.3875</v>
      </c>
      <c r="M56" s="74">
        <v>100.96</v>
      </c>
      <c r="N56" s="74">
        <v>4.5312919999999997</v>
      </c>
      <c r="O56" s="74">
        <v>1.9961329999999999</v>
      </c>
      <c r="P56" s="95">
        <v>-1.854433</v>
      </c>
      <c r="Q56" s="39">
        <f t="shared" si="0"/>
        <v>1.4152414163459992</v>
      </c>
      <c r="R56" s="39">
        <f t="shared" si="1"/>
        <v>12.654193883629651</v>
      </c>
      <c r="S56" s="39">
        <f t="shared" si="2"/>
        <v>0</v>
      </c>
    </row>
    <row r="57" spans="1:19" ht="14.25" customHeight="1" x14ac:dyDescent="0.35">
      <c r="K57" s="76"/>
      <c r="L57" s="76"/>
      <c r="M57" s="76"/>
      <c r="N57" s="76"/>
      <c r="O57" s="76"/>
      <c r="P57" s="76"/>
      <c r="Q57" s="76"/>
      <c r="R57" s="76"/>
      <c r="S57" s="76"/>
    </row>
    <row r="58" spans="1:19" ht="14.25" customHeight="1" x14ac:dyDescent="0.35"/>
    <row r="59" spans="1:19" ht="14.25" customHeight="1" x14ac:dyDescent="0.35"/>
    <row r="60" spans="1:19" ht="14.25" customHeight="1" x14ac:dyDescent="0.35"/>
    <row r="61" spans="1:19" ht="14.25" customHeight="1" x14ac:dyDescent="0.35"/>
    <row r="62" spans="1:19" ht="14.25" customHeight="1" x14ac:dyDescent="0.35"/>
    <row r="63" spans="1:19" ht="14.25" customHeight="1" x14ac:dyDescent="0.35"/>
    <row r="64" spans="1:19"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L2:Q2"/>
    <mergeCell ref="K20:S21"/>
    <mergeCell ref="K22:K34"/>
    <mergeCell ref="B36:E36"/>
    <mergeCell ref="F36:I36"/>
  </mergeCells>
  <conditionalFormatting sqref="Q37:Q56">
    <cfRule type="cellIs" dxfId="0" priority="2" operator="between">
      <formula>$M$32</formula>
      <formula>$M$33</formula>
    </cfRule>
  </conditionalFormatting>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Modul 1</vt:lpstr>
      <vt:lpstr>Skenario</vt:lpstr>
      <vt:lpstr>Data Awal</vt:lpstr>
      <vt:lpstr>Tabel Faktor</vt:lpstr>
      <vt:lpstr>Instruksi</vt:lpstr>
      <vt:lpstr>Pemilihan Peta Kendali</vt:lpstr>
      <vt:lpstr>Peta Kendali xbar-R</vt:lpstr>
      <vt:lpstr>Peta Kendali xbar-s</vt:lpstr>
      <vt:lpstr>OC Curve ARL xbar-R</vt:lpstr>
      <vt:lpstr>Kapabilitas Proses xbar-R</vt:lpstr>
      <vt:lpstr>Implementasi xbar-R</vt:lpstr>
      <vt:lpstr>Peta Kendali MR</vt:lpstr>
      <vt:lpstr>Peta Kendali p dan np</vt:lpstr>
      <vt:lpstr>Peta Kendali c</vt:lpstr>
      <vt:lpstr>Peta Kendali u</vt:lpstr>
      <vt:lpstr>Peta Kendali cusum</vt:lpstr>
      <vt:lpstr>Peta Kendali EWMA</vt:lpstr>
      <vt:lpstr>Peta Kendali xbar-R SPR</vt:lpstr>
      <vt:lpstr>Peta Kendali 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Cakrawala Krisna</dc:creator>
  <dc:description/>
  <cp:lastModifiedBy>Muhammad Yasin Nurfadllilah</cp:lastModifiedBy>
  <cp:revision>3</cp:revision>
  <dcterms:created xsi:type="dcterms:W3CDTF">2022-09-27T06:30:25Z</dcterms:created>
  <dcterms:modified xsi:type="dcterms:W3CDTF">2026-04-20T01:44:31Z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0x010100B924092C382E1548813FC98671D0172B</vt:lpwstr>
  </property>
  <property fmtid="{D5CDD505-2E9C-101B-9397-08002B2CF9AE}" pid="4" name="MSIP_Label_23f93e5f-d3c2-49a7-ba94-15405423c204_ActionId">
    <vt:lpwstr>507cea68-12b2-4f1b-b2d5-f0961169ea4f</vt:lpwstr>
  </property>
  <property fmtid="{D5CDD505-2E9C-101B-9397-08002B2CF9AE}" pid="5" name="MSIP_Label_23f93e5f-d3c2-49a7-ba94-15405423c204_ContentBits">
    <vt:lpwstr>2</vt:lpwstr>
  </property>
  <property fmtid="{D5CDD505-2E9C-101B-9397-08002B2CF9AE}" pid="6" name="MSIP_Label_23f93e5f-d3c2-49a7-ba94-15405423c204_Enabled">
    <vt:lpwstr>true</vt:lpwstr>
  </property>
  <property fmtid="{D5CDD505-2E9C-101B-9397-08002B2CF9AE}" pid="7" name="MSIP_Label_23f93e5f-d3c2-49a7-ba94-15405423c204_Method">
    <vt:lpwstr>Standard</vt:lpwstr>
  </property>
  <property fmtid="{D5CDD505-2E9C-101B-9397-08002B2CF9AE}" pid="8" name="MSIP_Label_23f93e5f-d3c2-49a7-ba94-15405423c204_Name">
    <vt:lpwstr>SE Internal</vt:lpwstr>
  </property>
  <property fmtid="{D5CDD505-2E9C-101B-9397-08002B2CF9AE}" pid="9" name="MSIP_Label_23f93e5f-d3c2-49a7-ba94-15405423c204_SetDate">
    <vt:lpwstr>2022-11-08T07:53:13Z</vt:lpwstr>
  </property>
  <property fmtid="{D5CDD505-2E9C-101B-9397-08002B2CF9AE}" pid="10" name="MSIP_Label_23f93e5f-d3c2-49a7-ba94-15405423c204_SiteId">
    <vt:lpwstr>6e51e1ad-c54b-4b39-b598-0ffe9ae68fef</vt:lpwstr>
  </property>
  <property fmtid="{D5CDD505-2E9C-101B-9397-08002B2CF9AE}" pid="11" name="MSIP_Label_38b525e5-f3da-4501-8f1e-526b6769fc56_ActionId">
    <vt:lpwstr>a58d749e-ea3b-420f-8964-d4ae2533693b</vt:lpwstr>
  </property>
  <property fmtid="{D5CDD505-2E9C-101B-9397-08002B2CF9AE}" pid="12" name="MSIP_Label_38b525e5-f3da-4501-8f1e-526b6769fc56_ContentBits">
    <vt:lpwstr>0</vt:lpwstr>
  </property>
  <property fmtid="{D5CDD505-2E9C-101B-9397-08002B2CF9AE}" pid="13" name="MSIP_Label_38b525e5-f3da-4501-8f1e-526b6769fc56_Enabled">
    <vt:lpwstr>true</vt:lpwstr>
  </property>
  <property fmtid="{D5CDD505-2E9C-101B-9397-08002B2CF9AE}" pid="14" name="MSIP_Label_38b525e5-f3da-4501-8f1e-526b6769fc56_Method">
    <vt:lpwstr>Standard</vt:lpwstr>
  </property>
  <property fmtid="{D5CDD505-2E9C-101B-9397-08002B2CF9AE}" pid="15" name="MSIP_Label_38b525e5-f3da-4501-8f1e-526b6769fc56_Name">
    <vt:lpwstr>defa4170-0d19-0005-0004-bc88714345d2</vt:lpwstr>
  </property>
  <property fmtid="{D5CDD505-2E9C-101B-9397-08002B2CF9AE}" pid="16" name="MSIP_Label_38b525e5-f3da-4501-8f1e-526b6769fc56_SetDate">
    <vt:lpwstr>2024-02-12T10:41:55Z</vt:lpwstr>
  </property>
  <property fmtid="{D5CDD505-2E9C-101B-9397-08002B2CF9AE}" pid="17" name="MSIP_Label_38b525e5-f3da-4501-8f1e-526b6769fc56_SiteId">
    <vt:lpwstr>db6e1183-4c65-405c-82ce-7cd53fa6e9dc</vt:lpwstr>
  </property>
  <property fmtid="{D5CDD505-2E9C-101B-9397-08002B2CF9AE}" pid="18" name="MediaServiceImageTags">
    <vt:lpwstr/>
  </property>
  <property fmtid="{D5CDD505-2E9C-101B-9397-08002B2CF9AE}" pid="19" name="Order">
    <vt:r8>2700</vt:r8>
  </property>
  <property fmtid="{D5CDD505-2E9C-101B-9397-08002B2CF9AE}" pid="20" name="TemplateUrl">
    <vt:lpwstr/>
  </property>
  <property fmtid="{D5CDD505-2E9C-101B-9397-08002B2CF9AE}" pid="21" name="TriggerFlowInfo">
    <vt:lpwstr/>
  </property>
  <property fmtid="{D5CDD505-2E9C-101B-9397-08002B2CF9AE}" pid="22" name="_ExtendedDescription">
    <vt:lpwstr/>
  </property>
  <property fmtid="{D5CDD505-2E9C-101B-9397-08002B2CF9AE}" pid="23" name="xd_ProgID">
    <vt:lpwstr/>
  </property>
  <property fmtid="{D5CDD505-2E9C-101B-9397-08002B2CF9AE}" pid="24" name="xd_Signature">
    <vt:bool>false</vt:bool>
  </property>
</Properties>
</file>