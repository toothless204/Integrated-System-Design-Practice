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drawings/drawing6.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7.xml" ContentType="application/vnd.openxmlformats-officedocument.drawing+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harts/chart14.xml" ContentType="application/vnd.openxmlformats-officedocument.drawingml.chart+xml"/>
  <Override PartName="/xl/charts/chart15.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xml" ContentType="application/vnd.openxmlformats-officedocument.drawing+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harts/chart16.xml" ContentType="application/vnd.openxmlformats-officedocument.drawingml.chart+xml"/>
  <Override PartName="/xl/charts/chart17.xml" ContentType="application/vnd.openxmlformats-officedocument.drawingml.chart+xml"/>
  <Override PartName="/xl/drawings/drawing9.xml" ContentType="application/vnd.openxmlformats-officedocument.drawing+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harts/chart18.xml" ContentType="application/vnd.openxmlformats-officedocument.drawingml.chart+xml"/>
  <Override PartName="/xl/drawings/drawing10.xml" ContentType="application/vnd.openxmlformats-officedocument.drawing+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harts/chart19.xml" ContentType="application/vnd.openxmlformats-officedocument.drawingml.chart+xml"/>
  <Override PartName="/xl/drawings/drawing11.xml" ContentType="application/vnd.openxmlformats-officedocument.drawing+xml"/>
  <Override PartName="/xl/charts/chart20.xml" ContentType="application/vnd.openxmlformats-officedocument.drawingml.chart+xml"/>
  <Override PartName="/xl/drawings/drawing12.xml" ContentType="application/vnd.openxmlformats-officedocument.drawing+xml"/>
  <Override PartName="/xl/charts/chart21.xml" ContentType="application/vnd.openxmlformats-officedocument.drawingml.chart+xml"/>
  <Override PartName="/xl/drawings/drawing13.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drawings/drawing14.xml" ContentType="application/vnd.openxmlformats-officedocument.drawing+xml"/>
  <Override PartName="/xl/charts/chart2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55734E7-13D3-4ED0-A9F5-0617182FB8E8}" xr6:coauthVersionLast="47" xr6:coauthVersionMax="47" xr10:uidLastSave="{00000000-0000-0000-0000-000000000000}"/>
  <bookViews>
    <workbookView xWindow="-120" yWindow="-120" windowWidth="29040" windowHeight="15720" tabRatio="816" firstSheet="2" activeTab="2" xr2:uid="{00000000-000D-0000-FFFF-FFFF00000000}"/>
  </bookViews>
  <sheets>
    <sheet name="Modul 1" sheetId="1" r:id="rId1"/>
    <sheet name="Skenario" sheetId="3" r:id="rId2"/>
    <sheet name="Data Awal" sheetId="4" r:id="rId3"/>
    <sheet name="Tabel Faktor" sheetId="5" r:id="rId4"/>
    <sheet name="Instruksi" sheetId="2" r:id="rId5"/>
    <sheet name="Pemilihan Peta Kendali" sheetId="6" r:id="rId6"/>
    <sheet name="Peta Kendali xbar-R" sheetId="7" r:id="rId7"/>
    <sheet name="Peta Kendali xbar-s" sheetId="8" r:id="rId8"/>
    <sheet name="OC Curve ARL xbar-R" sheetId="9" r:id="rId9"/>
    <sheet name="Kapabilitas Proses xbar-R" sheetId="10" r:id="rId10"/>
    <sheet name="Implementasi xbar-R" sheetId="11" r:id="rId11"/>
    <sheet name="Peta Kendali MR" sheetId="12" r:id="rId12"/>
    <sheet name="Peta Kendali p dan np" sheetId="13" r:id="rId13"/>
    <sheet name="Peta Kendali c" sheetId="14" r:id="rId14"/>
    <sheet name="Peta Kendali u" sheetId="15" r:id="rId15"/>
    <sheet name="Peta Kendali cusum" sheetId="16" r:id="rId16"/>
    <sheet name="Peta Kendali EWMA" sheetId="17" r:id="rId17"/>
    <sheet name="Peta Kendali xbar-R SPR" sheetId="18" r:id="rId18"/>
    <sheet name="Peta Kendali T^2" sheetId="19"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4" roundtripDataChecksum="pX838r7l0uKryxj/bXkklmH62Kxy2xdzcaTaIrFJqNE="/>
    </ext>
  </extLst>
</workbook>
</file>

<file path=xl/calcChain.xml><?xml version="1.0" encoding="utf-8"?>
<calcChain xmlns="http://schemas.openxmlformats.org/spreadsheetml/2006/main">
  <c r="AF9" i="4" l="1"/>
  <c r="AD9" i="4"/>
  <c r="I43" i="18" l="1"/>
  <c r="D26" i="17"/>
  <c r="D40" i="13" l="1"/>
  <c r="E40" i="13" s="1"/>
  <c r="D41" i="13"/>
  <c r="E41" i="13" s="1"/>
  <c r="D42" i="13"/>
  <c r="E42" i="13" s="1"/>
  <c r="D43" i="13"/>
  <c r="E43" i="13" s="1"/>
  <c r="D44" i="13"/>
  <c r="E44" i="13" s="1"/>
  <c r="D45" i="13"/>
  <c r="E45" i="13" s="1"/>
  <c r="D46" i="13"/>
  <c r="E46" i="13" s="1"/>
  <c r="D47" i="13"/>
  <c r="E47" i="13" s="1"/>
  <c r="D48" i="13"/>
  <c r="E48" i="13" s="1"/>
  <c r="D49" i="13"/>
  <c r="E49" i="13" s="1"/>
  <c r="D50" i="13"/>
  <c r="E50" i="13" s="1"/>
  <c r="D51" i="13"/>
  <c r="E51" i="13" s="1"/>
  <c r="D52" i="13"/>
  <c r="E52" i="13" s="1"/>
  <c r="D53" i="13"/>
  <c r="E53" i="13" s="1"/>
  <c r="D54" i="13"/>
  <c r="D56" i="13"/>
  <c r="E56" i="13" s="1"/>
  <c r="D57" i="13"/>
  <c r="E57" i="13" s="1"/>
  <c r="D58" i="13"/>
  <c r="E58" i="13" s="1"/>
  <c r="D59" i="13"/>
  <c r="E59" i="13" s="1"/>
  <c r="D60" i="13"/>
  <c r="E60" i="13" s="1"/>
  <c r="D61" i="13"/>
  <c r="E61" i="13" s="1"/>
  <c r="D62" i="13"/>
  <c r="E62" i="13" s="1"/>
  <c r="D39" i="13"/>
  <c r="E39" i="13" s="1"/>
  <c r="D63" i="13"/>
  <c r="E63" i="13" s="1"/>
  <c r="D31" i="10"/>
  <c r="D34" i="10"/>
  <c r="D32" i="10"/>
  <c r="D33" i="10"/>
  <c r="D30" i="10"/>
  <c r="D7" i="9"/>
  <c r="D8" i="9" s="1"/>
  <c r="C40" i="9" s="1"/>
  <c r="D37" i="7"/>
  <c r="G36" i="10"/>
  <c r="D25" i="18"/>
  <c r="D26" i="18"/>
  <c r="D27" i="18"/>
  <c r="D24" i="18"/>
  <c r="G44" i="18"/>
  <c r="E31" i="17"/>
  <c r="E32" i="17"/>
  <c r="D31" i="12"/>
  <c r="D24" i="11"/>
  <c r="D37" i="8"/>
  <c r="I58" i="8"/>
  <c r="D55" i="13" l="1"/>
  <c r="E55" i="13" s="1"/>
  <c r="E54" i="13"/>
  <c r="E36" i="14"/>
  <c r="G49" i="15"/>
  <c r="I59" i="13"/>
  <c r="X62" i="8"/>
  <c r="H53" i="8"/>
  <c r="H50" i="8"/>
  <c r="I43" i="8"/>
  <c r="D32" i="12"/>
  <c r="Y50" i="8"/>
  <c r="H62" i="8"/>
  <c r="X53" i="8"/>
  <c r="H52" i="8"/>
  <c r="X43" i="8"/>
  <c r="I62" i="8"/>
  <c r="I52" i="8"/>
  <c r="X50" i="8"/>
  <c r="I50" i="8"/>
  <c r="H57" i="8"/>
  <c r="X48" i="8"/>
  <c r="Y48" i="8"/>
  <c r="I66" i="8"/>
  <c r="H56" i="8"/>
  <c r="I56" i="8"/>
  <c r="H54" i="8"/>
  <c r="I54" i="8"/>
  <c r="H61" i="8"/>
  <c r="I44" i="8"/>
  <c r="X42" i="8"/>
  <c r="Y42" i="8"/>
  <c r="I63" i="8"/>
  <c r="H63" i="8"/>
  <c r="I51" i="8"/>
  <c r="I46" i="8"/>
  <c r="H58" i="8"/>
  <c r="H46" i="8"/>
  <c r="Y45" i="8"/>
  <c r="X45" i="8"/>
  <c r="X61" i="8"/>
  <c r="Y61" i="8"/>
  <c r="X57" i="8"/>
  <c r="Y57" i="8"/>
  <c r="I45" i="8"/>
  <c r="H45" i="8"/>
  <c r="H66" i="8"/>
  <c r="I57" i="8"/>
  <c r="I59" i="8"/>
  <c r="H59" i="8"/>
  <c r="I47" i="8"/>
  <c r="H47" i="8"/>
  <c r="H49" i="8"/>
  <c r="Y44" i="8"/>
  <c r="X44" i="8"/>
  <c r="I65" i="8"/>
  <c r="Y55" i="8"/>
  <c r="H55" i="8"/>
  <c r="I55" i="8"/>
  <c r="H51" i="8"/>
  <c r="H43" i="8"/>
  <c r="X56" i="8"/>
  <c r="X60" i="8"/>
  <c r="I42" i="8"/>
  <c r="H42" i="8"/>
  <c r="I64" i="8"/>
  <c r="H64" i="8"/>
  <c r="Y52" i="8"/>
  <c r="X52" i="8"/>
  <c r="H65" i="8"/>
  <c r="I53" i="8"/>
  <c r="Y62" i="8"/>
  <c r="I61" i="8"/>
  <c r="I49" i="8"/>
  <c r="H44" i="8"/>
  <c r="Y60" i="8"/>
  <c r="H48" i="8"/>
  <c r="I60" i="8"/>
  <c r="I48" i="8"/>
  <c r="H60" i="8"/>
  <c r="E53" i="15"/>
  <c r="G44" i="15"/>
  <c r="F60" i="14"/>
  <c r="E60" i="14"/>
  <c r="D60" i="14"/>
  <c r="F59" i="14"/>
  <c r="E59" i="14"/>
  <c r="D59" i="14"/>
  <c r="F58" i="14"/>
  <c r="E58" i="14"/>
  <c r="D58" i="14"/>
  <c r="F57" i="14"/>
  <c r="E57" i="14"/>
  <c r="D57" i="14"/>
  <c r="F56" i="14"/>
  <c r="E56" i="14"/>
  <c r="D56" i="14"/>
  <c r="F55" i="14"/>
  <c r="E55" i="14"/>
  <c r="D55" i="14"/>
  <c r="F54" i="14"/>
  <c r="E54" i="14"/>
  <c r="D54" i="14"/>
  <c r="F53" i="14"/>
  <c r="E53" i="14"/>
  <c r="D53" i="14"/>
  <c r="F52" i="14"/>
  <c r="E52" i="14"/>
  <c r="D52" i="14"/>
  <c r="F51" i="14"/>
  <c r="E51" i="14"/>
  <c r="D51" i="14"/>
  <c r="F50" i="14"/>
  <c r="E50" i="14"/>
  <c r="D50" i="14"/>
  <c r="F49" i="14"/>
  <c r="E49" i="14"/>
  <c r="D49" i="14"/>
  <c r="F48" i="14"/>
  <c r="E48" i="14"/>
  <c r="D48" i="14"/>
  <c r="F47" i="14"/>
  <c r="E47" i="14"/>
  <c r="D47" i="14"/>
  <c r="F46" i="14"/>
  <c r="E46" i="14"/>
  <c r="D46" i="14"/>
  <c r="F45" i="14"/>
  <c r="E45" i="14"/>
  <c r="D45" i="14"/>
  <c r="F44" i="14"/>
  <c r="E44" i="14"/>
  <c r="D44" i="14"/>
  <c r="F43" i="14"/>
  <c r="E43" i="14"/>
  <c r="D43" i="14"/>
  <c r="F42" i="14"/>
  <c r="E42" i="14"/>
  <c r="D42" i="14"/>
  <c r="F41" i="14"/>
  <c r="E41" i="14"/>
  <c r="D41" i="14"/>
  <c r="F40" i="14"/>
  <c r="E40" i="14"/>
  <c r="D40" i="14"/>
  <c r="F39" i="14"/>
  <c r="E39" i="14"/>
  <c r="D39" i="14"/>
  <c r="F38" i="14"/>
  <c r="E38" i="14"/>
  <c r="D38" i="14"/>
  <c r="F37" i="14"/>
  <c r="E37" i="14"/>
  <c r="D37" i="14"/>
  <c r="F36" i="14"/>
  <c r="D36" i="14"/>
  <c r="I63" i="13"/>
  <c r="I62" i="13"/>
  <c r="I61" i="13"/>
  <c r="I60" i="13"/>
  <c r="I56" i="13"/>
  <c r="I55" i="13"/>
  <c r="I54" i="13"/>
  <c r="I53" i="13"/>
  <c r="I52" i="13"/>
  <c r="I51" i="13"/>
  <c r="I50" i="13"/>
  <c r="I49" i="13"/>
  <c r="I48" i="13"/>
  <c r="I44" i="13"/>
  <c r="I43" i="13"/>
  <c r="I42" i="13"/>
  <c r="I41" i="13"/>
  <c r="I40" i="13"/>
  <c r="I39" i="13"/>
  <c r="I66" i="12"/>
  <c r="I65" i="12"/>
  <c r="I64" i="12"/>
  <c r="I63" i="12"/>
  <c r="I62" i="12"/>
  <c r="I61" i="12"/>
  <c r="I60" i="12"/>
  <c r="I59" i="12"/>
  <c r="I58" i="12"/>
  <c r="I57" i="12"/>
  <c r="I56" i="12"/>
  <c r="I55" i="12"/>
  <c r="I54" i="12"/>
  <c r="I53" i="12"/>
  <c r="I52" i="12"/>
  <c r="I51" i="12"/>
  <c r="I50" i="12"/>
  <c r="I49" i="12"/>
  <c r="I48" i="12"/>
  <c r="I47" i="12"/>
  <c r="I46" i="12"/>
  <c r="I45" i="12"/>
  <c r="I44" i="12"/>
  <c r="I43" i="12"/>
  <c r="I42" i="12"/>
  <c r="D42" i="12"/>
  <c r="D66" i="12"/>
  <c r="D65" i="12"/>
  <c r="D64" i="12"/>
  <c r="D63" i="12"/>
  <c r="D62" i="12"/>
  <c r="D61" i="12"/>
  <c r="D60" i="12"/>
  <c r="D59" i="12"/>
  <c r="D58" i="12"/>
  <c r="D57" i="12"/>
  <c r="D56" i="12"/>
  <c r="D55" i="12"/>
  <c r="D54" i="12"/>
  <c r="D53" i="12"/>
  <c r="D52" i="12"/>
  <c r="D51" i="12"/>
  <c r="D50" i="12"/>
  <c r="D49" i="12"/>
  <c r="D48" i="12"/>
  <c r="D47" i="12"/>
  <c r="D46" i="12"/>
  <c r="D45" i="12"/>
  <c r="D44" i="12"/>
  <c r="D43" i="12"/>
  <c r="H236" i="10"/>
  <c r="G236" i="10"/>
  <c r="H235" i="10"/>
  <c r="G235" i="10"/>
  <c r="H234" i="10"/>
  <c r="G234" i="10"/>
  <c r="H233" i="10"/>
  <c r="G233" i="10"/>
  <c r="H232" i="10"/>
  <c r="G232" i="10"/>
  <c r="H231" i="10"/>
  <c r="G231" i="10"/>
  <c r="H230" i="10"/>
  <c r="G230" i="10"/>
  <c r="H229" i="10"/>
  <c r="G229" i="10"/>
  <c r="H228" i="10"/>
  <c r="G228" i="10"/>
  <c r="H227" i="10"/>
  <c r="G227" i="10"/>
  <c r="H226" i="10"/>
  <c r="G226" i="10"/>
  <c r="H225" i="10"/>
  <c r="G225" i="10"/>
  <c r="H224" i="10"/>
  <c r="G224" i="10"/>
  <c r="H223" i="10"/>
  <c r="G223" i="10"/>
  <c r="H222" i="10"/>
  <c r="G222" i="10"/>
  <c r="H221" i="10"/>
  <c r="G221" i="10"/>
  <c r="H220" i="10"/>
  <c r="G220" i="10"/>
  <c r="H219" i="10"/>
  <c r="G219" i="10"/>
  <c r="H218" i="10"/>
  <c r="G218" i="10"/>
  <c r="H217" i="10"/>
  <c r="G217" i="10"/>
  <c r="H216" i="10"/>
  <c r="G216" i="10"/>
  <c r="H215" i="10"/>
  <c r="G215" i="10"/>
  <c r="H214" i="10"/>
  <c r="G214" i="10"/>
  <c r="H213" i="10"/>
  <c r="G213" i="10"/>
  <c r="H212" i="10"/>
  <c r="G212" i="10"/>
  <c r="H211" i="10"/>
  <c r="G211" i="10"/>
  <c r="H210" i="10"/>
  <c r="G210" i="10"/>
  <c r="H209" i="10"/>
  <c r="G209" i="10"/>
  <c r="H208" i="10"/>
  <c r="G208" i="10"/>
  <c r="H207" i="10"/>
  <c r="G207" i="10"/>
  <c r="H206" i="10"/>
  <c r="G206" i="10"/>
  <c r="H205" i="10"/>
  <c r="G205" i="10"/>
  <c r="H204" i="10"/>
  <c r="G204" i="10"/>
  <c r="H203" i="10"/>
  <c r="G203" i="10"/>
  <c r="H202" i="10"/>
  <c r="G202" i="10"/>
  <c r="H201" i="10"/>
  <c r="G201" i="10"/>
  <c r="H200" i="10"/>
  <c r="G200" i="10"/>
  <c r="H199" i="10"/>
  <c r="G199" i="10"/>
  <c r="H198" i="10"/>
  <c r="G198" i="10"/>
  <c r="H197" i="10"/>
  <c r="G197" i="10"/>
  <c r="H196" i="10"/>
  <c r="G196" i="10"/>
  <c r="H195" i="10"/>
  <c r="G195" i="10"/>
  <c r="H194" i="10"/>
  <c r="G194" i="10"/>
  <c r="H193" i="10"/>
  <c r="G193" i="10"/>
  <c r="H192" i="10"/>
  <c r="G192" i="10"/>
  <c r="H191" i="10"/>
  <c r="G191" i="10"/>
  <c r="H190" i="10"/>
  <c r="G190" i="10"/>
  <c r="H189" i="10"/>
  <c r="G189" i="10"/>
  <c r="H188" i="10"/>
  <c r="G188" i="10"/>
  <c r="H187" i="10"/>
  <c r="G187" i="10"/>
  <c r="H186" i="10"/>
  <c r="G186" i="10"/>
  <c r="H185" i="10"/>
  <c r="G185" i="10"/>
  <c r="H184" i="10"/>
  <c r="G184" i="10"/>
  <c r="H183" i="10"/>
  <c r="G183" i="10"/>
  <c r="H182" i="10"/>
  <c r="G182" i="10"/>
  <c r="H181" i="10"/>
  <c r="G181" i="10"/>
  <c r="H180" i="10"/>
  <c r="G180" i="10"/>
  <c r="H179" i="10"/>
  <c r="G179" i="10"/>
  <c r="H178" i="10"/>
  <c r="G178" i="10"/>
  <c r="H177" i="10"/>
  <c r="G177" i="10"/>
  <c r="H176" i="10"/>
  <c r="G176" i="10"/>
  <c r="H175" i="10"/>
  <c r="G175" i="10"/>
  <c r="H174" i="10"/>
  <c r="G174" i="10"/>
  <c r="H173" i="10"/>
  <c r="G173" i="10"/>
  <c r="H172" i="10"/>
  <c r="G172" i="10"/>
  <c r="H171" i="10"/>
  <c r="G171" i="10"/>
  <c r="H170" i="10"/>
  <c r="G170" i="10"/>
  <c r="H169" i="10"/>
  <c r="G169" i="10"/>
  <c r="H168" i="10"/>
  <c r="G168" i="10"/>
  <c r="H167" i="10"/>
  <c r="G167" i="10"/>
  <c r="H166" i="10"/>
  <c r="G166" i="10"/>
  <c r="H165" i="10"/>
  <c r="G165" i="10"/>
  <c r="H164" i="10"/>
  <c r="G164" i="10"/>
  <c r="H163" i="10"/>
  <c r="G163" i="10"/>
  <c r="H162" i="10"/>
  <c r="G162" i="10"/>
  <c r="H161" i="10"/>
  <c r="G161" i="10"/>
  <c r="H160" i="10"/>
  <c r="G160" i="10"/>
  <c r="H159" i="10"/>
  <c r="G159" i="10"/>
  <c r="H158" i="10"/>
  <c r="G158" i="10"/>
  <c r="H157" i="10"/>
  <c r="G157" i="10"/>
  <c r="H156" i="10"/>
  <c r="G156" i="10"/>
  <c r="H155" i="10"/>
  <c r="G155" i="10"/>
  <c r="H154" i="10"/>
  <c r="G154" i="10"/>
  <c r="H153" i="10"/>
  <c r="G153" i="10"/>
  <c r="H152" i="10"/>
  <c r="G152" i="10"/>
  <c r="H151" i="10"/>
  <c r="G151" i="10"/>
  <c r="H150" i="10"/>
  <c r="G150" i="10"/>
  <c r="H149" i="10"/>
  <c r="G149" i="10"/>
  <c r="H148" i="10"/>
  <c r="G148" i="10"/>
  <c r="H147" i="10"/>
  <c r="G147" i="10"/>
  <c r="H146" i="10"/>
  <c r="G146" i="10"/>
  <c r="H145" i="10"/>
  <c r="G145" i="10"/>
  <c r="H144" i="10"/>
  <c r="G144" i="10"/>
  <c r="H143" i="10"/>
  <c r="G143" i="10"/>
  <c r="H142" i="10"/>
  <c r="G142" i="10"/>
  <c r="H141" i="10"/>
  <c r="G141" i="10"/>
  <c r="H140" i="10"/>
  <c r="G140" i="10"/>
  <c r="H139" i="10"/>
  <c r="G139" i="10"/>
  <c r="H138" i="10"/>
  <c r="G138" i="10"/>
  <c r="H137" i="10"/>
  <c r="G137" i="10"/>
  <c r="H136" i="10"/>
  <c r="G136" i="10"/>
  <c r="H135" i="10"/>
  <c r="G135" i="10"/>
  <c r="H134" i="10"/>
  <c r="G134" i="10"/>
  <c r="H133" i="10"/>
  <c r="G133" i="10"/>
  <c r="H132" i="10"/>
  <c r="G132" i="10"/>
  <c r="H131" i="10"/>
  <c r="G131" i="10"/>
  <c r="H130" i="10"/>
  <c r="G130" i="10"/>
  <c r="H129" i="10"/>
  <c r="G129" i="10"/>
  <c r="H128" i="10"/>
  <c r="G128" i="10"/>
  <c r="H127" i="10"/>
  <c r="G127" i="10"/>
  <c r="H126" i="10"/>
  <c r="G126" i="10"/>
  <c r="H125" i="10"/>
  <c r="G125" i="10"/>
  <c r="H124" i="10"/>
  <c r="G124" i="10"/>
  <c r="H123" i="10"/>
  <c r="G123" i="10"/>
  <c r="H122" i="10"/>
  <c r="G122" i="10"/>
  <c r="H121" i="10"/>
  <c r="G121" i="10"/>
  <c r="H120" i="10"/>
  <c r="G120" i="10"/>
  <c r="H119" i="10"/>
  <c r="G119" i="10"/>
  <c r="H118" i="10"/>
  <c r="G118" i="10"/>
  <c r="H117" i="10"/>
  <c r="G117" i="10"/>
  <c r="H116" i="10"/>
  <c r="G116" i="10"/>
  <c r="H115" i="10"/>
  <c r="G115" i="10"/>
  <c r="H114" i="10"/>
  <c r="G114" i="10"/>
  <c r="H113" i="10"/>
  <c r="G113" i="10"/>
  <c r="H112" i="10"/>
  <c r="G112" i="10"/>
  <c r="H111" i="10"/>
  <c r="G111" i="10"/>
  <c r="H110" i="10"/>
  <c r="G110" i="10"/>
  <c r="H109" i="10"/>
  <c r="G109" i="10"/>
  <c r="H108" i="10"/>
  <c r="G108" i="10"/>
  <c r="H107" i="10"/>
  <c r="G107" i="10"/>
  <c r="H106" i="10"/>
  <c r="G106" i="10"/>
  <c r="H105" i="10"/>
  <c r="G105" i="10"/>
  <c r="H104" i="10"/>
  <c r="G104" i="10"/>
  <c r="H103" i="10"/>
  <c r="G103" i="10"/>
  <c r="H102" i="10"/>
  <c r="G102" i="10"/>
  <c r="H101" i="10"/>
  <c r="G101" i="10"/>
  <c r="H100" i="10"/>
  <c r="G100" i="10"/>
  <c r="H99" i="10"/>
  <c r="G99" i="10"/>
  <c r="H98" i="10"/>
  <c r="G98" i="10"/>
  <c r="H97" i="10"/>
  <c r="G97" i="10"/>
  <c r="H96" i="10"/>
  <c r="G96" i="10"/>
  <c r="H95" i="10"/>
  <c r="G95" i="10"/>
  <c r="H94" i="10"/>
  <c r="G94" i="10"/>
  <c r="H93" i="10"/>
  <c r="G93" i="10"/>
  <c r="H92" i="10"/>
  <c r="G92" i="10"/>
  <c r="H91" i="10"/>
  <c r="G91" i="10"/>
  <c r="H90" i="10"/>
  <c r="G90" i="10"/>
  <c r="H89" i="10"/>
  <c r="G89" i="10"/>
  <c r="H88" i="10"/>
  <c r="G88" i="10"/>
  <c r="H87" i="10"/>
  <c r="G87" i="10"/>
  <c r="H86" i="10"/>
  <c r="G86" i="10"/>
  <c r="H85" i="10"/>
  <c r="G85" i="10"/>
  <c r="H84" i="10"/>
  <c r="G84" i="10"/>
  <c r="H83" i="10"/>
  <c r="G83" i="10"/>
  <c r="H82" i="10"/>
  <c r="G82" i="10"/>
  <c r="H81" i="10"/>
  <c r="G81" i="10"/>
  <c r="H80" i="10"/>
  <c r="G80" i="10"/>
  <c r="H79" i="10"/>
  <c r="G79" i="10"/>
  <c r="H78" i="10"/>
  <c r="G78" i="10"/>
  <c r="H77" i="10"/>
  <c r="G77" i="10"/>
  <c r="H76" i="10"/>
  <c r="G76" i="10"/>
  <c r="H75" i="10"/>
  <c r="G75" i="10"/>
  <c r="H74" i="10"/>
  <c r="G74" i="10"/>
  <c r="H73" i="10"/>
  <c r="G73" i="10"/>
  <c r="H72" i="10"/>
  <c r="G72" i="10"/>
  <c r="H71" i="10"/>
  <c r="G71" i="10"/>
  <c r="H70" i="10"/>
  <c r="G70" i="10"/>
  <c r="H69" i="10"/>
  <c r="G69" i="10"/>
  <c r="H68" i="10"/>
  <c r="G68" i="10"/>
  <c r="H67" i="10"/>
  <c r="G67" i="10"/>
  <c r="H66" i="10"/>
  <c r="G66" i="10"/>
  <c r="H65" i="10"/>
  <c r="G65" i="10"/>
  <c r="H64" i="10"/>
  <c r="G64" i="10"/>
  <c r="H63" i="10"/>
  <c r="G63" i="10"/>
  <c r="H62" i="10"/>
  <c r="G62" i="10"/>
  <c r="H61" i="10"/>
  <c r="G61" i="10"/>
  <c r="H60" i="10"/>
  <c r="G60" i="10"/>
  <c r="H59" i="10"/>
  <c r="G59" i="10"/>
  <c r="H58" i="10"/>
  <c r="G58" i="10"/>
  <c r="H57" i="10"/>
  <c r="G57" i="10"/>
  <c r="H56" i="10"/>
  <c r="G56" i="10"/>
  <c r="H55" i="10"/>
  <c r="G55" i="10"/>
  <c r="H54" i="10"/>
  <c r="G54" i="10"/>
  <c r="H53" i="10"/>
  <c r="G53" i="10"/>
  <c r="H52" i="10"/>
  <c r="G52" i="10"/>
  <c r="H51" i="10"/>
  <c r="G51" i="10"/>
  <c r="H50" i="10"/>
  <c r="G50" i="10"/>
  <c r="H49" i="10"/>
  <c r="G49" i="10"/>
  <c r="H48" i="10"/>
  <c r="G48" i="10"/>
  <c r="H47" i="10"/>
  <c r="G47" i="10"/>
  <c r="H46" i="10"/>
  <c r="G46" i="10"/>
  <c r="H45" i="10"/>
  <c r="G45" i="10"/>
  <c r="H44" i="10"/>
  <c r="G44" i="10"/>
  <c r="H43" i="10"/>
  <c r="G43" i="10"/>
  <c r="H42" i="10"/>
  <c r="G42" i="10"/>
  <c r="H41" i="10"/>
  <c r="G41" i="10"/>
  <c r="H40" i="10"/>
  <c r="G40" i="10"/>
  <c r="H39" i="10"/>
  <c r="G39" i="10"/>
  <c r="H38" i="10"/>
  <c r="G38" i="10"/>
  <c r="H37" i="10"/>
  <c r="G37" i="10"/>
  <c r="H36" i="10"/>
  <c r="E37" i="15" l="1"/>
  <c r="G39" i="15"/>
  <c r="E40" i="15"/>
  <c r="G58" i="15"/>
  <c r="G41" i="15"/>
  <c r="E51" i="15"/>
  <c r="E59" i="15"/>
  <c r="G36" i="15"/>
  <c r="G57" i="15"/>
  <c r="E58" i="15"/>
  <c r="E50" i="15"/>
  <c r="E42" i="15"/>
  <c r="G51" i="15"/>
  <c r="G59" i="15"/>
  <c r="G46" i="15"/>
  <c r="E48" i="15"/>
  <c r="G48" i="15"/>
  <c r="G42" i="15"/>
  <c r="E52" i="15"/>
  <c r="E60" i="15"/>
  <c r="E45" i="15"/>
  <c r="G53" i="15"/>
  <c r="G45" i="15"/>
  <c r="G55" i="15"/>
  <c r="E46" i="15"/>
  <c r="E56" i="15"/>
  <c r="G37" i="15"/>
  <c r="G56" i="15"/>
  <c r="E39" i="15"/>
  <c r="G43" i="15"/>
  <c r="G52" i="15"/>
  <c r="E36" i="15"/>
  <c r="E43" i="15"/>
  <c r="G50" i="15"/>
  <c r="E57" i="15"/>
  <c r="G40" i="15"/>
  <c r="E47" i="15"/>
  <c r="E54" i="15"/>
  <c r="F57" i="15"/>
  <c r="E41" i="15"/>
  <c r="G47" i="15"/>
  <c r="G54" i="15"/>
  <c r="F66" i="12"/>
  <c r="F63" i="12"/>
  <c r="D35" i="12"/>
  <c r="J42" i="12" s="1"/>
  <c r="L42" i="12" s="1"/>
  <c r="L43" i="12" s="1"/>
  <c r="L44" i="12" s="1"/>
  <c r="L45" i="12" s="1"/>
  <c r="L46" i="12" s="1"/>
  <c r="L47" i="12" s="1"/>
  <c r="L48" i="12" s="1"/>
  <c r="L49" i="12" s="1"/>
  <c r="L50" i="12" s="1"/>
  <c r="L51" i="12" s="1"/>
  <c r="L52" i="12" s="1"/>
  <c r="L53" i="12" s="1"/>
  <c r="L54" i="12" s="1"/>
  <c r="L55" i="12" s="1"/>
  <c r="L56" i="12" s="1"/>
  <c r="L57" i="12" s="1"/>
  <c r="L58" i="12" s="1"/>
  <c r="L59" i="12" s="1"/>
  <c r="L60" i="12" s="1"/>
  <c r="L61" i="12" s="1"/>
  <c r="L62" i="12" s="1"/>
  <c r="L63" i="12" s="1"/>
  <c r="L64" i="12" s="1"/>
  <c r="L65" i="12" s="1"/>
  <c r="L66" i="12" s="1"/>
  <c r="F61" i="12"/>
  <c r="F51" i="12"/>
  <c r="F43" i="12"/>
  <c r="F57" i="12"/>
  <c r="F49" i="12"/>
  <c r="F55" i="12"/>
  <c r="F45" i="12"/>
  <c r="F59" i="12"/>
  <c r="F65" i="12"/>
  <c r="F47" i="12"/>
  <c r="F53" i="12"/>
  <c r="Y53" i="8"/>
  <c r="F39" i="13"/>
  <c r="I45" i="13"/>
  <c r="I57" i="13"/>
  <c r="I46" i="13"/>
  <c r="I58" i="13"/>
  <c r="E38" i="15"/>
  <c r="E44" i="15"/>
  <c r="E49" i="15"/>
  <c r="E55" i="15"/>
  <c r="G60" i="15"/>
  <c r="I47" i="13"/>
  <c r="G38" i="15"/>
  <c r="Y56" i="8"/>
  <c r="X55" i="8"/>
  <c r="J43" i="12"/>
  <c r="J45" i="12"/>
  <c r="J47" i="12"/>
  <c r="J49" i="12"/>
  <c r="J51" i="12"/>
  <c r="J53" i="12"/>
  <c r="J55" i="12"/>
  <c r="J57" i="12"/>
  <c r="J59" i="12"/>
  <c r="J61" i="12"/>
  <c r="F44" i="12"/>
  <c r="F50" i="12"/>
  <c r="F58" i="12"/>
  <c r="F64" i="12"/>
  <c r="F42" i="12"/>
  <c r="F52" i="12"/>
  <c r="F62" i="12"/>
  <c r="F46" i="12"/>
  <c r="F54" i="12"/>
  <c r="F60" i="12"/>
  <c r="F48" i="12"/>
  <c r="F56" i="12"/>
  <c r="J44" i="12"/>
  <c r="J46" i="12"/>
  <c r="J48" i="12"/>
  <c r="J50" i="12"/>
  <c r="J52" i="12"/>
  <c r="J54" i="12"/>
  <c r="J56" i="12"/>
  <c r="J58" i="12"/>
  <c r="J60" i="12"/>
  <c r="J62" i="12"/>
  <c r="D33" i="12"/>
  <c r="D34" i="12"/>
  <c r="D36" i="12"/>
  <c r="Y43" i="8"/>
  <c r="J44" i="8"/>
  <c r="AB46" i="7"/>
  <c r="J49" i="7"/>
  <c r="AB61" i="7"/>
  <c r="AB50" i="7"/>
  <c r="AB57" i="7"/>
  <c r="AB48" i="7"/>
  <c r="J50" i="8"/>
  <c r="Y46" i="8"/>
  <c r="X46" i="8"/>
  <c r="J45" i="8"/>
  <c r="J48" i="8"/>
  <c r="J51" i="8"/>
  <c r="X49" i="8"/>
  <c r="Y49" i="8"/>
  <c r="Y64" i="8"/>
  <c r="X64" i="8"/>
  <c r="X59" i="8"/>
  <c r="Y59" i="8"/>
  <c r="J55" i="8"/>
  <c r="Y58" i="8"/>
  <c r="X58" i="8"/>
  <c r="Y63" i="8"/>
  <c r="X63" i="8"/>
  <c r="X47" i="8"/>
  <c r="Y47" i="8"/>
  <c r="X65" i="8"/>
  <c r="Y65" i="8"/>
  <c r="Y54" i="8"/>
  <c r="X54" i="8"/>
  <c r="Y51" i="8"/>
  <c r="X51" i="8"/>
  <c r="F52" i="15"/>
  <c r="F39" i="15"/>
  <c r="F36" i="15"/>
  <c r="F43" i="15"/>
  <c r="F51" i="15"/>
  <c r="F59" i="15"/>
  <c r="F53" i="15" l="1"/>
  <c r="F47" i="15"/>
  <c r="F55" i="15"/>
  <c r="F45" i="15"/>
  <c r="F40" i="15"/>
  <c r="F44" i="15"/>
  <c r="F48" i="15"/>
  <c r="F37" i="15"/>
  <c r="F58" i="15"/>
  <c r="F50" i="15"/>
  <c r="F42" i="15"/>
  <c r="F54" i="15"/>
  <c r="F46" i="15"/>
  <c r="F60" i="15"/>
  <c r="F49" i="15"/>
  <c r="F41" i="15"/>
  <c r="F38" i="15"/>
  <c r="F56" i="15"/>
  <c r="J66" i="12"/>
  <c r="J65" i="12"/>
  <c r="J64" i="12"/>
  <c r="J63" i="12"/>
  <c r="K58" i="8"/>
  <c r="J61" i="8"/>
  <c r="J61" i="7"/>
  <c r="J54" i="8"/>
  <c r="J64" i="7"/>
  <c r="J50" i="7"/>
  <c r="AB44" i="7"/>
  <c r="AB59" i="7"/>
  <c r="J52" i="8"/>
  <c r="J60" i="8"/>
  <c r="J43" i="7"/>
  <c r="AB65" i="7"/>
  <c r="AB43" i="7"/>
  <c r="J46" i="8"/>
  <c r="J55" i="7"/>
  <c r="AB53" i="7"/>
  <c r="AB49" i="7"/>
  <c r="J43" i="8"/>
  <c r="J53" i="8"/>
  <c r="J58" i="7"/>
  <c r="AB51" i="7"/>
  <c r="AB55" i="7"/>
  <c r="J44" i="7"/>
  <c r="J53" i="7"/>
  <c r="AB62" i="7"/>
  <c r="AB42" i="7"/>
  <c r="J65" i="8"/>
  <c r="J42" i="8"/>
  <c r="J45" i="7"/>
  <c r="AB45" i="7"/>
  <c r="AB60" i="7"/>
  <c r="J66" i="8"/>
  <c r="J58" i="8"/>
  <c r="J64" i="8"/>
  <c r="J48" i="7"/>
  <c r="AB54" i="7"/>
  <c r="AB52" i="7"/>
  <c r="J59" i="8"/>
  <c r="J47" i="8"/>
  <c r="J57" i="7"/>
  <c r="AB47" i="7"/>
  <c r="AB58" i="7"/>
  <c r="J62" i="8"/>
  <c r="J60" i="7"/>
  <c r="AB56" i="7"/>
  <c r="AB64" i="7"/>
  <c r="K42" i="12"/>
  <c r="M42" i="12" s="1"/>
  <c r="M43" i="12" s="1"/>
  <c r="M44" i="12" s="1"/>
  <c r="M45" i="12" s="1"/>
  <c r="M46" i="12" s="1"/>
  <c r="M47" i="12" s="1"/>
  <c r="M48" i="12" s="1"/>
  <c r="M49" i="12" s="1"/>
  <c r="M50" i="12" s="1"/>
  <c r="M51" i="12" s="1"/>
  <c r="M52" i="12" s="1"/>
  <c r="M53" i="12" s="1"/>
  <c r="M54" i="12" s="1"/>
  <c r="M55" i="12" s="1"/>
  <c r="M56" i="12" s="1"/>
  <c r="M57" i="12" s="1"/>
  <c r="M58" i="12" s="1"/>
  <c r="M59" i="12" s="1"/>
  <c r="M60" i="12" s="1"/>
  <c r="M61" i="12" s="1"/>
  <c r="M62" i="12" s="1"/>
  <c r="M63" i="12" s="1"/>
  <c r="M64" i="12" s="1"/>
  <c r="M65" i="12" s="1"/>
  <c r="M66" i="12" s="1"/>
  <c r="K66" i="12"/>
  <c r="K64" i="12"/>
  <c r="K62" i="12"/>
  <c r="K60" i="12"/>
  <c r="K58" i="12"/>
  <c r="K56" i="12"/>
  <c r="K54" i="12"/>
  <c r="K52" i="12"/>
  <c r="K50" i="12"/>
  <c r="K48" i="12"/>
  <c r="K46" i="12"/>
  <c r="K44" i="12"/>
  <c r="K65" i="12"/>
  <c r="K63" i="12"/>
  <c r="K61" i="12"/>
  <c r="K59" i="12"/>
  <c r="K57" i="12"/>
  <c r="K55" i="12"/>
  <c r="K53" i="12"/>
  <c r="K51" i="12"/>
  <c r="K49" i="12"/>
  <c r="K47" i="12"/>
  <c r="K45" i="12"/>
  <c r="K43" i="12"/>
  <c r="H61" i="12"/>
  <c r="H43" i="12"/>
  <c r="H65" i="12"/>
  <c r="H55" i="12"/>
  <c r="H49" i="12"/>
  <c r="H42" i="12"/>
  <c r="H66" i="12"/>
  <c r="H64" i="12"/>
  <c r="H62" i="12"/>
  <c r="H60" i="12"/>
  <c r="H58" i="12"/>
  <c r="H56" i="12"/>
  <c r="H54" i="12"/>
  <c r="H52" i="12"/>
  <c r="H50" i="12"/>
  <c r="H48" i="12"/>
  <c r="H46" i="12"/>
  <c r="H44" i="12"/>
  <c r="H59" i="12"/>
  <c r="H53" i="12"/>
  <c r="H47" i="12"/>
  <c r="H63" i="12"/>
  <c r="H57" i="12"/>
  <c r="H51" i="12"/>
  <c r="H45" i="12"/>
  <c r="G65" i="12"/>
  <c r="G51" i="12"/>
  <c r="G59" i="12"/>
  <c r="G45" i="12"/>
  <c r="G63" i="12"/>
  <c r="G49" i="12"/>
  <c r="G42" i="12"/>
  <c r="G57" i="12"/>
  <c r="G47" i="12"/>
  <c r="G66" i="12"/>
  <c r="G64" i="12"/>
  <c r="G62" i="12"/>
  <c r="G60" i="12"/>
  <c r="G58" i="12"/>
  <c r="G56" i="12"/>
  <c r="G54" i="12"/>
  <c r="G52" i="12"/>
  <c r="G50" i="12"/>
  <c r="G48" i="12"/>
  <c r="G46" i="12"/>
  <c r="G44" i="12"/>
  <c r="G53" i="12"/>
  <c r="G61" i="12"/>
  <c r="G55" i="12"/>
  <c r="G43" i="12"/>
  <c r="AC49" i="8"/>
  <c r="J63" i="7"/>
  <c r="J52" i="7"/>
  <c r="J47" i="7"/>
  <c r="J66" i="7"/>
  <c r="J54" i="7"/>
  <c r="J42" i="7"/>
  <c r="J59" i="7"/>
  <c r="J56" i="7"/>
  <c r="J51" i="7"/>
  <c r="J63" i="8"/>
  <c r="J56" i="8"/>
  <c r="Z44" i="8"/>
  <c r="J62" i="7"/>
  <c r="J46" i="7"/>
  <c r="J49" i="8"/>
  <c r="J57" i="8"/>
  <c r="J65" i="7"/>
  <c r="AB63" i="7"/>
  <c r="AC57" i="8"/>
  <c r="AC56" i="8"/>
  <c r="M65" i="7"/>
  <c r="M63" i="7"/>
  <c r="M61" i="7"/>
  <c r="M59" i="7"/>
  <c r="M57" i="7"/>
  <c r="M55" i="7"/>
  <c r="M66" i="7"/>
  <c r="M64" i="7"/>
  <c r="M62" i="7"/>
  <c r="M60" i="7"/>
  <c r="M58" i="7"/>
  <c r="M56" i="7"/>
  <c r="M54" i="7"/>
  <c r="M52" i="7"/>
  <c r="M49" i="7"/>
  <c r="M51" i="7"/>
  <c r="M43" i="7"/>
  <c r="M48" i="7"/>
  <c r="M46" i="7"/>
  <c r="M47" i="7"/>
  <c r="M45" i="7"/>
  <c r="M53" i="7"/>
  <c r="M50" i="7"/>
  <c r="M42" i="7"/>
  <c r="M44" i="7"/>
  <c r="M66" i="8"/>
  <c r="M64" i="8"/>
  <c r="M62" i="8"/>
  <c r="M60" i="8"/>
  <c r="M58" i="8"/>
  <c r="M56" i="8"/>
  <c r="M54" i="8"/>
  <c r="M52" i="8"/>
  <c r="M50" i="8"/>
  <c r="M48" i="8"/>
  <c r="M46" i="8"/>
  <c r="M44" i="8"/>
  <c r="M42" i="8"/>
  <c r="M65" i="8"/>
  <c r="M63" i="8"/>
  <c r="M61" i="8"/>
  <c r="M59" i="8"/>
  <c r="M57" i="8"/>
  <c r="M55" i="8"/>
  <c r="M53" i="8"/>
  <c r="M51" i="8"/>
  <c r="M49" i="8"/>
  <c r="M47" i="8"/>
  <c r="M45" i="8"/>
  <c r="M43" i="8"/>
  <c r="Y49" i="7"/>
  <c r="Y61" i="7"/>
  <c r="Y55" i="7"/>
  <c r="Y43" i="7"/>
  <c r="Y64" i="7"/>
  <c r="Y58" i="7"/>
  <c r="Y52" i="7"/>
  <c r="Y46" i="7"/>
  <c r="Y62" i="7"/>
  <c r="Y53" i="7"/>
  <c r="Y44" i="7"/>
  <c r="Y60" i="7"/>
  <c r="Y51" i="7"/>
  <c r="Y42" i="7"/>
  <c r="Y59" i="7"/>
  <c r="Y54" i="7"/>
  <c r="Y50" i="7"/>
  <c r="Y45" i="7"/>
  <c r="Y57" i="7"/>
  <c r="Y48" i="7"/>
  <c r="Y65" i="7"/>
  <c r="Y56" i="7"/>
  <c r="Y47" i="7"/>
  <c r="Y63" i="7"/>
  <c r="L66" i="8"/>
  <c r="L64" i="8"/>
  <c r="L62" i="8"/>
  <c r="L60" i="8"/>
  <c r="L58" i="8"/>
  <c r="L56" i="8"/>
  <c r="L54" i="8"/>
  <c r="L52" i="8"/>
  <c r="L50" i="8"/>
  <c r="L48" i="8"/>
  <c r="L46" i="8"/>
  <c r="L44" i="8"/>
  <c r="L42" i="8"/>
  <c r="L65" i="8"/>
  <c r="L63" i="8"/>
  <c r="L61" i="8"/>
  <c r="L59" i="8"/>
  <c r="L57" i="8"/>
  <c r="L55" i="8"/>
  <c r="L53" i="8"/>
  <c r="L51" i="8"/>
  <c r="L49" i="8"/>
  <c r="L47" i="8"/>
  <c r="L45" i="8"/>
  <c r="L43" i="8"/>
  <c r="K66" i="8"/>
  <c r="K64" i="8"/>
  <c r="K62" i="8"/>
  <c r="K60" i="8"/>
  <c r="K56" i="8"/>
  <c r="K59" i="8"/>
  <c r="K49" i="8"/>
  <c r="K46" i="8"/>
  <c r="K43" i="8"/>
  <c r="K55" i="8"/>
  <c r="K65" i="8"/>
  <c r="K61" i="8"/>
  <c r="K51" i="8"/>
  <c r="K48" i="8"/>
  <c r="K42" i="8"/>
  <c r="K57" i="8"/>
  <c r="K53" i="8"/>
  <c r="K50" i="8"/>
  <c r="K47" i="8"/>
  <c r="K44" i="8"/>
  <c r="K63" i="8"/>
  <c r="D22" i="16"/>
  <c r="D23" i="16"/>
  <c r="K28" i="16"/>
  <c r="L28" i="16"/>
  <c r="K29" i="16"/>
  <c r="L29" i="16"/>
  <c r="K30" i="16"/>
  <c r="L30" i="16"/>
  <c r="K31" i="16"/>
  <c r="L31" i="16"/>
  <c r="K32" i="16"/>
  <c r="L32" i="16"/>
  <c r="K33" i="16"/>
  <c r="L33" i="16"/>
  <c r="K34" i="16"/>
  <c r="L34" i="16"/>
  <c r="K35" i="16"/>
  <c r="L35" i="16"/>
  <c r="K36" i="16"/>
  <c r="L36" i="16"/>
  <c r="K37" i="16"/>
  <c r="L37" i="16"/>
  <c r="K38" i="16"/>
  <c r="L38" i="16"/>
  <c r="K39" i="16"/>
  <c r="L39" i="16"/>
  <c r="K40" i="16"/>
  <c r="L40" i="16"/>
  <c r="K41" i="16"/>
  <c r="L41" i="16"/>
  <c r="K42" i="16"/>
  <c r="L42" i="16"/>
  <c r="K43" i="16"/>
  <c r="L43" i="16"/>
  <c r="K44" i="16"/>
  <c r="L44" i="16"/>
  <c r="K45" i="16"/>
  <c r="L45" i="16"/>
  <c r="K46" i="16"/>
  <c r="L46" i="16"/>
  <c r="K47" i="16"/>
  <c r="L47" i="16"/>
  <c r="K48" i="16"/>
  <c r="L48" i="16"/>
  <c r="K49" i="16"/>
  <c r="L49" i="16"/>
  <c r="K50" i="16"/>
  <c r="L50" i="16"/>
  <c r="K51" i="16"/>
  <c r="L51" i="16"/>
  <c r="K52" i="16"/>
  <c r="L52" i="16"/>
  <c r="K53" i="16"/>
  <c r="L53" i="16"/>
  <c r="K54" i="16"/>
  <c r="L54" i="16"/>
  <c r="K55" i="16"/>
  <c r="L55" i="16"/>
  <c r="K56" i="16"/>
  <c r="L56" i="16"/>
  <c r="K57" i="16"/>
  <c r="L57" i="16"/>
  <c r="E30" i="17"/>
  <c r="M31" i="19"/>
  <c r="M32" i="19" s="1"/>
  <c r="K52" i="8" l="1"/>
  <c r="K54" i="8"/>
  <c r="K45" i="8"/>
  <c r="Z61" i="8"/>
  <c r="AC59" i="8"/>
  <c r="Z46" i="8"/>
  <c r="Z58" i="8"/>
  <c r="AD43" i="8"/>
  <c r="AC63" i="8"/>
  <c r="Z53" i="8"/>
  <c r="AC64" i="8"/>
  <c r="AA47" i="8"/>
  <c r="Z55" i="8"/>
  <c r="AC50" i="8"/>
  <c r="AC51" i="8"/>
  <c r="Z42" i="8"/>
  <c r="Z64" i="8"/>
  <c r="AC52" i="8"/>
  <c r="AC53" i="8"/>
  <c r="Z59" i="8"/>
  <c r="Z47" i="8"/>
  <c r="AC54" i="8"/>
  <c r="AC55" i="8"/>
  <c r="Z49" i="8"/>
  <c r="Z54" i="8"/>
  <c r="Z56" i="8"/>
  <c r="Z65" i="8"/>
  <c r="AC65" i="8"/>
  <c r="AC43" i="8"/>
  <c r="Z43" i="8"/>
  <c r="Z62" i="8"/>
  <c r="AC46" i="8"/>
  <c r="AC47" i="8"/>
  <c r="Z45" i="8"/>
  <c r="Z50" i="8"/>
  <c r="AC58" i="8"/>
  <c r="AC60" i="8"/>
  <c r="AC61" i="8"/>
  <c r="Z63" i="8"/>
  <c r="Z48" i="8"/>
  <c r="AC62" i="8"/>
  <c r="AE63" i="8"/>
  <c r="Z60" i="8"/>
  <c r="AC42" i="8"/>
  <c r="AB51" i="8"/>
  <c r="AC44" i="8"/>
  <c r="AC45" i="8"/>
  <c r="Z51" i="8"/>
  <c r="AC48" i="8"/>
  <c r="Z52" i="8"/>
  <c r="Z57" i="8"/>
  <c r="N52" i="8"/>
  <c r="N49" i="8"/>
  <c r="N46" i="8"/>
  <c r="N43" i="8"/>
  <c r="N62" i="8"/>
  <c r="N55" i="8"/>
  <c r="N65" i="8"/>
  <c r="N58" i="8"/>
  <c r="N61" i="8"/>
  <c r="N51" i="8"/>
  <c r="N48" i="8"/>
  <c r="N45" i="8"/>
  <c r="N42" i="8"/>
  <c r="N54" i="8"/>
  <c r="N56" i="8"/>
  <c r="N64" i="8"/>
  <c r="N57" i="8"/>
  <c r="N60" i="8"/>
  <c r="N53" i="8"/>
  <c r="N50" i="8"/>
  <c r="N47" i="8"/>
  <c r="N44" i="8"/>
  <c r="N63" i="8"/>
  <c r="N66" i="8"/>
  <c r="N59" i="8"/>
  <c r="O62" i="8"/>
  <c r="O55" i="8"/>
  <c r="O58" i="8"/>
  <c r="O61" i="8"/>
  <c r="O51" i="8"/>
  <c r="O48" i="8"/>
  <c r="O45" i="8"/>
  <c r="O42" i="8"/>
  <c r="O54" i="8"/>
  <c r="O64" i="8"/>
  <c r="O57" i="8"/>
  <c r="O66" i="8"/>
  <c r="O46" i="8"/>
  <c r="O65" i="8"/>
  <c r="O60" i="8"/>
  <c r="O53" i="8"/>
  <c r="O50" i="8"/>
  <c r="O47" i="8"/>
  <c r="O44" i="8"/>
  <c r="O63" i="8"/>
  <c r="O56" i="8"/>
  <c r="O59" i="8"/>
  <c r="O52" i="8"/>
  <c r="O49" i="8"/>
  <c r="O43" i="8"/>
  <c r="O46" i="7"/>
  <c r="O51" i="7"/>
  <c r="O43" i="7"/>
  <c r="O66" i="7"/>
  <c r="O60" i="7"/>
  <c r="O57" i="7"/>
  <c r="O54" i="7"/>
  <c r="O48" i="7"/>
  <c r="O61" i="7"/>
  <c r="O63" i="7"/>
  <c r="O45" i="7"/>
  <c r="O52" i="7"/>
  <c r="O53" i="7"/>
  <c r="O50" i="7"/>
  <c r="O42" i="7"/>
  <c r="O65" i="7"/>
  <c r="O62" i="7"/>
  <c r="O59" i="7"/>
  <c r="O56" i="7"/>
  <c r="O47" i="7"/>
  <c r="O44" i="7"/>
  <c r="O64" i="7"/>
  <c r="O58" i="7"/>
  <c r="O55" i="7"/>
  <c r="O49" i="7"/>
  <c r="N64" i="7"/>
  <c r="N61" i="7"/>
  <c r="N58" i="7"/>
  <c r="N55" i="7"/>
  <c r="N49" i="7"/>
  <c r="N46" i="7"/>
  <c r="N51" i="7"/>
  <c r="N43" i="7"/>
  <c r="N66" i="7"/>
  <c r="N63" i="7"/>
  <c r="N60" i="7"/>
  <c r="N57" i="7"/>
  <c r="N54" i="7"/>
  <c r="N48" i="7"/>
  <c r="N44" i="7"/>
  <c r="N45" i="7"/>
  <c r="N53" i="7"/>
  <c r="N50" i="7"/>
  <c r="N42" i="7"/>
  <c r="N65" i="7"/>
  <c r="N62" i="7"/>
  <c r="N59" i="7"/>
  <c r="N56" i="7"/>
  <c r="N47" i="7"/>
  <c r="N52" i="7"/>
  <c r="AD51" i="8"/>
  <c r="AD44" i="8"/>
  <c r="AD58" i="8"/>
  <c r="AE61" i="8"/>
  <c r="AE54" i="8"/>
  <c r="AE57" i="8"/>
  <c r="AE50" i="8"/>
  <c r="AE47" i="8"/>
  <c r="AE49" i="8"/>
  <c r="AE42" i="8"/>
  <c r="AE59" i="8"/>
  <c r="AE62" i="8"/>
  <c r="AE45" i="8"/>
  <c r="AE55" i="8"/>
  <c r="AB62" i="8"/>
  <c r="AB60" i="8"/>
  <c r="AB58" i="8"/>
  <c r="S56" i="19"/>
  <c r="S55" i="19"/>
  <c r="S54" i="19"/>
  <c r="S53" i="19"/>
  <c r="S52" i="19"/>
  <c r="S51" i="19"/>
  <c r="S50" i="19"/>
  <c r="S49" i="19"/>
  <c r="S48" i="19"/>
  <c r="S47" i="19"/>
  <c r="S46" i="19"/>
  <c r="S45" i="19"/>
  <c r="S44" i="19"/>
  <c r="S43" i="19"/>
  <c r="S42" i="19"/>
  <c r="S41" i="19"/>
  <c r="S40" i="19"/>
  <c r="S39" i="19"/>
  <c r="S38" i="19"/>
  <c r="S37" i="19"/>
  <c r="M33" i="19"/>
  <c r="I62" i="18"/>
  <c r="H62" i="18"/>
  <c r="G62" i="18"/>
  <c r="I61" i="18"/>
  <c r="H61" i="18"/>
  <c r="G61" i="18"/>
  <c r="I60" i="18"/>
  <c r="H60" i="18"/>
  <c r="G60" i="18"/>
  <c r="I59" i="18"/>
  <c r="H59" i="18"/>
  <c r="G59" i="18"/>
  <c r="I58" i="18"/>
  <c r="H58" i="18"/>
  <c r="G58" i="18"/>
  <c r="I57" i="18"/>
  <c r="H57" i="18"/>
  <c r="G57" i="18"/>
  <c r="I56" i="18"/>
  <c r="H56" i="18"/>
  <c r="G56" i="18"/>
  <c r="I55" i="18"/>
  <c r="H55" i="18"/>
  <c r="G55" i="18"/>
  <c r="I54" i="18"/>
  <c r="H54" i="18"/>
  <c r="G54" i="18"/>
  <c r="I53" i="18"/>
  <c r="H53" i="18"/>
  <c r="G53" i="18"/>
  <c r="I52" i="18"/>
  <c r="H52" i="18"/>
  <c r="G52" i="18"/>
  <c r="I51" i="18"/>
  <c r="H51" i="18"/>
  <c r="G51" i="18"/>
  <c r="I50" i="18"/>
  <c r="H50" i="18"/>
  <c r="G50" i="18"/>
  <c r="I49" i="18"/>
  <c r="H49" i="18"/>
  <c r="G49" i="18"/>
  <c r="I48" i="18"/>
  <c r="H48" i="18"/>
  <c r="G48" i="18"/>
  <c r="I47" i="18"/>
  <c r="H47" i="18"/>
  <c r="G47" i="18"/>
  <c r="I46" i="18"/>
  <c r="H46" i="18"/>
  <c r="G46" i="18"/>
  <c r="I45" i="18"/>
  <c r="H45" i="18"/>
  <c r="G45" i="18"/>
  <c r="I44" i="18"/>
  <c r="H44" i="18"/>
  <c r="H43" i="18"/>
  <c r="G43" i="18"/>
  <c r="D40" i="18" a="1"/>
  <c r="D40" i="18" s="1"/>
  <c r="D39" i="18" a="1"/>
  <c r="D39" i="18" s="1"/>
  <c r="D38" i="18" a="1"/>
  <c r="D38" i="18" s="1"/>
  <c r="F59" i="17"/>
  <c r="E59" i="17"/>
  <c r="F58" i="17"/>
  <c r="E58" i="17"/>
  <c r="F57" i="17"/>
  <c r="E57" i="17"/>
  <c r="F56" i="17"/>
  <c r="E56" i="17"/>
  <c r="F55" i="17"/>
  <c r="E55" i="17"/>
  <c r="F54" i="17"/>
  <c r="E54" i="17"/>
  <c r="F53" i="17"/>
  <c r="E53" i="17"/>
  <c r="F52" i="17"/>
  <c r="E52" i="17"/>
  <c r="F51" i="17"/>
  <c r="E51" i="17"/>
  <c r="F50" i="17"/>
  <c r="E50" i="17"/>
  <c r="F49" i="17"/>
  <c r="E49" i="17"/>
  <c r="F48" i="17"/>
  <c r="E48" i="17"/>
  <c r="F47" i="17"/>
  <c r="E47" i="17"/>
  <c r="F46" i="17"/>
  <c r="E46" i="17"/>
  <c r="F45" i="17"/>
  <c r="E45" i="17"/>
  <c r="F44" i="17"/>
  <c r="E44" i="17"/>
  <c r="F43" i="17"/>
  <c r="E43" i="17"/>
  <c r="F42" i="17"/>
  <c r="E42" i="17"/>
  <c r="F41" i="17"/>
  <c r="E41" i="17"/>
  <c r="F40" i="17"/>
  <c r="E40" i="17"/>
  <c r="F39" i="17"/>
  <c r="E39" i="17"/>
  <c r="F38" i="17"/>
  <c r="E38" i="17"/>
  <c r="F37" i="17"/>
  <c r="E37" i="17"/>
  <c r="F36" i="17"/>
  <c r="E36" i="17"/>
  <c r="F35" i="17"/>
  <c r="E35" i="17"/>
  <c r="F34" i="17"/>
  <c r="E34" i="17"/>
  <c r="F33" i="17"/>
  <c r="E33" i="17"/>
  <c r="F32" i="17"/>
  <c r="F31" i="17"/>
  <c r="G30" i="17"/>
  <c r="F30" i="17"/>
  <c r="D27" i="17"/>
  <c r="D39" i="12" a="1"/>
  <c r="D39" i="12" s="1"/>
  <c r="D38" i="12" a="1"/>
  <c r="D38" i="12" s="1"/>
  <c r="D37" i="12" a="1"/>
  <c r="D37" i="12"/>
  <c r="H56" i="11"/>
  <c r="I49" i="11"/>
  <c r="I48" i="11"/>
  <c r="H48" i="11"/>
  <c r="I46" i="11"/>
  <c r="H46" i="11"/>
  <c r="I45" i="11"/>
  <c r="H45" i="11"/>
  <c r="I43" i="11"/>
  <c r="H43" i="11"/>
  <c r="I42" i="11"/>
  <c r="I41" i="11"/>
  <c r="H38" i="11"/>
  <c r="I38" i="11"/>
  <c r="I37" i="11"/>
  <c r="H37" i="11"/>
  <c r="I35" i="11"/>
  <c r="H35" i="11"/>
  <c r="H34" i="11"/>
  <c r="I33" i="11"/>
  <c r="D23" i="11"/>
  <c r="B40" i="10"/>
  <c r="B41" i="10" s="1"/>
  <c r="B42" i="10" s="1"/>
  <c r="B43" i="10" s="1"/>
  <c r="B44" i="10" s="1"/>
  <c r="B45" i="10" s="1"/>
  <c r="B46" i="10" s="1"/>
  <c r="B47" i="10" s="1"/>
  <c r="B48" i="10" s="1"/>
  <c r="B49" i="10" s="1"/>
  <c r="B50" i="10" s="1"/>
  <c r="B51" i="10" s="1"/>
  <c r="B52" i="10" s="1"/>
  <c r="B53" i="10" s="1"/>
  <c r="B54" i="10" s="1"/>
  <c r="B55" i="10" s="1"/>
  <c r="B56" i="10" s="1"/>
  <c r="B57" i="10" s="1"/>
  <c r="B58" i="10" s="1"/>
  <c r="B59" i="10" s="1"/>
  <c r="B60" i="10" s="1"/>
  <c r="B61" i="10" s="1"/>
  <c r="B62" i="10" s="1"/>
  <c r="B63" i="10" s="1"/>
  <c r="B64" i="10" s="1"/>
  <c r="B65" i="10" s="1"/>
  <c r="B66" i="10" s="1"/>
  <c r="B67" i="10" s="1"/>
  <c r="B68" i="10" s="1"/>
  <c r="B69" i="10" s="1"/>
  <c r="B70" i="10" s="1"/>
  <c r="B71" i="10" s="1"/>
  <c r="B72" i="10" s="1"/>
  <c r="B73" i="10" s="1"/>
  <c r="B74" i="10" s="1"/>
  <c r="B75" i="10" s="1"/>
  <c r="B76" i="10" s="1"/>
  <c r="B77" i="10" s="1"/>
  <c r="B78" i="10" s="1"/>
  <c r="B79" i="10" s="1"/>
  <c r="B80" i="10" s="1"/>
  <c r="B81" i="10" s="1"/>
  <c r="B82" i="10" s="1"/>
  <c r="B83" i="10" s="1"/>
  <c r="B84" i="10" s="1"/>
  <c r="B85" i="10" s="1"/>
  <c r="B86" i="10" s="1"/>
  <c r="B87" i="10" s="1"/>
  <c r="B88" i="10" s="1"/>
  <c r="B89" i="10" s="1"/>
  <c r="B90" i="10" s="1"/>
  <c r="B91" i="10" s="1"/>
  <c r="B92" i="10" s="1"/>
  <c r="B93" i="10" s="1"/>
  <c r="B94" i="10" s="1"/>
  <c r="B95" i="10" s="1"/>
  <c r="B96" i="10" s="1"/>
  <c r="B97" i="10" s="1"/>
  <c r="B98" i="10" s="1"/>
  <c r="B99" i="10" s="1"/>
  <c r="B100" i="10" s="1"/>
  <c r="B101" i="10" s="1"/>
  <c r="B102" i="10" s="1"/>
  <c r="B103" i="10" s="1"/>
  <c r="B104" i="10" s="1"/>
  <c r="B105" i="10" s="1"/>
  <c r="B106" i="10" s="1"/>
  <c r="B107" i="10" s="1"/>
  <c r="B108" i="10" s="1"/>
  <c r="B109" i="10" s="1"/>
  <c r="B110" i="10" s="1"/>
  <c r="B111" i="10" s="1"/>
  <c r="B112" i="10" s="1"/>
  <c r="B113" i="10" s="1"/>
  <c r="B114" i="10" s="1"/>
  <c r="B115" i="10" s="1"/>
  <c r="B116" i="10" s="1"/>
  <c r="B117" i="10" s="1"/>
  <c r="B118" i="10" s="1"/>
  <c r="B119" i="10" s="1"/>
  <c r="B120" i="10" s="1"/>
  <c r="B121" i="10" s="1"/>
  <c r="B122" i="10" s="1"/>
  <c r="B123" i="10" s="1"/>
  <c r="B124" i="10" s="1"/>
  <c r="B125" i="10" s="1"/>
  <c r="B126" i="10" s="1"/>
  <c r="B127" i="10" s="1"/>
  <c r="B128" i="10" s="1"/>
  <c r="B129" i="10" s="1"/>
  <c r="B130" i="10" s="1"/>
  <c r="B131" i="10" s="1"/>
  <c r="B132" i="10" s="1"/>
  <c r="B133" i="10" s="1"/>
  <c r="B134" i="10" s="1"/>
  <c r="B135" i="10" s="1"/>
  <c r="B136" i="10" s="1"/>
  <c r="B137" i="10" s="1"/>
  <c r="B138" i="10" s="1"/>
  <c r="B139" i="10" s="1"/>
  <c r="B140" i="10" s="1"/>
  <c r="B141" i="10" s="1"/>
  <c r="B142" i="10" s="1"/>
  <c r="B143" i="10" s="1"/>
  <c r="B144" i="10" s="1"/>
  <c r="B145" i="10" s="1"/>
  <c r="B146" i="10" s="1"/>
  <c r="B147" i="10" s="1"/>
  <c r="B148" i="10" s="1"/>
  <c r="B149" i="10" s="1"/>
  <c r="B150" i="10" s="1"/>
  <c r="B151" i="10" s="1"/>
  <c r="B152" i="10" s="1"/>
  <c r="B153" i="10" s="1"/>
  <c r="B154" i="10" s="1"/>
  <c r="B155" i="10" s="1"/>
  <c r="B156" i="10" s="1"/>
  <c r="B157" i="10" s="1"/>
  <c r="B158" i="10" s="1"/>
  <c r="B159" i="10" s="1"/>
  <c r="B160" i="10" s="1"/>
  <c r="B161" i="10" s="1"/>
  <c r="B162" i="10" s="1"/>
  <c r="B163" i="10" s="1"/>
  <c r="B164" i="10" s="1"/>
  <c r="B165" i="10" s="1"/>
  <c r="B166" i="10" s="1"/>
  <c r="B167" i="10" s="1"/>
  <c r="B168" i="10" s="1"/>
  <c r="B169" i="10" s="1"/>
  <c r="B170" i="10" s="1"/>
  <c r="B171" i="10" s="1"/>
  <c r="B172" i="10" s="1"/>
  <c r="B173" i="10" s="1"/>
  <c r="B174" i="10" s="1"/>
  <c r="B175" i="10" s="1"/>
  <c r="B176" i="10" s="1"/>
  <c r="B177" i="10" s="1"/>
  <c r="B178" i="10" s="1"/>
  <c r="B179" i="10" s="1"/>
  <c r="B180" i="10" s="1"/>
  <c r="B181" i="10" s="1"/>
  <c r="B182" i="10" s="1"/>
  <c r="B183" i="10" s="1"/>
  <c r="B184" i="10" s="1"/>
  <c r="B185" i="10" s="1"/>
  <c r="B186" i="10" s="1"/>
  <c r="B187" i="10" s="1"/>
  <c r="B188" i="10" s="1"/>
  <c r="B189" i="10" s="1"/>
  <c r="B190" i="10" s="1"/>
  <c r="B191" i="10" s="1"/>
  <c r="B192" i="10" s="1"/>
  <c r="B193" i="10" s="1"/>
  <c r="B194" i="10" s="1"/>
  <c r="B195" i="10" s="1"/>
  <c r="B196" i="10" s="1"/>
  <c r="B197" i="10" s="1"/>
  <c r="B198" i="10" s="1"/>
  <c r="B199" i="10" s="1"/>
  <c r="B200" i="10" s="1"/>
  <c r="B201" i="10" s="1"/>
  <c r="B202" i="10" s="1"/>
  <c r="B203" i="10" s="1"/>
  <c r="B204" i="10" s="1"/>
  <c r="B205" i="10" s="1"/>
  <c r="B206" i="10" s="1"/>
  <c r="B207" i="10" s="1"/>
  <c r="B208" i="10" s="1"/>
  <c r="B209" i="10" s="1"/>
  <c r="B210" i="10" s="1"/>
  <c r="B211" i="10" s="1"/>
  <c r="B212" i="10" s="1"/>
  <c r="B213" i="10" s="1"/>
  <c r="B214" i="10" s="1"/>
  <c r="B215" i="10" s="1"/>
  <c r="B216" i="10" s="1"/>
  <c r="B217" i="10" s="1"/>
  <c r="B218" i="10" s="1"/>
  <c r="B219" i="10" s="1"/>
  <c r="B220" i="10" s="1"/>
  <c r="B221" i="10" s="1"/>
  <c r="B222" i="10" s="1"/>
  <c r="B223" i="10" s="1"/>
  <c r="B224" i="10" s="1"/>
  <c r="B225" i="10" s="1"/>
  <c r="B226" i="10" s="1"/>
  <c r="B227" i="10" s="1"/>
  <c r="B228" i="10" s="1"/>
  <c r="B229" i="10" s="1"/>
  <c r="B230" i="10" s="1"/>
  <c r="B231" i="10" s="1"/>
  <c r="B232" i="10" s="1"/>
  <c r="B233" i="10" s="1"/>
  <c r="B234" i="10" s="1"/>
  <c r="B235" i="10" s="1"/>
  <c r="B236" i="10" s="1"/>
  <c r="B38" i="10"/>
  <c r="B39" i="10" s="1"/>
  <c r="B37" i="10"/>
  <c r="D29" i="10"/>
  <c r="D24" i="10" a="1"/>
  <c r="D24" i="10" s="1"/>
  <c r="D25" i="10" s="1"/>
  <c r="C13" i="9"/>
  <c r="D13" i="9" s="1"/>
  <c r="E13" i="9" s="1"/>
  <c r="T39" i="8" a="1"/>
  <c r="T39" i="8" s="1"/>
  <c r="D39" i="8" a="1"/>
  <c r="D39" i="8" s="1"/>
  <c r="T38" i="8" a="1"/>
  <c r="T38" i="8" s="1"/>
  <c r="D38" i="8" a="1"/>
  <c r="D38" i="8" s="1"/>
  <c r="T37" i="8" a="1"/>
  <c r="T37" i="8" s="1"/>
  <c r="D39" i="7" a="1"/>
  <c r="D39" i="7" s="1"/>
  <c r="D38" i="7" a="1"/>
  <c r="D38" i="7" s="1"/>
  <c r="S37" i="7" s="1" a="1"/>
  <c r="S37" i="7" s="1"/>
  <c r="O60" i="18" l="1"/>
  <c r="O56" i="18"/>
  <c r="O52" i="18"/>
  <c r="O48" i="18"/>
  <c r="O44" i="18"/>
  <c r="O54" i="18"/>
  <c r="O59" i="18"/>
  <c r="O55" i="18"/>
  <c r="O51" i="18"/>
  <c r="O47" i="18"/>
  <c r="O43" i="18"/>
  <c r="O58" i="18"/>
  <c r="O57" i="18"/>
  <c r="O53" i="18"/>
  <c r="O45" i="18"/>
  <c r="O46" i="18"/>
  <c r="O62" i="18"/>
  <c r="O50" i="18"/>
  <c r="O61" i="18"/>
  <c r="O49" i="18"/>
  <c r="R53" i="18"/>
  <c r="R62" i="18"/>
  <c r="R58" i="18"/>
  <c r="R54" i="18"/>
  <c r="R50" i="18"/>
  <c r="R57" i="18"/>
  <c r="R45" i="18"/>
  <c r="R60" i="18"/>
  <c r="R52" i="18"/>
  <c r="R44" i="18"/>
  <c r="R59" i="18"/>
  <c r="R55" i="18"/>
  <c r="R51" i="18"/>
  <c r="R47" i="18"/>
  <c r="R43" i="18"/>
  <c r="R46" i="18"/>
  <c r="R61" i="18"/>
  <c r="R49" i="18"/>
  <c r="R56" i="18"/>
  <c r="R48" i="18"/>
  <c r="N43" i="18"/>
  <c r="N50" i="18"/>
  <c r="N60" i="18"/>
  <c r="N56" i="18"/>
  <c r="N52" i="18"/>
  <c r="N48" i="18"/>
  <c r="N44" i="18"/>
  <c r="N59" i="18"/>
  <c r="N51" i="18"/>
  <c r="N47" i="18"/>
  <c r="N62" i="18"/>
  <c r="N46" i="18"/>
  <c r="N61" i="18"/>
  <c r="N53" i="18"/>
  <c r="N45" i="18"/>
  <c r="N55" i="18"/>
  <c r="N54" i="18"/>
  <c r="N58" i="18"/>
  <c r="N57" i="18"/>
  <c r="N49" i="18"/>
  <c r="J49" i="18"/>
  <c r="K49" i="18" s="1"/>
  <c r="J62" i="18"/>
  <c r="K62" i="18" s="1"/>
  <c r="AA50" i="8"/>
  <c r="AB64" i="8"/>
  <c r="AA57" i="8"/>
  <c r="AB59" i="8"/>
  <c r="AD49" i="8"/>
  <c r="AB61" i="8"/>
  <c r="AD56" i="8"/>
  <c r="AB63" i="8"/>
  <c r="AE64" i="8"/>
  <c r="AD63" i="8"/>
  <c r="AB65" i="8"/>
  <c r="AE58" i="8"/>
  <c r="AD65" i="8"/>
  <c r="AE44" i="8"/>
  <c r="AE56" i="8"/>
  <c r="AD54" i="8"/>
  <c r="AE51" i="8"/>
  <c r="AE46" i="8"/>
  <c r="AD47" i="8"/>
  <c r="AE65" i="8"/>
  <c r="AE53" i="8"/>
  <c r="AD64" i="8"/>
  <c r="AA64" i="8"/>
  <c r="AA59" i="8"/>
  <c r="AA54" i="8"/>
  <c r="AA44" i="8"/>
  <c r="AB43" i="8"/>
  <c r="AA58" i="8"/>
  <c r="AB45" i="8"/>
  <c r="AD61" i="8"/>
  <c r="AB52" i="8"/>
  <c r="AB53" i="8"/>
  <c r="AD52" i="8"/>
  <c r="AD60" i="8"/>
  <c r="AA46" i="8"/>
  <c r="AA49" i="8"/>
  <c r="AB54" i="8"/>
  <c r="AB55" i="8"/>
  <c r="AE43" i="8"/>
  <c r="AD59" i="8"/>
  <c r="AD50" i="8"/>
  <c r="AA48" i="8"/>
  <c r="AA51" i="8"/>
  <c r="AB56" i="8"/>
  <c r="AB57" i="8"/>
  <c r="AE52" i="8"/>
  <c r="AE60" i="8"/>
  <c r="AD42" i="8"/>
  <c r="AD57" i="8"/>
  <c r="AA60" i="8"/>
  <c r="AA55" i="8"/>
  <c r="AA61" i="8"/>
  <c r="AA63" i="8"/>
  <c r="AA62" i="8"/>
  <c r="AB46" i="8"/>
  <c r="AB47" i="8"/>
  <c r="AD55" i="8"/>
  <c r="AD46" i="8"/>
  <c r="AA52" i="8"/>
  <c r="AA43" i="8"/>
  <c r="AB48" i="8"/>
  <c r="AB49" i="8"/>
  <c r="AE48" i="8"/>
  <c r="AD45" i="8"/>
  <c r="AD53" i="8"/>
  <c r="AA42" i="8"/>
  <c r="AA45" i="8"/>
  <c r="AB42" i="8"/>
  <c r="AA65" i="8"/>
  <c r="AB44" i="8"/>
  <c r="AD48" i="8"/>
  <c r="AA53" i="8"/>
  <c r="AB50" i="8"/>
  <c r="AD62" i="8"/>
  <c r="AA56" i="8"/>
  <c r="L53" i="7"/>
  <c r="L51" i="7"/>
  <c r="L49" i="7"/>
  <c r="L47" i="7"/>
  <c r="L45" i="7"/>
  <c r="L43" i="7"/>
  <c r="L63" i="7"/>
  <c r="L59" i="7"/>
  <c r="L55" i="7"/>
  <c r="L65" i="7"/>
  <c r="L61" i="7"/>
  <c r="L57" i="7"/>
  <c r="L52" i="7"/>
  <c r="L50" i="7"/>
  <c r="L48" i="7"/>
  <c r="L46" i="7"/>
  <c r="L44" i="7"/>
  <c r="L42" i="7"/>
  <c r="L66" i="7"/>
  <c r="L64" i="7"/>
  <c r="L62" i="7"/>
  <c r="L60" i="7"/>
  <c r="L58" i="7"/>
  <c r="L56" i="7"/>
  <c r="L54" i="7"/>
  <c r="J29" i="16"/>
  <c r="J28" i="16"/>
  <c r="D28" i="10"/>
  <c r="E128" i="10" s="1"/>
  <c r="F128" i="10" s="1"/>
  <c r="H57" i="11"/>
  <c r="I57" i="11"/>
  <c r="H54" i="11"/>
  <c r="I54" i="11"/>
  <c r="H50" i="11"/>
  <c r="I40" i="11"/>
  <c r="H40" i="11"/>
  <c r="I55" i="11"/>
  <c r="H55" i="11"/>
  <c r="I34" i="11"/>
  <c r="I44" i="11"/>
  <c r="H44" i="11"/>
  <c r="I50" i="11"/>
  <c r="I51" i="11"/>
  <c r="H51" i="11"/>
  <c r="H42" i="11"/>
  <c r="H53" i="11"/>
  <c r="I53" i="11"/>
  <c r="I36" i="11"/>
  <c r="H36" i="11"/>
  <c r="I47" i="11"/>
  <c r="H47" i="11"/>
  <c r="I39" i="11"/>
  <c r="H39" i="11"/>
  <c r="I52" i="11"/>
  <c r="H52" i="11"/>
  <c r="I56" i="11"/>
  <c r="H33" i="11"/>
  <c r="H41" i="11"/>
  <c r="H49" i="11"/>
  <c r="G31" i="17"/>
  <c r="G32" i="17"/>
  <c r="J58" i="18"/>
  <c r="J43" i="18"/>
  <c r="K43" i="18" s="1"/>
  <c r="J44" i="18"/>
  <c r="L44" i="18" s="1"/>
  <c r="J45" i="18"/>
  <c r="L45" i="18" s="1"/>
  <c r="J46" i="18"/>
  <c r="K46" i="18" s="1"/>
  <c r="J47" i="18"/>
  <c r="K47" i="18" s="1"/>
  <c r="J48" i="18"/>
  <c r="L48" i="18" s="1"/>
  <c r="J50" i="18"/>
  <c r="K50" i="18" s="1"/>
  <c r="J51" i="18"/>
  <c r="K51" i="18" s="1"/>
  <c r="J52" i="18"/>
  <c r="K52" i="18" s="1"/>
  <c r="J53" i="18"/>
  <c r="K53" i="18" s="1"/>
  <c r="J54" i="18"/>
  <c r="K54" i="18" s="1"/>
  <c r="J55" i="18"/>
  <c r="L55" i="18" s="1"/>
  <c r="J56" i="18"/>
  <c r="L56" i="18" s="1"/>
  <c r="J57" i="18"/>
  <c r="K57" i="18" s="1"/>
  <c r="J59" i="18"/>
  <c r="K59" i="18" s="1"/>
  <c r="J60" i="18"/>
  <c r="K60" i="18" s="1"/>
  <c r="J61" i="18"/>
  <c r="L61" i="18" s="1"/>
  <c r="Q37" i="19"/>
  <c r="D26" i="11" l="1"/>
  <c r="E217" i="10"/>
  <c r="F217" i="10" s="1"/>
  <c r="E179" i="10"/>
  <c r="F179" i="10" s="1"/>
  <c r="E226" i="10"/>
  <c r="F226" i="10" s="1"/>
  <c r="E159" i="10"/>
  <c r="F159" i="10" s="1"/>
  <c r="E141" i="10"/>
  <c r="F141" i="10" s="1"/>
  <c r="E208" i="10"/>
  <c r="F208" i="10" s="1"/>
  <c r="E67" i="10"/>
  <c r="F67" i="10" s="1"/>
  <c r="E103" i="10"/>
  <c r="F103" i="10" s="1"/>
  <c r="E82" i="10"/>
  <c r="F82" i="10" s="1"/>
  <c r="E177" i="10"/>
  <c r="F177" i="10" s="1"/>
  <c r="E188" i="10"/>
  <c r="F188" i="10" s="1"/>
  <c r="E138" i="10"/>
  <c r="F138" i="10" s="1"/>
  <c r="E85" i="10"/>
  <c r="F85" i="10" s="1"/>
  <c r="E130" i="10"/>
  <c r="F130" i="10" s="1"/>
  <c r="E124" i="10"/>
  <c r="F124" i="10" s="1"/>
  <c r="E204" i="10"/>
  <c r="F204" i="10" s="1"/>
  <c r="E51" i="10"/>
  <c r="F51" i="10" s="1"/>
  <c r="E165" i="10"/>
  <c r="F165" i="10" s="1"/>
  <c r="E79" i="10"/>
  <c r="F79" i="10" s="1"/>
  <c r="E100" i="10"/>
  <c r="F100" i="10" s="1"/>
  <c r="E135" i="10"/>
  <c r="F135" i="10" s="1"/>
  <c r="E156" i="10"/>
  <c r="F156" i="10" s="1"/>
  <c r="E209" i="10"/>
  <c r="F209" i="10" s="1"/>
  <c r="E72" i="10"/>
  <c r="F72" i="10" s="1"/>
  <c r="E55" i="10"/>
  <c r="F55" i="10" s="1"/>
  <c r="E94" i="10"/>
  <c r="F94" i="10" s="1"/>
  <c r="E105" i="10"/>
  <c r="F105" i="10" s="1"/>
  <c r="E152" i="10"/>
  <c r="F152" i="10" s="1"/>
  <c r="E161" i="10"/>
  <c r="F161" i="10" s="1"/>
  <c r="E214" i="10"/>
  <c r="F214" i="10" s="1"/>
  <c r="E95" i="10"/>
  <c r="F95" i="10" s="1"/>
  <c r="E63" i="10"/>
  <c r="F63" i="10" s="1"/>
  <c r="E50" i="10"/>
  <c r="F50" i="10" s="1"/>
  <c r="E110" i="10"/>
  <c r="F110" i="10" s="1"/>
  <c r="E157" i="10"/>
  <c r="F157" i="10" s="1"/>
  <c r="E198" i="10"/>
  <c r="F198" i="10" s="1"/>
  <c r="E219" i="10"/>
  <c r="F219" i="10" s="1"/>
  <c r="E112" i="10"/>
  <c r="F112" i="10" s="1"/>
  <c r="E192" i="10"/>
  <c r="F192" i="10" s="1"/>
  <c r="E99" i="10"/>
  <c r="F99" i="10" s="1"/>
  <c r="E115" i="10"/>
  <c r="F115" i="10" s="1"/>
  <c r="E162" i="10"/>
  <c r="F162" i="10" s="1"/>
  <c r="E108" i="10"/>
  <c r="F108" i="10" s="1"/>
  <c r="E69" i="10"/>
  <c r="F69" i="10" s="1"/>
  <c r="E197" i="10"/>
  <c r="F197" i="10" s="1"/>
  <c r="E153" i="10"/>
  <c r="F153" i="10" s="1"/>
  <c r="E57" i="10"/>
  <c r="F57" i="10" s="1"/>
  <c r="E151" i="10"/>
  <c r="F151" i="10" s="1"/>
  <c r="E113" i="10"/>
  <c r="F113" i="10" s="1"/>
  <c r="E97" i="10"/>
  <c r="F97" i="10" s="1"/>
  <c r="E81" i="10"/>
  <c r="F81" i="10" s="1"/>
  <c r="E89" i="10"/>
  <c r="F89" i="10" s="1"/>
  <c r="E147" i="10"/>
  <c r="F147" i="10" s="1"/>
  <c r="E194" i="10"/>
  <c r="F194" i="10" s="1"/>
  <c r="E59" i="10"/>
  <c r="F59" i="10" s="1"/>
  <c r="E104" i="10"/>
  <c r="F104" i="10" s="1"/>
  <c r="E176" i="10"/>
  <c r="F176" i="10" s="1"/>
  <c r="E101" i="10"/>
  <c r="F101" i="10" s="1"/>
  <c r="E126" i="10"/>
  <c r="F126" i="10" s="1"/>
  <c r="E83" i="10"/>
  <c r="F83" i="10" s="1"/>
  <c r="E200" i="10"/>
  <c r="F200" i="10" s="1"/>
  <c r="E145" i="10"/>
  <c r="F145" i="10" s="1"/>
  <c r="E134" i="10"/>
  <c r="F134" i="10" s="1"/>
  <c r="E106" i="10"/>
  <c r="F106" i="10" s="1"/>
  <c r="E234" i="10"/>
  <c r="F234" i="10" s="1"/>
  <c r="E163" i="10"/>
  <c r="F163" i="10" s="1"/>
  <c r="E169" i="10"/>
  <c r="F169" i="10" s="1"/>
  <c r="E216" i="10"/>
  <c r="F216" i="10" s="1"/>
  <c r="E127" i="10"/>
  <c r="F127" i="10" s="1"/>
  <c r="E111" i="10"/>
  <c r="F111" i="10" s="1"/>
  <c r="E62" i="10"/>
  <c r="F62" i="10" s="1"/>
  <c r="E98" i="10"/>
  <c r="F98" i="10" s="1"/>
  <c r="E77" i="10"/>
  <c r="F77" i="10" s="1"/>
  <c r="E172" i="10"/>
  <c r="F172" i="10" s="1"/>
  <c r="E171" i="10"/>
  <c r="F171" i="10" s="1"/>
  <c r="E133" i="10"/>
  <c r="F133" i="10" s="1"/>
  <c r="E42" i="10"/>
  <c r="F42" i="10" s="1"/>
  <c r="E196" i="10"/>
  <c r="F196" i="10" s="1"/>
  <c r="E231" i="10"/>
  <c r="F231" i="10" s="1"/>
  <c r="E218" i="10"/>
  <c r="F218" i="10" s="1"/>
  <c r="E168" i="10"/>
  <c r="F168" i="10" s="1"/>
  <c r="E213" i="10"/>
  <c r="F213" i="10" s="1"/>
  <c r="E195" i="10"/>
  <c r="F195" i="10" s="1"/>
  <c r="E211" i="10"/>
  <c r="F211" i="10" s="1"/>
  <c r="E37" i="10"/>
  <c r="F37" i="10" s="1"/>
  <c r="E52" i="10"/>
  <c r="F52" i="10" s="1"/>
  <c r="E215" i="10"/>
  <c r="F215" i="10" s="1"/>
  <c r="E47" i="10"/>
  <c r="F47" i="10" s="1"/>
  <c r="E58" i="10"/>
  <c r="F58" i="10" s="1"/>
  <c r="E228" i="10"/>
  <c r="F228" i="10" s="1"/>
  <c r="E53" i="10"/>
  <c r="F53" i="10" s="1"/>
  <c r="E60" i="10"/>
  <c r="F60" i="10" s="1"/>
  <c r="E232" i="10"/>
  <c r="F232" i="10" s="1"/>
  <c r="E170" i="10"/>
  <c r="F170" i="10" s="1"/>
  <c r="E180" i="10"/>
  <c r="F180" i="10" s="1"/>
  <c r="E233" i="10"/>
  <c r="F233" i="10" s="1"/>
  <c r="E61" i="10"/>
  <c r="F61" i="10" s="1"/>
  <c r="E73" i="10"/>
  <c r="F73" i="10" s="1"/>
  <c r="E48" i="10"/>
  <c r="F48" i="10" s="1"/>
  <c r="E175" i="10"/>
  <c r="F175" i="10" s="1"/>
  <c r="E71" i="10"/>
  <c r="F71" i="10" s="1"/>
  <c r="E41" i="10"/>
  <c r="F41" i="10" s="1"/>
  <c r="E84" i="10"/>
  <c r="F84" i="10" s="1"/>
  <c r="E91" i="10"/>
  <c r="F91" i="10" s="1"/>
  <c r="E64" i="10"/>
  <c r="F64" i="10" s="1"/>
  <c r="E68" i="10"/>
  <c r="F68" i="10" s="1"/>
  <c r="E116" i="10"/>
  <c r="F116" i="10" s="1"/>
  <c r="E49" i="10"/>
  <c r="F49" i="10" s="1"/>
  <c r="E119" i="10"/>
  <c r="F119" i="10" s="1"/>
  <c r="E203" i="10"/>
  <c r="F203" i="10" s="1"/>
  <c r="E222" i="10"/>
  <c r="F222" i="10" s="1"/>
  <c r="E117" i="10"/>
  <c r="F117" i="10" s="1"/>
  <c r="E76" i="10"/>
  <c r="F76" i="10" s="1"/>
  <c r="E66" i="10"/>
  <c r="F66" i="10" s="1"/>
  <c r="E132" i="10"/>
  <c r="F132" i="10" s="1"/>
  <c r="E167" i="10"/>
  <c r="F167" i="10" s="1"/>
  <c r="E220" i="10"/>
  <c r="F220" i="10" s="1"/>
  <c r="E227" i="10"/>
  <c r="F227" i="10" s="1"/>
  <c r="E122" i="10"/>
  <c r="F122" i="10" s="1"/>
  <c r="E202" i="10"/>
  <c r="F202" i="10" s="1"/>
  <c r="E146" i="10"/>
  <c r="F146" i="10" s="1"/>
  <c r="E78" i="10"/>
  <c r="F78" i="10" s="1"/>
  <c r="E183" i="10"/>
  <c r="F183" i="10" s="1"/>
  <c r="E140" i="10"/>
  <c r="F140" i="10" s="1"/>
  <c r="E129" i="10"/>
  <c r="F129" i="10" s="1"/>
  <c r="E229" i="10"/>
  <c r="F229" i="10" s="1"/>
  <c r="E38" i="10"/>
  <c r="F38" i="10" s="1"/>
  <c r="E164" i="10"/>
  <c r="F164" i="10" s="1"/>
  <c r="E199" i="10"/>
  <c r="F199" i="10" s="1"/>
  <c r="E90" i="10"/>
  <c r="F90" i="10" s="1"/>
  <c r="E109" i="10"/>
  <c r="F109" i="10" s="1"/>
  <c r="E181" i="10"/>
  <c r="F181" i="10" s="1"/>
  <c r="E46" i="10"/>
  <c r="F46" i="10" s="1"/>
  <c r="E88" i="10"/>
  <c r="F88" i="10" s="1"/>
  <c r="E40" i="10"/>
  <c r="F40" i="10" s="1"/>
  <c r="E150" i="10"/>
  <c r="F150" i="10" s="1"/>
  <c r="E114" i="10"/>
  <c r="F114" i="10" s="1"/>
  <c r="E139" i="10"/>
  <c r="F139" i="10" s="1"/>
  <c r="E186" i="10"/>
  <c r="F186" i="10" s="1"/>
  <c r="E131" i="10"/>
  <c r="F131" i="10" s="1"/>
  <c r="E54" i="10"/>
  <c r="F54" i="10" s="1"/>
  <c r="E174" i="10"/>
  <c r="F174" i="10" s="1"/>
  <c r="E93" i="10"/>
  <c r="F93" i="10" s="1"/>
  <c r="E221" i="10"/>
  <c r="F221" i="10" s="1"/>
  <c r="E56" i="10"/>
  <c r="F56" i="10" s="1"/>
  <c r="E154" i="10"/>
  <c r="F154" i="10" s="1"/>
  <c r="E155" i="10"/>
  <c r="F155" i="10" s="1"/>
  <c r="E136" i="10"/>
  <c r="F136" i="10" s="1"/>
  <c r="E166" i="10"/>
  <c r="F166" i="10" s="1"/>
  <c r="E191" i="10"/>
  <c r="F191" i="10" s="1"/>
  <c r="P52" i="18"/>
  <c r="P59" i="18"/>
  <c r="P47" i="18"/>
  <c r="P54" i="18"/>
  <c r="P61" i="18"/>
  <c r="P49" i="18"/>
  <c r="P56" i="18"/>
  <c r="P44" i="18"/>
  <c r="P51" i="18"/>
  <c r="P58" i="18"/>
  <c r="P46" i="18"/>
  <c r="P53" i="18"/>
  <c r="P60" i="18"/>
  <c r="P48" i="18"/>
  <c r="P55" i="18"/>
  <c r="P43" i="18"/>
  <c r="P62" i="18"/>
  <c r="P50" i="18"/>
  <c r="P57" i="18"/>
  <c r="P45" i="18"/>
  <c r="J43" i="11"/>
  <c r="J55" i="11"/>
  <c r="J35" i="11"/>
  <c r="J38" i="11"/>
  <c r="J51" i="11"/>
  <c r="J40" i="11"/>
  <c r="J42" i="11"/>
  <c r="J44" i="11"/>
  <c r="J56" i="11"/>
  <c r="J47" i="11"/>
  <c r="J36" i="11"/>
  <c r="J49" i="11"/>
  <c r="J52" i="11"/>
  <c r="J41" i="11"/>
  <c r="J54" i="11"/>
  <c r="J45" i="11"/>
  <c r="J57" i="11"/>
  <c r="J34" i="11"/>
  <c r="J46" i="11"/>
  <c r="J33" i="11"/>
  <c r="J48" i="11"/>
  <c r="J37" i="11"/>
  <c r="J50" i="11"/>
  <c r="J39" i="11"/>
  <c r="J53" i="11"/>
  <c r="D25" i="11"/>
  <c r="D27" i="11" a="1"/>
  <c r="K51" i="7"/>
  <c r="K49" i="7"/>
  <c r="K45" i="7"/>
  <c r="K43" i="7"/>
  <c r="K53" i="7"/>
  <c r="K47" i="7"/>
  <c r="K52" i="7"/>
  <c r="K44" i="7"/>
  <c r="K64" i="7"/>
  <c r="K61" i="7"/>
  <c r="K58" i="7"/>
  <c r="K55" i="7"/>
  <c r="K46" i="7"/>
  <c r="K66" i="7"/>
  <c r="K63" i="7"/>
  <c r="K60" i="7"/>
  <c r="K57" i="7"/>
  <c r="K54" i="7"/>
  <c r="K48" i="7"/>
  <c r="K65" i="7"/>
  <c r="K62" i="7"/>
  <c r="K59" i="7"/>
  <c r="K56" i="7"/>
  <c r="K50" i="7"/>
  <c r="K42" i="7"/>
  <c r="L54" i="18"/>
  <c r="E190" i="10"/>
  <c r="F190" i="10" s="1"/>
  <c r="E137" i="10"/>
  <c r="F137" i="10" s="1"/>
  <c r="E201" i="10"/>
  <c r="F201" i="10" s="1"/>
  <c r="E120" i="10"/>
  <c r="F120" i="10" s="1"/>
  <c r="E184" i="10"/>
  <c r="F184" i="10" s="1"/>
  <c r="E236" i="10"/>
  <c r="F236" i="10" s="1"/>
  <c r="E173" i="10"/>
  <c r="F173" i="10" s="1"/>
  <c r="E87" i="10"/>
  <c r="F87" i="10" s="1"/>
  <c r="E225" i="10"/>
  <c r="F225" i="10" s="1"/>
  <c r="E36" i="10"/>
  <c r="F36" i="10" s="1"/>
  <c r="E118" i="10"/>
  <c r="F118" i="10" s="1"/>
  <c r="E182" i="10"/>
  <c r="F182" i="10" s="1"/>
  <c r="E45" i="10"/>
  <c r="F45" i="10" s="1"/>
  <c r="E205" i="10"/>
  <c r="F205" i="10" s="1"/>
  <c r="E102" i="10"/>
  <c r="F102" i="10" s="1"/>
  <c r="E230" i="10"/>
  <c r="F230" i="10" s="1"/>
  <c r="E144" i="10"/>
  <c r="F144" i="10" s="1"/>
  <c r="E223" i="10"/>
  <c r="F223" i="10" s="1"/>
  <c r="E86" i="10"/>
  <c r="F86" i="10" s="1"/>
  <c r="E143" i="10"/>
  <c r="F143" i="10" s="1"/>
  <c r="E207" i="10"/>
  <c r="F207" i="10" s="1"/>
  <c r="E148" i="10"/>
  <c r="F148" i="10" s="1"/>
  <c r="E121" i="10"/>
  <c r="F121" i="10" s="1"/>
  <c r="E75" i="10"/>
  <c r="F75" i="10" s="1"/>
  <c r="E65" i="10"/>
  <c r="F65" i="10" s="1"/>
  <c r="E185" i="10"/>
  <c r="F185" i="10" s="1"/>
  <c r="E158" i="10"/>
  <c r="F158" i="10" s="1"/>
  <c r="E193" i="10"/>
  <c r="F193" i="10" s="1"/>
  <c r="E80" i="10"/>
  <c r="F80" i="10" s="1"/>
  <c r="E142" i="10"/>
  <c r="F142" i="10" s="1"/>
  <c r="E206" i="10"/>
  <c r="F206" i="10" s="1"/>
  <c r="E70" i="10"/>
  <c r="F70" i="10" s="1"/>
  <c r="E125" i="10"/>
  <c r="F125" i="10" s="1"/>
  <c r="E189" i="10"/>
  <c r="F189" i="10" s="1"/>
  <c r="E212" i="10"/>
  <c r="F212" i="10" s="1"/>
  <c r="E178" i="10"/>
  <c r="F178" i="10" s="1"/>
  <c r="E92" i="10"/>
  <c r="F92" i="10" s="1"/>
  <c r="E43" i="10"/>
  <c r="F43" i="10" s="1"/>
  <c r="E44" i="10"/>
  <c r="F44" i="10" s="1"/>
  <c r="E123" i="10"/>
  <c r="F123" i="10" s="1"/>
  <c r="E187" i="10"/>
  <c r="F187" i="10" s="1"/>
  <c r="E74" i="10"/>
  <c r="F74" i="10" s="1"/>
  <c r="E210" i="10"/>
  <c r="F210" i="10" s="1"/>
  <c r="E107" i="10"/>
  <c r="F107" i="10" s="1"/>
  <c r="E235" i="10"/>
  <c r="F235" i="10" s="1"/>
  <c r="E149" i="10"/>
  <c r="F149" i="10" s="1"/>
  <c r="E39" i="10"/>
  <c r="F39" i="10" s="1"/>
  <c r="E96" i="10"/>
  <c r="F96" i="10" s="1"/>
  <c r="E160" i="10"/>
  <c r="F160" i="10" s="1"/>
  <c r="E224" i="10"/>
  <c r="F224" i="10" s="1"/>
  <c r="K61" i="18"/>
  <c r="L51" i="18"/>
  <c r="L52" i="18"/>
  <c r="K45" i="18"/>
  <c r="L50" i="18"/>
  <c r="L47" i="18"/>
  <c r="K56" i="18"/>
  <c r="K48" i="18"/>
  <c r="K44" i="18"/>
  <c r="L59" i="18"/>
  <c r="L43" i="18"/>
  <c r="J30" i="16"/>
  <c r="L58" i="18"/>
  <c r="K58" i="18"/>
  <c r="L60" i="18"/>
  <c r="L53" i="18"/>
  <c r="L46" i="18"/>
  <c r="L57" i="18"/>
  <c r="K55" i="18"/>
  <c r="R56" i="19"/>
  <c r="R55" i="19"/>
  <c r="R54" i="19"/>
  <c r="R53" i="19"/>
  <c r="R52" i="19"/>
  <c r="R51" i="19"/>
  <c r="R50" i="19"/>
  <c r="R49" i="19"/>
  <c r="R48" i="19"/>
  <c r="R47" i="19"/>
  <c r="R46" i="19"/>
  <c r="R45" i="19"/>
  <c r="R44" i="19"/>
  <c r="R43" i="19"/>
  <c r="R42" i="19"/>
  <c r="R41" i="19"/>
  <c r="R40" i="19"/>
  <c r="R39" i="19"/>
  <c r="R38" i="19"/>
  <c r="R37" i="19"/>
  <c r="L49" i="18"/>
  <c r="Q56" i="19"/>
  <c r="Q55" i="19"/>
  <c r="Q54" i="19"/>
  <c r="Q53" i="19"/>
  <c r="Q52" i="19"/>
  <c r="Q51" i="19"/>
  <c r="Q50" i="19"/>
  <c r="Q49" i="19"/>
  <c r="Q48" i="19"/>
  <c r="Q47" i="19"/>
  <c r="Q46" i="19"/>
  <c r="Q45" i="19"/>
  <c r="Q44" i="19"/>
  <c r="Q43" i="19"/>
  <c r="Q42" i="19"/>
  <c r="Q41" i="19"/>
  <c r="Q40" i="19"/>
  <c r="Q39" i="19"/>
  <c r="Q38" i="19"/>
  <c r="L62" i="18"/>
  <c r="Q47" i="18" l="1"/>
  <c r="Q49" i="18"/>
  <c r="Q53" i="18"/>
  <c r="Q60" i="18"/>
  <c r="Q55" i="18"/>
  <c r="Q43" i="18"/>
  <c r="Q51" i="18"/>
  <c r="Q59" i="18"/>
  <c r="Q57" i="18"/>
  <c r="Q46" i="18"/>
  <c r="Q61" i="18"/>
  <c r="Q50" i="18"/>
  <c r="Q44" i="18"/>
  <c r="Q54" i="18"/>
  <c r="Q48" i="18"/>
  <c r="Q58" i="18"/>
  <c r="Q52" i="18"/>
  <c r="Q62" i="18"/>
  <c r="Q56" i="18"/>
  <c r="Q45" i="18"/>
  <c r="M55" i="18"/>
  <c r="M43" i="18"/>
  <c r="M62" i="18"/>
  <c r="M50" i="18"/>
  <c r="M57" i="18"/>
  <c r="M45" i="18"/>
  <c r="M52" i="18"/>
  <c r="M59" i="18"/>
  <c r="M47" i="18"/>
  <c r="M54" i="18"/>
  <c r="M61" i="18"/>
  <c r="M49" i="18"/>
  <c r="M56" i="18"/>
  <c r="M44" i="18"/>
  <c r="M51" i="18"/>
  <c r="M58" i="18"/>
  <c r="M46" i="18"/>
  <c r="M53" i="18"/>
  <c r="M60" i="18"/>
  <c r="M48" i="18"/>
  <c r="M42" i="11"/>
  <c r="M54" i="11"/>
  <c r="M46" i="11"/>
  <c r="M35" i="11"/>
  <c r="M36" i="11"/>
  <c r="M49" i="11"/>
  <c r="M39" i="11"/>
  <c r="M40" i="11"/>
  <c r="M53" i="11"/>
  <c r="M43" i="11"/>
  <c r="M55" i="11"/>
  <c r="M47" i="11"/>
  <c r="M37" i="11"/>
  <c r="M38" i="11"/>
  <c r="M52" i="11"/>
  <c r="M44" i="11"/>
  <c r="M56" i="11"/>
  <c r="M45" i="11"/>
  <c r="M57" i="11"/>
  <c r="M34" i="11"/>
  <c r="M33" i="11"/>
  <c r="M48" i="11"/>
  <c r="M50" i="11"/>
  <c r="M51" i="11"/>
  <c r="M41" i="11"/>
  <c r="Z60" i="7"/>
  <c r="Z48" i="7"/>
  <c r="Z59" i="7"/>
  <c r="Z47" i="7"/>
  <c r="Z58" i="7"/>
  <c r="Z46" i="7"/>
  <c r="Z45" i="7"/>
  <c r="Z55" i="7"/>
  <c r="Z43" i="7"/>
  <c r="Z62" i="7"/>
  <c r="Z50" i="7"/>
  <c r="Z57" i="7"/>
  <c r="Z56" i="7"/>
  <c r="Z44" i="7"/>
  <c r="Z54" i="7"/>
  <c r="Z42" i="7"/>
  <c r="Z65" i="7"/>
  <c r="Z53" i="7"/>
  <c r="Z64" i="7"/>
  <c r="Z52" i="7"/>
  <c r="Z63" i="7"/>
  <c r="Z51" i="7"/>
  <c r="Z61" i="7"/>
  <c r="Z49" i="7"/>
  <c r="D27" i="11"/>
  <c r="O34" i="11"/>
  <c r="O40" i="11"/>
  <c r="O46" i="11"/>
  <c r="O52" i="11"/>
  <c r="L44" i="11"/>
  <c r="L56" i="11"/>
  <c r="N35" i="11"/>
  <c r="N41" i="11"/>
  <c r="N47" i="11"/>
  <c r="N53" i="11"/>
  <c r="N33" i="11"/>
  <c r="L45" i="11"/>
  <c r="L57" i="11"/>
  <c r="O35" i="11"/>
  <c r="O41" i="11"/>
  <c r="O47" i="11"/>
  <c r="O53" i="11"/>
  <c r="L34" i="11"/>
  <c r="L46" i="11"/>
  <c r="L33" i="11"/>
  <c r="N36" i="11"/>
  <c r="O43" i="11"/>
  <c r="N51" i="11"/>
  <c r="L49" i="11"/>
  <c r="N37" i="11"/>
  <c r="O44" i="11"/>
  <c r="N52" i="11"/>
  <c r="L36" i="11"/>
  <c r="L51" i="11"/>
  <c r="O37" i="11"/>
  <c r="N45" i="11"/>
  <c r="L37" i="11"/>
  <c r="L52" i="11"/>
  <c r="O36" i="11"/>
  <c r="N44" i="11"/>
  <c r="O51" i="11"/>
  <c r="L35" i="11"/>
  <c r="L50" i="11"/>
  <c r="N54" i="11"/>
  <c r="N39" i="11"/>
  <c r="N48" i="11"/>
  <c r="O55" i="11"/>
  <c r="L40" i="11"/>
  <c r="L55" i="11"/>
  <c r="O39" i="11"/>
  <c r="O48" i="11"/>
  <c r="N56" i="11"/>
  <c r="L41" i="11"/>
  <c r="N40" i="11"/>
  <c r="N49" i="11"/>
  <c r="O56" i="11"/>
  <c r="L42" i="11"/>
  <c r="O38" i="11"/>
  <c r="O57" i="11"/>
  <c r="O42" i="11"/>
  <c r="N43" i="11"/>
  <c r="L38" i="11"/>
  <c r="O45" i="11"/>
  <c r="L39" i="11"/>
  <c r="N46" i="11"/>
  <c r="L43" i="11"/>
  <c r="L48" i="11"/>
  <c r="O50" i="11"/>
  <c r="N55" i="11"/>
  <c r="N38" i="11"/>
  <c r="N57" i="11"/>
  <c r="N42" i="11"/>
  <c r="O33" i="11"/>
  <c r="O49" i="11"/>
  <c r="L47" i="11"/>
  <c r="N50" i="11"/>
  <c r="L53" i="11"/>
  <c r="O54" i="11"/>
  <c r="L54" i="11"/>
  <c r="N34" i="11"/>
  <c r="AA60" i="7"/>
  <c r="AA48" i="7"/>
  <c r="AA59" i="7"/>
  <c r="AA47" i="7"/>
  <c r="AA58" i="7"/>
  <c r="AA46" i="7"/>
  <c r="AA55" i="7"/>
  <c r="AA43" i="7"/>
  <c r="AA50" i="7"/>
  <c r="AA61" i="7"/>
  <c r="AA57" i="7"/>
  <c r="AA45" i="7"/>
  <c r="AA56" i="7"/>
  <c r="AA44" i="7"/>
  <c r="AA62" i="7"/>
  <c r="AA54" i="7"/>
  <c r="AA42" i="7"/>
  <c r="AA65" i="7"/>
  <c r="AA53" i="7"/>
  <c r="AA64" i="7"/>
  <c r="AA52" i="7"/>
  <c r="AA63" i="7"/>
  <c r="AA51" i="7"/>
  <c r="AA49" i="7"/>
  <c r="J31" i="16"/>
  <c r="G33" i="17"/>
  <c r="AC60" i="7" l="1"/>
  <c r="AC48" i="7"/>
  <c r="AC59" i="7"/>
  <c r="AC58" i="7"/>
  <c r="AC45" i="7"/>
  <c r="AC55" i="7"/>
  <c r="AC43" i="7"/>
  <c r="AC62" i="7"/>
  <c r="AC50" i="7"/>
  <c r="AC47" i="7"/>
  <c r="AC46" i="7"/>
  <c r="AC57" i="7"/>
  <c r="AC56" i="7"/>
  <c r="AC44" i="7"/>
  <c r="AC61" i="7"/>
  <c r="AC54" i="7"/>
  <c r="AC42" i="7"/>
  <c r="AC65" i="7"/>
  <c r="AC53" i="7"/>
  <c r="AC64" i="7"/>
  <c r="AC52" i="7"/>
  <c r="AC63" i="7"/>
  <c r="AC51" i="7"/>
  <c r="AC49" i="7"/>
  <c r="AD60" i="7"/>
  <c r="AD48" i="7"/>
  <c r="AD47" i="7"/>
  <c r="AD58" i="7"/>
  <c r="AD46" i="7"/>
  <c r="AD55" i="7"/>
  <c r="AD43" i="7"/>
  <c r="AD50" i="7"/>
  <c r="AD59" i="7"/>
  <c r="AD57" i="7"/>
  <c r="AD45" i="7"/>
  <c r="AD56" i="7"/>
  <c r="AD44" i="7"/>
  <c r="AD49" i="7"/>
  <c r="AD54" i="7"/>
  <c r="AD42" i="7"/>
  <c r="AD65" i="7"/>
  <c r="AD53" i="7"/>
  <c r="AD64" i="7"/>
  <c r="AD52" i="7"/>
  <c r="AD63" i="7"/>
  <c r="AD51" i="7"/>
  <c r="AD62" i="7"/>
  <c r="AD61" i="7"/>
  <c r="K41" i="11"/>
  <c r="K47" i="11"/>
  <c r="K49" i="11"/>
  <c r="K34" i="11"/>
  <c r="K48" i="11"/>
  <c r="K50" i="11"/>
  <c r="K36" i="11"/>
  <c r="K53" i="11"/>
  <c r="K51" i="11"/>
  <c r="K44" i="11"/>
  <c r="K56" i="11"/>
  <c r="K45" i="11"/>
  <c r="K38" i="11"/>
  <c r="K46" i="11"/>
  <c r="K54" i="11"/>
  <c r="K42" i="11"/>
  <c r="K37" i="11"/>
  <c r="K57" i="11"/>
  <c r="K52" i="11"/>
  <c r="K33" i="11"/>
  <c r="K39" i="11"/>
  <c r="K35" i="11"/>
  <c r="K55" i="11"/>
  <c r="K40" i="11"/>
  <c r="K43" i="11"/>
  <c r="J32" i="16"/>
  <c r="G34" i="17"/>
  <c r="C235" i="10" l="1"/>
  <c r="D224" i="10"/>
  <c r="D221" i="10"/>
  <c r="D218" i="10"/>
  <c r="D215" i="10"/>
  <c r="C212" i="10"/>
  <c r="C209" i="10"/>
  <c r="C206" i="10"/>
  <c r="C203" i="10"/>
  <c r="D192" i="10"/>
  <c r="D189" i="10"/>
  <c r="D186" i="10"/>
  <c r="D183" i="10"/>
  <c r="C180" i="10"/>
  <c r="C177" i="10"/>
  <c r="C174" i="10"/>
  <c r="C171" i="10"/>
  <c r="D160" i="10"/>
  <c r="D157" i="10"/>
  <c r="D154" i="10"/>
  <c r="D151" i="10"/>
  <c r="C148" i="10"/>
  <c r="C145" i="10"/>
  <c r="C142" i="10"/>
  <c r="C139" i="10"/>
  <c r="D128" i="10"/>
  <c r="D125" i="10"/>
  <c r="D122" i="10"/>
  <c r="D119" i="10"/>
  <c r="C116" i="10"/>
  <c r="C113" i="10"/>
  <c r="C110" i="10"/>
  <c r="C107" i="10"/>
  <c r="D96" i="10"/>
  <c r="D93" i="10"/>
  <c r="D90" i="10"/>
  <c r="C87" i="10"/>
  <c r="D76" i="10"/>
  <c r="C73" i="10"/>
  <c r="D68" i="10"/>
  <c r="D65" i="10"/>
  <c r="C62" i="10"/>
  <c r="D57" i="10"/>
  <c r="C54" i="10"/>
  <c r="D49" i="10"/>
  <c r="C46" i="10"/>
  <c r="D41" i="10"/>
  <c r="C38" i="10"/>
  <c r="C233" i="10"/>
  <c r="C204" i="10"/>
  <c r="C198" i="10"/>
  <c r="D178" i="10"/>
  <c r="C172" i="10"/>
  <c r="C166" i="10"/>
  <c r="D149" i="10"/>
  <c r="D146" i="10"/>
  <c r="C137" i="10"/>
  <c r="C131" i="10"/>
  <c r="D117" i="10"/>
  <c r="D114" i="10"/>
  <c r="C108" i="10"/>
  <c r="C99" i="10"/>
  <c r="C85" i="10"/>
  <c r="C79" i="10"/>
  <c r="C71" i="10"/>
  <c r="C60" i="10"/>
  <c r="D55" i="10"/>
  <c r="D47" i="10"/>
  <c r="D39" i="10"/>
  <c r="C236" i="10"/>
  <c r="D225" i="10"/>
  <c r="C216" i="10"/>
  <c r="C213" i="10"/>
  <c r="D196" i="10"/>
  <c r="D190" i="10"/>
  <c r="C181" i="10"/>
  <c r="C178" i="10"/>
  <c r="D161" i="10"/>
  <c r="D155" i="10"/>
  <c r="D233" i="10"/>
  <c r="D230" i="10"/>
  <c r="D227" i="10"/>
  <c r="C224" i="10"/>
  <c r="C221" i="10"/>
  <c r="C218" i="10"/>
  <c r="C215" i="10"/>
  <c r="D204" i="10"/>
  <c r="D201" i="10"/>
  <c r="D198" i="10"/>
  <c r="D195" i="10"/>
  <c r="C192" i="10"/>
  <c r="C189" i="10"/>
  <c r="C186" i="10"/>
  <c r="C183" i="10"/>
  <c r="D172" i="10"/>
  <c r="D169" i="10"/>
  <c r="D166" i="10"/>
  <c r="D163" i="10"/>
  <c r="C160" i="10"/>
  <c r="C157" i="10"/>
  <c r="C154" i="10"/>
  <c r="C151" i="10"/>
  <c r="D140" i="10"/>
  <c r="D137" i="10"/>
  <c r="D134" i="10"/>
  <c r="D131" i="10"/>
  <c r="C128" i="10"/>
  <c r="C125" i="10"/>
  <c r="C122" i="10"/>
  <c r="C119" i="10"/>
  <c r="D108" i="10"/>
  <c r="D105" i="10"/>
  <c r="D102" i="10"/>
  <c r="D99" i="10"/>
  <c r="C96" i="10"/>
  <c r="C93" i="10"/>
  <c r="C90" i="10"/>
  <c r="D85" i="10"/>
  <c r="D82" i="10"/>
  <c r="D79" i="10"/>
  <c r="C76" i="10"/>
  <c r="D71" i="10"/>
  <c r="C68" i="10"/>
  <c r="C65" i="10"/>
  <c r="D60" i="10"/>
  <c r="C57" i="10"/>
  <c r="D52" i="10"/>
  <c r="C49" i="10"/>
  <c r="D44" i="10"/>
  <c r="C41" i="10"/>
  <c r="D36" i="10"/>
  <c r="D210" i="10"/>
  <c r="D207" i="10"/>
  <c r="C201" i="10"/>
  <c r="C195" i="10"/>
  <c r="D181" i="10"/>
  <c r="D175" i="10"/>
  <c r="C169" i="10"/>
  <c r="C163" i="10"/>
  <c r="D152" i="10"/>
  <c r="D143" i="10"/>
  <c r="C140" i="10"/>
  <c r="C134" i="10"/>
  <c r="D120" i="10"/>
  <c r="D111" i="10"/>
  <c r="C105" i="10"/>
  <c r="C102" i="10"/>
  <c r="D88" i="10"/>
  <c r="C82" i="10"/>
  <c r="D74" i="10"/>
  <c r="D63" i="10"/>
  <c r="C52" i="10"/>
  <c r="C44" i="10"/>
  <c r="C36" i="10"/>
  <c r="D228" i="10"/>
  <c r="D222" i="10"/>
  <c r="D219" i="10"/>
  <c r="C210" i="10"/>
  <c r="C207" i="10"/>
  <c r="D193" i="10"/>
  <c r="D187" i="10"/>
  <c r="C184" i="10"/>
  <c r="C175" i="10"/>
  <c r="D164" i="10"/>
  <c r="D236" i="10"/>
  <c r="C230" i="10"/>
  <c r="C227" i="10"/>
  <c r="D216" i="10"/>
  <c r="D213" i="10"/>
  <c r="D184" i="10"/>
  <c r="C231" i="10"/>
  <c r="C229" i="10"/>
  <c r="C208" i="10"/>
  <c r="D206" i="10"/>
  <c r="C199" i="10"/>
  <c r="C197" i="10"/>
  <c r="C176" i="10"/>
  <c r="D174" i="10"/>
  <c r="C167" i="10"/>
  <c r="C165" i="10"/>
  <c r="C152" i="10"/>
  <c r="D150" i="10"/>
  <c r="C129" i="10"/>
  <c r="D127" i="10"/>
  <c r="C120" i="10"/>
  <c r="D118" i="10"/>
  <c r="C97" i="10"/>
  <c r="D95" i="10"/>
  <c r="C88" i="10"/>
  <c r="D86" i="10"/>
  <c r="D84" i="10"/>
  <c r="C55" i="10"/>
  <c r="D53" i="10"/>
  <c r="D51" i="10"/>
  <c r="C42" i="10"/>
  <c r="C40" i="10"/>
  <c r="D38" i="10"/>
  <c r="D64" i="10"/>
  <c r="C51" i="10"/>
  <c r="C217" i="10"/>
  <c r="D209" i="10"/>
  <c r="C187" i="10"/>
  <c r="D177" i="10"/>
  <c r="D144" i="10"/>
  <c r="C130" i="10"/>
  <c r="C114" i="10"/>
  <c r="D89" i="10"/>
  <c r="D80" i="10"/>
  <c r="D67" i="10"/>
  <c r="D58" i="10"/>
  <c r="D226" i="10"/>
  <c r="C211" i="10"/>
  <c r="C196" i="10"/>
  <c r="C179" i="10"/>
  <c r="C164" i="10"/>
  <c r="C153" i="10"/>
  <c r="D135" i="10"/>
  <c r="C123" i="10"/>
  <c r="D54" i="10"/>
  <c r="C39" i="10"/>
  <c r="C226" i="10"/>
  <c r="D203" i="10"/>
  <c r="C194" i="10"/>
  <c r="C173" i="10"/>
  <c r="C149" i="10"/>
  <c r="C133" i="10"/>
  <c r="D126" i="10"/>
  <c r="D110" i="10"/>
  <c r="C103" i="10"/>
  <c r="D94" i="10"/>
  <c r="C78" i="10"/>
  <c r="D50" i="10"/>
  <c r="C220" i="10"/>
  <c r="D214" i="10"/>
  <c r="C190" i="10"/>
  <c r="D180" i="10"/>
  <c r="D156" i="10"/>
  <c r="D147" i="10"/>
  <c r="D136" i="10"/>
  <c r="C124" i="10"/>
  <c r="D115" i="10"/>
  <c r="D104" i="10"/>
  <c r="C92" i="10"/>
  <c r="C74" i="10"/>
  <c r="D61" i="10"/>
  <c r="C48" i="10"/>
  <c r="D231" i="10"/>
  <c r="D208" i="10"/>
  <c r="D199" i="10"/>
  <c r="C182" i="10"/>
  <c r="C158" i="10"/>
  <c r="D145" i="10"/>
  <c r="C138" i="10"/>
  <c r="C115" i="10"/>
  <c r="C104" i="10"/>
  <c r="D234" i="10"/>
  <c r="D232" i="10"/>
  <c r="C225" i="10"/>
  <c r="D223" i="10"/>
  <c r="D202" i="10"/>
  <c r="D200" i="10"/>
  <c r="C193" i="10"/>
  <c r="D191" i="10"/>
  <c r="D170" i="10"/>
  <c r="D168" i="10"/>
  <c r="C161" i="10"/>
  <c r="D159" i="10"/>
  <c r="C150" i="10"/>
  <c r="D148" i="10"/>
  <c r="C143" i="10"/>
  <c r="D141" i="10"/>
  <c r="D132" i="10"/>
  <c r="C127" i="10"/>
  <c r="C118" i="10"/>
  <c r="D116" i="10"/>
  <c r="C111" i="10"/>
  <c r="D109" i="10"/>
  <c r="D100" i="10"/>
  <c r="C95" i="10"/>
  <c r="C86" i="10"/>
  <c r="C84" i="10"/>
  <c r="D77" i="10"/>
  <c r="D75" i="10"/>
  <c r="D66" i="10"/>
  <c r="C53" i="10"/>
  <c r="C219" i="10"/>
  <c r="C185" i="10"/>
  <c r="D179" i="10"/>
  <c r="C146" i="10"/>
  <c r="D121" i="10"/>
  <c r="D112" i="10"/>
  <c r="D91" i="10"/>
  <c r="D69" i="10"/>
  <c r="C45" i="10"/>
  <c r="C228" i="10"/>
  <c r="D205" i="10"/>
  <c r="D194" i="10"/>
  <c r="D173" i="10"/>
  <c r="C155" i="10"/>
  <c r="C144" i="10"/>
  <c r="D133" i="10"/>
  <c r="C121" i="10"/>
  <c r="C112" i="10"/>
  <c r="D103" i="10"/>
  <c r="D101" i="10"/>
  <c r="C91" i="10"/>
  <c r="D87" i="10"/>
  <c r="C80" i="10"/>
  <c r="C67" i="10"/>
  <c r="C56" i="10"/>
  <c r="D235" i="10"/>
  <c r="D220" i="10"/>
  <c r="C205" i="10"/>
  <c r="D188" i="10"/>
  <c r="D171" i="10"/>
  <c r="C162" i="10"/>
  <c r="D142" i="10"/>
  <c r="C135" i="10"/>
  <c r="D124" i="10"/>
  <c r="C117" i="10"/>
  <c r="C101" i="10"/>
  <c r="D92" i="10"/>
  <c r="C37" i="10"/>
  <c r="C222" i="10"/>
  <c r="D212" i="10"/>
  <c r="C188" i="10"/>
  <c r="D182" i="10"/>
  <c r="D158" i="10"/>
  <c r="D138" i="10"/>
  <c r="C126" i="10"/>
  <c r="D106" i="10"/>
  <c r="C94" i="10"/>
  <c r="D83" i="10"/>
  <c r="D72" i="10"/>
  <c r="C63" i="10"/>
  <c r="C50" i="10"/>
  <c r="D229" i="10"/>
  <c r="C214" i="10"/>
  <c r="D197" i="10"/>
  <c r="D176" i="10"/>
  <c r="D167" i="10"/>
  <c r="C156" i="10"/>
  <c r="C147" i="10"/>
  <c r="C136" i="10"/>
  <c r="C106" i="10"/>
  <c r="D97" i="10"/>
  <c r="C234" i="10"/>
  <c r="C232" i="10"/>
  <c r="C223" i="10"/>
  <c r="D217" i="10"/>
  <c r="C202" i="10"/>
  <c r="C200" i="10"/>
  <c r="C191" i="10"/>
  <c r="D185" i="10"/>
  <c r="C170" i="10"/>
  <c r="C168" i="10"/>
  <c r="C159" i="10"/>
  <c r="C141" i="10"/>
  <c r="D139" i="10"/>
  <c r="C132" i="10"/>
  <c r="D130" i="10"/>
  <c r="C109" i="10"/>
  <c r="D107" i="10"/>
  <c r="C100" i="10"/>
  <c r="D98" i="10"/>
  <c r="C77" i="10"/>
  <c r="C75" i="10"/>
  <c r="D73" i="10"/>
  <c r="C66" i="10"/>
  <c r="C64" i="10"/>
  <c r="D62" i="10"/>
  <c r="C47" i="10"/>
  <c r="D45" i="10"/>
  <c r="D43" i="10"/>
  <c r="D211" i="10"/>
  <c r="D153" i="10"/>
  <c r="D123" i="10"/>
  <c r="C98" i="10"/>
  <c r="D56" i="10"/>
  <c r="C43" i="10"/>
  <c r="D162" i="10"/>
  <c r="C89" i="10"/>
  <c r="D78" i="10"/>
  <c r="C69" i="10"/>
  <c r="C58" i="10"/>
  <c r="D37" i="10"/>
  <c r="D48" i="10"/>
  <c r="D81" i="10"/>
  <c r="D70" i="10"/>
  <c r="D59" i="10"/>
  <c r="D46" i="10"/>
  <c r="D165" i="10"/>
  <c r="D129" i="10"/>
  <c r="D113" i="10"/>
  <c r="C81" i="10"/>
  <c r="C59" i="10"/>
  <c r="C61" i="10"/>
  <c r="D42" i="10"/>
  <c r="C83" i="10"/>
  <c r="D40" i="10"/>
  <c r="C70" i="10"/>
  <c r="C72" i="10"/>
  <c r="J33" i="16"/>
  <c r="G35" i="17"/>
  <c r="J34" i="16" l="1"/>
  <c r="G36" i="17"/>
  <c r="G37" i="17" l="1"/>
  <c r="J35" i="16" l="1"/>
  <c r="J36" i="16"/>
  <c r="G38" i="17"/>
  <c r="J37" i="16" l="1"/>
  <c r="G39" i="17"/>
  <c r="J38" i="16" l="1"/>
  <c r="G40" i="17"/>
  <c r="J39" i="16" l="1"/>
  <c r="G41" i="17"/>
  <c r="J40" i="16" l="1"/>
  <c r="G42" i="17"/>
  <c r="J41" i="16" l="1"/>
  <c r="G43" i="17"/>
  <c r="J42" i="16" l="1"/>
  <c r="G44" i="17"/>
  <c r="J43" i="16" l="1"/>
  <c r="G45" i="17"/>
  <c r="J44" i="16" l="1"/>
  <c r="G46" i="17"/>
  <c r="J45" i="16" l="1"/>
  <c r="G47" i="17"/>
  <c r="J46" i="16" l="1"/>
  <c r="G48" i="17"/>
  <c r="J47" i="16" l="1"/>
  <c r="G49" i="17"/>
  <c r="J48" i="16" l="1"/>
  <c r="G50" i="17"/>
  <c r="J49" i="16" l="1"/>
  <c r="G51" i="17"/>
  <c r="J50" i="16" l="1"/>
  <c r="G52" i="17"/>
  <c r="J51" i="16" l="1"/>
  <c r="G53" i="17"/>
  <c r="J52" i="16" l="1"/>
  <c r="G54" i="17"/>
  <c r="J53" i="16" l="1"/>
  <c r="G55" i="17"/>
  <c r="J54" i="16" l="1"/>
  <c r="G56" i="17"/>
  <c r="J55" i="16" l="1"/>
  <c r="G57" i="17"/>
  <c r="J56" i="16" l="1"/>
  <c r="G59" i="17"/>
  <c r="G58" i="17"/>
  <c r="J57" i="16" l="1"/>
  <c r="C29" i="9" l="1"/>
  <c r="D29" i="9" s="1"/>
  <c r="E29" i="9" s="1"/>
  <c r="C34" i="9"/>
  <c r="D34" i="9" s="1"/>
  <c r="E34" i="9" s="1"/>
  <c r="C30" i="9"/>
  <c r="D30" i="9" s="1"/>
  <c r="E30" i="9" s="1"/>
  <c r="C20" i="9"/>
  <c r="D20" i="9" s="1"/>
  <c r="E20" i="9" s="1"/>
  <c r="C27" i="9"/>
  <c r="D27" i="9" s="1"/>
  <c r="E27" i="9" s="1"/>
  <c r="C50" i="9"/>
  <c r="D50" i="9" s="1"/>
  <c r="E50" i="9" s="1"/>
  <c r="C46" i="9"/>
  <c r="D46" i="9" s="1"/>
  <c r="E46" i="9" s="1"/>
  <c r="C24" i="9"/>
  <c r="D24" i="9" s="1"/>
  <c r="E24" i="9" s="1"/>
  <c r="D40" i="9"/>
  <c r="E40" i="9" s="1"/>
  <c r="C49" i="9"/>
  <c r="D49" i="9" s="1"/>
  <c r="E49" i="9" s="1"/>
  <c r="C33" i="9"/>
  <c r="D33" i="9" s="1"/>
  <c r="E33" i="9" s="1"/>
  <c r="C53" i="9"/>
  <c r="D53" i="9" s="1"/>
  <c r="E53" i="9" s="1"/>
  <c r="C25" i="9"/>
  <c r="D25" i="9" s="1"/>
  <c r="E25" i="9" s="1"/>
  <c r="C36" i="9"/>
  <c r="D36" i="9" s="1"/>
  <c r="E36" i="9" s="1"/>
  <c r="C15" i="9"/>
  <c r="D15" i="9" s="1"/>
  <c r="E15" i="9" s="1"/>
  <c r="C42" i="9"/>
  <c r="D42" i="9" s="1"/>
  <c r="E42" i="9" s="1"/>
  <c r="C57" i="9"/>
  <c r="D57" i="9" s="1"/>
  <c r="E57" i="9" s="1"/>
  <c r="C44" i="9"/>
  <c r="D44" i="9" s="1"/>
  <c r="E44" i="9" s="1"/>
  <c r="C37" i="9"/>
  <c r="D37" i="9" s="1"/>
  <c r="E37" i="9" s="1"/>
  <c r="C54" i="9"/>
  <c r="D54" i="9" s="1"/>
  <c r="E54" i="9" s="1"/>
  <c r="C52" i="9"/>
  <c r="D52" i="9" s="1"/>
  <c r="E52" i="9" s="1"/>
  <c r="C21" i="9"/>
  <c r="D21" i="9" s="1"/>
  <c r="E21" i="9" s="1"/>
  <c r="C23" i="9"/>
  <c r="D23" i="9" s="1"/>
  <c r="E23" i="9" s="1"/>
  <c r="C18" i="9"/>
  <c r="D18" i="9" s="1"/>
  <c r="E18" i="9" s="1"/>
  <c r="C32" i="9"/>
  <c r="D32" i="9" s="1"/>
  <c r="E32" i="9" s="1"/>
  <c r="C28" i="9"/>
  <c r="D28" i="9" s="1"/>
  <c r="E28" i="9" s="1"/>
  <c r="C41" i="9"/>
  <c r="D41" i="9" s="1"/>
  <c r="E41" i="9" s="1"/>
  <c r="C26" i="9"/>
  <c r="D26" i="9" s="1"/>
  <c r="E26" i="9" s="1"/>
  <c r="C48" i="9"/>
  <c r="D48" i="9" s="1"/>
  <c r="E48" i="9" s="1"/>
  <c r="C35" i="9"/>
  <c r="D35" i="9" s="1"/>
  <c r="E35" i="9" s="1"/>
  <c r="C47" i="9"/>
  <c r="D47" i="9" s="1"/>
  <c r="E47" i="9" s="1"/>
  <c r="C14" i="9"/>
  <c r="D14" i="9" s="1"/>
  <c r="E14" i="9" s="1"/>
  <c r="C31" i="9"/>
  <c r="D31" i="9" s="1"/>
  <c r="E31" i="9" s="1"/>
  <c r="C51" i="9"/>
  <c r="D51" i="9" s="1"/>
  <c r="E51" i="9" s="1"/>
  <c r="C45" i="9"/>
  <c r="D45" i="9" s="1"/>
  <c r="E45" i="9" s="1"/>
  <c r="C56" i="9"/>
  <c r="D56" i="9" s="1"/>
  <c r="E56" i="9" s="1"/>
  <c r="C39" i="9"/>
  <c r="D39" i="9" s="1"/>
  <c r="E39" i="9" s="1"/>
  <c r="C16" i="9"/>
  <c r="D16" i="9" s="1"/>
  <c r="E16" i="9" s="1"/>
  <c r="C17" i="9"/>
  <c r="D17" i="9" s="1"/>
  <c r="E17" i="9" s="1"/>
  <c r="C38" i="9"/>
  <c r="D38" i="9" s="1"/>
  <c r="E38" i="9" s="1"/>
  <c r="C55" i="9"/>
  <c r="D55" i="9" s="1"/>
  <c r="E55" i="9" s="1"/>
  <c r="C22" i="9"/>
  <c r="D22" i="9" s="1"/>
  <c r="E22" i="9" s="1"/>
  <c r="C19" i="9"/>
  <c r="D19" i="9" s="1"/>
  <c r="E19" i="9" s="1"/>
  <c r="C43" i="9"/>
  <c r="D43" i="9" s="1"/>
  <c r="E43" i="9" s="1"/>
  <c r="H46" i="13"/>
  <c r="K52" i="13"/>
  <c r="G39" i="13"/>
  <c r="J63" i="13"/>
  <c r="F46" i="13"/>
  <c r="F50" i="13"/>
  <c r="F41" i="13"/>
  <c r="F45" i="13"/>
  <c r="F49" i="13"/>
  <c r="F53" i="13"/>
  <c r="F57" i="13"/>
  <c r="F61" i="13"/>
  <c r="F40" i="13"/>
  <c r="F44" i="13"/>
  <c r="F48" i="13"/>
  <c r="F52" i="13"/>
  <c r="F56" i="13"/>
  <c r="F60" i="13"/>
  <c r="F42" i="13"/>
  <c r="F54" i="13"/>
  <c r="F58" i="13"/>
  <c r="F62" i="13"/>
  <c r="F43" i="13"/>
  <c r="F47" i="13"/>
  <c r="F51" i="13"/>
  <c r="F55" i="13"/>
  <c r="F59" i="13"/>
  <c r="F63" i="13"/>
  <c r="G47" i="13" l="1"/>
  <c r="G52" i="13"/>
  <c r="G48" i="13"/>
  <c r="G40" i="13"/>
  <c r="G59" i="13"/>
  <c r="G55" i="13"/>
  <c r="H53" i="13"/>
  <c r="H42" i="13"/>
  <c r="J62" i="13"/>
  <c r="J58" i="13"/>
  <c r="G49" i="13"/>
  <c r="K61" i="13"/>
  <c r="J57" i="13"/>
  <c r="K58" i="13"/>
  <c r="J53" i="13"/>
  <c r="K59" i="13"/>
  <c r="J49" i="13"/>
  <c r="J47" i="13"/>
  <c r="J41" i="13"/>
  <c r="J60" i="13"/>
  <c r="G61" i="13"/>
  <c r="J50" i="13"/>
  <c r="J59" i="13"/>
  <c r="J51" i="13"/>
  <c r="K48" i="13"/>
  <c r="J44" i="13"/>
  <c r="G57" i="13"/>
  <c r="H44" i="13"/>
  <c r="K54" i="13"/>
  <c r="K55" i="13"/>
  <c r="K44" i="13"/>
  <c r="H40" i="13"/>
  <c r="H49" i="13"/>
  <c r="H63" i="13"/>
  <c r="J45" i="13"/>
  <c r="J54" i="13"/>
  <c r="J43" i="13"/>
  <c r="G51" i="13"/>
  <c r="G44" i="13"/>
  <c r="G53" i="13"/>
  <c r="K57" i="13"/>
  <c r="K50" i="13"/>
  <c r="K51" i="13"/>
  <c r="H39" i="13"/>
  <c r="H54" i="13"/>
  <c r="H45" i="13"/>
  <c r="H55" i="13"/>
  <c r="J39" i="13"/>
  <c r="J55" i="13"/>
  <c r="J46" i="13"/>
  <c r="J52" i="13"/>
  <c r="G43" i="13"/>
  <c r="G58" i="13"/>
  <c r="G45" i="13"/>
  <c r="K49" i="13"/>
  <c r="K42" i="13"/>
  <c r="K43" i="13"/>
  <c r="H60" i="13"/>
  <c r="H59" i="13"/>
  <c r="H62" i="13"/>
  <c r="J56" i="13"/>
  <c r="J42" i="13"/>
  <c r="J40" i="13"/>
  <c r="G42" i="13"/>
  <c r="G54" i="13"/>
  <c r="G41" i="13"/>
  <c r="K45" i="13"/>
  <c r="K60" i="13"/>
  <c r="K39" i="13"/>
  <c r="H56" i="13"/>
  <c r="H51" i="13"/>
  <c r="H58" i="13"/>
  <c r="K53" i="13"/>
  <c r="K46" i="13"/>
  <c r="K47" i="13"/>
  <c r="H47" i="13"/>
  <c r="H41" i="13"/>
  <c r="H43" i="13"/>
  <c r="J61" i="13"/>
  <c r="J48" i="13"/>
  <c r="G63" i="13"/>
  <c r="G60" i="13"/>
  <c r="G50" i="13"/>
  <c r="G62" i="13"/>
  <c r="K41" i="13"/>
  <c r="K40" i="13"/>
  <c r="K56" i="13"/>
  <c r="H52" i="13"/>
  <c r="H61" i="13"/>
  <c r="H50" i="13"/>
  <c r="G56" i="13"/>
  <c r="G46" i="13"/>
  <c r="K62" i="13"/>
  <c r="K63" i="13"/>
  <c r="H48" i="13"/>
  <c r="H57"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<sst xmlns="http://schemas.openxmlformats.org/spreadsheetml/2006/main" count="570" uniqueCount="252">
  <si>
    <t>PRAKTIKUM PERANCANGAN SISTEM TERINTEGRASI III</t>
  </si>
  <si>
    <t>MODUL 3 - Pengendalian Kualitas Secara Statistika</t>
  </si>
  <si>
    <t>PJ Modul</t>
  </si>
  <si>
    <t>13422005 Naufal Vitoperisa Oktora
13422068 Daniel Febrian Parhusip
13422126 Nadya Farah Iresqa</t>
  </si>
  <si>
    <t>Laboratorium Perencanaan dan Optimasi Sistem Industri</t>
  </si>
  <si>
    <t>Program Studi Teknik Industri</t>
  </si>
  <si>
    <t>Fakultas Teknologi Industri</t>
  </si>
  <si>
    <t>No</t>
  </si>
  <si>
    <t>Informasi</t>
  </si>
  <si>
    <t xml:space="preserve">PT PPST Manufacturing memproduksi 4 jenis tripod dengan dua ukuran (tripod kecil dan besar), yaitu Tripod A, B, C, dan D. Dari berbagai macam part yang dibutuhkan untuk membuat tripod, terdapat 3 part yang dibuat sendiri dari bahan baku mentah, yaitu bottom base 2,  leg, dan  pivot. Untuk part pivot, akan dilakukan pengendalian kualitas pada diameter lubang horizontal. Sampel diambil dengan ukuran banyak. PT PPST Manufacturing ingin melihat kurva OC, ARL, dan kapabilitas dari proses tersebut. PT PPST Manufacturing juga ingin melihat implementasi dari penggunaan peta kendali ini. </t>
  </si>
  <si>
    <t>Pivot (diameter lubang horizontal)</t>
  </si>
  <si>
    <t>Untuk part bottom base 2, akan dilakukan pengendalian kualitas pada diameter half cylinder dari bottom base 2. Sampel diambil dengan ukuran 1 karena waktu proses yang relatif lebih lama.</t>
  </si>
  <si>
    <t xml:space="preserve">Pada tahap perakitan S3A1, perakitan yang menggabungkan S4A1 (assembly bottom base 1 dengan leg dan bottom base 2) dengan S5A2 (assembly guide male dan guide female), akan dihitung jumlah cacat berupa bercak atau goresan yang muncul  pada tiap unit S3A1 ketika perakitan berlangsung. Pengendalian kualitas dilakukan per satu unit inspeksi.   </t>
  </si>
  <si>
    <t>Pada tahap akhir perakitan akan dilakukan inspeksi secara menyeluruh untuk mengecek apakah ada tripod yang rusak (nonconforming).</t>
  </si>
  <si>
    <t>Perbedaan dari keempat jenis tripod adalah pada tinggi dari tripod itu sendiri. Oleh karena itu, akan ada perbedaan dimensi panjang pada part Leg di setiap jenis tripod. Pengendalian kualitas secara statistika menggunakan peta kendali diinginkan yang bisa mengakomodasi seluruh jenis tripod.</t>
  </si>
  <si>
    <t>Bottom base 2 (diameter half cylinder)</t>
  </si>
  <si>
    <t xml:space="preserve">Setelah barang selesai dirakit, akan dilakukan proses pengiriman barang kepada konsumen. Selanjutnya, PT X akan memberikan invoice dan dokumen lain kepada konsumen. Disebabkan oleh penyatuan lini produksi beberapa tripod karena kesamaan alur produksi, beberapa pekerja masih belum terbiasa dengan pembuatan dokumen hasil produksi yang baru sehingga dapat terjadi kesalahan dalam pembuatan dokumen, seperti pencatatan jenis tripod yang salah, invoice yang salah penempatan, dan sebagainya. Oleh karena itu, akan dilakukan pengendalian kualitas untuk dokumen yang akan diberikan kepada konsumen dengan ketentuan unit inspeksi lebih dari satu.  </t>
  </si>
  <si>
    <t xml:space="preserve">Disebabkan oleh efisiensi yang berhasil dilakukan pada lini produksi tripod dan tingginya permintaan yang masuk, PT X menerima pesanan pembuatan part XYZ 1 dan XYZ 2.  
a. Part XYZ 1 adalah part yang perlu diinspeksi dengan teknologi tinggi sehingga ukuran sampel untuk inspeksi hanya satu (pengukuran individual). Dimensi yang diukur adalah panjang. Agar tidak mengecewakan konsumen, peta kendali harus mampu mendeteksi pergeseran kecil. </t>
  </si>
  <si>
    <t>b. Dimensi yang ingin dikendalikan kualitasnya untuk part XYZ 2 adalah diameter dalam dan diameter luar secara bersamaan.</t>
  </si>
  <si>
    <t>Leg (panjang)</t>
  </si>
  <si>
    <t>Data Awal</t>
  </si>
  <si>
    <t>Data untuk Implementasi</t>
  </si>
  <si>
    <t>Diameter Lubang Horizontal part pivot (mm)</t>
  </si>
  <si>
    <t>Diameter Half cylinder bottom base 2 (mm)</t>
  </si>
  <si>
    <t>Jumlah nonconformity assembly S3A1</t>
  </si>
  <si>
    <t>Jumlah nonconforming (cacat) Tripod</t>
  </si>
  <si>
    <t>Panjang Leg Tripod (mm)</t>
  </si>
  <si>
    <t>Panjang Part XYZ 1</t>
  </si>
  <si>
    <t>Diameter dalam dan luar Part XYZ 2</t>
  </si>
  <si>
    <t>Sample Number (i)</t>
  </si>
  <si>
    <t>Observasi</t>
  </si>
  <si>
    <t>Spesifikasi Diameter Lubang Horizontal Tripod</t>
  </si>
  <si>
    <t>Observasi per 1 unit inspeksi</t>
  </si>
  <si>
    <t>Observasi per 50 unit Tripod</t>
  </si>
  <si>
    <t>Jenis Tripod</t>
  </si>
  <si>
    <t>Spesifikasi Target Panjang Leg Tripod (mm)</t>
  </si>
  <si>
    <t>Observasi per 100 dokumen</t>
  </si>
  <si>
    <t>Parameter untuk peta cusum dan EWMA part XYZ 1</t>
  </si>
  <si>
    <t>Observasi diameter dalam (mm)</t>
  </si>
  <si>
    <t>Observasi diameter luar (mm)</t>
  </si>
  <si>
    <t>USL</t>
  </si>
  <si>
    <t>A</t>
  </si>
  <si>
    <t>K</t>
  </si>
  <si>
    <t>1/2 sigma</t>
  </si>
  <si>
    <t>LSL</t>
  </si>
  <si>
    <t>B</t>
  </si>
  <si>
    <t>H</t>
  </si>
  <si>
    <t>5 sigma</t>
  </si>
  <si>
    <t>C</t>
  </si>
  <si>
    <t>Lambda</t>
  </si>
  <si>
    <t>D</t>
  </si>
  <si>
    <t>L</t>
  </si>
  <si>
    <t>miu0 target</t>
  </si>
  <si>
    <t>sigma target</t>
  </si>
  <si>
    <t>n</t>
  </si>
  <si>
    <t>A2</t>
  </si>
  <si>
    <t>A3</t>
  </si>
  <si>
    <t>c4</t>
  </si>
  <si>
    <t>1/c4</t>
  </si>
  <si>
    <t>B3</t>
  </si>
  <si>
    <t>B4</t>
  </si>
  <si>
    <t>B5</t>
  </si>
  <si>
    <t>B6</t>
  </si>
  <si>
    <t>d2</t>
  </si>
  <si>
    <t>1/d2</t>
  </si>
  <si>
    <t>d_3</t>
  </si>
  <si>
    <t>D1</t>
  </si>
  <si>
    <t>D2</t>
  </si>
  <si>
    <t>D3</t>
  </si>
  <si>
    <t>D4</t>
  </si>
  <si>
    <t>Instructions</t>
  </si>
  <si>
    <t>Worksheet specific notes</t>
  </si>
  <si>
    <t>Summary</t>
  </si>
  <si>
    <r>
      <rPr>
        <sz val="11"/>
        <color rgb="FF000000"/>
        <rFont val="Calibri"/>
        <family val="2"/>
      </rPr>
      <t>Lembar kerja ini dibuat untuk m</t>
    </r>
    <r>
      <rPr>
        <b/>
        <sz val="11"/>
        <color rgb="FF000000"/>
        <rFont val="Calibri"/>
        <family val="2"/>
      </rPr>
      <t>engakomodasi pengolahan data</t>
    </r>
    <r>
      <rPr>
        <sz val="11"/>
        <color rgb="FF000000"/>
        <rFont val="Calibri"/>
        <family val="2"/>
      </rPr>
      <t xml:space="preserve"> PPST III 2025/2025 Modul 3 - Pengendalian Kualitas Secara Statistika. Seluruh data yang diperlukan tersedia pada lembar kerja ini.</t>
    </r>
  </si>
  <si>
    <r>
      <rPr>
        <sz val="11"/>
        <color rgb="FF000000"/>
        <rFont val="Calibri"/>
        <family val="2"/>
      </rPr>
      <t xml:space="preserve">Keluaran dari lembar kerja ini adalah </t>
    </r>
    <r>
      <rPr>
        <b/>
        <sz val="11"/>
        <color rgb="FF000000"/>
        <rFont val="Calibri"/>
        <family val="2"/>
      </rPr>
      <t>peta kendali, kurva OC, ARL, dan kapabilitas proses.</t>
    </r>
  </si>
  <si>
    <t>Formatting guide</t>
  </si>
  <si>
    <t>Dalam lembar kerja ini, digunakan konvensi penulisan sebagai berikut.</t>
  </si>
  <si>
    <t>Cells</t>
  </si>
  <si>
    <r>
      <rPr>
        <sz val="11"/>
        <color rgb="FF000000"/>
        <rFont val="Calibri"/>
        <family val="2"/>
      </rPr>
      <t xml:space="preserve">Sel yang telah dikalkulasikan yang </t>
    </r>
    <r>
      <rPr>
        <b/>
        <sz val="11"/>
        <color rgb="FF000000"/>
        <rFont val="Calibri"/>
        <family val="2"/>
      </rPr>
      <t>tidak boleh diubah secara manual</t>
    </r>
  </si>
  <si>
    <t>Data mentah yang digunakan model</t>
  </si>
  <si>
    <t>Instruksi, catatan, atau informasi kontekstual lainnya</t>
  </si>
  <si>
    <t>Tabs</t>
  </si>
  <si>
    <t>Analysis sheets</t>
  </si>
  <si>
    <t>Raw data sheets</t>
  </si>
  <si>
    <t>Part</t>
  </si>
  <si>
    <t>Peta Kendali</t>
  </si>
  <si>
    <t>Pivot</t>
  </si>
  <si>
    <t>xbar-R atau xbar-s</t>
  </si>
  <si>
    <t>Bottom Base 2</t>
  </si>
  <si>
    <t>MR</t>
  </si>
  <si>
    <t>Pan Assembly</t>
  </si>
  <si>
    <t>p atau np</t>
  </si>
  <si>
    <t>Tripod</t>
  </si>
  <si>
    <t>c</t>
  </si>
  <si>
    <t>Leg</t>
  </si>
  <si>
    <t>u</t>
  </si>
  <si>
    <t>Dokumen</t>
  </si>
  <si>
    <t>cusum atau EWMA</t>
  </si>
  <si>
    <t>XYZ 1</t>
  </si>
  <si>
    <t>Short Production Run xbar-R</t>
  </si>
  <si>
    <t>XYZ 2</t>
  </si>
  <si>
    <t>T^2</t>
  </si>
  <si>
    <t>Iterasi 1</t>
  </si>
  <si>
    <t>Iterasi 2</t>
  </si>
  <si>
    <t>Pemeriksaan Kondisi Abnormalitas Peta R</t>
  </si>
  <si>
    <t>Pemeriksaan Kondisi Abnormalitas Peta xbar</t>
  </si>
  <si>
    <t>Run</t>
  </si>
  <si>
    <t>Trend</t>
  </si>
  <si>
    <t>Pengulangan Secara Periodik</t>
  </si>
  <si>
    <r>
      <rPr>
        <i/>
        <sz val="11"/>
        <color theme="1"/>
        <rFont val="Calibri"/>
        <family val="2"/>
      </rPr>
      <t>Hugging</t>
    </r>
    <r>
      <rPr>
        <sz val="11"/>
        <color theme="1"/>
        <rFont val="Calibri"/>
        <family val="2"/>
      </rPr>
      <t xml:space="preserve"> pada garis tengah</t>
    </r>
  </si>
  <si>
    <r>
      <rPr>
        <i/>
        <sz val="11"/>
        <color theme="1"/>
        <rFont val="Calibri"/>
        <family val="2"/>
      </rPr>
      <t>Hugging</t>
    </r>
    <r>
      <rPr>
        <sz val="11"/>
        <color theme="1"/>
        <rFont val="Calibri"/>
        <family val="2"/>
      </rPr>
      <t xml:space="preserve"> dekat garis batas kendali</t>
    </r>
  </si>
  <si>
    <t>Peta xbar-R</t>
  </si>
  <si>
    <t>Parameter Peta Kendali</t>
  </si>
  <si>
    <t>m</t>
  </si>
  <si>
    <t>xbarbar</t>
  </si>
  <si>
    <t>Rbar</t>
  </si>
  <si>
    <t>BKA R</t>
  </si>
  <si>
    <t>BKB R</t>
  </si>
  <si>
    <t>BKA Xbar</t>
  </si>
  <si>
    <t>BKB Xbar</t>
  </si>
  <si>
    <t>Rata-rata (xi bar)</t>
  </si>
  <si>
    <t>Range (Ri)</t>
  </si>
  <si>
    <t>GT R</t>
  </si>
  <si>
    <t>GT xbar</t>
  </si>
  <si>
    <t>BKA xbar</t>
  </si>
  <si>
    <t>BKB xbar</t>
  </si>
  <si>
    <t>Pemeriksaan Kondisi Abnormalitas Peta s</t>
  </si>
  <si>
    <t>Peta xbar-s</t>
  </si>
  <si>
    <t>sbar</t>
  </si>
  <si>
    <t>BKA s</t>
  </si>
  <si>
    <t>BKB s</t>
  </si>
  <si>
    <t>Standar Deviasi (si)</t>
  </si>
  <si>
    <t>GT s</t>
  </si>
  <si>
    <t>OC Curve dan ARL</t>
  </si>
  <si>
    <t>Parameter kurva OC</t>
  </si>
  <si>
    <t>R</t>
  </si>
  <si>
    <t>sigma</t>
  </si>
  <si>
    <t>ksigma</t>
  </si>
  <si>
    <t>k</t>
  </si>
  <si>
    <t>Beta</t>
  </si>
  <si>
    <t>ARL</t>
  </si>
  <si>
    <t>Kesimpulan</t>
  </si>
  <si>
    <t>Kapabilitas Proses</t>
  </si>
  <si>
    <t>Parameter Proses</t>
  </si>
  <si>
    <t>Mean</t>
  </si>
  <si>
    <t>Spesifikasi</t>
  </si>
  <si>
    <t>Sigma</t>
  </si>
  <si>
    <t>Cp</t>
  </si>
  <si>
    <t>Cpl</t>
  </si>
  <si>
    <t>Cpu</t>
  </si>
  <si>
    <t>Cpk</t>
  </si>
  <si>
    <t>Persentase Cacat</t>
  </si>
  <si>
    <t>z</t>
  </si>
  <si>
    <t>x proses</t>
  </si>
  <si>
    <t>f(x) proses</t>
  </si>
  <si>
    <t>x spesifikasi</t>
  </si>
  <si>
    <t>f(x) spesifikasi</t>
  </si>
  <si>
    <t>Pemeriksaan Kondisi Abnormalitas Peta MR</t>
  </si>
  <si>
    <t>Pemeriksaan Kondisi Abnormalitas Peta xindv</t>
  </si>
  <si>
    <t>Peta xindv-MR</t>
  </si>
  <si>
    <t>xbar</t>
  </si>
  <si>
    <t>MRbar</t>
  </si>
  <si>
    <t>BKA MR</t>
  </si>
  <si>
    <t>BKB MR</t>
  </si>
  <si>
    <t>BKA xindv</t>
  </si>
  <si>
    <t>BKB xindv</t>
  </si>
  <si>
    <t>x individual</t>
  </si>
  <si>
    <t>GT MR</t>
  </si>
  <si>
    <t>GT xindv</t>
  </si>
  <si>
    <t>1/2 UCLx</t>
  </si>
  <si>
    <t>1/2 LCLx</t>
  </si>
  <si>
    <t>Pemeriksaan Kondisi Abnormalitas Peta p</t>
  </si>
  <si>
    <t>Pemeriksaan Kondisi Abnormalitas Peta np</t>
  </si>
  <si>
    <t>Peta p dan np</t>
  </si>
  <si>
    <t>pbar</t>
  </si>
  <si>
    <t>npbar</t>
  </si>
  <si>
    <t>BKA p</t>
  </si>
  <si>
    <t>BKB p</t>
  </si>
  <si>
    <t>BKA np</t>
  </si>
  <si>
    <t>BKB np</t>
  </si>
  <si>
    <t>Jumlah Item Cacat</t>
  </si>
  <si>
    <t>Fraksi Item Cacat (p)</t>
  </si>
  <si>
    <t>Jumlah Item Cacat (np)</t>
  </si>
  <si>
    <t>GT p</t>
  </si>
  <si>
    <t>GT np</t>
  </si>
  <si>
    <t>Pemeriksaan Kondisi Abnormalitas Peta c</t>
  </si>
  <si>
    <t>Peta c</t>
  </si>
  <si>
    <t>cbar</t>
  </si>
  <si>
    <t>BKA c</t>
  </si>
  <si>
    <t>BKB c</t>
  </si>
  <si>
    <t>Jumlah Cacat (c)</t>
  </si>
  <si>
    <t>GT c</t>
  </si>
  <si>
    <t>Pemeriksaan Kondisi Abnormalitas Peta u</t>
  </si>
  <si>
    <t>Peta u</t>
  </si>
  <si>
    <t>ubar</t>
  </si>
  <si>
    <t>BKA u</t>
  </si>
  <si>
    <t>BKB u</t>
  </si>
  <si>
    <t>Jumlah Cacat</t>
  </si>
  <si>
    <t>Jumlah Cacat/unit (u)</t>
  </si>
  <si>
    <t>GT u</t>
  </si>
  <si>
    <t>Peta cusum</t>
  </si>
  <si>
    <t>Deteksi Pergeseran</t>
  </si>
  <si>
    <t>i</t>
  </si>
  <si>
    <t>Ci</t>
  </si>
  <si>
    <t>miu0</t>
  </si>
  <si>
    <t>Ni</t>
  </si>
  <si>
    <t>miu</t>
  </si>
  <si>
    <t>Period (i)</t>
  </si>
  <si>
    <t>Observasi (xi)</t>
  </si>
  <si>
    <t>xi-(miu0+k)</t>
  </si>
  <si>
    <t>Ci+</t>
  </si>
  <si>
    <t>Ni+</t>
  </si>
  <si>
    <t>(miu0-k)-xi</t>
  </si>
  <si>
    <t>Ci-</t>
  </si>
  <si>
    <t>Ni-</t>
  </si>
  <si>
    <t>-Ci-</t>
  </si>
  <si>
    <t>-H</t>
  </si>
  <si>
    <t>Peta EWMA</t>
  </si>
  <si>
    <t>BKA i besar</t>
  </si>
  <si>
    <t>BKB i besar</t>
  </si>
  <si>
    <t>EWMA, zi</t>
  </si>
  <si>
    <t>BKA</t>
  </si>
  <si>
    <t>BKB</t>
  </si>
  <si>
    <t>Check Luar BK</t>
  </si>
  <si>
    <t>Peta xbar-R Short Production Run</t>
  </si>
  <si>
    <t>T
(Target)</t>
  </si>
  <si>
    <t>R
(Range)</t>
  </si>
  <si>
    <t>Target (T)</t>
  </si>
  <si>
    <t>Avg Range</t>
  </si>
  <si>
    <t>xbar standardized</t>
  </si>
  <si>
    <t>R standardized</t>
  </si>
  <si>
    <t>Peta Hotelling T^2</t>
  </si>
  <si>
    <t>p</t>
  </si>
  <si>
    <t>alpha</t>
  </si>
  <si>
    <t>xbar-bar1i</t>
  </si>
  <si>
    <t>xbar-bar2i</t>
  </si>
  <si>
    <t>s^2 bar 1k</t>
  </si>
  <si>
    <t>s^2 bar 2k</t>
  </si>
  <si>
    <t>kovarians bar</t>
  </si>
  <si>
    <t>Falpha</t>
  </si>
  <si>
    <t>BKA Fase 1</t>
  </si>
  <si>
    <t>BKA Fase 2</t>
  </si>
  <si>
    <t>Sampel (i)</t>
  </si>
  <si>
    <t>x1</t>
  </si>
  <si>
    <t>x2</t>
  </si>
  <si>
    <t>xbar1i</t>
  </si>
  <si>
    <t>xbar2i</t>
  </si>
  <si>
    <t>s^2 1k</t>
  </si>
  <si>
    <t>s^2 2k</t>
  </si>
  <si>
    <t>kovarians</t>
  </si>
  <si>
    <t>Nilai T^2</t>
  </si>
  <si>
    <r>
      <t>Jumlah saltik (</t>
    </r>
    <r>
      <rPr>
        <i/>
        <sz val="11"/>
        <color theme="1"/>
        <rFont val="Calibri"/>
        <family val="2"/>
      </rPr>
      <t>typo</t>
    </r>
    <r>
      <rPr>
        <sz val="11"/>
        <color theme="1"/>
        <rFont val="Calibri"/>
        <family val="2"/>
      </rPr>
      <t>) pada dokumen (1 inspeksi unit = 1 dokumen)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</si>
</sst>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0000"/>
    <numFmt numFmtId="167" formatCode="0.0000"/>
    <numFmt numFmtId="168" formatCode="0.0000000%"/>
  </numFmts>
  <fonts count="24" x14ac:knownFonts="1">
    <font>
      <sz val="11"/>
      <color theme="1"/>
      <name val="Calibri"/>
      <scheme val="minor"/>
    </font>
    <font>
      <sz val="11"/>
      <color theme="1"/>
      <name val="Calibri"/>
      <family val="2"/>
      <scheme val="minor"/>
    </font>
    <font>
      <sz val="11"/>
      <color theme="1"/>
      <name val="Calibri"/>
      <family val="2"/>
    </font>
    <font>
      <sz val="11"/>
      <name val="Calibri"/>
      <family val="2"/>
    </font>
    <font>
      <b/>
      <sz val="18"/>
      <color theme="1"/>
      <name val="Times New Roman"/>
      <family val="1"/>
    </font>
    <font>
      <sz val="11"/>
      <color theme="1"/>
      <name val="Arial"/>
      <family val="2"/>
    </font>
    <font>
      <sz val="14"/>
      <color theme="1"/>
      <name val="Arial"/>
      <family val="2"/>
    </font>
    <font>
      <b/>
      <sz val="14"/>
      <color theme="1"/>
      <name val="Arial"/>
      <family val="2"/>
    </font>
    <font>
      <b/>
      <sz val="14"/>
      <color theme="1"/>
      <name val="Times New Roman"/>
      <family val="1"/>
    </font>
    <font>
      <b/>
      <sz val="22"/>
      <color theme="1"/>
      <name val="Calibri"/>
      <family val="2"/>
    </font>
    <font>
      <b/>
      <i/>
      <sz val="11"/>
      <color theme="0"/>
      <name val="Calibri"/>
      <family val="2"/>
    </font>
    <font>
      <b/>
      <sz val="11"/>
      <color theme="0"/>
      <name val="Calibri"/>
      <family val="2"/>
    </font>
    <font>
      <b/>
      <sz val="11"/>
      <color theme="1"/>
      <name val="Calibri"/>
      <family val="2"/>
    </font>
    <font>
      <b/>
      <i/>
      <sz val="11"/>
      <color theme="1"/>
      <name val="Calibri"/>
      <family val="2"/>
    </font>
    <font>
      <b/>
      <sz val="11"/>
      <color rgb="FFFFFFFF"/>
      <name val="Calibri"/>
      <family val="2"/>
    </font>
    <font>
      <sz val="11"/>
      <color rgb="FFFFFFFF"/>
      <name val="Calibri"/>
      <family val="2"/>
    </font>
    <font>
      <i/>
      <sz val="11"/>
      <color theme="1"/>
      <name val="Calibri"/>
      <family val="2"/>
    </font>
    <font>
      <sz val="11"/>
      <color rgb="FF0000FF"/>
      <name val="Calibri"/>
      <family val="2"/>
    </font>
    <font>
      <sz val="11"/>
      <color rgb="FF595959"/>
      <name val="Calibri"/>
      <family val="2"/>
    </font>
    <font>
      <sz val="11"/>
      <color theme="0"/>
      <name val="Calibri"/>
      <family val="2"/>
    </font>
    <font>
      <b/>
      <sz val="20"/>
      <color theme="1"/>
      <name val="Calibri"/>
      <family val="2"/>
    </font>
    <font>
      <sz val="11"/>
      <color rgb="FF000000"/>
      <name val="Calibri"/>
      <family val="2"/>
    </font>
    <font>
      <b/>
      <sz val="11"/>
      <color rgb="FF000000"/>
      <name val="Calibri"/>
      <family val="2"/>
    </font>
    <font>
      <sz val="11"/>
      <color theme="1" tint="4.9989318521683403E-2"/>
      <name val="Calibri"/>
      <family val="2"/>
    </font>
  </fonts>
  <fills count="10">
    <fill>
      <patternFill patternType="none"/>
    </fill>
    <fill>
      <patternFill patternType="gray125"/>
    </fill>
    <fill>
      <patternFill patternType="solid">
        <fgColor rgb="FFFFFCF1"/>
        <bgColor rgb="FFFFFCF1"/>
      </patternFill>
    </fill>
    <fill>
      <patternFill patternType="solid">
        <fgColor rgb="FFA92F2F"/>
        <bgColor rgb="FFA92F2F"/>
      </patternFill>
    </fill>
    <fill>
      <patternFill patternType="solid">
        <fgColor rgb="FFF77F00"/>
        <bgColor rgb="FFF77F00"/>
      </patternFill>
    </fill>
    <fill>
      <patternFill patternType="solid">
        <fgColor theme="4"/>
        <bgColor theme="4"/>
      </patternFill>
    </fill>
    <fill>
      <patternFill patternType="solid">
        <fgColor rgb="FFE6E6E6"/>
        <bgColor rgb="FFE6E6E6"/>
      </patternFill>
    </fill>
    <fill>
      <patternFill patternType="solid">
        <fgColor rgb="FF4472C4"/>
        <bgColor rgb="FF4472C4"/>
      </patternFill>
    </fill>
    <fill>
      <patternFill patternType="solid">
        <fgColor rgb="FFED7D31"/>
        <bgColor rgb="FFED7D31"/>
      </patternFill>
    </fill>
    <fill>
      <patternFill patternType="solid">
        <fgColor theme="5"/>
        <bgColor theme="5"/>
      </patternFill>
    </fill>
  </fills>
  <borders count="29">
    <border>
      <left/>
      <right/>
      <top/>
      <bottom/>
      <diagonal/>
    </border>
    <border>
      <left style="medium">
        <color rgb="FF000000"/>
      </left>
      <right/>
      <top/>
      <bottom/>
      <diagonal/>
    </border>
    <border>
      <left/>
      <right style="medium">
        <color rgb="FF000000"/>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right style="thin">
        <color rgb="FF000000"/>
      </right>
      <top style="double">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thin">
        <color rgb="FF000000"/>
      </bottom>
      <diagonal/>
    </border>
  </borders>
  <cellStyleXfs count="1">
    <xf numFmtId="0" fontId="0" fillId="0" borderId="0"/>
  </cellStyleXfs>
  <cellXfs count="162">
    <xf numFmtId="0" fontId="0" fillId="0" borderId="0" xfId="0"/>
    <xf numFmtId="0" fontId="2" fillId="0" borderId="0" xfId="0" applyFont="1"/>
    <xf numFmtId="0" fontId="9" fillId="0" borderId="0" xfId="0" applyFont="1"/>
    <xf numFmtId="0" fontId="12" fillId="0" borderId="0" xfId="0" applyFont="1"/>
    <xf numFmtId="0" fontId="14" fillId="0" borderId="0" xfId="0" applyFont="1"/>
    <xf numFmtId="0" fontId="15" fillId="0" borderId="0" xfId="0" applyFont="1"/>
    <xf numFmtId="0" fontId="16" fillId="0" borderId="0" xfId="0" applyFont="1"/>
    <xf numFmtId="0" fontId="2" fillId="0" borderId="0" xfId="0" applyFont="1" applyAlignment="1">
      <alignment horizontal="left"/>
    </xf>
    <xf numFmtId="0" fontId="18" fillId="0" borderId="0" xfId="0" applyFont="1" applyAlignment="1">
      <alignment horizontal="left"/>
    </xf>
    <xf numFmtId="0" fontId="19" fillId="8" borderId="10" xfId="0" applyFont="1" applyFill="1" applyBorder="1" applyAlignment="1">
      <alignment horizontal="left"/>
    </xf>
    <xf numFmtId="0" fontId="19" fillId="9" borderId="10" xfId="0" applyFont="1" applyFill="1" applyBorder="1" applyAlignment="1">
      <alignment horizontal="left"/>
    </xf>
    <xf numFmtId="0" fontId="2" fillId="0" borderId="11" xfId="0" applyFont="1" applyBorder="1" applyAlignment="1">
      <alignment vertical="center"/>
    </xf>
    <xf numFmtId="0" fontId="2" fillId="0" borderId="11" xfId="0" applyFont="1" applyBorder="1" applyAlignment="1">
      <alignment wrapText="1"/>
    </xf>
    <xf numFmtId="17" fontId="2" fillId="0" borderId="0" xfId="0" applyNumberFormat="1" applyFont="1"/>
    <xf numFmtId="1" fontId="2" fillId="0" borderId="0" xfId="0" applyNumberFormat="1" applyFont="1"/>
    <xf numFmtId="0" fontId="2" fillId="0" borderId="0" xfId="0" applyFont="1" applyAlignment="1">
      <alignment vertical="center"/>
    </xf>
    <xf numFmtId="0" fontId="2" fillId="0" borderId="0" xfId="0" applyFont="1" applyAlignment="1">
      <alignment wrapText="1"/>
    </xf>
    <xf numFmtId="0" fontId="2" fillId="0" borderId="0" xfId="0" applyFont="1" applyAlignment="1">
      <alignment horizontal="center"/>
    </xf>
    <xf numFmtId="0" fontId="2" fillId="0" borderId="0" xfId="0" applyFont="1" applyAlignment="1">
      <alignment horizontal="center" wrapText="1"/>
    </xf>
    <xf numFmtId="0" fontId="2" fillId="0" borderId="12" xfId="0" applyFont="1" applyBorder="1" applyAlignment="1">
      <alignment horizontal="center" wrapText="1"/>
    </xf>
    <xf numFmtId="0" fontId="2" fillId="0" borderId="12" xfId="0" applyFont="1" applyBorder="1" applyAlignment="1">
      <alignment wrapText="1"/>
    </xf>
    <xf numFmtId="0" fontId="2" fillId="0" borderId="11" xfId="0" applyFont="1" applyBorder="1"/>
    <xf numFmtId="1" fontId="2" fillId="0" borderId="11" xfId="0" applyNumberFormat="1" applyFont="1" applyBorder="1" applyAlignment="1">
      <alignment horizontal="center"/>
    </xf>
    <xf numFmtId="164" fontId="2" fillId="0" borderId="0" xfId="0" applyNumberFormat="1" applyFont="1" applyAlignment="1">
      <alignment horizontal="center"/>
    </xf>
    <xf numFmtId="1" fontId="2" fillId="0" borderId="0" xfId="0" applyNumberFormat="1" applyFont="1" applyAlignment="1">
      <alignment horizontal="center"/>
    </xf>
    <xf numFmtId="2" fontId="2" fillId="0" borderId="0" xfId="0" applyNumberFormat="1" applyFont="1" applyAlignment="1">
      <alignment horizontal="center"/>
    </xf>
    <xf numFmtId="2" fontId="2" fillId="0" borderId="11" xfId="0" applyNumberFormat="1" applyFont="1" applyBorder="1" applyAlignment="1">
      <alignment horizontal="center"/>
    </xf>
    <xf numFmtId="165" fontId="2" fillId="0" borderId="11" xfId="0" applyNumberFormat="1" applyFont="1" applyBorder="1" applyAlignment="1">
      <alignment horizontal="center"/>
    </xf>
    <xf numFmtId="164" fontId="2" fillId="0" borderId="11" xfId="0" applyNumberFormat="1" applyFont="1" applyBorder="1"/>
    <xf numFmtId="0" fontId="12" fillId="0" borderId="11" xfId="0" applyFont="1" applyBorder="1" applyAlignment="1">
      <alignment vertical="center"/>
    </xf>
    <xf numFmtId="0" fontId="12" fillId="0" borderId="11" xfId="0" applyFont="1" applyBorder="1" applyAlignment="1">
      <alignment wrapText="1"/>
    </xf>
    <xf numFmtId="0" fontId="17" fillId="0" borderId="11" xfId="0" applyFont="1" applyBorder="1" applyAlignment="1">
      <alignment vertical="center" wrapText="1"/>
    </xf>
    <xf numFmtId="0" fontId="2" fillId="0" borderId="20" xfId="0" applyFont="1" applyBorder="1" applyAlignment="1">
      <alignment horizontal="center"/>
    </xf>
    <xf numFmtId="1" fontId="17" fillId="0" borderId="20" xfId="0" applyNumberFormat="1" applyFont="1" applyBorder="1"/>
    <xf numFmtId="1" fontId="2" fillId="0" borderId="20" xfId="0" applyNumberFormat="1" applyFont="1" applyBorder="1"/>
    <xf numFmtId="1" fontId="17" fillId="0" borderId="0" xfId="0" applyNumberFormat="1" applyFont="1"/>
    <xf numFmtId="164" fontId="17" fillId="0" borderId="0" xfId="0" applyNumberFormat="1" applyFont="1"/>
    <xf numFmtId="164" fontId="2" fillId="0" borderId="0" xfId="0" applyNumberFormat="1" applyFont="1"/>
    <xf numFmtId="0" fontId="2" fillId="0" borderId="19" xfId="0" applyFont="1" applyBorder="1" applyAlignment="1">
      <alignment horizontal="center"/>
    </xf>
    <xf numFmtId="164" fontId="2" fillId="0" borderId="19" xfId="0" applyNumberFormat="1" applyFont="1" applyBorder="1"/>
    <xf numFmtId="164" fontId="17" fillId="0" borderId="19" xfId="0" applyNumberFormat="1" applyFont="1" applyBorder="1"/>
    <xf numFmtId="164" fontId="17" fillId="0" borderId="0" xfId="0" applyNumberFormat="1" applyFont="1" applyAlignment="1">
      <alignment horizontal="center"/>
    </xf>
    <xf numFmtId="0" fontId="2" fillId="0" borderId="20" xfId="0" applyFont="1" applyBorder="1"/>
    <xf numFmtId="2" fontId="17" fillId="0" borderId="20" xfId="0" applyNumberFormat="1" applyFont="1" applyBorder="1"/>
    <xf numFmtId="166" fontId="2" fillId="0" borderId="0" xfId="0" applyNumberFormat="1" applyFont="1"/>
    <xf numFmtId="2" fontId="2" fillId="0" borderId="0" xfId="0" applyNumberFormat="1" applyFont="1"/>
    <xf numFmtId="167" fontId="17" fillId="0" borderId="0" xfId="0" applyNumberFormat="1" applyFont="1" applyAlignment="1">
      <alignment horizontal="center"/>
    </xf>
    <xf numFmtId="2" fontId="17" fillId="0" borderId="0" xfId="0" applyNumberFormat="1" applyFont="1" applyAlignment="1">
      <alignment horizontal="right"/>
    </xf>
    <xf numFmtId="2" fontId="2" fillId="0" borderId="0" xfId="0" applyNumberFormat="1" applyFont="1" applyAlignment="1">
      <alignment horizontal="right"/>
    </xf>
    <xf numFmtId="2" fontId="2" fillId="0" borderId="19" xfId="0" applyNumberFormat="1" applyFont="1" applyBorder="1" applyAlignment="1">
      <alignment horizontal="right"/>
    </xf>
    <xf numFmtId="1" fontId="2" fillId="0" borderId="0" xfId="0" applyNumberFormat="1" applyFont="1" applyAlignment="1">
      <alignment horizontal="center" wrapText="1"/>
    </xf>
    <xf numFmtId="0" fontId="2" fillId="0" borderId="19" xfId="0" applyFont="1" applyBorder="1" applyAlignment="1">
      <alignment horizontal="center" wrapText="1"/>
    </xf>
    <xf numFmtId="168" fontId="2" fillId="0" borderId="0" xfId="0" applyNumberFormat="1" applyFont="1"/>
    <xf numFmtId="1" fontId="17" fillId="0" borderId="0" xfId="0" applyNumberFormat="1" applyFont="1" applyAlignment="1">
      <alignment horizontal="center"/>
    </xf>
    <xf numFmtId="2" fontId="2" fillId="0" borderId="20" xfId="0" applyNumberFormat="1" applyFont="1" applyBorder="1"/>
    <xf numFmtId="2" fontId="2" fillId="0" borderId="19" xfId="0" applyNumberFormat="1" applyFont="1" applyBorder="1"/>
    <xf numFmtId="1" fontId="2" fillId="0" borderId="19" xfId="0" applyNumberFormat="1" applyFont="1" applyBorder="1"/>
    <xf numFmtId="0" fontId="2" fillId="0" borderId="12" xfId="0" quotePrefix="1" applyFont="1" applyBorder="1" applyAlignment="1">
      <alignment horizontal="center" wrapText="1"/>
    </xf>
    <xf numFmtId="165" fontId="2" fillId="0" borderId="0" xfId="0" applyNumberFormat="1" applyFont="1"/>
    <xf numFmtId="0" fontId="2" fillId="0" borderId="19" xfId="0" applyFont="1" applyBorder="1"/>
    <xf numFmtId="2" fontId="17" fillId="0" borderId="0" xfId="0" applyNumberFormat="1" applyFont="1"/>
    <xf numFmtId="1" fontId="2" fillId="0" borderId="0" xfId="0" applyNumberFormat="1" applyFont="1" applyAlignment="1">
      <alignment horizontal="center" vertical="center"/>
    </xf>
    <xf numFmtId="164" fontId="0" fillId="0" borderId="0" xfId="0" applyNumberFormat="1"/>
    <xf numFmtId="164" fontId="17" fillId="0" borderId="3" xfId="0" applyNumberFormat="1" applyFont="1" applyBorder="1"/>
    <xf numFmtId="0" fontId="0" fillId="0" borderId="3" xfId="0" applyBorder="1"/>
    <xf numFmtId="0" fontId="2" fillId="0" borderId="23" xfId="0" applyFont="1" applyBorder="1" applyAlignment="1">
      <alignment horizontal="center"/>
    </xf>
    <xf numFmtId="0" fontId="0" fillId="0" borderId="23" xfId="0" applyBorder="1"/>
    <xf numFmtId="0" fontId="2" fillId="0" borderId="23" xfId="0" applyFont="1" applyBorder="1" applyAlignment="1">
      <alignment wrapText="1"/>
    </xf>
    <xf numFmtId="0" fontId="2" fillId="0" borderId="24" xfId="0" applyFont="1" applyBorder="1" applyAlignment="1">
      <alignment horizontal="center"/>
    </xf>
    <xf numFmtId="0" fontId="2" fillId="2" borderId="3" xfId="0" applyFont="1" applyFill="1" applyBorder="1"/>
    <xf numFmtId="0" fontId="5" fillId="2" borderId="3" xfId="0" applyFont="1" applyFill="1" applyBorder="1"/>
    <xf numFmtId="0" fontId="6" fillId="2" borderId="3" xfId="0" applyFont="1" applyFill="1" applyBorder="1"/>
    <xf numFmtId="0" fontId="7" fillId="2" borderId="3" xfId="0" applyFont="1" applyFill="1" applyBorder="1" applyAlignment="1">
      <alignment horizontal="center" vertical="center"/>
    </xf>
    <xf numFmtId="49" fontId="5" fillId="2" borderId="3" xfId="0" applyNumberFormat="1" applyFont="1" applyFill="1" applyBorder="1" applyAlignment="1">
      <alignment horizontal="left"/>
    </xf>
    <xf numFmtId="0" fontId="2" fillId="2" borderId="3" xfId="0" applyFont="1" applyFill="1" applyBorder="1" applyAlignment="1">
      <alignment horizontal="center"/>
    </xf>
    <xf numFmtId="0" fontId="10" fillId="5" borderId="3" xfId="0" applyFont="1" applyFill="1" applyBorder="1" applyAlignment="1">
      <alignment horizontal="left"/>
    </xf>
    <xf numFmtId="0" fontId="11" fillId="5" borderId="3" xfId="0" applyFont="1" applyFill="1" applyBorder="1" applyAlignment="1">
      <alignment horizontal="left"/>
    </xf>
    <xf numFmtId="0" fontId="13" fillId="6" borderId="3" xfId="0" applyFont="1" applyFill="1" applyBorder="1"/>
    <xf numFmtId="0" fontId="12" fillId="6" borderId="3" xfId="0" applyFont="1" applyFill="1" applyBorder="1"/>
    <xf numFmtId="0" fontId="2" fillId="0" borderId="10" xfId="0" applyFont="1" applyBorder="1"/>
    <xf numFmtId="0" fontId="19" fillId="7" borderId="3" xfId="0" applyFont="1" applyFill="1" applyBorder="1" applyAlignment="1">
      <alignment horizontal="left"/>
    </xf>
    <xf numFmtId="0" fontId="19" fillId="5" borderId="3" xfId="0" applyFont="1" applyFill="1" applyBorder="1" applyAlignment="1">
      <alignment horizontal="left"/>
    </xf>
    <xf numFmtId="0" fontId="1" fillId="0" borderId="0" xfId="0" applyFont="1"/>
    <xf numFmtId="166" fontId="17" fillId="0" borderId="0" xfId="0" applyNumberFormat="1" applyFont="1" applyAlignment="1">
      <alignment horizontal="center" wrapText="1"/>
    </xf>
    <xf numFmtId="164" fontId="17" fillId="0" borderId="0" xfId="0" applyNumberFormat="1" applyFont="1" applyAlignment="1">
      <alignment wrapText="1"/>
    </xf>
    <xf numFmtId="164" fontId="17" fillId="0" borderId="0" xfId="0" applyNumberFormat="1" applyFont="1" applyAlignment="1">
      <alignment horizontal="center" wrapText="1"/>
    </xf>
    <xf numFmtId="1" fontId="17" fillId="0" borderId="0" xfId="0" applyNumberFormat="1" applyFont="1" applyAlignment="1">
      <alignment horizontal="center" wrapText="1"/>
    </xf>
    <xf numFmtId="2" fontId="17" fillId="0" borderId="0" xfId="0" applyNumberFormat="1" applyFont="1" applyAlignment="1">
      <alignment wrapText="1"/>
    </xf>
    <xf numFmtId="0" fontId="2" fillId="0" borderId="11" xfId="0" applyFont="1" applyBorder="1" applyAlignment="1">
      <alignment horizontal="center" vertical="center"/>
    </xf>
    <xf numFmtId="0" fontId="2" fillId="0" borderId="11" xfId="0" applyFont="1" applyBorder="1" applyAlignment="1">
      <alignment horizontal="left" vertical="center" wrapText="1"/>
    </xf>
    <xf numFmtId="0" fontId="21" fillId="0" borderId="0" xfId="0" applyFont="1" applyAlignment="1">
      <alignment horizontal="left"/>
    </xf>
    <xf numFmtId="0" fontId="21" fillId="0" borderId="10" xfId="0" applyFont="1" applyBorder="1"/>
    <xf numFmtId="10" fontId="23" fillId="0" borderId="0" xfId="0" applyNumberFormat="1" applyFont="1" applyAlignment="1">
      <alignment horizontal="right" vertical="center" wrapText="1"/>
    </xf>
    <xf numFmtId="0" fontId="2" fillId="0" borderId="3" xfId="0" applyFont="1" applyBorder="1" applyAlignment="1">
      <alignment horizontal="center"/>
    </xf>
    <xf numFmtId="1" fontId="17" fillId="0" borderId="3" xfId="0" applyNumberFormat="1" applyFont="1" applyBorder="1"/>
    <xf numFmtId="1" fontId="2" fillId="0" borderId="3" xfId="0" applyNumberFormat="1" applyFont="1" applyBorder="1"/>
    <xf numFmtId="164" fontId="2" fillId="0" borderId="3" xfId="0" applyNumberFormat="1" applyFont="1" applyBorder="1"/>
    <xf numFmtId="164" fontId="17" fillId="0" borderId="24" xfId="0" applyNumberFormat="1" applyFont="1" applyBorder="1"/>
    <xf numFmtId="164" fontId="2" fillId="0" borderId="24" xfId="0" applyNumberFormat="1" applyFont="1" applyBorder="1"/>
    <xf numFmtId="2" fontId="17" fillId="0" borderId="3" xfId="0" applyNumberFormat="1" applyFont="1" applyBorder="1"/>
    <xf numFmtId="2" fontId="17" fillId="0" borderId="24" xfId="0" applyNumberFormat="1" applyFont="1" applyBorder="1"/>
    <xf numFmtId="164" fontId="23" fillId="0" borderId="0" xfId="0" applyNumberFormat="1" applyFont="1"/>
    <xf numFmtId="0" fontId="2" fillId="0" borderId="0" xfId="0" applyFont="1" applyAlignment="1">
      <alignment horizontal="center"/>
    </xf>
    <xf numFmtId="0" fontId="8" fillId="2" borderId="1" xfId="0" applyFont="1" applyFill="1" applyBorder="1" applyAlignment="1">
      <alignment horizontal="center"/>
    </xf>
    <xf numFmtId="0" fontId="3" fillId="0" borderId="3" xfId="0" applyFont="1" applyBorder="1" applyAlignment="1"/>
    <xf numFmtId="0" fontId="3" fillId="0" borderId="2" xfId="0" applyFont="1" applyBorder="1" applyAlignment="1"/>
    <xf numFmtId="0" fontId="2" fillId="2" borderId="7" xfId="0" applyFont="1" applyFill="1" applyBorder="1" applyAlignment="1">
      <alignment horizontal="center"/>
    </xf>
    <xf numFmtId="0" fontId="3" fillId="0" borderId="8" xfId="0" applyFont="1" applyBorder="1" applyAlignment="1"/>
    <xf numFmtId="0" fontId="3" fillId="0" borderId="9" xfId="0" applyFont="1" applyBorder="1" applyAlignment="1"/>
    <xf numFmtId="0" fontId="2" fillId="3" borderId="4" xfId="0" applyFont="1" applyFill="1" applyBorder="1" applyAlignment="1">
      <alignment horizontal="center"/>
    </xf>
    <xf numFmtId="0" fontId="3" fillId="0" borderId="5" xfId="0" applyFont="1" applyBorder="1" applyAlignment="1"/>
    <xf numFmtId="0" fontId="3" fillId="0" borderId="6" xfId="0" applyFont="1" applyBorder="1" applyAlignment="1"/>
    <xf numFmtId="0" fontId="3" fillId="0" borderId="1" xfId="0" applyFont="1" applyBorder="1" applyAlignment="1"/>
    <xf numFmtId="0" fontId="0" fillId="0" borderId="0" xfId="0" applyAlignment="1"/>
    <xf numFmtId="0" fontId="4" fillId="2" borderId="1" xfId="0" applyFont="1" applyFill="1" applyBorder="1" applyAlignment="1">
      <alignment horizontal="center"/>
    </xf>
    <xf numFmtId="0" fontId="2" fillId="4" borderId="1" xfId="0" applyFont="1" applyFill="1" applyBorder="1" applyAlignment="1">
      <alignment horizontal="center"/>
    </xf>
    <xf numFmtId="0" fontId="3" fillId="0" borderId="7" xfId="0" applyFont="1" applyBorder="1" applyAlignment="1"/>
    <xf numFmtId="0" fontId="6" fillId="2" borderId="3" xfId="0" applyFont="1" applyFill="1" applyBorder="1" applyAlignment="1">
      <alignment horizontal="center" wrapText="1"/>
    </xf>
    <xf numFmtId="0" fontId="3" fillId="0" borderId="3" xfId="0" applyFont="1" applyBorder="1" applyAlignment="1">
      <alignment wrapText="1"/>
    </xf>
    <xf numFmtId="0" fontId="0" fillId="0" borderId="0" xfId="0" applyAlignment="1">
      <alignment wrapText="1"/>
    </xf>
    <xf numFmtId="0" fontId="2" fillId="2" borderId="4" xfId="0" applyFont="1" applyFill="1" applyBorder="1" applyAlignment="1">
      <alignment horizontal="center"/>
    </xf>
    <xf numFmtId="0" fontId="1" fillId="0" borderId="25" xfId="0" applyFont="1" applyBorder="1" applyAlignment="1">
      <alignment horizontal="center" wrapText="1"/>
    </xf>
    <xf numFmtId="0" fontId="1" fillId="0" borderId="26" xfId="0" applyFont="1" applyBorder="1" applyAlignment="1">
      <alignment horizontal="center" wrapText="1"/>
    </xf>
    <xf numFmtId="0" fontId="1" fillId="0" borderId="27" xfId="0" applyFont="1" applyBorder="1" applyAlignment="1">
      <alignment horizontal="center" wrapText="1"/>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1" fillId="0" borderId="25" xfId="0" applyFont="1" applyBorder="1" applyAlignment="1">
      <alignment horizontal="center"/>
    </xf>
    <xf numFmtId="0" fontId="1" fillId="0" borderId="26" xfId="0" applyFont="1" applyBorder="1" applyAlignment="1">
      <alignment horizontal="center"/>
    </xf>
    <xf numFmtId="0" fontId="1" fillId="0" borderId="28" xfId="0" applyFont="1" applyBorder="1" applyAlignment="1">
      <alignment horizontal="center"/>
    </xf>
    <xf numFmtId="0" fontId="0" fillId="0" borderId="28" xfId="0" applyBorder="1" applyAlignment="1">
      <alignment horizontal="center"/>
    </xf>
    <xf numFmtId="0" fontId="2" fillId="0" borderId="13" xfId="0" applyFont="1" applyBorder="1" applyAlignment="1">
      <alignment horizontal="center" wrapText="1"/>
    </xf>
    <xf numFmtId="0" fontId="3" fillId="0" borderId="13" xfId="0" applyFont="1" applyBorder="1" applyAlignment="1"/>
    <xf numFmtId="0" fontId="2" fillId="0" borderId="14" xfId="0" applyFont="1" applyBorder="1" applyAlignment="1">
      <alignment horizontal="center" wrapText="1"/>
    </xf>
    <xf numFmtId="0" fontId="3" fillId="0" borderId="15" xfId="0" applyFont="1" applyBorder="1" applyAlignment="1"/>
    <xf numFmtId="0" fontId="2" fillId="0" borderId="16" xfId="0" applyFont="1" applyBorder="1" applyAlignment="1">
      <alignment horizontal="center" wrapText="1"/>
    </xf>
    <xf numFmtId="0" fontId="3" fillId="0" borderId="17" xfId="0" applyFont="1" applyBorder="1" applyAlignment="1"/>
    <xf numFmtId="0" fontId="3" fillId="0" borderId="18" xfId="0" applyFont="1" applyBorder="1" applyAlignment="1"/>
    <xf numFmtId="0" fontId="2" fillId="0" borderId="12" xfId="0" applyFont="1" applyBorder="1" applyAlignment="1">
      <alignment horizontal="center" wrapText="1"/>
    </xf>
    <xf numFmtId="0" fontId="3" fillId="0" borderId="12" xfId="0" applyFont="1" applyBorder="1" applyAlignment="1"/>
    <xf numFmtId="0" fontId="2" fillId="0" borderId="12" xfId="0" applyFont="1" applyBorder="1" applyAlignment="1">
      <alignment horizontal="center"/>
    </xf>
    <xf numFmtId="0" fontId="2" fillId="0" borderId="13" xfId="0" applyFont="1" applyBorder="1" applyAlignment="1">
      <alignment horizontal="center" vertical="center" wrapText="1"/>
    </xf>
    <xf numFmtId="0" fontId="21" fillId="0" borderId="10" xfId="0" applyFont="1" applyBorder="1" applyAlignment="1">
      <alignment horizontal="left" wrapText="1"/>
    </xf>
    <xf numFmtId="0" fontId="2" fillId="0" borderId="10" xfId="0" applyFont="1" applyBorder="1" applyAlignment="1">
      <alignment horizontal="left" wrapText="1"/>
    </xf>
    <xf numFmtId="0" fontId="17" fillId="0" borderId="0" xfId="0" quotePrefix="1" applyFont="1" applyAlignment="1">
      <alignment horizontal="left" wrapText="1"/>
    </xf>
    <xf numFmtId="0" fontId="16" fillId="0" borderId="0" xfId="0" applyFont="1" applyAlignment="1">
      <alignment horizontal="left"/>
    </xf>
    <xf numFmtId="0" fontId="17" fillId="0" borderId="19" xfId="0" applyFont="1" applyBorder="1" applyAlignment="1">
      <alignment horizontal="left"/>
    </xf>
    <xf numFmtId="0" fontId="3" fillId="0" borderId="19" xfId="0" applyFont="1" applyBorder="1" applyAlignment="1"/>
    <xf numFmtId="0" fontId="2" fillId="0" borderId="0" xfId="0" applyFont="1" applyAlignment="1">
      <alignment horizontal="center"/>
    </xf>
    <xf numFmtId="0" fontId="2" fillId="0" borderId="0" xfId="0" applyFont="1" applyAlignment="1">
      <alignment horizontal="left"/>
    </xf>
    <xf numFmtId="0" fontId="20" fillId="0" borderId="20" xfId="0" applyFont="1" applyBorder="1" applyAlignment="1">
      <alignment horizontal="center" vertical="center"/>
    </xf>
    <xf numFmtId="0" fontId="3" fillId="0" borderId="20" xfId="0" applyFont="1" applyBorder="1" applyAlignment="1"/>
    <xf numFmtId="0" fontId="2" fillId="0" borderId="20" xfId="0" applyFont="1" applyBorder="1" applyAlignment="1">
      <alignment horizontal="center" vertical="center" wrapText="1"/>
    </xf>
    <xf numFmtId="0" fontId="2" fillId="0" borderId="0" xfId="0" applyFont="1" applyAlignment="1">
      <alignment horizontal="center" vertical="center" wrapText="1"/>
    </xf>
    <xf numFmtId="0" fontId="0" fillId="0" borderId="3" xfId="0" applyBorder="1" applyAlignment="1"/>
    <xf numFmtId="0" fontId="3" fillId="0" borderId="24" xfId="0" applyFont="1" applyBorder="1" applyAlignment="1"/>
    <xf numFmtId="1" fontId="2" fillId="0" borderId="21" xfId="0" applyNumberFormat="1" applyFont="1" applyBorder="1" applyAlignment="1">
      <alignment horizontal="center" vertical="center" wrapText="1"/>
    </xf>
    <xf numFmtId="0" fontId="3" fillId="0" borderId="21" xfId="0" applyFont="1" applyBorder="1" applyAlignment="1"/>
    <xf numFmtId="0" fontId="3" fillId="0" borderId="22" xfId="0" applyFont="1" applyBorder="1" applyAlignment="1"/>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33">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9C0006"/>
      </font>
      <fill>
        <patternFill patternType="solid">
          <fgColor rgb="FFFF0000"/>
          <bgColor rgb="FFFF0000"/>
        </patternFill>
      </fill>
    </dxf>
    <dxf>
      <font>
        <color rgb="FF9C0006"/>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9C0006"/>
      </font>
      <fill>
        <patternFill patternType="solid">
          <fgColor rgb="FFFF0000"/>
          <bgColor rgb="FFFF0000"/>
        </patternFill>
      </fill>
    </dxf>
    <dxf>
      <font>
        <color rgb="FF9C0006"/>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9C0006"/>
      </font>
      <fill>
        <patternFill patternType="solid">
          <fgColor rgb="FFFF0000"/>
          <bgColor rgb="FFFF0000"/>
        </patternFill>
      </fill>
    </dxf>
    <dxf>
      <font>
        <color rgb="FF9C0006"/>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9C0006"/>
      </font>
      <fill>
        <patternFill patternType="solid">
          <fgColor rgb="FFFF0000"/>
          <bgColor rgb="FFFF0000"/>
        </patternFill>
      </fill>
    </dxf>
    <dxf>
      <font>
        <color rgb="FF9C0006"/>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9C0006"/>
      </font>
      <fill>
        <patternFill patternType="solid">
          <fgColor rgb="FFFF0000"/>
          <bgColor rgb="FFFF0000"/>
        </patternFill>
      </fill>
    </dxf>
    <dxf>
      <font>
        <color rgb="FF9C0006"/>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9C0006"/>
      </font>
      <fill>
        <patternFill patternType="solid">
          <fgColor rgb="FFFF0000"/>
          <bgColor rgb="FFFF0000"/>
        </patternFill>
      </fill>
    </dxf>
    <dxf>
      <font>
        <color rgb="FF9C0006"/>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9C0006"/>
      </font>
      <fill>
        <patternFill patternType="solid">
          <fgColor rgb="FFFF0000"/>
          <bgColor rgb="FFFF0000"/>
        </patternFill>
      </fill>
    </dxf>
    <dxf>
      <font>
        <color rgb="FF9C0006"/>
      </font>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xbar Chart</a:t>
            </a:r>
          </a:p>
        </c:rich>
      </c:tx>
      <c:overlay val="0"/>
    </c:title>
    <c:autoTitleDeleted val="0"/>
    <c:plotArea>
      <c:layout/>
      <c:lineChart>
        <c:grouping val="standard"/>
        <c:varyColors val="1"/>
        <c:ser>
          <c:idx val="0"/>
          <c:order val="0"/>
          <c:tx>
            <c:v>Rata-rata (xi bar)</c:v>
          </c:tx>
          <c:spPr>
            <a:ln w="28575" cmpd="sng">
              <a:solidFill>
                <a:schemeClr val="accent1"/>
              </a:solidFill>
            </a:ln>
          </c:spPr>
          <c:marker>
            <c:symbol val="circle"/>
            <c:size val="5"/>
            <c:spPr>
              <a:solidFill>
                <a:schemeClr val="accent1"/>
              </a:solidFill>
              <a:ln cmpd="sng">
                <a:solidFill>
                  <a:schemeClr val="accent1"/>
                </a:solidFill>
              </a:ln>
            </c:spPr>
          </c:marker>
          <c:val>
            <c:numRef>
              <c:f>'Peta Kendali xbar-R'!$H$42:$H$66</c:f>
              <c:numCache>
                <c:formatCode>0.000</c:formatCode>
                <c:ptCount val="25"/>
              </c:numCache>
            </c:numRef>
          </c:val>
          <c:smooth val="0"/>
          <c:extLst>
            <c:ext xmlns:c16="http://schemas.microsoft.com/office/drawing/2014/chart" uri="{C3380CC4-5D6E-409C-BE32-E72D297353CC}">
              <c16:uniqueId val="{00000000-106D-4555-B9BA-10BBC6778B18}"/>
            </c:ext>
          </c:extLst>
        </c:ser>
        <c:ser>
          <c:idx val="1"/>
          <c:order val="1"/>
          <c:tx>
            <c:v>GT xbar</c:v>
          </c:tx>
          <c:spPr>
            <a:ln w="28575" cmpd="sng">
              <a:solidFill>
                <a:schemeClr val="accent2"/>
              </a:solidFill>
            </a:ln>
          </c:spPr>
          <c:marker>
            <c:symbol val="circle"/>
            <c:size val="5"/>
            <c:spPr>
              <a:solidFill>
                <a:schemeClr val="accent2"/>
              </a:solidFill>
              <a:ln cmpd="sng">
                <a:solidFill>
                  <a:schemeClr val="accent2"/>
                </a:solidFill>
              </a:ln>
            </c:spPr>
          </c:marker>
          <c:val>
            <c:numRef>
              <c:f>'Peta Kendali xbar-R'!$M$42:$M$66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106D-4555-B9BA-10BBC6778B18}"/>
            </c:ext>
          </c:extLst>
        </c:ser>
        <c:ser>
          <c:idx val="2"/>
          <c:order val="2"/>
          <c:tx>
            <c:v>BKA xbar</c:v>
          </c:tx>
          <c:spPr>
            <a:ln w="28575" cmpd="sng">
              <a:solidFill>
                <a:schemeClr val="accent3"/>
              </a:solidFill>
            </a:ln>
          </c:spPr>
          <c:marker>
            <c:symbol val="circle"/>
            <c:size val="5"/>
            <c:spPr>
              <a:solidFill>
                <a:schemeClr val="accent3"/>
              </a:solidFill>
              <a:ln cmpd="sng">
                <a:solidFill>
                  <a:schemeClr val="accent3"/>
                </a:solidFill>
              </a:ln>
            </c:spPr>
          </c:marker>
          <c:val>
            <c:numRef>
              <c:f>'Peta Kendali xbar-R'!$N$42:$N$66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106D-4555-B9BA-10BBC6778B18}"/>
            </c:ext>
          </c:extLst>
        </c:ser>
        <c:ser>
          <c:idx val="3"/>
          <c:order val="3"/>
          <c:tx>
            <c:v>BKB xbar</c:v>
          </c:tx>
          <c:spPr>
            <a:ln w="28575" cmpd="sng">
              <a:solidFill>
                <a:schemeClr val="accent4"/>
              </a:solidFill>
            </a:ln>
          </c:spPr>
          <c:marker>
            <c:symbol val="circle"/>
            <c:size val="5"/>
            <c:spPr>
              <a:solidFill>
                <a:schemeClr val="accent4"/>
              </a:solidFill>
              <a:ln cmpd="sng">
                <a:solidFill>
                  <a:schemeClr val="accent4"/>
                </a:solidFill>
              </a:ln>
            </c:spPr>
          </c:marker>
          <c:val>
            <c:numRef>
              <c:f>'Peta Kendali xbar-R'!$O$42:$O$66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106D-4555-B9BA-10BBC6778B18}"/>
            </c:ext>
          </c:extLst>
        </c:ser>
        <c:dLbls>
          <c:showLegendKey val="0"/>
          <c:showVal val="0"/>
          <c:showCatName val="0"/>
          <c:showSerName val="0"/>
          <c:showPercent val="0"/>
          <c:showBubbleSize val="0"/>
        </c:dLbls>
        <c:marker val="1"/>
        <c:smooth val="0"/>
        <c:axId val="396683789"/>
        <c:axId val="1664930870"/>
      </c:lineChart>
      <c:catAx>
        <c:axId val="396683789"/>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664930870"/>
        <c:crosses val="autoZero"/>
        <c:auto val="1"/>
        <c:lblAlgn val="ctr"/>
        <c:lblOffset val="100"/>
        <c:noMultiLvlLbl val="1"/>
      </c:catAx>
      <c:valAx>
        <c:axId val="166493087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396683789"/>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R Chart</a:t>
            </a:r>
          </a:p>
        </c:rich>
      </c:tx>
      <c:overlay val="0"/>
    </c:title>
    <c:autoTitleDeleted val="0"/>
    <c:plotArea>
      <c:layout/>
      <c:lineChart>
        <c:grouping val="standard"/>
        <c:varyColors val="1"/>
        <c:ser>
          <c:idx val="0"/>
          <c:order val="0"/>
          <c:tx>
            <c:v>Range (Ri)</c:v>
          </c:tx>
          <c:spPr>
            <a:ln w="28575" cmpd="sng">
              <a:solidFill>
                <a:schemeClr val="accent1"/>
              </a:solidFill>
            </a:ln>
          </c:spPr>
          <c:marker>
            <c:symbol val="circle"/>
            <c:size val="5"/>
            <c:spPr>
              <a:solidFill>
                <a:schemeClr val="accent1"/>
              </a:solidFill>
              <a:ln cmpd="sng">
                <a:solidFill>
                  <a:schemeClr val="accent1"/>
                </a:solidFill>
              </a:ln>
            </c:spPr>
          </c:marker>
          <c:val>
            <c:numRef>
              <c:f>'Peta Kendali xbar-R'!$I$42:$I$66</c:f>
              <c:numCache>
                <c:formatCode>0.00000</c:formatCode>
                <c:ptCount val="25"/>
              </c:numCache>
            </c:numRef>
          </c:val>
          <c:smooth val="0"/>
          <c:extLst>
            <c:ext xmlns:c16="http://schemas.microsoft.com/office/drawing/2014/chart" uri="{C3380CC4-5D6E-409C-BE32-E72D297353CC}">
              <c16:uniqueId val="{00000000-9CAB-4448-AD42-6FF7A6FEFE5A}"/>
            </c:ext>
          </c:extLst>
        </c:ser>
        <c:ser>
          <c:idx val="1"/>
          <c:order val="1"/>
          <c:tx>
            <c:v>GT R</c:v>
          </c:tx>
          <c:spPr>
            <a:ln w="28575" cmpd="sng">
              <a:solidFill>
                <a:schemeClr val="accent2"/>
              </a:solidFill>
            </a:ln>
          </c:spPr>
          <c:marker>
            <c:symbol val="circle"/>
            <c:size val="5"/>
            <c:spPr>
              <a:solidFill>
                <a:schemeClr val="accent2"/>
              </a:solidFill>
              <a:ln cmpd="sng">
                <a:solidFill>
                  <a:schemeClr val="accent2"/>
                </a:solidFill>
              </a:ln>
            </c:spPr>
          </c:marker>
          <c:val>
            <c:numRef>
              <c:f>'Peta Kendali xbar-R'!$J$42:$J$66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9CAB-4448-AD42-6FF7A6FEFE5A}"/>
            </c:ext>
          </c:extLst>
        </c:ser>
        <c:ser>
          <c:idx val="2"/>
          <c:order val="2"/>
          <c:tx>
            <c:v>BKA R</c:v>
          </c:tx>
          <c:spPr>
            <a:ln w="28575" cmpd="sng">
              <a:solidFill>
                <a:schemeClr val="accent3"/>
              </a:solidFill>
            </a:ln>
          </c:spPr>
          <c:marker>
            <c:symbol val="circle"/>
            <c:size val="5"/>
            <c:spPr>
              <a:solidFill>
                <a:schemeClr val="accent3"/>
              </a:solidFill>
              <a:ln cmpd="sng">
                <a:solidFill>
                  <a:schemeClr val="accent3"/>
                </a:solidFill>
              </a:ln>
            </c:spPr>
          </c:marker>
          <c:val>
            <c:numRef>
              <c:f>'Peta Kendali xbar-R'!$K$42:$K$66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9CAB-4448-AD42-6FF7A6FEFE5A}"/>
            </c:ext>
          </c:extLst>
        </c:ser>
        <c:ser>
          <c:idx val="3"/>
          <c:order val="3"/>
          <c:tx>
            <c:v>BKB R</c:v>
          </c:tx>
          <c:spPr>
            <a:ln w="28575" cmpd="sng">
              <a:solidFill>
                <a:schemeClr val="accent4"/>
              </a:solidFill>
            </a:ln>
          </c:spPr>
          <c:marker>
            <c:symbol val="circle"/>
            <c:size val="5"/>
            <c:spPr>
              <a:solidFill>
                <a:schemeClr val="accent4"/>
              </a:solidFill>
              <a:ln cmpd="sng">
                <a:solidFill>
                  <a:schemeClr val="accent4"/>
                </a:solidFill>
              </a:ln>
            </c:spPr>
          </c:marker>
          <c:val>
            <c:numRef>
              <c:f>'Peta Kendali xbar-R'!$L$42:$L$66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9CAB-4448-AD42-6FF7A6FEFE5A}"/>
            </c:ext>
          </c:extLst>
        </c:ser>
        <c:dLbls>
          <c:showLegendKey val="0"/>
          <c:showVal val="0"/>
          <c:showCatName val="0"/>
          <c:showSerName val="0"/>
          <c:showPercent val="0"/>
          <c:showBubbleSize val="0"/>
        </c:dLbls>
        <c:marker val="1"/>
        <c:smooth val="0"/>
        <c:axId val="1272885368"/>
        <c:axId val="1928398395"/>
      </c:lineChart>
      <c:catAx>
        <c:axId val="1272885368"/>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928398395"/>
        <c:crosses val="autoZero"/>
        <c:auto val="1"/>
        <c:lblAlgn val="ctr"/>
        <c:lblOffset val="100"/>
        <c:noMultiLvlLbl val="1"/>
      </c:catAx>
      <c:valAx>
        <c:axId val="19283983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00" sourceLinked="1"/>
        <c:majorTickMark val="none"/>
        <c:minorTickMark val="none"/>
        <c:tickLblPos val="nextTo"/>
        <c:spPr>
          <a:ln/>
        </c:spPr>
        <c:txPr>
          <a:bodyPr/>
          <a:lstStyle/>
          <a:p>
            <a:pPr lvl="0">
              <a:defRPr sz="900" b="0" i="0">
                <a:solidFill>
                  <a:srgbClr val="000000"/>
                </a:solidFill>
                <a:latin typeface="+mn-lt"/>
              </a:defRPr>
            </a:pPr>
            <a:endParaRPr lang="en-US"/>
          </a:p>
        </c:txPr>
        <c:crossAx val="1272885368"/>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xbar Chart</a:t>
            </a:r>
          </a:p>
        </c:rich>
      </c:tx>
      <c:overlay val="0"/>
    </c:title>
    <c:autoTitleDeleted val="0"/>
    <c:plotArea>
      <c:layout/>
      <c:lineChart>
        <c:grouping val="standard"/>
        <c:varyColors val="1"/>
        <c:ser>
          <c:idx val="0"/>
          <c:order val="0"/>
          <c:tx>
            <c:v>Rata-rata (xi bar)</c:v>
          </c:tx>
          <c:spPr>
            <a:ln w="28575" cmpd="sng">
              <a:solidFill>
                <a:schemeClr val="accent1"/>
              </a:solidFill>
            </a:ln>
          </c:spPr>
          <c:marker>
            <c:symbol val="circle"/>
            <c:size val="5"/>
            <c:spPr>
              <a:solidFill>
                <a:schemeClr val="accent1"/>
              </a:solidFill>
              <a:ln cmpd="sng">
                <a:solidFill>
                  <a:schemeClr val="accent1"/>
                </a:solidFill>
              </a:ln>
            </c:spPr>
          </c:marker>
          <c:val>
            <c:numRef>
              <c:f>'Peta Kendali xbar-R'!$W$42:$W$65</c:f>
              <c:numCache>
                <c:formatCode>0.000</c:formatCode>
                <c:ptCount val="24"/>
              </c:numCache>
            </c:numRef>
          </c:val>
          <c:smooth val="0"/>
          <c:extLst>
            <c:ext xmlns:c16="http://schemas.microsoft.com/office/drawing/2014/chart" uri="{C3380CC4-5D6E-409C-BE32-E72D297353CC}">
              <c16:uniqueId val="{00000000-CA1B-4C47-81B2-15357E9B1437}"/>
            </c:ext>
          </c:extLst>
        </c:ser>
        <c:ser>
          <c:idx val="1"/>
          <c:order val="1"/>
          <c:tx>
            <c:v>GT xbar</c:v>
          </c:tx>
          <c:spPr>
            <a:ln w="28575" cmpd="sng">
              <a:solidFill>
                <a:schemeClr val="accent2"/>
              </a:solidFill>
            </a:ln>
          </c:spPr>
          <c:marker>
            <c:symbol val="circle"/>
            <c:size val="5"/>
            <c:spPr>
              <a:solidFill>
                <a:schemeClr val="accent2"/>
              </a:solidFill>
              <a:ln cmpd="sng">
                <a:solidFill>
                  <a:schemeClr val="accent2"/>
                </a:solidFill>
              </a:ln>
            </c:spPr>
          </c:marker>
          <c:val>
            <c:numRef>
              <c:f>'Peta Kendali xbar-R'!$AB$42:$AB$65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CA1B-4C47-81B2-15357E9B1437}"/>
            </c:ext>
          </c:extLst>
        </c:ser>
        <c:ser>
          <c:idx val="2"/>
          <c:order val="2"/>
          <c:tx>
            <c:v>BKA xbar</c:v>
          </c:tx>
          <c:spPr>
            <a:ln w="28575" cmpd="sng">
              <a:solidFill>
                <a:schemeClr val="accent3"/>
              </a:solidFill>
            </a:ln>
          </c:spPr>
          <c:marker>
            <c:symbol val="circle"/>
            <c:size val="5"/>
            <c:spPr>
              <a:solidFill>
                <a:schemeClr val="accent3"/>
              </a:solidFill>
              <a:ln cmpd="sng">
                <a:solidFill>
                  <a:schemeClr val="accent3"/>
                </a:solidFill>
              </a:ln>
            </c:spPr>
          </c:marker>
          <c:val>
            <c:numRef>
              <c:f>'Peta Kendali xbar-R'!$AC$42:$AC$65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CA1B-4C47-81B2-15357E9B1437}"/>
            </c:ext>
          </c:extLst>
        </c:ser>
        <c:ser>
          <c:idx val="3"/>
          <c:order val="3"/>
          <c:tx>
            <c:v>BKB xbar</c:v>
          </c:tx>
          <c:spPr>
            <a:ln w="28575" cmpd="sng">
              <a:solidFill>
                <a:schemeClr val="accent4"/>
              </a:solidFill>
            </a:ln>
          </c:spPr>
          <c:marker>
            <c:symbol val="circle"/>
            <c:size val="5"/>
            <c:spPr>
              <a:solidFill>
                <a:schemeClr val="accent4"/>
              </a:solidFill>
              <a:ln cmpd="sng">
                <a:solidFill>
                  <a:schemeClr val="accent4"/>
                </a:solidFill>
              </a:ln>
            </c:spPr>
          </c:marker>
          <c:val>
            <c:numRef>
              <c:f>'Peta Kendali xbar-R'!$AD$42:$AD$65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CA1B-4C47-81B2-15357E9B1437}"/>
            </c:ext>
          </c:extLst>
        </c:ser>
        <c:dLbls>
          <c:showLegendKey val="0"/>
          <c:showVal val="0"/>
          <c:showCatName val="0"/>
          <c:showSerName val="0"/>
          <c:showPercent val="0"/>
          <c:showBubbleSize val="0"/>
        </c:dLbls>
        <c:marker val="1"/>
        <c:smooth val="0"/>
        <c:axId val="2056514234"/>
        <c:axId val="591155836"/>
      </c:lineChart>
      <c:catAx>
        <c:axId val="2056514234"/>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591155836"/>
        <c:crosses val="autoZero"/>
        <c:auto val="1"/>
        <c:lblAlgn val="ctr"/>
        <c:lblOffset val="100"/>
        <c:noMultiLvlLbl val="1"/>
      </c:catAx>
      <c:valAx>
        <c:axId val="59115583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2056514234"/>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R Chart</a:t>
            </a:r>
          </a:p>
        </c:rich>
      </c:tx>
      <c:overlay val="0"/>
    </c:title>
    <c:autoTitleDeleted val="0"/>
    <c:plotArea>
      <c:layout/>
      <c:lineChart>
        <c:grouping val="standard"/>
        <c:varyColors val="1"/>
        <c:ser>
          <c:idx val="0"/>
          <c:order val="0"/>
          <c:tx>
            <c:v>Range (Ri)</c:v>
          </c:tx>
          <c:spPr>
            <a:ln w="28575" cmpd="sng">
              <a:solidFill>
                <a:schemeClr val="accent1"/>
              </a:solidFill>
            </a:ln>
          </c:spPr>
          <c:marker>
            <c:symbol val="circle"/>
            <c:size val="5"/>
            <c:spPr>
              <a:solidFill>
                <a:schemeClr val="accent1"/>
              </a:solidFill>
              <a:ln cmpd="sng">
                <a:solidFill>
                  <a:schemeClr val="accent1"/>
                </a:solidFill>
              </a:ln>
            </c:spPr>
          </c:marker>
          <c:val>
            <c:numRef>
              <c:f>'Peta Kendali xbar-R'!$X$42:$X$65</c:f>
              <c:numCache>
                <c:formatCode>0.000</c:formatCode>
                <c:ptCount val="24"/>
              </c:numCache>
            </c:numRef>
          </c:val>
          <c:smooth val="0"/>
          <c:extLst>
            <c:ext xmlns:c16="http://schemas.microsoft.com/office/drawing/2014/chart" uri="{C3380CC4-5D6E-409C-BE32-E72D297353CC}">
              <c16:uniqueId val="{00000000-A1BE-4AA6-A56A-F277A4AC22CC}"/>
            </c:ext>
          </c:extLst>
        </c:ser>
        <c:ser>
          <c:idx val="1"/>
          <c:order val="1"/>
          <c:tx>
            <c:v>GT R</c:v>
          </c:tx>
          <c:spPr>
            <a:ln w="28575" cmpd="sng">
              <a:solidFill>
                <a:schemeClr val="accent2"/>
              </a:solidFill>
            </a:ln>
          </c:spPr>
          <c:marker>
            <c:symbol val="circle"/>
            <c:size val="5"/>
            <c:spPr>
              <a:solidFill>
                <a:schemeClr val="accent2"/>
              </a:solidFill>
              <a:ln cmpd="sng">
                <a:solidFill>
                  <a:schemeClr val="accent2"/>
                </a:solidFill>
              </a:ln>
            </c:spPr>
          </c:marker>
          <c:val>
            <c:numRef>
              <c:f>'Peta Kendali xbar-R'!$Y$42:$Y$65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A1BE-4AA6-A56A-F277A4AC22CC}"/>
            </c:ext>
          </c:extLst>
        </c:ser>
        <c:ser>
          <c:idx val="2"/>
          <c:order val="2"/>
          <c:tx>
            <c:v>BKA R</c:v>
          </c:tx>
          <c:spPr>
            <a:ln w="28575" cmpd="sng">
              <a:solidFill>
                <a:schemeClr val="accent3"/>
              </a:solidFill>
            </a:ln>
          </c:spPr>
          <c:marker>
            <c:symbol val="circle"/>
            <c:size val="5"/>
            <c:spPr>
              <a:solidFill>
                <a:schemeClr val="accent3"/>
              </a:solidFill>
              <a:ln cmpd="sng">
                <a:solidFill>
                  <a:schemeClr val="accent3"/>
                </a:solidFill>
              </a:ln>
            </c:spPr>
          </c:marker>
          <c:val>
            <c:numRef>
              <c:f>'Peta Kendali xbar-R'!$Z$42:$Z$65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A1BE-4AA6-A56A-F277A4AC22CC}"/>
            </c:ext>
          </c:extLst>
        </c:ser>
        <c:ser>
          <c:idx val="3"/>
          <c:order val="3"/>
          <c:tx>
            <c:v>BKB R</c:v>
          </c:tx>
          <c:spPr>
            <a:ln w="28575" cmpd="sng">
              <a:solidFill>
                <a:schemeClr val="accent4"/>
              </a:solidFill>
            </a:ln>
          </c:spPr>
          <c:marker>
            <c:symbol val="circle"/>
            <c:size val="5"/>
            <c:spPr>
              <a:solidFill>
                <a:schemeClr val="accent4"/>
              </a:solidFill>
              <a:ln cmpd="sng">
                <a:solidFill>
                  <a:schemeClr val="accent4"/>
                </a:solidFill>
              </a:ln>
            </c:spPr>
          </c:marker>
          <c:val>
            <c:numRef>
              <c:f>'Peta Kendali xbar-R'!$AA$42:$AA$65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A1BE-4AA6-A56A-F277A4AC22CC}"/>
            </c:ext>
          </c:extLst>
        </c:ser>
        <c:dLbls>
          <c:showLegendKey val="0"/>
          <c:showVal val="0"/>
          <c:showCatName val="0"/>
          <c:showSerName val="0"/>
          <c:showPercent val="0"/>
          <c:showBubbleSize val="0"/>
        </c:dLbls>
        <c:marker val="1"/>
        <c:smooth val="0"/>
        <c:axId val="1051584154"/>
        <c:axId val="1452094424"/>
      </c:lineChart>
      <c:catAx>
        <c:axId val="1051584154"/>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452094424"/>
        <c:crosses val="autoZero"/>
        <c:auto val="1"/>
        <c:lblAlgn val="ctr"/>
        <c:lblOffset val="100"/>
        <c:noMultiLvlLbl val="1"/>
      </c:catAx>
      <c:valAx>
        <c:axId val="14520944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1051584154"/>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xbar Chart</a:t>
            </a:r>
          </a:p>
        </c:rich>
      </c:tx>
      <c:overlay val="0"/>
    </c:title>
    <c:autoTitleDeleted val="0"/>
    <c:plotArea>
      <c:layout/>
      <c:lineChart>
        <c:grouping val="standard"/>
        <c:varyColors val="1"/>
        <c:ser>
          <c:idx val="0"/>
          <c:order val="0"/>
          <c:tx>
            <c:v>Rata-rata (xi bar)</c:v>
          </c:tx>
          <c:spPr>
            <a:ln w="28575" cmpd="sng">
              <a:solidFill>
                <a:schemeClr val="accent1"/>
              </a:solidFill>
            </a:ln>
          </c:spPr>
          <c:marker>
            <c:symbol val="circle"/>
            <c:size val="5"/>
            <c:spPr>
              <a:solidFill>
                <a:schemeClr val="accent1"/>
              </a:solidFill>
              <a:ln cmpd="sng">
                <a:solidFill>
                  <a:schemeClr val="accent1"/>
                </a:solidFill>
              </a:ln>
            </c:spPr>
          </c:marker>
          <c:val>
            <c:numRef>
              <c:f>'Peta Kendali xbar-s'!$H$42:$H$66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A9B5-4C69-9756-1126554E81FE}"/>
            </c:ext>
          </c:extLst>
        </c:ser>
        <c:ser>
          <c:idx val="1"/>
          <c:order val="1"/>
          <c:tx>
            <c:v>GT xbar</c:v>
          </c:tx>
          <c:spPr>
            <a:ln w="28575" cmpd="sng">
              <a:solidFill>
                <a:schemeClr val="accent2"/>
              </a:solidFill>
            </a:ln>
          </c:spPr>
          <c:marker>
            <c:symbol val="circle"/>
            <c:size val="5"/>
            <c:spPr>
              <a:solidFill>
                <a:schemeClr val="accent2"/>
              </a:solidFill>
              <a:ln cmpd="sng">
                <a:solidFill>
                  <a:schemeClr val="accent2"/>
                </a:solidFill>
              </a:ln>
            </c:spPr>
          </c:marker>
          <c:val>
            <c:numRef>
              <c:f>'Peta Kendali xbar-s'!$M$42:$M$66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A9B5-4C69-9756-1126554E81FE}"/>
            </c:ext>
          </c:extLst>
        </c:ser>
        <c:ser>
          <c:idx val="2"/>
          <c:order val="2"/>
          <c:tx>
            <c:v>BKA xbar</c:v>
          </c:tx>
          <c:spPr>
            <a:ln w="28575" cmpd="sng">
              <a:solidFill>
                <a:schemeClr val="accent3"/>
              </a:solidFill>
            </a:ln>
          </c:spPr>
          <c:marker>
            <c:symbol val="circle"/>
            <c:size val="5"/>
            <c:spPr>
              <a:solidFill>
                <a:schemeClr val="accent3"/>
              </a:solidFill>
              <a:ln cmpd="sng">
                <a:solidFill>
                  <a:schemeClr val="accent3"/>
                </a:solidFill>
              </a:ln>
            </c:spPr>
          </c:marker>
          <c:val>
            <c:numRef>
              <c:f>'Peta Kendali xbar-s'!$N$42:$N$66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A9B5-4C69-9756-1126554E81FE}"/>
            </c:ext>
          </c:extLst>
        </c:ser>
        <c:ser>
          <c:idx val="3"/>
          <c:order val="3"/>
          <c:tx>
            <c:v>BKB xbar</c:v>
          </c:tx>
          <c:spPr>
            <a:ln w="28575" cmpd="sng">
              <a:solidFill>
                <a:schemeClr val="accent4"/>
              </a:solidFill>
            </a:ln>
          </c:spPr>
          <c:marker>
            <c:symbol val="circle"/>
            <c:size val="5"/>
            <c:spPr>
              <a:solidFill>
                <a:schemeClr val="accent4"/>
              </a:solidFill>
              <a:ln cmpd="sng">
                <a:solidFill>
                  <a:schemeClr val="accent4"/>
                </a:solidFill>
              </a:ln>
            </c:spPr>
          </c:marker>
          <c:val>
            <c:numRef>
              <c:f>'Peta Kendali xbar-s'!$O$42:$O$66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A9B5-4C69-9756-1126554E81FE}"/>
            </c:ext>
          </c:extLst>
        </c:ser>
        <c:dLbls>
          <c:showLegendKey val="0"/>
          <c:showVal val="0"/>
          <c:showCatName val="0"/>
          <c:showSerName val="0"/>
          <c:showPercent val="0"/>
          <c:showBubbleSize val="0"/>
        </c:dLbls>
        <c:marker val="1"/>
        <c:smooth val="0"/>
        <c:axId val="270792977"/>
        <c:axId val="439232922"/>
      </c:lineChart>
      <c:catAx>
        <c:axId val="270792977"/>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439232922"/>
        <c:crosses val="autoZero"/>
        <c:auto val="1"/>
        <c:lblAlgn val="ctr"/>
        <c:lblOffset val="100"/>
        <c:noMultiLvlLbl val="1"/>
      </c:catAx>
      <c:valAx>
        <c:axId val="43923292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270792977"/>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s Chart</a:t>
            </a:r>
          </a:p>
        </c:rich>
      </c:tx>
      <c:overlay val="0"/>
    </c:title>
    <c:autoTitleDeleted val="0"/>
    <c:plotArea>
      <c:layout/>
      <c:lineChart>
        <c:grouping val="standard"/>
        <c:varyColors val="1"/>
        <c:ser>
          <c:idx val="0"/>
          <c:order val="0"/>
          <c:tx>
            <c:v>Standar Deviasi (si)</c:v>
          </c:tx>
          <c:spPr>
            <a:ln w="28575" cmpd="sng">
              <a:solidFill>
                <a:schemeClr val="accent1"/>
              </a:solidFill>
            </a:ln>
          </c:spPr>
          <c:marker>
            <c:symbol val="circle"/>
            <c:size val="5"/>
            <c:spPr>
              <a:solidFill>
                <a:schemeClr val="accent1"/>
              </a:solidFill>
              <a:ln cmpd="sng">
                <a:solidFill>
                  <a:schemeClr val="accent1"/>
                </a:solidFill>
              </a:ln>
            </c:spPr>
          </c:marker>
          <c:val>
            <c:numRef>
              <c:f>'Peta Kendali xbar-s'!$I$42:$I$66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0230-4710-A43D-67F1D1EB7EB4}"/>
            </c:ext>
          </c:extLst>
        </c:ser>
        <c:ser>
          <c:idx val="1"/>
          <c:order val="1"/>
          <c:tx>
            <c:v>GT s</c:v>
          </c:tx>
          <c:spPr>
            <a:ln w="28575" cmpd="sng">
              <a:solidFill>
                <a:schemeClr val="accent2"/>
              </a:solidFill>
            </a:ln>
          </c:spPr>
          <c:marker>
            <c:symbol val="circle"/>
            <c:size val="5"/>
            <c:spPr>
              <a:solidFill>
                <a:schemeClr val="accent2"/>
              </a:solidFill>
              <a:ln cmpd="sng">
                <a:solidFill>
                  <a:schemeClr val="accent2"/>
                </a:solidFill>
              </a:ln>
            </c:spPr>
          </c:marker>
          <c:val>
            <c:numRef>
              <c:f>'Peta Kendali xbar-s'!$J$42:$J$66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0230-4710-A43D-67F1D1EB7EB4}"/>
            </c:ext>
          </c:extLst>
        </c:ser>
        <c:ser>
          <c:idx val="2"/>
          <c:order val="2"/>
          <c:tx>
            <c:v>BKA s</c:v>
          </c:tx>
          <c:spPr>
            <a:ln w="28575" cmpd="sng">
              <a:solidFill>
                <a:schemeClr val="accent3"/>
              </a:solidFill>
            </a:ln>
          </c:spPr>
          <c:marker>
            <c:symbol val="circle"/>
            <c:size val="5"/>
            <c:spPr>
              <a:solidFill>
                <a:schemeClr val="accent3"/>
              </a:solidFill>
              <a:ln cmpd="sng">
                <a:solidFill>
                  <a:schemeClr val="accent3"/>
                </a:solidFill>
              </a:ln>
            </c:spPr>
          </c:marker>
          <c:val>
            <c:numRef>
              <c:f>'Peta Kendali xbar-s'!$K$42:$K$66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0230-4710-A43D-67F1D1EB7EB4}"/>
            </c:ext>
          </c:extLst>
        </c:ser>
        <c:ser>
          <c:idx val="3"/>
          <c:order val="3"/>
          <c:tx>
            <c:v>BKB s</c:v>
          </c:tx>
          <c:spPr>
            <a:ln w="28575" cmpd="sng">
              <a:solidFill>
                <a:schemeClr val="accent4"/>
              </a:solidFill>
            </a:ln>
          </c:spPr>
          <c:marker>
            <c:symbol val="circle"/>
            <c:size val="5"/>
            <c:spPr>
              <a:solidFill>
                <a:schemeClr val="accent4"/>
              </a:solidFill>
              <a:ln cmpd="sng">
                <a:solidFill>
                  <a:schemeClr val="accent4"/>
                </a:solidFill>
              </a:ln>
            </c:spPr>
          </c:marker>
          <c:val>
            <c:numRef>
              <c:f>'Peta Kendali xbar-s'!$L$42:$L$66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0230-4710-A43D-67F1D1EB7EB4}"/>
            </c:ext>
          </c:extLst>
        </c:ser>
        <c:dLbls>
          <c:showLegendKey val="0"/>
          <c:showVal val="0"/>
          <c:showCatName val="0"/>
          <c:showSerName val="0"/>
          <c:showPercent val="0"/>
          <c:showBubbleSize val="0"/>
        </c:dLbls>
        <c:marker val="1"/>
        <c:smooth val="0"/>
        <c:axId val="970668811"/>
        <c:axId val="108032183"/>
      </c:lineChart>
      <c:catAx>
        <c:axId val="970668811"/>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08032183"/>
        <c:crosses val="autoZero"/>
        <c:auto val="1"/>
        <c:lblAlgn val="ctr"/>
        <c:lblOffset val="100"/>
        <c:noMultiLvlLbl val="1"/>
      </c:catAx>
      <c:valAx>
        <c:axId val="10803218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97066881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 chart</a:t>
            </a:r>
            <a:endParaRPr lang="id-ID"/>
          </a:p>
        </c:rich>
      </c:tx>
      <c:overlay val="0"/>
    </c:title>
    <c:autoTitleDeleted val="0"/>
    <c:plotArea>
      <c:layout/>
      <c:lineChart>
        <c:grouping val="standard"/>
        <c:varyColors val="1"/>
        <c:ser>
          <c:idx val="0"/>
          <c:order val="0"/>
          <c:tx>
            <c:strRef>
              <c:f>'Peta Kendali xbar-s'!$Y$41</c:f>
              <c:strCache>
                <c:ptCount val="1"/>
                <c:pt idx="0">
                  <c:v>Standar Deviasi (si)</c:v>
                </c:pt>
              </c:strCache>
            </c:strRef>
          </c:tx>
          <c:spPr>
            <a:ln cmpd="sng">
              <a:solidFill>
                <a:srgbClr val="4472C4"/>
              </a:solidFill>
            </a:ln>
          </c:spPr>
          <c:marker>
            <c:symbol val="none"/>
          </c:marker>
          <c:val>
            <c:numRef>
              <c:f>'Peta Kendali xbar-s'!$Y$42:$Y$65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6075-41F5-A93C-6227476FA5CA}"/>
            </c:ext>
          </c:extLst>
        </c:ser>
        <c:ser>
          <c:idx val="1"/>
          <c:order val="1"/>
          <c:tx>
            <c:strRef>
              <c:f>'Peta Kendali xbar-s'!$Z$41</c:f>
              <c:strCache>
                <c:ptCount val="1"/>
                <c:pt idx="0">
                  <c:v>GT s</c:v>
                </c:pt>
              </c:strCache>
            </c:strRef>
          </c:tx>
          <c:spPr>
            <a:ln cmpd="sng">
              <a:solidFill>
                <a:srgbClr val="ED7D31"/>
              </a:solidFill>
            </a:ln>
          </c:spPr>
          <c:marker>
            <c:symbol val="none"/>
          </c:marker>
          <c:val>
            <c:numRef>
              <c:f>'Peta Kendali xbar-s'!$Z$42:$Z$65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6075-41F5-A93C-6227476FA5CA}"/>
            </c:ext>
          </c:extLst>
        </c:ser>
        <c:ser>
          <c:idx val="2"/>
          <c:order val="2"/>
          <c:tx>
            <c:strRef>
              <c:f>'Peta Kendali xbar-s'!$AA$41</c:f>
              <c:strCache>
                <c:ptCount val="1"/>
                <c:pt idx="0">
                  <c:v>BKA s</c:v>
                </c:pt>
              </c:strCache>
            </c:strRef>
          </c:tx>
          <c:spPr>
            <a:ln cmpd="sng">
              <a:solidFill>
                <a:srgbClr val="A5A5A5"/>
              </a:solidFill>
            </a:ln>
          </c:spPr>
          <c:marker>
            <c:symbol val="none"/>
          </c:marker>
          <c:val>
            <c:numRef>
              <c:f>'Peta Kendali xbar-s'!$AA$42:$AA$65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6075-41F5-A93C-6227476FA5CA}"/>
            </c:ext>
          </c:extLst>
        </c:ser>
        <c:ser>
          <c:idx val="3"/>
          <c:order val="3"/>
          <c:tx>
            <c:strRef>
              <c:f>'Peta Kendali xbar-s'!$AB$41</c:f>
              <c:strCache>
                <c:ptCount val="1"/>
                <c:pt idx="0">
                  <c:v>BKB s</c:v>
                </c:pt>
              </c:strCache>
            </c:strRef>
          </c:tx>
          <c:spPr>
            <a:ln cmpd="sng">
              <a:solidFill>
                <a:srgbClr val="FFC000"/>
              </a:solidFill>
            </a:ln>
          </c:spPr>
          <c:marker>
            <c:symbol val="none"/>
          </c:marker>
          <c:val>
            <c:numRef>
              <c:f>'Peta Kendali xbar-s'!$AB$42:$AB$65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6075-41F5-A93C-6227476FA5CA}"/>
            </c:ext>
          </c:extLst>
        </c:ser>
        <c:dLbls>
          <c:showLegendKey val="0"/>
          <c:showVal val="0"/>
          <c:showCatName val="0"/>
          <c:showSerName val="0"/>
          <c:showPercent val="0"/>
          <c:showBubbleSize val="0"/>
        </c:dLbls>
        <c:smooth val="0"/>
        <c:axId val="207384719"/>
        <c:axId val="1539079532"/>
      </c:lineChart>
      <c:catAx>
        <c:axId val="207384719"/>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39079532"/>
        <c:crosses val="autoZero"/>
        <c:auto val="1"/>
        <c:lblAlgn val="ctr"/>
        <c:lblOffset val="100"/>
        <c:noMultiLvlLbl val="1"/>
      </c:catAx>
      <c:valAx>
        <c:axId val="15390795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b="0">
                <a:solidFill>
                  <a:srgbClr val="000000"/>
                </a:solidFill>
                <a:latin typeface="+mn-lt"/>
              </a:defRPr>
            </a:pPr>
            <a:endParaRPr lang="en-US"/>
          </a:p>
        </c:txPr>
        <c:crossAx val="20738471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X bar chart</a:t>
            </a:r>
            <a:endParaRPr lang="id-ID"/>
          </a:p>
        </c:rich>
      </c:tx>
      <c:overlay val="0"/>
    </c:title>
    <c:autoTitleDeleted val="0"/>
    <c:plotArea>
      <c:layout/>
      <c:lineChart>
        <c:grouping val="standard"/>
        <c:varyColors val="1"/>
        <c:ser>
          <c:idx val="0"/>
          <c:order val="0"/>
          <c:tx>
            <c:strRef>
              <c:f>'Peta Kendali xbar-s'!$X$41</c:f>
              <c:strCache>
                <c:ptCount val="1"/>
                <c:pt idx="0">
                  <c:v>Rata-rata (xi bar)</c:v>
                </c:pt>
              </c:strCache>
            </c:strRef>
          </c:tx>
          <c:spPr>
            <a:ln cmpd="sng">
              <a:solidFill>
                <a:srgbClr val="4472C4"/>
              </a:solidFill>
            </a:ln>
          </c:spPr>
          <c:marker>
            <c:symbol val="none"/>
          </c:marker>
          <c:val>
            <c:numRef>
              <c:f>'Peta Kendali xbar-s'!$X$42:$X$65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3B7E-425D-89B9-4CE7EFD2C40A}"/>
            </c:ext>
          </c:extLst>
        </c:ser>
        <c:ser>
          <c:idx val="1"/>
          <c:order val="1"/>
          <c:tx>
            <c:strRef>
              <c:f>'Peta Kendali xbar-s'!$AC$41</c:f>
              <c:strCache>
                <c:ptCount val="1"/>
                <c:pt idx="0">
                  <c:v>GT xbar</c:v>
                </c:pt>
              </c:strCache>
            </c:strRef>
          </c:tx>
          <c:spPr>
            <a:ln cmpd="sng">
              <a:solidFill>
                <a:srgbClr val="ED7D31"/>
              </a:solidFill>
            </a:ln>
          </c:spPr>
          <c:marker>
            <c:symbol val="none"/>
          </c:marker>
          <c:val>
            <c:numRef>
              <c:f>'Peta Kendali xbar-s'!$AC$42:$AC$65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B7E-425D-89B9-4CE7EFD2C40A}"/>
            </c:ext>
          </c:extLst>
        </c:ser>
        <c:ser>
          <c:idx val="2"/>
          <c:order val="2"/>
          <c:tx>
            <c:strRef>
              <c:f>'Peta Kendali xbar-s'!$AD$41</c:f>
              <c:strCache>
                <c:ptCount val="1"/>
                <c:pt idx="0">
                  <c:v>BKA xbar</c:v>
                </c:pt>
              </c:strCache>
            </c:strRef>
          </c:tx>
          <c:spPr>
            <a:ln cmpd="sng">
              <a:solidFill>
                <a:srgbClr val="A5A5A5"/>
              </a:solidFill>
            </a:ln>
          </c:spPr>
          <c:marker>
            <c:symbol val="none"/>
          </c:marker>
          <c:val>
            <c:numRef>
              <c:f>'Peta Kendali xbar-s'!$AD$42:$AD$65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B7E-425D-89B9-4CE7EFD2C40A}"/>
            </c:ext>
          </c:extLst>
        </c:ser>
        <c:ser>
          <c:idx val="3"/>
          <c:order val="3"/>
          <c:tx>
            <c:strRef>
              <c:f>'Peta Kendali xbar-s'!$AE$41</c:f>
              <c:strCache>
                <c:ptCount val="1"/>
                <c:pt idx="0">
                  <c:v>BKB xbar</c:v>
                </c:pt>
              </c:strCache>
            </c:strRef>
          </c:tx>
          <c:spPr>
            <a:ln cmpd="sng">
              <a:solidFill>
                <a:srgbClr val="FFC000"/>
              </a:solidFill>
            </a:ln>
          </c:spPr>
          <c:marker>
            <c:symbol val="none"/>
          </c:marker>
          <c:val>
            <c:numRef>
              <c:f>'Peta Kendali xbar-s'!$AE$42:$AE$65</c:f>
              <c:numCache>
                <c:formatCode>0.000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3-3B7E-425D-89B9-4CE7EFD2C40A}"/>
            </c:ext>
          </c:extLst>
        </c:ser>
        <c:dLbls>
          <c:showLegendKey val="0"/>
          <c:showVal val="0"/>
          <c:showCatName val="0"/>
          <c:showSerName val="0"/>
          <c:showPercent val="0"/>
          <c:showBubbleSize val="0"/>
        </c:dLbls>
        <c:smooth val="0"/>
        <c:axId val="845720865"/>
        <c:axId val="1357457940"/>
      </c:lineChart>
      <c:catAx>
        <c:axId val="845720865"/>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57457940"/>
        <c:crosses val="autoZero"/>
        <c:auto val="1"/>
        <c:lblAlgn val="ctr"/>
        <c:lblOffset val="100"/>
        <c:noMultiLvlLbl val="1"/>
      </c:catAx>
      <c:valAx>
        <c:axId val="13574579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b="0">
                <a:solidFill>
                  <a:srgbClr val="000000"/>
                </a:solidFill>
                <a:latin typeface="+mn-lt"/>
              </a:defRPr>
            </a:pPr>
            <a:endParaRPr lang="en-US"/>
          </a:p>
        </c:txPr>
        <c:crossAx val="84572086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OC Curve</a:t>
            </a:r>
          </a:p>
        </c:rich>
      </c:tx>
      <c:overlay val="0"/>
    </c:title>
    <c:autoTitleDeleted val="0"/>
    <c:plotArea>
      <c:layout/>
      <c:scatterChart>
        <c:scatterStyle val="lineMarker"/>
        <c:varyColors val="0"/>
        <c:ser>
          <c:idx val="0"/>
          <c:order val="0"/>
          <c:tx>
            <c:v>Beta</c:v>
          </c:tx>
          <c:spPr>
            <a:ln>
              <a:noFill/>
            </a:ln>
          </c:spPr>
          <c:marker>
            <c:symbol val="circle"/>
            <c:size val="7"/>
            <c:spPr>
              <a:solidFill>
                <a:schemeClr val="accent1"/>
              </a:solidFill>
              <a:ln cmpd="sng">
                <a:solidFill>
                  <a:schemeClr val="accent1"/>
                </a:solidFill>
              </a:ln>
            </c:spPr>
          </c:marker>
          <c:xVal>
            <c:numRef>
              <c:f>'OC Curve ARL xbar-R'!$C$13:$C$57</c:f>
              <c:numCache>
                <c:formatCode>0.000</c:formatCode>
                <c:ptCount val="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numCache>
            </c:numRef>
          </c:xVal>
          <c:yVal>
            <c:numRef>
              <c:f>'OC Curve ARL xbar-R'!$D$13:$D$57</c:f>
              <c:numCache>
                <c:formatCode>0.0000</c:formatCode>
                <c:ptCount val="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numCache>
            </c:numRef>
          </c:yVal>
          <c:smooth val="1"/>
          <c:extLst>
            <c:ext xmlns:c16="http://schemas.microsoft.com/office/drawing/2014/chart" uri="{C3380CC4-5D6E-409C-BE32-E72D297353CC}">
              <c16:uniqueId val="{00000000-2E96-443D-9091-65D35EFA8D7B}"/>
            </c:ext>
          </c:extLst>
        </c:ser>
        <c:dLbls>
          <c:showLegendKey val="0"/>
          <c:showVal val="0"/>
          <c:showCatName val="0"/>
          <c:showSerName val="0"/>
          <c:showPercent val="0"/>
          <c:showBubbleSize val="0"/>
        </c:dLbls>
        <c:axId val="782363324"/>
        <c:axId val="694363112"/>
      </c:scatterChart>
      <c:valAx>
        <c:axId val="78236332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694363112"/>
        <c:crosses val="autoZero"/>
        <c:crossBetween val="midCat"/>
      </c:valAx>
      <c:valAx>
        <c:axId val="6943631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0" sourceLinked="1"/>
        <c:majorTickMark val="none"/>
        <c:minorTickMark val="none"/>
        <c:tickLblPos val="nextTo"/>
        <c:spPr>
          <a:ln/>
        </c:spPr>
        <c:txPr>
          <a:bodyPr/>
          <a:lstStyle/>
          <a:p>
            <a:pPr lvl="0">
              <a:defRPr sz="900" b="0" i="0">
                <a:solidFill>
                  <a:srgbClr val="000000"/>
                </a:solidFill>
                <a:latin typeface="+mn-lt"/>
              </a:defRPr>
            </a:pPr>
            <a:endParaRPr lang="en-US"/>
          </a:p>
        </c:txPr>
        <c:crossAx val="782363324"/>
        <c:crosses val="autoZero"/>
        <c:crossBetween val="midCat"/>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ARL</a:t>
            </a:r>
          </a:p>
        </c:rich>
      </c:tx>
      <c:overlay val="0"/>
    </c:title>
    <c:autoTitleDeleted val="0"/>
    <c:plotArea>
      <c:layout/>
      <c:scatterChart>
        <c:scatterStyle val="lineMarker"/>
        <c:varyColors val="0"/>
        <c:ser>
          <c:idx val="0"/>
          <c:order val="0"/>
          <c:tx>
            <c:v>ARL</c:v>
          </c:tx>
          <c:spPr>
            <a:ln>
              <a:noFill/>
            </a:ln>
          </c:spPr>
          <c:marker>
            <c:symbol val="circle"/>
            <c:size val="7"/>
            <c:spPr>
              <a:solidFill>
                <a:schemeClr val="accent1"/>
              </a:solidFill>
              <a:ln cmpd="sng">
                <a:solidFill>
                  <a:schemeClr val="accent1"/>
                </a:solidFill>
              </a:ln>
            </c:spPr>
          </c:marker>
          <c:xVal>
            <c:numRef>
              <c:f>'OC Curve ARL xbar-R'!$C$13:$C$57</c:f>
              <c:numCache>
                <c:formatCode>0.000</c:formatCode>
                <c:ptCount val="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numCache>
            </c:numRef>
          </c:xVal>
          <c:yVal>
            <c:numRef>
              <c:f>'OC Curve ARL xbar-R'!$E$13:$E$57</c:f>
              <c:numCache>
                <c:formatCode>0.0000</c:formatCode>
                <c:ptCount val="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numCache>
            </c:numRef>
          </c:yVal>
          <c:smooth val="1"/>
          <c:extLst>
            <c:ext xmlns:c16="http://schemas.microsoft.com/office/drawing/2014/chart" uri="{C3380CC4-5D6E-409C-BE32-E72D297353CC}">
              <c16:uniqueId val="{00000000-BF4A-40A0-8B8A-6311B748766C}"/>
            </c:ext>
          </c:extLst>
        </c:ser>
        <c:dLbls>
          <c:showLegendKey val="0"/>
          <c:showVal val="0"/>
          <c:showCatName val="0"/>
          <c:showSerName val="0"/>
          <c:showPercent val="0"/>
          <c:showBubbleSize val="0"/>
        </c:dLbls>
        <c:axId val="1520173951"/>
        <c:axId val="1887026557"/>
      </c:scatterChart>
      <c:valAx>
        <c:axId val="1520173951"/>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1887026557"/>
        <c:crosses val="autoZero"/>
        <c:crossBetween val="midCat"/>
      </c:valAx>
      <c:valAx>
        <c:axId val="188702655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0" sourceLinked="1"/>
        <c:majorTickMark val="none"/>
        <c:minorTickMark val="none"/>
        <c:tickLblPos val="nextTo"/>
        <c:spPr>
          <a:ln/>
        </c:spPr>
        <c:txPr>
          <a:bodyPr/>
          <a:lstStyle/>
          <a:p>
            <a:pPr lvl="0">
              <a:defRPr sz="900" b="0" i="0">
                <a:solidFill>
                  <a:srgbClr val="000000"/>
                </a:solidFill>
                <a:latin typeface="+mn-lt"/>
              </a:defRPr>
            </a:pPr>
            <a:endParaRPr lang="en-US"/>
          </a:p>
        </c:txPr>
        <c:crossAx val="1520173951"/>
        <c:crosses val="autoZero"/>
        <c:crossBetween val="midCat"/>
      </c:valAx>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Kapabilitas Proses</a:t>
            </a:r>
          </a:p>
        </c:rich>
      </c:tx>
      <c:overlay val="0"/>
    </c:title>
    <c:autoTitleDeleted val="0"/>
    <c:plotArea>
      <c:layout/>
      <c:scatterChart>
        <c:scatterStyle val="lineMarker"/>
        <c:varyColors val="0"/>
        <c:ser>
          <c:idx val="0"/>
          <c:order val="0"/>
          <c:tx>
            <c:v>f(x) proses</c:v>
          </c:tx>
          <c:spPr>
            <a:ln>
              <a:noFill/>
            </a:ln>
          </c:spPr>
          <c:marker>
            <c:symbol val="circle"/>
            <c:size val="7"/>
            <c:spPr>
              <a:solidFill>
                <a:schemeClr val="accent2"/>
              </a:solidFill>
              <a:ln cmpd="sng">
                <a:solidFill>
                  <a:schemeClr val="accent2"/>
                </a:solidFill>
              </a:ln>
            </c:spPr>
          </c:marker>
          <c:xVal>
            <c:numRef>
              <c:f>'Kapabilitas Proses xbar-R'!$C$36:$C$236</c:f>
              <c:numCache>
                <c:formatCode>0.000</c:formatCode>
                <c:ptCount val="2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numCache>
            </c:numRef>
          </c:xVal>
          <c:yVal>
            <c:numRef>
              <c:f>'Kapabilitas Proses xbar-R'!$D$36:$D$236</c:f>
              <c:numCache>
                <c:formatCode>0.000</c:formatCode>
                <c:ptCount val="20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numCache>
            </c:numRef>
          </c:yVal>
          <c:smooth val="1"/>
          <c:extLst>
            <c:ext xmlns:c16="http://schemas.microsoft.com/office/drawing/2014/chart" uri="{C3380CC4-5D6E-409C-BE32-E72D297353CC}">
              <c16:uniqueId val="{00000000-EE1A-4BE1-999B-3747E0DEF77E}"/>
            </c:ext>
          </c:extLst>
        </c:ser>
        <c:dLbls>
          <c:showLegendKey val="0"/>
          <c:showVal val="0"/>
          <c:showCatName val="0"/>
          <c:showSerName val="0"/>
          <c:showPercent val="0"/>
          <c:showBubbleSize val="0"/>
        </c:dLbls>
        <c:axId val="412849248"/>
        <c:axId val="2013396795"/>
      </c:scatterChart>
      <c:valAx>
        <c:axId val="412849248"/>
        <c:scaling>
          <c:orientation val="minMax"/>
          <c:min val="9"/>
        </c:scaling>
        <c:delete val="0"/>
        <c:axPos val="b"/>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2013396795"/>
        <c:crosses val="autoZero"/>
        <c:crossBetween val="midCat"/>
      </c:valAx>
      <c:valAx>
        <c:axId val="20133967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412849248"/>
        <c:crosses val="autoZero"/>
        <c:crossBetween val="midCat"/>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xbar Chart</a:t>
            </a:r>
          </a:p>
        </c:rich>
      </c:tx>
      <c:overlay val="0"/>
    </c:title>
    <c:autoTitleDeleted val="0"/>
    <c:plotArea>
      <c:layout/>
      <c:lineChart>
        <c:grouping val="standard"/>
        <c:varyColors val="1"/>
        <c:ser>
          <c:idx val="0"/>
          <c:order val="0"/>
          <c:tx>
            <c:v>Rata-rata (xi bar)</c:v>
          </c:tx>
          <c:spPr>
            <a:ln w="28575" cmpd="sng">
              <a:solidFill>
                <a:schemeClr val="accent1"/>
              </a:solidFill>
            </a:ln>
          </c:spPr>
          <c:marker>
            <c:symbol val="circle"/>
            <c:size val="5"/>
            <c:spPr>
              <a:solidFill>
                <a:schemeClr val="accent1"/>
              </a:solidFill>
              <a:ln cmpd="sng">
                <a:solidFill>
                  <a:schemeClr val="accent1"/>
                </a:solidFill>
              </a:ln>
            </c:spPr>
          </c:marker>
          <c:val>
            <c:numRef>
              <c:f>'Implementasi xbar-R'!$H$33:$H$57</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D598-41EF-AF67-500D79B0CAAA}"/>
            </c:ext>
          </c:extLst>
        </c:ser>
        <c:ser>
          <c:idx val="1"/>
          <c:order val="1"/>
          <c:tx>
            <c:v>GT xbar</c:v>
          </c:tx>
          <c:spPr>
            <a:ln w="28575" cmpd="sng">
              <a:solidFill>
                <a:schemeClr val="accent2"/>
              </a:solidFill>
            </a:ln>
          </c:spPr>
          <c:marker>
            <c:symbol val="circle"/>
            <c:size val="5"/>
            <c:spPr>
              <a:solidFill>
                <a:schemeClr val="accent2"/>
              </a:solidFill>
              <a:ln cmpd="sng">
                <a:solidFill>
                  <a:schemeClr val="accent2"/>
                </a:solidFill>
              </a:ln>
            </c:spPr>
          </c:marker>
          <c:val>
            <c:numRef>
              <c:f>'Implementasi xbar-R'!$M$33:$M$57</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D598-41EF-AF67-500D79B0CAAA}"/>
            </c:ext>
          </c:extLst>
        </c:ser>
        <c:ser>
          <c:idx val="2"/>
          <c:order val="2"/>
          <c:tx>
            <c:v>BKA xbar</c:v>
          </c:tx>
          <c:spPr>
            <a:ln w="28575" cmpd="sng">
              <a:solidFill>
                <a:schemeClr val="accent3"/>
              </a:solidFill>
            </a:ln>
          </c:spPr>
          <c:marker>
            <c:symbol val="circle"/>
            <c:size val="5"/>
            <c:spPr>
              <a:solidFill>
                <a:schemeClr val="accent3"/>
              </a:solidFill>
              <a:ln cmpd="sng">
                <a:solidFill>
                  <a:schemeClr val="accent3"/>
                </a:solidFill>
              </a:ln>
            </c:spPr>
          </c:marker>
          <c:val>
            <c:numRef>
              <c:f>'Implementasi xbar-R'!$N$33:$N$57</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D598-41EF-AF67-500D79B0CAAA}"/>
            </c:ext>
          </c:extLst>
        </c:ser>
        <c:ser>
          <c:idx val="3"/>
          <c:order val="3"/>
          <c:tx>
            <c:v>BKB xbar</c:v>
          </c:tx>
          <c:spPr>
            <a:ln w="28575" cmpd="sng">
              <a:solidFill>
                <a:schemeClr val="accent4"/>
              </a:solidFill>
            </a:ln>
          </c:spPr>
          <c:marker>
            <c:symbol val="circle"/>
            <c:size val="5"/>
            <c:spPr>
              <a:solidFill>
                <a:schemeClr val="accent4"/>
              </a:solidFill>
              <a:ln cmpd="sng">
                <a:solidFill>
                  <a:schemeClr val="accent4"/>
                </a:solidFill>
              </a:ln>
            </c:spPr>
          </c:marker>
          <c:val>
            <c:numRef>
              <c:f>'Implementasi xbar-R'!$O$33:$O$57</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D598-41EF-AF67-500D79B0CAAA}"/>
            </c:ext>
          </c:extLst>
        </c:ser>
        <c:dLbls>
          <c:showLegendKey val="0"/>
          <c:showVal val="0"/>
          <c:showCatName val="0"/>
          <c:showSerName val="0"/>
          <c:showPercent val="0"/>
          <c:showBubbleSize val="0"/>
        </c:dLbls>
        <c:marker val="1"/>
        <c:smooth val="0"/>
        <c:axId val="1243335219"/>
        <c:axId val="39660353"/>
      </c:lineChart>
      <c:catAx>
        <c:axId val="1243335219"/>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39660353"/>
        <c:crosses val="autoZero"/>
        <c:auto val="1"/>
        <c:lblAlgn val="ctr"/>
        <c:lblOffset val="100"/>
        <c:noMultiLvlLbl val="1"/>
      </c:catAx>
      <c:valAx>
        <c:axId val="39660353"/>
        <c:scaling>
          <c:orientation val="minMax"/>
          <c:max val="12.5"/>
          <c:min val="11"/>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1243335219"/>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R Chart</a:t>
            </a:r>
          </a:p>
        </c:rich>
      </c:tx>
      <c:overlay val="0"/>
    </c:title>
    <c:autoTitleDeleted val="0"/>
    <c:plotArea>
      <c:layout/>
      <c:lineChart>
        <c:grouping val="standard"/>
        <c:varyColors val="1"/>
        <c:ser>
          <c:idx val="0"/>
          <c:order val="0"/>
          <c:tx>
            <c:v>Range (Ri)</c:v>
          </c:tx>
          <c:spPr>
            <a:ln w="28575" cmpd="sng">
              <a:solidFill>
                <a:schemeClr val="accent1"/>
              </a:solidFill>
            </a:ln>
          </c:spPr>
          <c:marker>
            <c:symbol val="circle"/>
            <c:size val="5"/>
            <c:spPr>
              <a:solidFill>
                <a:schemeClr val="accent1"/>
              </a:solidFill>
              <a:ln cmpd="sng">
                <a:solidFill>
                  <a:schemeClr val="accent1"/>
                </a:solidFill>
              </a:ln>
            </c:spPr>
          </c:marker>
          <c:val>
            <c:numRef>
              <c:f>'Implementasi xbar-R'!$I$33:$I$57</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9E95-4269-A022-5AE4047C38CB}"/>
            </c:ext>
          </c:extLst>
        </c:ser>
        <c:ser>
          <c:idx val="1"/>
          <c:order val="1"/>
          <c:tx>
            <c:v>GT R</c:v>
          </c:tx>
          <c:spPr>
            <a:ln w="28575" cmpd="sng">
              <a:solidFill>
                <a:schemeClr val="accent2"/>
              </a:solidFill>
            </a:ln>
          </c:spPr>
          <c:marker>
            <c:symbol val="circle"/>
            <c:size val="5"/>
            <c:spPr>
              <a:solidFill>
                <a:schemeClr val="accent2"/>
              </a:solidFill>
              <a:ln cmpd="sng">
                <a:solidFill>
                  <a:schemeClr val="accent2"/>
                </a:solidFill>
              </a:ln>
            </c:spPr>
          </c:marker>
          <c:val>
            <c:numRef>
              <c:f>'Implementasi xbar-R'!$J$33:$J$57</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9E95-4269-A022-5AE4047C38CB}"/>
            </c:ext>
          </c:extLst>
        </c:ser>
        <c:ser>
          <c:idx val="2"/>
          <c:order val="2"/>
          <c:tx>
            <c:v>BKA R</c:v>
          </c:tx>
          <c:spPr>
            <a:ln w="28575" cmpd="sng">
              <a:solidFill>
                <a:schemeClr val="accent3"/>
              </a:solidFill>
            </a:ln>
          </c:spPr>
          <c:marker>
            <c:symbol val="circle"/>
            <c:size val="5"/>
            <c:spPr>
              <a:solidFill>
                <a:schemeClr val="accent3"/>
              </a:solidFill>
              <a:ln cmpd="sng">
                <a:solidFill>
                  <a:schemeClr val="accent3"/>
                </a:solidFill>
              </a:ln>
            </c:spPr>
          </c:marker>
          <c:val>
            <c:numRef>
              <c:f>'Implementasi xbar-R'!$K$33:$K$57</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9E95-4269-A022-5AE4047C38CB}"/>
            </c:ext>
          </c:extLst>
        </c:ser>
        <c:ser>
          <c:idx val="3"/>
          <c:order val="3"/>
          <c:tx>
            <c:v>BKB R</c:v>
          </c:tx>
          <c:spPr>
            <a:ln w="28575" cmpd="sng">
              <a:solidFill>
                <a:schemeClr val="accent4"/>
              </a:solidFill>
            </a:ln>
          </c:spPr>
          <c:marker>
            <c:symbol val="circle"/>
            <c:size val="5"/>
            <c:spPr>
              <a:solidFill>
                <a:schemeClr val="accent4"/>
              </a:solidFill>
              <a:ln cmpd="sng">
                <a:solidFill>
                  <a:schemeClr val="accent4"/>
                </a:solidFill>
              </a:ln>
            </c:spPr>
          </c:marker>
          <c:val>
            <c:numRef>
              <c:f>'Implementasi xbar-R'!$L$33:$L$57</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9E95-4269-A022-5AE4047C38CB}"/>
            </c:ext>
          </c:extLst>
        </c:ser>
        <c:dLbls>
          <c:showLegendKey val="0"/>
          <c:showVal val="0"/>
          <c:showCatName val="0"/>
          <c:showSerName val="0"/>
          <c:showPercent val="0"/>
          <c:showBubbleSize val="0"/>
        </c:dLbls>
        <c:marker val="1"/>
        <c:smooth val="0"/>
        <c:axId val="585717678"/>
        <c:axId val="259444800"/>
      </c:lineChart>
      <c:catAx>
        <c:axId val="585717678"/>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59444800"/>
        <c:crosses val="autoZero"/>
        <c:auto val="1"/>
        <c:lblAlgn val="ctr"/>
        <c:lblOffset val="100"/>
        <c:noMultiLvlLbl val="1"/>
      </c:catAx>
      <c:valAx>
        <c:axId val="259444800"/>
        <c:scaling>
          <c:orientation val="minMax"/>
          <c:max val="2"/>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585717678"/>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MR Chart</a:t>
            </a:r>
          </a:p>
        </c:rich>
      </c:tx>
      <c:overlay val="0"/>
    </c:title>
    <c:autoTitleDeleted val="0"/>
    <c:plotArea>
      <c:layout/>
      <c:lineChart>
        <c:grouping val="standard"/>
        <c:varyColors val="1"/>
        <c:ser>
          <c:idx val="0"/>
          <c:order val="0"/>
          <c:tx>
            <c:v>MR</c:v>
          </c:tx>
          <c:spPr>
            <a:ln w="28575" cmpd="sng">
              <a:solidFill>
                <a:schemeClr val="accent1"/>
              </a:solidFill>
            </a:ln>
          </c:spPr>
          <c:marker>
            <c:symbol val="circle"/>
            <c:size val="5"/>
            <c:spPr>
              <a:solidFill>
                <a:schemeClr val="accent1"/>
              </a:solidFill>
              <a:ln cmpd="sng">
                <a:solidFill>
                  <a:schemeClr val="accent1"/>
                </a:solidFill>
              </a:ln>
            </c:spPr>
          </c:marker>
          <c:val>
            <c:numRef>
              <c:f>'Peta Kendali MR'!$E$42:$E$66</c:f>
              <c:numCache>
                <c:formatCode>0.000</c:formatCode>
                <c:ptCount val="25"/>
              </c:numCache>
            </c:numRef>
          </c:val>
          <c:smooth val="0"/>
          <c:extLst>
            <c:ext xmlns:c16="http://schemas.microsoft.com/office/drawing/2014/chart" uri="{C3380CC4-5D6E-409C-BE32-E72D297353CC}">
              <c16:uniqueId val="{00000000-947C-488F-8555-AE000BF827EB}"/>
            </c:ext>
          </c:extLst>
        </c:ser>
        <c:ser>
          <c:idx val="1"/>
          <c:order val="1"/>
          <c:tx>
            <c:v>GT MR</c:v>
          </c:tx>
          <c:spPr>
            <a:ln w="28575" cmpd="sng">
              <a:solidFill>
                <a:schemeClr val="accent2"/>
              </a:solidFill>
            </a:ln>
          </c:spPr>
          <c:marker>
            <c:symbol val="circle"/>
            <c:size val="5"/>
            <c:spPr>
              <a:solidFill>
                <a:schemeClr val="accent2"/>
              </a:solidFill>
              <a:ln cmpd="sng">
                <a:solidFill>
                  <a:schemeClr val="accent2"/>
                </a:solidFill>
              </a:ln>
            </c:spPr>
          </c:marker>
          <c:val>
            <c:numRef>
              <c:f>'Peta Kendali MR'!$F$42:$F$66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947C-488F-8555-AE000BF827EB}"/>
            </c:ext>
          </c:extLst>
        </c:ser>
        <c:ser>
          <c:idx val="2"/>
          <c:order val="2"/>
          <c:tx>
            <c:v>BKA MR</c:v>
          </c:tx>
          <c:spPr>
            <a:ln w="28575" cmpd="sng">
              <a:solidFill>
                <a:schemeClr val="accent3"/>
              </a:solidFill>
            </a:ln>
          </c:spPr>
          <c:marker>
            <c:symbol val="circle"/>
            <c:size val="5"/>
            <c:spPr>
              <a:solidFill>
                <a:schemeClr val="accent3"/>
              </a:solidFill>
              <a:ln cmpd="sng">
                <a:solidFill>
                  <a:schemeClr val="accent3"/>
                </a:solidFill>
              </a:ln>
            </c:spPr>
          </c:marker>
          <c:val>
            <c:numRef>
              <c:f>'Peta Kendali MR'!$G$42:$G$66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947C-488F-8555-AE000BF827EB}"/>
            </c:ext>
          </c:extLst>
        </c:ser>
        <c:ser>
          <c:idx val="3"/>
          <c:order val="3"/>
          <c:tx>
            <c:v>BKB MR</c:v>
          </c:tx>
          <c:spPr>
            <a:ln w="28575" cmpd="sng">
              <a:solidFill>
                <a:schemeClr val="accent4"/>
              </a:solidFill>
            </a:ln>
          </c:spPr>
          <c:marker>
            <c:symbol val="circle"/>
            <c:size val="5"/>
            <c:spPr>
              <a:solidFill>
                <a:schemeClr val="accent4"/>
              </a:solidFill>
              <a:ln cmpd="sng">
                <a:solidFill>
                  <a:schemeClr val="accent4"/>
                </a:solidFill>
              </a:ln>
            </c:spPr>
          </c:marker>
          <c:val>
            <c:numRef>
              <c:f>'Peta Kendali MR'!$H$42:$H$66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947C-488F-8555-AE000BF827EB}"/>
            </c:ext>
          </c:extLst>
        </c:ser>
        <c:dLbls>
          <c:showLegendKey val="0"/>
          <c:showVal val="0"/>
          <c:showCatName val="0"/>
          <c:showSerName val="0"/>
          <c:showPercent val="0"/>
          <c:showBubbleSize val="0"/>
        </c:dLbls>
        <c:marker val="1"/>
        <c:smooth val="0"/>
        <c:axId val="1281043941"/>
        <c:axId val="330225931"/>
      </c:lineChart>
      <c:catAx>
        <c:axId val="1281043941"/>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330225931"/>
        <c:crosses val="autoZero"/>
        <c:auto val="1"/>
        <c:lblAlgn val="ctr"/>
        <c:lblOffset val="100"/>
        <c:noMultiLvlLbl val="1"/>
      </c:catAx>
      <c:valAx>
        <c:axId val="33022593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128104394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 individual Chart</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'Peta Kendali MR'!$D$41</c:f>
              <c:strCache>
                <c:ptCount val="1"/>
                <c:pt idx="0">
                  <c:v>x individual</c:v>
                </c:pt>
              </c:strCache>
            </c:strRef>
          </c:tx>
          <c:spPr>
            <a:ln w="28575" cap="rnd">
              <a:solidFill>
                <a:schemeClr val="accent1"/>
              </a:solidFill>
              <a:round/>
            </a:ln>
            <a:effectLst/>
          </c:spPr>
          <c:marker>
            <c:symbol val="none"/>
          </c:marker>
          <c:val>
            <c:numRef>
              <c:f>'Peta Kendali MR'!$D$42:$D$66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7685-46D9-99FA-57AE14F3824B}"/>
            </c:ext>
          </c:extLst>
        </c:ser>
        <c:ser>
          <c:idx val="1"/>
          <c:order val="1"/>
          <c:tx>
            <c:strRef>
              <c:f>'Peta Kendali MR'!$I$41</c:f>
              <c:strCache>
                <c:ptCount val="1"/>
                <c:pt idx="0">
                  <c:v>GT xindv</c:v>
                </c:pt>
              </c:strCache>
            </c:strRef>
          </c:tx>
          <c:spPr>
            <a:ln w="28575" cap="rnd">
              <a:solidFill>
                <a:schemeClr val="accent2"/>
              </a:solidFill>
              <a:round/>
            </a:ln>
            <a:effectLst/>
          </c:spPr>
          <c:marker>
            <c:symbol val="none"/>
          </c:marker>
          <c:val>
            <c:numRef>
              <c:f>'Peta Kendali MR'!$I$42:$I$66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7685-46D9-99FA-57AE14F3824B}"/>
            </c:ext>
          </c:extLst>
        </c:ser>
        <c:ser>
          <c:idx val="2"/>
          <c:order val="2"/>
          <c:tx>
            <c:strRef>
              <c:f>'Peta Kendali MR'!$J$41</c:f>
              <c:strCache>
                <c:ptCount val="1"/>
                <c:pt idx="0">
                  <c:v>BKA xindv</c:v>
                </c:pt>
              </c:strCache>
            </c:strRef>
          </c:tx>
          <c:spPr>
            <a:ln w="28575" cap="rnd">
              <a:solidFill>
                <a:schemeClr val="accent3"/>
              </a:solidFill>
              <a:round/>
            </a:ln>
            <a:effectLst/>
          </c:spPr>
          <c:marker>
            <c:symbol val="none"/>
          </c:marker>
          <c:val>
            <c:numRef>
              <c:f>'Peta Kendali MR'!$J$42:$J$66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7685-46D9-99FA-57AE14F3824B}"/>
            </c:ext>
          </c:extLst>
        </c:ser>
        <c:ser>
          <c:idx val="3"/>
          <c:order val="3"/>
          <c:tx>
            <c:strRef>
              <c:f>'Peta Kendali MR'!$K$41</c:f>
              <c:strCache>
                <c:ptCount val="1"/>
                <c:pt idx="0">
                  <c:v>BKB xindv</c:v>
                </c:pt>
              </c:strCache>
            </c:strRef>
          </c:tx>
          <c:spPr>
            <a:ln w="28575" cap="rnd">
              <a:solidFill>
                <a:schemeClr val="accent4"/>
              </a:solidFill>
              <a:round/>
            </a:ln>
            <a:effectLst/>
          </c:spPr>
          <c:marker>
            <c:symbol val="none"/>
          </c:marker>
          <c:val>
            <c:numRef>
              <c:f>'Peta Kendali MR'!$K$42:$K$66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7685-46D9-99FA-57AE14F3824B}"/>
            </c:ext>
          </c:extLst>
        </c:ser>
        <c:ser>
          <c:idx val="4"/>
          <c:order val="4"/>
          <c:tx>
            <c:strRef>
              <c:f>'Peta Kendali MR'!$L$41</c:f>
              <c:strCache>
                <c:ptCount val="1"/>
                <c:pt idx="0">
                  <c:v>1/2 UCLx</c:v>
                </c:pt>
              </c:strCache>
            </c:strRef>
          </c:tx>
          <c:spPr>
            <a:ln w="28575" cap="rnd">
              <a:solidFill>
                <a:schemeClr val="accent5"/>
              </a:solidFill>
              <a:round/>
            </a:ln>
            <a:effectLst/>
          </c:spPr>
          <c:marker>
            <c:symbol val="none"/>
          </c:marker>
          <c:val>
            <c:numRef>
              <c:f>'Peta Kendali MR'!$L$42:$L$66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4-7685-46D9-99FA-57AE14F3824B}"/>
            </c:ext>
          </c:extLst>
        </c:ser>
        <c:ser>
          <c:idx val="5"/>
          <c:order val="5"/>
          <c:tx>
            <c:strRef>
              <c:f>'Peta Kendali MR'!$M$41</c:f>
              <c:strCache>
                <c:ptCount val="1"/>
                <c:pt idx="0">
                  <c:v>1/2 LCLx</c:v>
                </c:pt>
              </c:strCache>
            </c:strRef>
          </c:tx>
          <c:spPr>
            <a:ln w="28575" cap="rnd">
              <a:solidFill>
                <a:schemeClr val="accent6"/>
              </a:solidFill>
              <a:round/>
            </a:ln>
            <a:effectLst/>
          </c:spPr>
          <c:marker>
            <c:symbol val="none"/>
          </c:marker>
          <c:val>
            <c:numRef>
              <c:f>'Peta Kendali MR'!$M$42:$M$66</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5-7685-46D9-99FA-57AE14F3824B}"/>
            </c:ext>
          </c:extLst>
        </c:ser>
        <c:dLbls>
          <c:showLegendKey val="0"/>
          <c:showVal val="0"/>
          <c:showCatName val="0"/>
          <c:showSerName val="0"/>
          <c:showPercent val="0"/>
          <c:showBubbleSize val="0"/>
        </c:dLbls>
        <c:smooth val="0"/>
        <c:axId val="763681728"/>
        <c:axId val="763682208"/>
      </c:lineChart>
      <c:catAx>
        <c:axId val="7636817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682208"/>
        <c:crosses val="autoZero"/>
        <c:auto val="1"/>
        <c:lblAlgn val="ctr"/>
        <c:lblOffset val="100"/>
        <c:noMultiLvlLbl val="0"/>
      </c:catAx>
      <c:valAx>
        <c:axId val="76368220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681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np Chart</a:t>
            </a:r>
          </a:p>
        </c:rich>
      </c:tx>
      <c:overlay val="0"/>
    </c:title>
    <c:autoTitleDeleted val="0"/>
    <c:plotArea>
      <c:layout/>
      <c:lineChart>
        <c:grouping val="standard"/>
        <c:varyColors val="1"/>
        <c:ser>
          <c:idx val="0"/>
          <c:order val="0"/>
          <c:tx>
            <c:v>Jumlah Item Cacat (np)</c:v>
          </c:tx>
          <c:spPr>
            <a:ln w="28575" cmpd="sng">
              <a:solidFill>
                <a:schemeClr val="accent1"/>
              </a:solidFill>
            </a:ln>
          </c:spPr>
          <c:marker>
            <c:symbol val="circle"/>
            <c:size val="5"/>
            <c:spPr>
              <a:solidFill>
                <a:schemeClr val="accent1"/>
              </a:solidFill>
              <a:ln cmpd="sng">
                <a:solidFill>
                  <a:schemeClr val="accent1"/>
                </a:solidFill>
              </a:ln>
            </c:spPr>
          </c:marker>
          <c:val>
            <c:numRef>
              <c:f>'Peta Kendali p dan np'!$E$39:$E$63</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BA4C-4CB3-96C8-3B5BA34314CB}"/>
            </c:ext>
          </c:extLst>
        </c:ser>
        <c:ser>
          <c:idx val="1"/>
          <c:order val="1"/>
          <c:tx>
            <c:v>GT np</c:v>
          </c:tx>
          <c:spPr>
            <a:ln w="28575" cmpd="sng">
              <a:solidFill>
                <a:schemeClr val="accent2"/>
              </a:solidFill>
            </a:ln>
          </c:spPr>
          <c:marker>
            <c:symbol val="circle"/>
            <c:size val="5"/>
            <c:spPr>
              <a:solidFill>
                <a:schemeClr val="accent2"/>
              </a:solidFill>
              <a:ln cmpd="sng">
                <a:solidFill>
                  <a:schemeClr val="accent2"/>
                </a:solidFill>
              </a:ln>
            </c:spPr>
          </c:marker>
          <c:val>
            <c:numRef>
              <c:f>'Peta Kendali p dan np'!$I$39:$I$63</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BA4C-4CB3-96C8-3B5BA34314CB}"/>
            </c:ext>
          </c:extLst>
        </c:ser>
        <c:ser>
          <c:idx val="2"/>
          <c:order val="2"/>
          <c:tx>
            <c:v>BKA np</c:v>
          </c:tx>
          <c:spPr>
            <a:ln w="28575" cmpd="sng">
              <a:solidFill>
                <a:schemeClr val="accent3"/>
              </a:solidFill>
            </a:ln>
          </c:spPr>
          <c:marker>
            <c:symbol val="circle"/>
            <c:size val="5"/>
            <c:spPr>
              <a:solidFill>
                <a:schemeClr val="accent3"/>
              </a:solidFill>
              <a:ln cmpd="sng">
                <a:solidFill>
                  <a:schemeClr val="accent3"/>
                </a:solidFill>
              </a:ln>
            </c:spPr>
          </c:marker>
          <c:val>
            <c:numRef>
              <c:f>'Peta Kendali p dan np'!$J$39:$J$63</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BA4C-4CB3-96C8-3B5BA34314CB}"/>
            </c:ext>
          </c:extLst>
        </c:ser>
        <c:ser>
          <c:idx val="3"/>
          <c:order val="3"/>
          <c:tx>
            <c:v>BKB np</c:v>
          </c:tx>
          <c:spPr>
            <a:ln w="28575" cmpd="sng">
              <a:solidFill>
                <a:schemeClr val="accent4"/>
              </a:solidFill>
            </a:ln>
          </c:spPr>
          <c:marker>
            <c:symbol val="circle"/>
            <c:size val="5"/>
            <c:spPr>
              <a:solidFill>
                <a:schemeClr val="accent4"/>
              </a:solidFill>
              <a:ln cmpd="sng">
                <a:solidFill>
                  <a:schemeClr val="accent4"/>
                </a:solidFill>
              </a:ln>
            </c:spPr>
          </c:marker>
          <c:val>
            <c:numRef>
              <c:f>'Peta Kendali p dan np'!$K$39:$K$63</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BA4C-4CB3-96C8-3B5BA34314CB}"/>
            </c:ext>
          </c:extLst>
        </c:ser>
        <c:dLbls>
          <c:showLegendKey val="0"/>
          <c:showVal val="0"/>
          <c:showCatName val="0"/>
          <c:showSerName val="0"/>
          <c:showPercent val="0"/>
          <c:showBubbleSize val="0"/>
        </c:dLbls>
        <c:marker val="1"/>
        <c:smooth val="0"/>
        <c:axId val="461477166"/>
        <c:axId val="1444216262"/>
      </c:lineChart>
      <c:catAx>
        <c:axId val="461477166"/>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444216262"/>
        <c:crosses val="autoZero"/>
        <c:auto val="1"/>
        <c:lblAlgn val="ctr"/>
        <c:lblOffset val="100"/>
        <c:noMultiLvlLbl val="1"/>
      </c:catAx>
      <c:valAx>
        <c:axId val="144421626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461477166"/>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p Chart</a:t>
            </a:r>
          </a:p>
        </c:rich>
      </c:tx>
      <c:overlay val="0"/>
    </c:title>
    <c:autoTitleDeleted val="0"/>
    <c:plotArea>
      <c:layout/>
      <c:lineChart>
        <c:grouping val="standard"/>
        <c:varyColors val="1"/>
        <c:ser>
          <c:idx val="0"/>
          <c:order val="0"/>
          <c:tx>
            <c:v>Fraksi Item Cacat (p)</c:v>
          </c:tx>
          <c:spPr>
            <a:ln w="28575" cmpd="sng">
              <a:solidFill>
                <a:schemeClr val="accent1"/>
              </a:solidFill>
            </a:ln>
          </c:spPr>
          <c:marker>
            <c:symbol val="circle"/>
            <c:size val="5"/>
            <c:spPr>
              <a:solidFill>
                <a:schemeClr val="accent1"/>
              </a:solidFill>
              <a:ln cmpd="sng">
                <a:solidFill>
                  <a:schemeClr val="accent1"/>
                </a:solidFill>
              </a:ln>
            </c:spPr>
          </c:marker>
          <c:val>
            <c:numRef>
              <c:f>'Peta Kendali p dan np'!$D$39:$D$63</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5E58-4952-8192-C875207468EC}"/>
            </c:ext>
          </c:extLst>
        </c:ser>
        <c:ser>
          <c:idx val="1"/>
          <c:order val="1"/>
          <c:tx>
            <c:v>GT p</c:v>
          </c:tx>
          <c:spPr>
            <a:ln w="28575" cmpd="sng">
              <a:solidFill>
                <a:schemeClr val="accent2"/>
              </a:solidFill>
            </a:ln>
          </c:spPr>
          <c:marker>
            <c:symbol val="circle"/>
            <c:size val="5"/>
            <c:spPr>
              <a:solidFill>
                <a:schemeClr val="accent2"/>
              </a:solidFill>
              <a:ln cmpd="sng">
                <a:solidFill>
                  <a:schemeClr val="accent2"/>
                </a:solidFill>
              </a:ln>
            </c:spPr>
          </c:marker>
          <c:val>
            <c:numRef>
              <c:f>'Peta Kendali p dan np'!$F$39:$F$63</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5E58-4952-8192-C875207468EC}"/>
            </c:ext>
          </c:extLst>
        </c:ser>
        <c:ser>
          <c:idx val="2"/>
          <c:order val="2"/>
          <c:tx>
            <c:v>BKA p</c:v>
          </c:tx>
          <c:spPr>
            <a:ln w="28575" cmpd="sng">
              <a:solidFill>
                <a:schemeClr val="accent3"/>
              </a:solidFill>
            </a:ln>
          </c:spPr>
          <c:marker>
            <c:symbol val="circle"/>
            <c:size val="5"/>
            <c:spPr>
              <a:solidFill>
                <a:schemeClr val="accent3"/>
              </a:solidFill>
              <a:ln cmpd="sng">
                <a:solidFill>
                  <a:schemeClr val="accent3"/>
                </a:solidFill>
              </a:ln>
            </c:spPr>
          </c:marker>
          <c:val>
            <c:numRef>
              <c:f>'Peta Kendali p dan np'!$G$39:$G$63</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5E58-4952-8192-C875207468EC}"/>
            </c:ext>
          </c:extLst>
        </c:ser>
        <c:ser>
          <c:idx val="3"/>
          <c:order val="3"/>
          <c:tx>
            <c:v>BKB p</c:v>
          </c:tx>
          <c:spPr>
            <a:ln w="28575" cmpd="sng">
              <a:solidFill>
                <a:schemeClr val="accent4"/>
              </a:solidFill>
            </a:ln>
          </c:spPr>
          <c:marker>
            <c:symbol val="circle"/>
            <c:size val="5"/>
            <c:spPr>
              <a:solidFill>
                <a:schemeClr val="accent4"/>
              </a:solidFill>
              <a:ln cmpd="sng">
                <a:solidFill>
                  <a:schemeClr val="accent4"/>
                </a:solidFill>
              </a:ln>
            </c:spPr>
          </c:marker>
          <c:val>
            <c:numRef>
              <c:f>'Peta Kendali p dan np'!$H$39:$H$63</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5E58-4952-8192-C875207468EC}"/>
            </c:ext>
          </c:extLst>
        </c:ser>
        <c:dLbls>
          <c:showLegendKey val="0"/>
          <c:showVal val="0"/>
          <c:showCatName val="0"/>
          <c:showSerName val="0"/>
          <c:showPercent val="0"/>
          <c:showBubbleSize val="0"/>
        </c:dLbls>
        <c:marker val="1"/>
        <c:smooth val="0"/>
        <c:axId val="1168306649"/>
        <c:axId val="542789472"/>
      </c:lineChart>
      <c:catAx>
        <c:axId val="1168306649"/>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542789472"/>
        <c:crosses val="autoZero"/>
        <c:auto val="1"/>
        <c:lblAlgn val="ctr"/>
        <c:lblOffset val="100"/>
        <c:noMultiLvlLbl val="1"/>
      </c:catAx>
      <c:valAx>
        <c:axId val="54278947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1168306649"/>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c Chart</a:t>
            </a:r>
          </a:p>
        </c:rich>
      </c:tx>
      <c:overlay val="0"/>
    </c:title>
    <c:autoTitleDeleted val="0"/>
    <c:plotArea>
      <c:layout/>
      <c:lineChart>
        <c:grouping val="standard"/>
        <c:varyColors val="1"/>
        <c:ser>
          <c:idx val="0"/>
          <c:order val="0"/>
          <c:tx>
            <c:v>Jumlah Cacat (c)</c:v>
          </c:tx>
          <c:spPr>
            <a:ln w="28575" cmpd="sng">
              <a:solidFill>
                <a:schemeClr val="accent1"/>
              </a:solidFill>
            </a:ln>
          </c:spPr>
          <c:marker>
            <c:symbol val="circle"/>
            <c:size val="5"/>
            <c:spPr>
              <a:solidFill>
                <a:schemeClr val="accent1"/>
              </a:solidFill>
              <a:ln cmpd="sng">
                <a:solidFill>
                  <a:schemeClr val="accent1"/>
                </a:solidFill>
              </a:ln>
            </c:spPr>
          </c:marker>
          <c:val>
            <c:numRef>
              <c:f>'Peta Kendali c'!$C$36:$C$60</c:f>
              <c:numCache>
                <c:formatCode>0</c:formatCode>
                <c:ptCount val="25"/>
              </c:numCache>
            </c:numRef>
          </c:val>
          <c:smooth val="0"/>
          <c:extLst>
            <c:ext xmlns:c16="http://schemas.microsoft.com/office/drawing/2014/chart" uri="{C3380CC4-5D6E-409C-BE32-E72D297353CC}">
              <c16:uniqueId val="{00000000-99ED-4A21-ABF0-CDEE83B1B143}"/>
            </c:ext>
          </c:extLst>
        </c:ser>
        <c:ser>
          <c:idx val="1"/>
          <c:order val="1"/>
          <c:tx>
            <c:v>GT c</c:v>
          </c:tx>
          <c:spPr>
            <a:ln w="28575" cmpd="sng">
              <a:solidFill>
                <a:schemeClr val="accent2"/>
              </a:solidFill>
            </a:ln>
          </c:spPr>
          <c:marker>
            <c:symbol val="circle"/>
            <c:size val="5"/>
            <c:spPr>
              <a:solidFill>
                <a:schemeClr val="accent2"/>
              </a:solidFill>
              <a:ln cmpd="sng">
                <a:solidFill>
                  <a:schemeClr val="accent2"/>
                </a:solidFill>
              </a:ln>
            </c:spPr>
          </c:marker>
          <c:val>
            <c:numRef>
              <c:f>'Peta Kendali c'!$D$36:$D$60</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99ED-4A21-ABF0-CDEE83B1B143}"/>
            </c:ext>
          </c:extLst>
        </c:ser>
        <c:ser>
          <c:idx val="2"/>
          <c:order val="2"/>
          <c:tx>
            <c:v>BKA c</c:v>
          </c:tx>
          <c:spPr>
            <a:ln w="28575" cmpd="sng">
              <a:solidFill>
                <a:schemeClr val="accent3"/>
              </a:solidFill>
            </a:ln>
          </c:spPr>
          <c:marker>
            <c:symbol val="circle"/>
            <c:size val="5"/>
            <c:spPr>
              <a:solidFill>
                <a:schemeClr val="accent3"/>
              </a:solidFill>
              <a:ln cmpd="sng">
                <a:solidFill>
                  <a:schemeClr val="accent3"/>
                </a:solidFill>
              </a:ln>
            </c:spPr>
          </c:marker>
          <c:val>
            <c:numRef>
              <c:f>'Peta Kendali c'!$E$36:$E$60</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99ED-4A21-ABF0-CDEE83B1B143}"/>
            </c:ext>
          </c:extLst>
        </c:ser>
        <c:ser>
          <c:idx val="3"/>
          <c:order val="3"/>
          <c:tx>
            <c:v>BKB c</c:v>
          </c:tx>
          <c:spPr>
            <a:ln w="28575" cmpd="sng">
              <a:solidFill>
                <a:schemeClr val="accent4"/>
              </a:solidFill>
            </a:ln>
          </c:spPr>
          <c:marker>
            <c:symbol val="circle"/>
            <c:size val="5"/>
            <c:spPr>
              <a:solidFill>
                <a:schemeClr val="accent4"/>
              </a:solidFill>
              <a:ln cmpd="sng">
                <a:solidFill>
                  <a:schemeClr val="accent4"/>
                </a:solidFill>
              </a:ln>
            </c:spPr>
          </c:marker>
          <c:val>
            <c:numRef>
              <c:f>'Peta Kendali c'!$F$36:$F$60</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99ED-4A21-ABF0-CDEE83B1B143}"/>
            </c:ext>
          </c:extLst>
        </c:ser>
        <c:dLbls>
          <c:showLegendKey val="0"/>
          <c:showVal val="0"/>
          <c:showCatName val="0"/>
          <c:showSerName val="0"/>
          <c:showPercent val="0"/>
          <c:showBubbleSize val="0"/>
        </c:dLbls>
        <c:marker val="1"/>
        <c:smooth val="0"/>
        <c:axId val="680333859"/>
        <c:axId val="1571259564"/>
      </c:lineChart>
      <c:catAx>
        <c:axId val="680333859"/>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571259564"/>
        <c:crosses val="autoZero"/>
        <c:auto val="1"/>
        <c:lblAlgn val="ctr"/>
        <c:lblOffset val="100"/>
        <c:noMultiLvlLbl val="1"/>
      </c:catAx>
      <c:valAx>
        <c:axId val="15712595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680333859"/>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u Chart</a:t>
            </a:r>
          </a:p>
        </c:rich>
      </c:tx>
      <c:overlay val="0"/>
    </c:title>
    <c:autoTitleDeleted val="0"/>
    <c:plotArea>
      <c:layout/>
      <c:lineChart>
        <c:grouping val="standard"/>
        <c:varyColors val="1"/>
        <c:ser>
          <c:idx val="0"/>
          <c:order val="0"/>
          <c:tx>
            <c:v>Jumlah Cacat/unit (u)</c:v>
          </c:tx>
          <c:spPr>
            <a:ln w="28575" cmpd="sng">
              <a:solidFill>
                <a:schemeClr val="accent1"/>
              </a:solidFill>
            </a:ln>
          </c:spPr>
          <c:marker>
            <c:symbol val="circle"/>
            <c:size val="5"/>
            <c:spPr>
              <a:solidFill>
                <a:schemeClr val="accent1"/>
              </a:solidFill>
              <a:ln cmpd="sng">
                <a:solidFill>
                  <a:schemeClr val="accent1"/>
                </a:solidFill>
              </a:ln>
            </c:spPr>
          </c:marker>
          <c:val>
            <c:numRef>
              <c:f>'Peta Kendali u'!$D$36:$D$60</c:f>
              <c:numCache>
                <c:formatCode>0.000</c:formatCode>
                <c:ptCount val="25"/>
              </c:numCache>
            </c:numRef>
          </c:val>
          <c:smooth val="0"/>
          <c:extLst>
            <c:ext xmlns:c16="http://schemas.microsoft.com/office/drawing/2014/chart" uri="{C3380CC4-5D6E-409C-BE32-E72D297353CC}">
              <c16:uniqueId val="{00000000-3B98-4E19-A8EE-D54ACBE93734}"/>
            </c:ext>
          </c:extLst>
        </c:ser>
        <c:ser>
          <c:idx val="1"/>
          <c:order val="1"/>
          <c:tx>
            <c:v>GT u</c:v>
          </c:tx>
          <c:spPr>
            <a:ln w="28575" cmpd="sng">
              <a:solidFill>
                <a:schemeClr val="accent2"/>
              </a:solidFill>
            </a:ln>
          </c:spPr>
          <c:marker>
            <c:symbol val="circle"/>
            <c:size val="5"/>
            <c:spPr>
              <a:solidFill>
                <a:schemeClr val="accent2"/>
              </a:solidFill>
              <a:ln cmpd="sng">
                <a:solidFill>
                  <a:schemeClr val="accent2"/>
                </a:solidFill>
              </a:ln>
            </c:spPr>
          </c:marker>
          <c:val>
            <c:numRef>
              <c:f>'Peta Kendali u'!$E$36:$E$60</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3B98-4E19-A8EE-D54ACBE93734}"/>
            </c:ext>
          </c:extLst>
        </c:ser>
        <c:ser>
          <c:idx val="2"/>
          <c:order val="2"/>
          <c:tx>
            <c:v>BKA u</c:v>
          </c:tx>
          <c:spPr>
            <a:ln w="28575" cmpd="sng">
              <a:solidFill>
                <a:schemeClr val="accent3"/>
              </a:solidFill>
            </a:ln>
          </c:spPr>
          <c:marker>
            <c:symbol val="circle"/>
            <c:size val="5"/>
            <c:spPr>
              <a:solidFill>
                <a:schemeClr val="accent3"/>
              </a:solidFill>
              <a:ln cmpd="sng">
                <a:solidFill>
                  <a:schemeClr val="accent3"/>
                </a:solidFill>
              </a:ln>
            </c:spPr>
          </c:marker>
          <c:val>
            <c:numRef>
              <c:f>'Peta Kendali u'!$F$36:$F$60</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3B98-4E19-A8EE-D54ACBE93734}"/>
            </c:ext>
          </c:extLst>
        </c:ser>
        <c:ser>
          <c:idx val="3"/>
          <c:order val="3"/>
          <c:tx>
            <c:v>BKB u</c:v>
          </c:tx>
          <c:spPr>
            <a:ln w="28575" cmpd="sng">
              <a:solidFill>
                <a:schemeClr val="accent4"/>
              </a:solidFill>
            </a:ln>
          </c:spPr>
          <c:marker>
            <c:symbol val="circle"/>
            <c:size val="5"/>
            <c:spPr>
              <a:solidFill>
                <a:schemeClr val="accent4"/>
              </a:solidFill>
              <a:ln cmpd="sng">
                <a:solidFill>
                  <a:schemeClr val="accent4"/>
                </a:solidFill>
              </a:ln>
            </c:spPr>
          </c:marker>
          <c:val>
            <c:numRef>
              <c:f>'Peta Kendali u'!$G$36:$G$60</c:f>
              <c:numCache>
                <c:formatCode>0.000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3-3B98-4E19-A8EE-D54ACBE93734}"/>
            </c:ext>
          </c:extLst>
        </c:ser>
        <c:dLbls>
          <c:showLegendKey val="0"/>
          <c:showVal val="0"/>
          <c:showCatName val="0"/>
          <c:showSerName val="0"/>
          <c:showPercent val="0"/>
          <c:showBubbleSize val="0"/>
        </c:dLbls>
        <c:marker val="1"/>
        <c:smooth val="0"/>
        <c:axId val="91321245"/>
        <c:axId val="1537974080"/>
      </c:lineChart>
      <c:catAx>
        <c:axId val="91321245"/>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537974080"/>
        <c:crosses val="autoZero"/>
        <c:auto val="1"/>
        <c:lblAlgn val="ctr"/>
        <c:lblOffset val="100"/>
        <c:noMultiLvlLbl val="1"/>
      </c:catAx>
      <c:valAx>
        <c:axId val="15379740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91321245"/>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cusum Chart</a:t>
            </a:r>
          </a:p>
        </c:rich>
      </c:tx>
      <c:overlay val="0"/>
    </c:title>
    <c:autoTitleDeleted val="0"/>
    <c:plotArea>
      <c:layout>
        <c:manualLayout>
          <c:xMode val="edge"/>
          <c:yMode val="edge"/>
          <c:x val="7.2630644214116316E-2"/>
          <c:y val="0.16821961533769775"/>
          <c:w val="0.89543366571597216"/>
          <c:h val="0.69460923840117106"/>
        </c:manualLayout>
      </c:layout>
      <c:lineChart>
        <c:grouping val="standard"/>
        <c:varyColors val="1"/>
        <c:ser>
          <c:idx val="0"/>
          <c:order val="0"/>
          <c:tx>
            <c:v>H</c:v>
          </c:tx>
          <c:spPr>
            <a:ln w="28575" cmpd="sng">
              <a:solidFill>
                <a:schemeClr val="accent3"/>
              </a:solidFill>
            </a:ln>
          </c:spPr>
          <c:marker>
            <c:symbol val="circle"/>
            <c:size val="5"/>
            <c:spPr>
              <a:solidFill>
                <a:schemeClr val="accent3"/>
              </a:solidFill>
              <a:ln cmpd="sng">
                <a:solidFill>
                  <a:schemeClr val="accent3"/>
                </a:solidFill>
              </a:ln>
            </c:spPr>
          </c:marker>
          <c:val>
            <c:numRef>
              <c:f>'Peta Kendali cusum'!$K$28:$K$57</c:f>
              <c:numCache>
                <c:formatCode>0.000</c:formatCode>
                <c:ptCount val="30"/>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numCache>
            </c:numRef>
          </c:val>
          <c:smooth val="0"/>
          <c:extLst>
            <c:ext xmlns:c16="http://schemas.microsoft.com/office/drawing/2014/chart" uri="{C3380CC4-5D6E-409C-BE32-E72D297353CC}">
              <c16:uniqueId val="{00000000-29DE-450D-8968-06EA64BC7660}"/>
            </c:ext>
          </c:extLst>
        </c:ser>
        <c:ser>
          <c:idx val="1"/>
          <c:order val="1"/>
          <c:tx>
            <c:v>-H</c:v>
          </c:tx>
          <c:spPr>
            <a:ln w="28575" cmpd="sng">
              <a:solidFill>
                <a:schemeClr val="accent4"/>
              </a:solidFill>
            </a:ln>
          </c:spPr>
          <c:marker>
            <c:symbol val="circle"/>
            <c:size val="5"/>
            <c:spPr>
              <a:solidFill>
                <a:schemeClr val="accent4"/>
              </a:solidFill>
              <a:ln cmpd="sng">
                <a:solidFill>
                  <a:schemeClr val="accent4"/>
                </a:solidFill>
              </a:ln>
            </c:spPr>
          </c:marker>
          <c:val>
            <c:numRef>
              <c:f>'Peta Kendali cusum'!$L$28:$L$57</c:f>
              <c:numCache>
                <c:formatCode>0.000</c:formatCode>
                <c:ptCount val="30"/>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numCache>
            </c:numRef>
          </c:val>
          <c:smooth val="0"/>
          <c:extLst>
            <c:ext xmlns:c16="http://schemas.microsoft.com/office/drawing/2014/chart" uri="{C3380CC4-5D6E-409C-BE32-E72D297353CC}">
              <c16:uniqueId val="{00000001-29DE-450D-8968-06EA64BC7660}"/>
            </c:ext>
          </c:extLst>
        </c:ser>
        <c:ser>
          <c:idx val="2"/>
          <c:order val="2"/>
          <c:tx>
            <c:v>Ci+</c:v>
          </c:tx>
          <c:spPr>
            <a:ln w="28575" cmpd="sng">
              <a:solidFill>
                <a:schemeClr val="accent1"/>
              </a:solidFill>
            </a:ln>
          </c:spPr>
          <c:marker>
            <c:symbol val="circle"/>
            <c:size val="5"/>
            <c:spPr>
              <a:solidFill>
                <a:schemeClr val="accent1"/>
              </a:solidFill>
              <a:ln cmpd="sng">
                <a:solidFill>
                  <a:schemeClr val="accent1"/>
                </a:solidFill>
              </a:ln>
            </c:spPr>
          </c:marker>
          <c:val>
            <c:numRef>
              <c:f>'Peta Kendali cusum'!$E$28:$E$57</c:f>
              <c:numCache>
                <c:formatCode>0.000</c:formatCode>
                <c:ptCount val="30"/>
              </c:numCache>
            </c:numRef>
          </c:val>
          <c:smooth val="0"/>
          <c:extLst>
            <c:ext xmlns:c16="http://schemas.microsoft.com/office/drawing/2014/chart" uri="{C3380CC4-5D6E-409C-BE32-E72D297353CC}">
              <c16:uniqueId val="{00000002-29DE-450D-8968-06EA64BC7660}"/>
            </c:ext>
          </c:extLst>
        </c:ser>
        <c:ser>
          <c:idx val="3"/>
          <c:order val="3"/>
          <c:tx>
            <c:v>-Ci-</c:v>
          </c:tx>
          <c:spPr>
            <a:ln w="28575" cmpd="sng">
              <a:solidFill>
                <a:schemeClr val="accent2"/>
              </a:solidFill>
            </a:ln>
          </c:spPr>
          <c:marker>
            <c:symbol val="circle"/>
            <c:size val="5"/>
            <c:spPr>
              <a:solidFill>
                <a:schemeClr val="accent2"/>
              </a:solidFill>
              <a:ln cmpd="sng">
                <a:solidFill>
                  <a:schemeClr val="accent2"/>
                </a:solidFill>
              </a:ln>
            </c:spPr>
          </c:marker>
          <c:val>
            <c:numRef>
              <c:f>'Peta Kendali cusum'!$J$28:$J$57</c:f>
              <c:numCache>
                <c:formatCode>0.000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3-29DE-450D-8968-06EA64BC7660}"/>
            </c:ext>
          </c:extLst>
        </c:ser>
        <c:dLbls>
          <c:showLegendKey val="0"/>
          <c:showVal val="0"/>
          <c:showCatName val="0"/>
          <c:showSerName val="0"/>
          <c:showPercent val="0"/>
          <c:showBubbleSize val="0"/>
        </c:dLbls>
        <c:marker val="1"/>
        <c:smooth val="0"/>
        <c:axId val="381150312"/>
        <c:axId val="1688187036"/>
      </c:lineChart>
      <c:catAx>
        <c:axId val="381150312"/>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688187036"/>
        <c:crosses val="autoZero"/>
        <c:auto val="1"/>
        <c:lblAlgn val="ctr"/>
        <c:lblOffset val="100"/>
        <c:noMultiLvlLbl val="1"/>
      </c:catAx>
      <c:valAx>
        <c:axId val="168818703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381150312"/>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EWMA Chart</a:t>
            </a:r>
          </a:p>
        </c:rich>
      </c:tx>
      <c:overlay val="0"/>
    </c:title>
    <c:autoTitleDeleted val="0"/>
    <c:plotArea>
      <c:layout/>
      <c:lineChart>
        <c:grouping val="standard"/>
        <c:varyColors val="1"/>
        <c:ser>
          <c:idx val="0"/>
          <c:order val="0"/>
          <c:tx>
            <c:v>BKA</c:v>
          </c:tx>
          <c:spPr>
            <a:ln w="28575" cmpd="sng">
              <a:solidFill>
                <a:schemeClr val="accent3"/>
              </a:solidFill>
            </a:ln>
          </c:spPr>
          <c:marker>
            <c:symbol val="circle"/>
            <c:size val="5"/>
            <c:spPr>
              <a:solidFill>
                <a:schemeClr val="accent3"/>
              </a:solidFill>
              <a:ln cmpd="sng">
                <a:solidFill>
                  <a:schemeClr val="accent3"/>
                </a:solidFill>
              </a:ln>
            </c:spPr>
          </c:marker>
          <c:val>
            <c:numRef>
              <c:f>'Peta Kendali EWMA'!$E$30:$E$59</c:f>
              <c:numCache>
                <c:formatCode>0.000</c:formatCode>
                <c:ptCount val="30"/>
                <c:pt idx="0">
                  <c:v>1.0269999999999999</c:v>
                </c:pt>
                <c:pt idx="1">
                  <c:v>1.0363247849270991</c:v>
                </c:pt>
                <c:pt idx="2">
                  <c:v>1.0424003172157945</c:v>
                </c:pt>
                <c:pt idx="3">
                  <c:v>1.0467462018671037</c:v>
                </c:pt>
                <c:pt idx="4">
                  <c:v>1.0499901788863573</c:v>
                </c:pt>
                <c:pt idx="5">
                  <c:v>1.0524709878687537</c:v>
                </c:pt>
                <c:pt idx="6">
                  <c:v>1.0543975707179791</c:v>
                </c:pt>
                <c:pt idx="7">
                  <c:v>1.0559094582071247</c:v>
                </c:pt>
                <c:pt idx="8">
                  <c:v>1.0571047518931789</c:v>
                </c:pt>
                <c:pt idx="9">
                  <c:v>1.0580549022728747</c:v>
                </c:pt>
                <c:pt idx="10">
                  <c:v>1.0588132728141322</c:v>
                </c:pt>
                <c:pt idx="11">
                  <c:v>1.0594204582435944</c:v>
                </c:pt>
                <c:pt idx="12">
                  <c:v>1.0599077674002444</c:v>
                </c:pt>
                <c:pt idx="13">
                  <c:v>1.0602996010090799</c:v>
                </c:pt>
                <c:pt idx="14">
                  <c:v>1.0606151295000013</c:v>
                </c:pt>
                <c:pt idx="15">
                  <c:v>1.0608695086121498</c:v>
                </c:pt>
                <c:pt idx="16">
                  <c:v>1.0610747790314012</c:v>
                </c:pt>
                <c:pt idx="17">
                  <c:v>1.0612405437053343</c:v>
                </c:pt>
                <c:pt idx="18">
                  <c:v>1.0613744848988014</c:v>
                </c:pt>
                <c:pt idx="19">
                  <c:v>1.0614827633669837</c:v>
                </c:pt>
                <c:pt idx="20">
                  <c:v>1.061570329338934</c:v>
                </c:pt>
                <c:pt idx="21">
                  <c:v>1.0616411665891625</c:v>
                </c:pt>
                <c:pt idx="22">
                  <c:v>1.0616984851431788</c:v>
                </c:pt>
                <c:pt idx="23">
                  <c:v>1.0617448741666875</c:v>
                </c:pt>
                <c:pt idx="24">
                  <c:v>1.0617824237428952</c:v>
                </c:pt>
                <c:pt idx="25">
                  <c:v>1.0618128221785157</c:v>
                </c:pt>
                <c:pt idx="26">
                  <c:v>1.0618374339570698</c:v>
                </c:pt>
                <c:pt idx="27">
                  <c:v>1.06185736231929</c:v>
                </c:pt>
                <c:pt idx="28">
                  <c:v>1.0618734995875532</c:v>
                </c:pt>
                <c:pt idx="29">
                  <c:v>1.0618865676902578</c:v>
                </c:pt>
              </c:numCache>
            </c:numRef>
          </c:val>
          <c:smooth val="0"/>
          <c:extLst>
            <c:ext xmlns:c16="http://schemas.microsoft.com/office/drawing/2014/chart" uri="{C3380CC4-5D6E-409C-BE32-E72D297353CC}">
              <c16:uniqueId val="{00000000-6C39-4A02-A85B-2887F3E9D044}"/>
            </c:ext>
          </c:extLst>
        </c:ser>
        <c:ser>
          <c:idx val="1"/>
          <c:order val="1"/>
          <c:tx>
            <c:v>BKB</c:v>
          </c:tx>
          <c:spPr>
            <a:ln w="28575" cmpd="sng">
              <a:solidFill>
                <a:schemeClr val="accent4"/>
              </a:solidFill>
            </a:ln>
          </c:spPr>
          <c:marker>
            <c:symbol val="circle"/>
            <c:size val="5"/>
            <c:spPr>
              <a:solidFill>
                <a:schemeClr val="accent4"/>
              </a:solidFill>
              <a:ln cmpd="sng">
                <a:solidFill>
                  <a:schemeClr val="accent4"/>
                </a:solidFill>
              </a:ln>
            </c:spPr>
          </c:marker>
          <c:val>
            <c:numRef>
              <c:f>'Peta Kendali EWMA'!$F$30:$F$59</c:f>
              <c:numCache>
                <c:formatCode>0.000</c:formatCode>
                <c:ptCount val="30"/>
                <c:pt idx="0">
                  <c:v>0.97299999999999998</c:v>
                </c:pt>
                <c:pt idx="1">
                  <c:v>0.96367521507290099</c:v>
                </c:pt>
                <c:pt idx="2">
                  <c:v>0.95759968278420549</c:v>
                </c:pt>
                <c:pt idx="3">
                  <c:v>0.95325379813289646</c:v>
                </c:pt>
                <c:pt idx="4">
                  <c:v>0.95000982111364274</c:v>
                </c:pt>
                <c:pt idx="5">
                  <c:v>0.9475290121312463</c:v>
                </c:pt>
                <c:pt idx="6">
                  <c:v>0.94560242928202076</c:v>
                </c:pt>
                <c:pt idx="7">
                  <c:v>0.94409054179287533</c:v>
                </c:pt>
                <c:pt idx="8">
                  <c:v>0.94289524810682113</c:v>
                </c:pt>
                <c:pt idx="9">
                  <c:v>0.94194509772712531</c:v>
                </c:pt>
                <c:pt idx="10">
                  <c:v>0.94118672718586771</c:v>
                </c:pt>
                <c:pt idx="11">
                  <c:v>0.94057954175640568</c:v>
                </c:pt>
                <c:pt idx="12">
                  <c:v>0.94009223259975572</c:v>
                </c:pt>
                <c:pt idx="13">
                  <c:v>0.93970039899092006</c:v>
                </c:pt>
                <c:pt idx="14">
                  <c:v>0.93938487049999864</c:v>
                </c:pt>
                <c:pt idx="15">
                  <c:v>0.93913049138785032</c:v>
                </c:pt>
                <c:pt idx="16">
                  <c:v>0.93892522096859865</c:v>
                </c:pt>
                <c:pt idx="17">
                  <c:v>0.93875945629466584</c:v>
                </c:pt>
                <c:pt idx="18">
                  <c:v>0.93862551510119863</c:v>
                </c:pt>
                <c:pt idx="19">
                  <c:v>0.93851723663301645</c:v>
                </c:pt>
                <c:pt idx="20">
                  <c:v>0.93842967066106597</c:v>
                </c:pt>
                <c:pt idx="21">
                  <c:v>0.93835883341083748</c:v>
                </c:pt>
                <c:pt idx="22">
                  <c:v>0.93830151485682134</c:v>
                </c:pt>
                <c:pt idx="23">
                  <c:v>0.93825512583331261</c:v>
                </c:pt>
                <c:pt idx="24">
                  <c:v>0.93821757625710489</c:v>
                </c:pt>
                <c:pt idx="25">
                  <c:v>0.93818717782148442</c:v>
                </c:pt>
                <c:pt idx="26">
                  <c:v>0.93816256604293025</c:v>
                </c:pt>
                <c:pt idx="27">
                  <c:v>0.93814263768071005</c:v>
                </c:pt>
                <c:pt idx="28">
                  <c:v>0.93812650041244694</c:v>
                </c:pt>
                <c:pt idx="29">
                  <c:v>0.9381134323097422</c:v>
                </c:pt>
              </c:numCache>
            </c:numRef>
          </c:val>
          <c:smooth val="0"/>
          <c:extLst>
            <c:ext xmlns:c16="http://schemas.microsoft.com/office/drawing/2014/chart" uri="{C3380CC4-5D6E-409C-BE32-E72D297353CC}">
              <c16:uniqueId val="{00000001-6C39-4A02-A85B-2887F3E9D044}"/>
            </c:ext>
          </c:extLst>
        </c:ser>
        <c:ser>
          <c:idx val="2"/>
          <c:order val="2"/>
          <c:tx>
            <c:v>EWMA, zi</c:v>
          </c:tx>
          <c:spPr>
            <a:ln w="28575" cmpd="sng">
              <a:solidFill>
                <a:schemeClr val="accent1"/>
              </a:solidFill>
            </a:ln>
          </c:spPr>
          <c:marker>
            <c:symbol val="circle"/>
            <c:size val="5"/>
            <c:spPr>
              <a:solidFill>
                <a:schemeClr val="accent1"/>
              </a:solidFill>
              <a:ln cmpd="sng">
                <a:solidFill>
                  <a:schemeClr val="accent1"/>
                </a:solidFill>
              </a:ln>
            </c:spPr>
          </c:marker>
          <c:val>
            <c:numRef>
              <c:f>'Peta Kendali EWMA'!$D$30:$D$59</c:f>
              <c:numCache>
                <c:formatCode>0.000</c:formatCode>
                <c:ptCount val="30"/>
              </c:numCache>
            </c:numRef>
          </c:val>
          <c:smooth val="0"/>
          <c:extLst>
            <c:ext xmlns:c16="http://schemas.microsoft.com/office/drawing/2014/chart" uri="{C3380CC4-5D6E-409C-BE32-E72D297353CC}">
              <c16:uniqueId val="{00000002-6C39-4A02-A85B-2887F3E9D044}"/>
            </c:ext>
          </c:extLst>
        </c:ser>
        <c:dLbls>
          <c:showLegendKey val="0"/>
          <c:showVal val="0"/>
          <c:showCatName val="0"/>
          <c:showSerName val="0"/>
          <c:showPercent val="0"/>
          <c:showBubbleSize val="0"/>
        </c:dLbls>
        <c:marker val="1"/>
        <c:smooth val="0"/>
        <c:axId val="2104725002"/>
        <c:axId val="1204583766"/>
      </c:lineChart>
      <c:catAx>
        <c:axId val="2104725002"/>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204583766"/>
        <c:crosses val="autoZero"/>
        <c:auto val="1"/>
        <c:lblAlgn val="ctr"/>
        <c:lblOffset val="100"/>
        <c:noMultiLvlLbl val="1"/>
      </c:catAx>
      <c:valAx>
        <c:axId val="120458376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2104725002"/>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xbar Chart</a:t>
            </a:r>
          </a:p>
        </c:rich>
      </c:tx>
      <c:overlay val="0"/>
    </c:title>
    <c:autoTitleDeleted val="0"/>
    <c:plotArea>
      <c:layout/>
      <c:lineChart>
        <c:grouping val="standard"/>
        <c:varyColors val="1"/>
        <c:ser>
          <c:idx val="0"/>
          <c:order val="0"/>
          <c:tx>
            <c:v>xbar standardized</c:v>
          </c:tx>
          <c:spPr>
            <a:ln w="28575" cmpd="sng">
              <a:solidFill>
                <a:schemeClr val="accent1"/>
              </a:solidFill>
            </a:ln>
          </c:spPr>
          <c:marker>
            <c:symbol val="circle"/>
            <c:size val="5"/>
            <c:spPr>
              <a:solidFill>
                <a:schemeClr val="accent1"/>
              </a:solidFill>
              <a:ln cmpd="sng">
                <a:solidFill>
                  <a:schemeClr val="accent1"/>
                </a:solidFill>
              </a:ln>
            </c:spPr>
          </c:marker>
          <c:val>
            <c:numRef>
              <c:f>'Peta Kendali xbar-R SPR'!$K$43:$K$62</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8D81-49CA-BD79-5F8594F3488F}"/>
            </c:ext>
          </c:extLst>
        </c:ser>
        <c:ser>
          <c:idx val="1"/>
          <c:order val="1"/>
          <c:tx>
            <c:v>GT xbar</c:v>
          </c:tx>
          <c:spPr>
            <a:ln w="28575" cmpd="sng">
              <a:solidFill>
                <a:schemeClr val="accent2"/>
              </a:solidFill>
            </a:ln>
          </c:spPr>
          <c:marker>
            <c:symbol val="circle"/>
            <c:size val="5"/>
            <c:spPr>
              <a:solidFill>
                <a:schemeClr val="accent2"/>
              </a:solidFill>
              <a:ln cmpd="sng">
                <a:solidFill>
                  <a:schemeClr val="accent2"/>
                </a:solidFill>
              </a:ln>
            </c:spPr>
          </c:marker>
          <c:val>
            <c:numRef>
              <c:f>'Peta Kendali xbar-R SPR'!$P$43:$P$62</c:f>
              <c:numCache>
                <c:formatCode>0.000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8D81-49CA-BD79-5F8594F3488F}"/>
            </c:ext>
          </c:extLst>
        </c:ser>
        <c:ser>
          <c:idx val="2"/>
          <c:order val="2"/>
          <c:tx>
            <c:v>BKA xbar</c:v>
          </c:tx>
          <c:spPr>
            <a:ln w="28575" cmpd="sng">
              <a:solidFill>
                <a:schemeClr val="accent3"/>
              </a:solidFill>
            </a:ln>
          </c:spPr>
          <c:marker>
            <c:symbol val="circle"/>
            <c:size val="5"/>
            <c:spPr>
              <a:solidFill>
                <a:schemeClr val="accent3"/>
              </a:solidFill>
              <a:ln cmpd="sng">
                <a:solidFill>
                  <a:schemeClr val="accent3"/>
                </a:solidFill>
              </a:ln>
            </c:spPr>
          </c:marker>
          <c:val>
            <c:numRef>
              <c:f>'Peta Kendali xbar-R SPR'!$Q$43:$Q$62</c:f>
              <c:numCache>
                <c:formatCode>0.000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8D81-49CA-BD79-5F8594F3488F}"/>
            </c:ext>
          </c:extLst>
        </c:ser>
        <c:ser>
          <c:idx val="3"/>
          <c:order val="3"/>
          <c:tx>
            <c:v>BKB xbar</c:v>
          </c:tx>
          <c:spPr>
            <a:ln w="28575" cmpd="sng">
              <a:solidFill>
                <a:schemeClr val="accent4"/>
              </a:solidFill>
            </a:ln>
          </c:spPr>
          <c:marker>
            <c:symbol val="circle"/>
            <c:size val="5"/>
            <c:spPr>
              <a:solidFill>
                <a:schemeClr val="accent4"/>
              </a:solidFill>
              <a:ln cmpd="sng">
                <a:solidFill>
                  <a:schemeClr val="accent4"/>
                </a:solidFill>
              </a:ln>
            </c:spPr>
          </c:marker>
          <c:val>
            <c:numRef>
              <c:f>'Peta Kendali xbar-R SPR'!$R$43:$R$62</c:f>
              <c:numCache>
                <c:formatCode>0.000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8D81-49CA-BD79-5F8594F3488F}"/>
            </c:ext>
          </c:extLst>
        </c:ser>
        <c:dLbls>
          <c:showLegendKey val="0"/>
          <c:showVal val="0"/>
          <c:showCatName val="0"/>
          <c:showSerName val="0"/>
          <c:showPercent val="0"/>
          <c:showBubbleSize val="0"/>
        </c:dLbls>
        <c:marker val="1"/>
        <c:smooth val="0"/>
        <c:axId val="886404377"/>
        <c:axId val="133639421"/>
      </c:lineChart>
      <c:catAx>
        <c:axId val="886404377"/>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33639421"/>
        <c:crosses val="autoZero"/>
        <c:auto val="1"/>
        <c:lblAlgn val="ctr"/>
        <c:lblOffset val="100"/>
        <c:noMultiLvlLbl val="1"/>
      </c:catAx>
      <c:valAx>
        <c:axId val="133639421"/>
        <c:scaling>
          <c:orientation val="minMax"/>
          <c:max val="1.1000000000000001"/>
          <c:min val="-1.1000000000000001"/>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886404377"/>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R Chart</a:t>
            </a:r>
          </a:p>
        </c:rich>
      </c:tx>
      <c:overlay val="0"/>
    </c:title>
    <c:autoTitleDeleted val="0"/>
    <c:plotArea>
      <c:layout/>
      <c:lineChart>
        <c:grouping val="standard"/>
        <c:varyColors val="1"/>
        <c:ser>
          <c:idx val="0"/>
          <c:order val="0"/>
          <c:tx>
            <c:v>R standardized</c:v>
          </c:tx>
          <c:spPr>
            <a:ln w="28575" cmpd="sng">
              <a:solidFill>
                <a:schemeClr val="accent1"/>
              </a:solidFill>
            </a:ln>
          </c:spPr>
          <c:marker>
            <c:spPr>
              <a:solidFill>
                <a:schemeClr val="accent1"/>
              </a:solidFill>
              <a:ln cmpd="sng">
                <a:solidFill>
                  <a:schemeClr val="accent1"/>
                </a:solidFill>
              </a:ln>
            </c:spPr>
          </c:marker>
          <c:val>
            <c:numRef>
              <c:f>'Peta Kendali xbar-R SPR'!$L$43:$L$62</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smooth val="0"/>
          <c:extLst>
            <c:ext xmlns:c16="http://schemas.microsoft.com/office/drawing/2014/chart" uri="{C3380CC4-5D6E-409C-BE32-E72D297353CC}">
              <c16:uniqueId val="{00000000-505B-4DEF-9414-294C0A7679C5}"/>
            </c:ext>
          </c:extLst>
        </c:ser>
        <c:ser>
          <c:idx val="1"/>
          <c:order val="1"/>
          <c:tx>
            <c:v>GT R</c:v>
          </c:tx>
          <c:spPr>
            <a:ln w="28575" cmpd="sng">
              <a:solidFill>
                <a:schemeClr val="accent2"/>
              </a:solidFill>
            </a:ln>
          </c:spPr>
          <c:marker>
            <c:spPr>
              <a:solidFill>
                <a:schemeClr val="accent2"/>
              </a:solidFill>
              <a:ln cmpd="sng">
                <a:solidFill>
                  <a:schemeClr val="accent2"/>
                </a:solidFill>
              </a:ln>
            </c:spPr>
          </c:marker>
          <c:val>
            <c:numRef>
              <c:f>'Peta Kendali xbar-R SPR'!$M$43:$M$62</c:f>
              <c:numCache>
                <c:formatCode>0.000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505B-4DEF-9414-294C0A7679C5}"/>
            </c:ext>
          </c:extLst>
        </c:ser>
        <c:ser>
          <c:idx val="2"/>
          <c:order val="2"/>
          <c:tx>
            <c:v>BKA R</c:v>
          </c:tx>
          <c:spPr>
            <a:ln w="28575" cmpd="sng">
              <a:solidFill>
                <a:schemeClr val="accent3"/>
              </a:solidFill>
            </a:ln>
          </c:spPr>
          <c:marker>
            <c:spPr>
              <a:solidFill>
                <a:schemeClr val="accent3"/>
              </a:solidFill>
              <a:ln cmpd="sng">
                <a:solidFill>
                  <a:schemeClr val="accent3"/>
                </a:solidFill>
              </a:ln>
            </c:spPr>
          </c:marker>
          <c:val>
            <c:numRef>
              <c:f>'Peta Kendali xbar-R SPR'!$N$43:$N$62</c:f>
              <c:numCache>
                <c:formatCode>0.000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505B-4DEF-9414-294C0A7679C5}"/>
            </c:ext>
          </c:extLst>
        </c:ser>
        <c:ser>
          <c:idx val="3"/>
          <c:order val="3"/>
          <c:tx>
            <c:v>BKB R</c:v>
          </c:tx>
          <c:spPr>
            <a:ln w="28575" cmpd="sng">
              <a:solidFill>
                <a:schemeClr val="accent4"/>
              </a:solidFill>
            </a:ln>
          </c:spPr>
          <c:marker>
            <c:spPr>
              <a:solidFill>
                <a:schemeClr val="accent4"/>
              </a:solidFill>
              <a:ln cmpd="sng">
                <a:solidFill>
                  <a:schemeClr val="accent4"/>
                </a:solidFill>
              </a:ln>
            </c:spPr>
          </c:marker>
          <c:val>
            <c:numRef>
              <c:f>'Peta Kendali xbar-R SPR'!$O$43:$O$62</c:f>
              <c:numCache>
                <c:formatCode>0.000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3-505B-4DEF-9414-294C0A7679C5}"/>
            </c:ext>
          </c:extLst>
        </c:ser>
        <c:dLbls>
          <c:showLegendKey val="0"/>
          <c:showVal val="0"/>
          <c:showCatName val="0"/>
          <c:showSerName val="0"/>
          <c:showPercent val="0"/>
          <c:showBubbleSize val="0"/>
        </c:dLbls>
        <c:marker val="1"/>
        <c:smooth val="0"/>
        <c:axId val="1947138283"/>
        <c:axId val="1510815359"/>
      </c:lineChart>
      <c:catAx>
        <c:axId val="1947138283"/>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510815359"/>
        <c:crosses val="autoZero"/>
        <c:auto val="1"/>
        <c:lblAlgn val="ctr"/>
        <c:lblOffset val="100"/>
        <c:noMultiLvlLbl val="1"/>
      </c:catAx>
      <c:valAx>
        <c:axId val="151081535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947138283"/>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id-ID" sz="1400" b="0" i="0">
                <a:solidFill>
                  <a:srgbClr val="757575"/>
                </a:solidFill>
                <a:latin typeface="+mn-lt"/>
              </a:rPr>
              <a:t>Hotelling T^2 Chart</a:t>
            </a:r>
          </a:p>
        </c:rich>
      </c:tx>
      <c:overlay val="0"/>
    </c:title>
    <c:autoTitleDeleted val="0"/>
    <c:plotArea>
      <c:layout/>
      <c:lineChart>
        <c:grouping val="standard"/>
        <c:varyColors val="1"/>
        <c:ser>
          <c:idx val="0"/>
          <c:order val="0"/>
          <c:tx>
            <c:v>BKA</c:v>
          </c:tx>
          <c:spPr>
            <a:ln w="28575" cmpd="sng">
              <a:solidFill>
                <a:schemeClr val="accent3"/>
              </a:solidFill>
            </a:ln>
          </c:spPr>
          <c:marker>
            <c:symbol val="circle"/>
            <c:size val="5"/>
            <c:spPr>
              <a:solidFill>
                <a:schemeClr val="accent3"/>
              </a:solidFill>
              <a:ln cmpd="sng">
                <a:solidFill>
                  <a:schemeClr val="accent3"/>
                </a:solidFill>
              </a:ln>
            </c:spPr>
          </c:marker>
          <c:val>
            <c:numRef>
              <c:f>'Peta Kendali T^2'!$R$37:$R$56</c:f>
              <c:numCache>
                <c:formatCode>0.000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CBC4-47A8-BF16-2D81CB35E75A}"/>
            </c:ext>
          </c:extLst>
        </c:ser>
        <c:ser>
          <c:idx val="1"/>
          <c:order val="1"/>
          <c:tx>
            <c:v>BKB</c:v>
          </c:tx>
          <c:spPr>
            <a:ln w="28575" cmpd="sng">
              <a:solidFill>
                <a:schemeClr val="accent4"/>
              </a:solidFill>
            </a:ln>
          </c:spPr>
          <c:marker>
            <c:symbol val="circle"/>
            <c:size val="5"/>
            <c:spPr>
              <a:solidFill>
                <a:schemeClr val="accent4"/>
              </a:solidFill>
              <a:ln cmpd="sng">
                <a:solidFill>
                  <a:schemeClr val="accent4"/>
                </a:solidFill>
              </a:ln>
            </c:spPr>
          </c:marker>
          <c:val>
            <c:numRef>
              <c:f>'Peta Kendali T^2'!$S$37:$S$56</c:f>
              <c:numCache>
                <c:formatCode>0.000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CBC4-47A8-BF16-2D81CB35E75A}"/>
            </c:ext>
          </c:extLst>
        </c:ser>
        <c:ser>
          <c:idx val="2"/>
          <c:order val="2"/>
          <c:tx>
            <c:v>Nilai T^2</c:v>
          </c:tx>
          <c:spPr>
            <a:ln w="28575" cmpd="sng">
              <a:solidFill>
                <a:schemeClr val="accent1"/>
              </a:solidFill>
            </a:ln>
          </c:spPr>
          <c:marker>
            <c:symbol val="circle"/>
            <c:size val="5"/>
            <c:spPr>
              <a:solidFill>
                <a:schemeClr val="accent1"/>
              </a:solidFill>
              <a:ln cmpd="sng">
                <a:solidFill>
                  <a:schemeClr val="accent1"/>
                </a:solidFill>
              </a:ln>
            </c:spPr>
          </c:marker>
          <c:val>
            <c:numRef>
              <c:f>'Peta Kendali T^2'!$Q$37:$Q$56</c:f>
              <c:numCache>
                <c:formatCode>0.000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CBC4-47A8-BF16-2D81CB35E75A}"/>
            </c:ext>
          </c:extLst>
        </c:ser>
        <c:dLbls>
          <c:showLegendKey val="0"/>
          <c:showVal val="0"/>
          <c:showCatName val="0"/>
          <c:showSerName val="0"/>
          <c:showPercent val="0"/>
          <c:showBubbleSize val="0"/>
        </c:dLbls>
        <c:marker val="1"/>
        <c:smooth val="0"/>
        <c:axId val="1299657521"/>
        <c:axId val="501179222"/>
      </c:lineChart>
      <c:catAx>
        <c:axId val="1299657521"/>
        <c:scaling>
          <c:orientation val="minMax"/>
        </c:scaling>
        <c:delete val="0"/>
        <c:axPos val="b"/>
        <c:title>
          <c:tx>
            <c:rich>
              <a:bodyPr/>
              <a:lstStyle/>
              <a:p>
                <a:pPr lvl="0">
                  <a:defRPr b="0">
                    <a:solidFill>
                      <a:srgbClr val="000000"/>
                    </a:solidFill>
                    <a:latin typeface="+mn-lt"/>
                  </a:defRPr>
                </a:pPr>
                <a:endParaRPr lang="id-ID"/>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501179222"/>
        <c:crosses val="autoZero"/>
        <c:auto val="1"/>
        <c:lblAlgn val="ctr"/>
        <c:lblOffset val="100"/>
        <c:noMultiLvlLbl val="1"/>
      </c:catAx>
      <c:valAx>
        <c:axId val="50117922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id-ID"/>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129965752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0.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chart" Target="../charts/chart11.xml"/><Relationship Id="rId5" Type="http://schemas.openxmlformats.org/officeDocument/2006/relationships/image" Target="../media/image8.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chart" Target="../charts/chart14.xml"/><Relationship Id="rId4"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image" Target="../media/image17.png"/></Relationships>
</file>

<file path=xl/drawings/_rels/drawing9.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chart" Target="../charts/chart20.xml"/><Relationship Id="rId4" Type="http://schemas.openxmlformats.org/officeDocument/2006/relationships/image" Target="../media/image22.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chart" Target="../charts/chart21.xml"/></Relationships>
</file>

<file path=xl/drawings/_rels/drawing13.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chart" Target="../charts/chart23.xml"/><Relationship Id="rId1" Type="http://schemas.openxmlformats.org/officeDocument/2006/relationships/chart" Target="../charts/chart22.xml"/><Relationship Id="rId5" Type="http://schemas.openxmlformats.org/officeDocument/2006/relationships/image" Target="../media/image27.png"/><Relationship Id="rId4" Type="http://schemas.openxmlformats.org/officeDocument/2006/relationships/image" Target="../media/image2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oneCellAnchor>
    <xdr:from>
      <xdr:col>5</xdr:col>
      <xdr:colOff>242047</xdr:colOff>
      <xdr:row>1</xdr:row>
      <xdr:rowOff>143249</xdr:rowOff>
    </xdr:from>
    <xdr:ext cx="2800350" cy="2543175"/>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3801165" y="320675"/>
          <a:ext cx="2800350" cy="2543175"/>
        </a:xfrm>
        <a:prstGeom prst="rect">
          <a:avLst/>
        </a:prstGeom>
        <a:noFill/>
      </xdr:spPr>
    </xdr:pic>
    <xdr:clientData fLocksWithSheet="0"/>
  </xdr:oneCellAnchor>
  <xdr:oneCellAnchor>
    <xdr:from>
      <xdr:col>5</xdr:col>
      <xdr:colOff>76200</xdr:colOff>
      <xdr:row>5</xdr:row>
      <xdr:rowOff>161925</xdr:rowOff>
    </xdr:from>
    <xdr:ext cx="2990850" cy="1828800"/>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1515596</xdr:colOff>
      <xdr:row>10</xdr:row>
      <xdr:rowOff>130736</xdr:rowOff>
    </xdr:from>
    <xdr:ext cx="155948" cy="2494803"/>
    <xdr:pic>
      <xdr:nvPicPr>
        <xdr:cNvPr id="4" name="image1.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15074714" y="5546912"/>
          <a:ext cx="155948" cy="2494803"/>
        </a:xfrm>
        <a:prstGeom prst="rect">
          <a:avLst/>
        </a:prstGeom>
        <a:noFill/>
      </xdr:spPr>
    </xdr:pic>
    <xdr:clientData fLocksWithSheet="0"/>
  </xdr:oneCellAnchor>
  <xdr:twoCellAnchor>
    <xdr:from>
      <xdr:col>5</xdr:col>
      <xdr:colOff>1876986</xdr:colOff>
      <xdr:row>1</xdr:row>
      <xdr:rowOff>429559</xdr:rowOff>
    </xdr:from>
    <xdr:to>
      <xdr:col>5</xdr:col>
      <xdr:colOff>2558677</xdr:colOff>
      <xdr:row>1</xdr:row>
      <xdr:rowOff>896471</xdr:rowOff>
    </xdr:to>
    <xdr:cxnSp macro="">
      <xdr:nvCxnSpPr>
        <xdr:cNvPr id="7" name="Straight Arrow Connector 6">
          <a:extLst>
            <a:ext uri="{FF2B5EF4-FFF2-40B4-BE49-F238E27FC236}">
              <a16:creationId xmlns:a16="http://schemas.microsoft.com/office/drawing/2014/main" id="{00000000-0008-0000-0100-000007000000}"/>
            </a:ext>
          </a:extLst>
        </xdr:cNvPr>
        <xdr:cNvCxnSpPr/>
      </xdr:nvCxnSpPr>
      <xdr:spPr>
        <a:xfrm flipH="1">
          <a:off x="15436104" y="606985"/>
          <a:ext cx="681691" cy="466912"/>
        </a:xfrm>
        <a:prstGeom prst="straightConnector1">
          <a:avLst/>
        </a:prstGeom>
        <a:ln w="1905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2244166</xdr:colOff>
      <xdr:row>6</xdr:row>
      <xdr:rowOff>245782</xdr:rowOff>
    </xdr:from>
    <xdr:to>
      <xdr:col>5</xdr:col>
      <xdr:colOff>2925857</xdr:colOff>
      <xdr:row>7</xdr:row>
      <xdr:rowOff>105709</xdr:rowOff>
    </xdr:to>
    <xdr:cxnSp macro="">
      <xdr:nvCxnSpPr>
        <xdr:cNvPr id="8" name="Straight Arrow Connector 7">
          <a:extLst>
            <a:ext uri="{FF2B5EF4-FFF2-40B4-BE49-F238E27FC236}">
              <a16:creationId xmlns:a16="http://schemas.microsoft.com/office/drawing/2014/main" id="{00000000-0008-0000-0100-000008000000}"/>
            </a:ext>
          </a:extLst>
        </xdr:cNvPr>
        <xdr:cNvCxnSpPr/>
      </xdr:nvCxnSpPr>
      <xdr:spPr>
        <a:xfrm flipH="1">
          <a:off x="15803284" y="3654238"/>
          <a:ext cx="681691" cy="466912"/>
        </a:xfrm>
        <a:prstGeom prst="straightConnector1">
          <a:avLst/>
        </a:prstGeom>
        <a:ln w="1905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1733552</xdr:colOff>
      <xdr:row>15</xdr:row>
      <xdr:rowOff>15315</xdr:rowOff>
    </xdr:from>
    <xdr:to>
      <xdr:col>5</xdr:col>
      <xdr:colOff>2415243</xdr:colOff>
      <xdr:row>17</xdr:row>
      <xdr:rowOff>127374</xdr:rowOff>
    </xdr:to>
    <xdr:cxnSp macro="">
      <xdr:nvCxnSpPr>
        <xdr:cNvPr id="9" name="Straight Arrow Connector 8">
          <a:extLst>
            <a:ext uri="{FF2B5EF4-FFF2-40B4-BE49-F238E27FC236}">
              <a16:creationId xmlns:a16="http://schemas.microsoft.com/office/drawing/2014/main" id="{00000000-0008-0000-0100-000009000000}"/>
            </a:ext>
          </a:extLst>
        </xdr:cNvPr>
        <xdr:cNvCxnSpPr/>
      </xdr:nvCxnSpPr>
      <xdr:spPr>
        <a:xfrm flipH="1">
          <a:off x="15292670" y="6318624"/>
          <a:ext cx="681691" cy="466912"/>
        </a:xfrm>
        <a:prstGeom prst="straightConnector1">
          <a:avLst/>
        </a:prstGeom>
        <a:ln w="1905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1672516</xdr:colOff>
      <xdr:row>11</xdr:row>
      <xdr:rowOff>9338</xdr:rowOff>
    </xdr:from>
    <xdr:to>
      <xdr:col>5</xdr:col>
      <xdr:colOff>1718235</xdr:colOff>
      <xdr:row>24</xdr:row>
      <xdr:rowOff>149412</xdr:rowOff>
    </xdr:to>
    <xdr:sp macro="" textlink="">
      <xdr:nvSpPr>
        <xdr:cNvPr id="10" name="Right Brace 9">
          <a:extLst>
            <a:ext uri="{FF2B5EF4-FFF2-40B4-BE49-F238E27FC236}">
              <a16:creationId xmlns:a16="http://schemas.microsoft.com/office/drawing/2014/main" id="{00000000-0008-0000-0100-00000A000000}"/>
            </a:ext>
          </a:extLst>
        </xdr:cNvPr>
        <xdr:cNvSpPr/>
      </xdr:nvSpPr>
      <xdr:spPr>
        <a:xfrm>
          <a:off x="15231634" y="5602941"/>
          <a:ext cx="45719" cy="2446618"/>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id-ID"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7</xdr:col>
      <xdr:colOff>809625</xdr:colOff>
      <xdr:row>9</xdr:row>
      <xdr:rowOff>95250</xdr:rowOff>
    </xdr:from>
    <xdr:ext cx="5819775" cy="2867025"/>
    <xdr:graphicFrame macro="">
      <xdr:nvGraphicFramePr>
        <xdr:cNvPr id="1457677772" name="Chart 1">
          <a:extLst>
            <a:ext uri="{FF2B5EF4-FFF2-40B4-BE49-F238E27FC236}">
              <a16:creationId xmlns:a16="http://schemas.microsoft.com/office/drawing/2014/main" id="{00000000-0008-0000-0600-0000CC65E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552450</xdr:colOff>
      <xdr:row>9</xdr:row>
      <xdr:rowOff>104775</xdr:rowOff>
    </xdr:from>
    <xdr:ext cx="5781675" cy="2867025"/>
    <xdr:graphicFrame macro="">
      <xdr:nvGraphicFramePr>
        <xdr:cNvPr id="926504106" name="Chart 2">
          <a:extLst>
            <a:ext uri="{FF2B5EF4-FFF2-40B4-BE49-F238E27FC236}">
              <a16:creationId xmlns:a16="http://schemas.microsoft.com/office/drawing/2014/main" id="{00000000-0008-0000-0600-0000AA543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23</xdr:col>
      <xdr:colOff>0</xdr:colOff>
      <xdr:row>9</xdr:row>
      <xdr:rowOff>95250</xdr:rowOff>
    </xdr:from>
    <xdr:ext cx="5867400" cy="2867025"/>
    <xdr:graphicFrame macro="">
      <xdr:nvGraphicFramePr>
        <xdr:cNvPr id="5" name="Chart 3">
          <a:extLst>
            <a:ext uri="{FF2B5EF4-FFF2-40B4-BE49-F238E27FC236}">
              <a16:creationId xmlns:a16="http://schemas.microsoft.com/office/drawing/2014/main" id="{00000000-0008-0000-0600-000005000000}"/>
            </a:ext>
            <a:ext uri="{147F2762-F138-4A5C-976F-8EAC2B608ADB}">
              <a16:predDERef xmlns:a16="http://schemas.microsoft.com/office/drawing/2014/main" pred="{00000000-0008-0000-0600-0000AA543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16</xdr:col>
      <xdr:colOff>28575</xdr:colOff>
      <xdr:row>9</xdr:row>
      <xdr:rowOff>104775</xdr:rowOff>
    </xdr:from>
    <xdr:ext cx="5724525" cy="2867025"/>
    <xdr:graphicFrame macro="">
      <xdr:nvGraphicFramePr>
        <xdr:cNvPr id="248585374" name="Chart 4">
          <a:extLst>
            <a:ext uri="{FF2B5EF4-FFF2-40B4-BE49-F238E27FC236}">
              <a16:creationId xmlns:a16="http://schemas.microsoft.com/office/drawing/2014/main" id="{00000000-0008-0000-0600-00009E1C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8</xdr:col>
      <xdr:colOff>553483</xdr:colOff>
      <xdr:row>29</xdr:row>
      <xdr:rowOff>16067</xdr:rowOff>
    </xdr:from>
    <xdr:ext cx="1876425" cy="1476375"/>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5" cstate="print"/>
        <a:stretch>
          <a:fillRect/>
        </a:stretch>
      </xdr:blipFill>
      <xdr:spPr>
        <a:xfrm>
          <a:off x="7136061" y="5074645"/>
          <a:ext cx="1876425" cy="1476375"/>
        </a:xfrm>
        <a:prstGeom prst="rect">
          <a:avLst/>
        </a:prstGeom>
        <a:noFill/>
      </xdr:spPr>
    </xdr:pic>
    <xdr:clientData fLocksWithSheet="0"/>
  </xdr:oneCellAnchor>
  <xdr:oneCellAnchor>
    <xdr:from>
      <xdr:col>5</xdr:col>
      <xdr:colOff>66675</xdr:colOff>
      <xdr:row>28</xdr:row>
      <xdr:rowOff>95250</xdr:rowOff>
    </xdr:from>
    <xdr:ext cx="2190750" cy="1571625"/>
    <xdr:pic>
      <xdr:nvPicPr>
        <xdr:cNvPr id="3" name="image5.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6" cstate="print"/>
        <a:stretch>
          <a:fillRect/>
        </a:stretch>
      </xdr:blipFill>
      <xdr:spPr>
        <a:xfrm>
          <a:off x="4087832" y="4979395"/>
          <a:ext cx="2190750" cy="1571625"/>
        </a:xfrm>
        <a:prstGeom prst="rect">
          <a:avLst/>
        </a:prstGeom>
        <a:noFill/>
      </xdr:spPr>
    </xdr:pic>
    <xdr:clientData fLocksWithSheet="0"/>
  </xdr:oneCellAnchor>
  <mc:AlternateContent xmlns:mc="http://schemas.openxmlformats.org/markup-compatibility/2006">
    <mc:Choice xmlns:a14="http://schemas.microsoft.com/office/drawing/2010/main" Requires="a14">
      <xdr:twoCellAnchor editAs="oneCell">
        <xdr:from>
          <xdr:col>7</xdr:col>
          <xdr:colOff>66675</xdr:colOff>
          <xdr:row>3</xdr:row>
          <xdr:rowOff>180975</xdr:rowOff>
        </xdr:from>
        <xdr:to>
          <xdr:col>7</xdr:col>
          <xdr:colOff>790575</xdr:colOff>
          <xdr:row>5</xdr:row>
          <xdr:rowOff>28575</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4</xdr:row>
          <xdr:rowOff>180975</xdr:rowOff>
        </xdr:from>
        <xdr:to>
          <xdr:col>7</xdr:col>
          <xdr:colOff>790575</xdr:colOff>
          <xdr:row>6</xdr:row>
          <xdr:rowOff>28575</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5</xdr:row>
          <xdr:rowOff>180975</xdr:rowOff>
        </xdr:from>
        <xdr:to>
          <xdr:col>7</xdr:col>
          <xdr:colOff>790575</xdr:colOff>
          <xdr:row>7</xdr:row>
          <xdr:rowOff>28575</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6</xdr:row>
          <xdr:rowOff>180975</xdr:rowOff>
        </xdr:from>
        <xdr:to>
          <xdr:col>7</xdr:col>
          <xdr:colOff>790575</xdr:colOff>
          <xdr:row>8</xdr:row>
          <xdr:rowOff>28575</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7</xdr:row>
          <xdr:rowOff>180975</xdr:rowOff>
        </xdr:from>
        <xdr:to>
          <xdr:col>7</xdr:col>
          <xdr:colOff>790575</xdr:colOff>
          <xdr:row>9</xdr:row>
          <xdr:rowOff>28575</xdr:rowOff>
        </xdr:to>
        <xdr:sp macro="" textlink="">
          <xdr:nvSpPr>
            <xdr:cNvPr id="7173" name="Check Box 5"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66675</xdr:colOff>
          <xdr:row>3</xdr:row>
          <xdr:rowOff>180975</xdr:rowOff>
        </xdr:from>
        <xdr:to>
          <xdr:col>14</xdr:col>
          <xdr:colOff>790575</xdr:colOff>
          <xdr:row>5</xdr:row>
          <xdr:rowOff>28575</xdr:rowOff>
        </xdr:to>
        <xdr:sp macro="" textlink="">
          <xdr:nvSpPr>
            <xdr:cNvPr id="7174" name="Check Box 6"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66675</xdr:colOff>
          <xdr:row>3</xdr:row>
          <xdr:rowOff>180975</xdr:rowOff>
        </xdr:from>
        <xdr:to>
          <xdr:col>14</xdr:col>
          <xdr:colOff>790575</xdr:colOff>
          <xdr:row>5</xdr:row>
          <xdr:rowOff>28575</xdr:rowOff>
        </xdr:to>
        <xdr:sp macro="" textlink="">
          <xdr:nvSpPr>
            <xdr:cNvPr id="7181" name="Check Box 13" hidden="1">
              <a:extLst>
                <a:ext uri="{63B3BB69-23CF-44E3-9099-C40C66FF867C}">
                  <a14:compatExt spid="_x0000_s7181"/>
                </a:ext>
                <a:ext uri="{FF2B5EF4-FFF2-40B4-BE49-F238E27FC236}">
                  <a16:creationId xmlns:a16="http://schemas.microsoft.com/office/drawing/2014/main" id="{00000000-0008-0000-0600-00000D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66675</xdr:colOff>
          <xdr:row>4</xdr:row>
          <xdr:rowOff>180975</xdr:rowOff>
        </xdr:from>
        <xdr:to>
          <xdr:col>14</xdr:col>
          <xdr:colOff>790575</xdr:colOff>
          <xdr:row>6</xdr:row>
          <xdr:rowOff>28575</xdr:rowOff>
        </xdr:to>
        <xdr:sp macro="" textlink="">
          <xdr:nvSpPr>
            <xdr:cNvPr id="7182" name="Check Box 14" hidden="1">
              <a:extLst>
                <a:ext uri="{63B3BB69-23CF-44E3-9099-C40C66FF867C}">
                  <a14:compatExt spid="_x0000_s7182"/>
                </a:ext>
                <a:ext uri="{FF2B5EF4-FFF2-40B4-BE49-F238E27FC236}">
                  <a16:creationId xmlns:a16="http://schemas.microsoft.com/office/drawing/2014/main" id="{00000000-0008-0000-0600-00000E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66675</xdr:colOff>
          <xdr:row>5</xdr:row>
          <xdr:rowOff>180975</xdr:rowOff>
        </xdr:from>
        <xdr:to>
          <xdr:col>14</xdr:col>
          <xdr:colOff>790575</xdr:colOff>
          <xdr:row>7</xdr:row>
          <xdr:rowOff>28575</xdr:rowOff>
        </xdr:to>
        <xdr:sp macro="" textlink="">
          <xdr:nvSpPr>
            <xdr:cNvPr id="7183" name="Check Box 15" hidden="1">
              <a:extLst>
                <a:ext uri="{63B3BB69-23CF-44E3-9099-C40C66FF867C}">
                  <a14:compatExt spid="_x0000_s7183"/>
                </a:ext>
                <a:ext uri="{FF2B5EF4-FFF2-40B4-BE49-F238E27FC236}">
                  <a16:creationId xmlns:a16="http://schemas.microsoft.com/office/drawing/2014/main" id="{00000000-0008-0000-0600-00000F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66675</xdr:colOff>
          <xdr:row>6</xdr:row>
          <xdr:rowOff>180975</xdr:rowOff>
        </xdr:from>
        <xdr:to>
          <xdr:col>14</xdr:col>
          <xdr:colOff>790575</xdr:colOff>
          <xdr:row>8</xdr:row>
          <xdr:rowOff>28575</xdr:rowOff>
        </xdr:to>
        <xdr:sp macro="" textlink="">
          <xdr:nvSpPr>
            <xdr:cNvPr id="7184" name="Check Box 16" hidden="1">
              <a:extLst>
                <a:ext uri="{63B3BB69-23CF-44E3-9099-C40C66FF867C}">
                  <a14:compatExt spid="_x0000_s7184"/>
                </a:ext>
                <a:ext uri="{FF2B5EF4-FFF2-40B4-BE49-F238E27FC236}">
                  <a16:creationId xmlns:a16="http://schemas.microsoft.com/office/drawing/2014/main" id="{00000000-0008-0000-0600-000010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66675</xdr:colOff>
          <xdr:row>7</xdr:row>
          <xdr:rowOff>180975</xdr:rowOff>
        </xdr:from>
        <xdr:to>
          <xdr:col>14</xdr:col>
          <xdr:colOff>790575</xdr:colOff>
          <xdr:row>9</xdr:row>
          <xdr:rowOff>28575</xdr:rowOff>
        </xdr:to>
        <xdr:sp macro="" textlink="">
          <xdr:nvSpPr>
            <xdr:cNvPr id="7185" name="Check Box 17" hidden="1">
              <a:extLst>
                <a:ext uri="{63B3BB69-23CF-44E3-9099-C40C66FF867C}">
                  <a14:compatExt spid="_x0000_s7185"/>
                </a:ext>
                <a:ext uri="{FF2B5EF4-FFF2-40B4-BE49-F238E27FC236}">
                  <a16:creationId xmlns:a16="http://schemas.microsoft.com/office/drawing/2014/main" id="{00000000-0008-0000-0600-00001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66675</xdr:colOff>
          <xdr:row>3</xdr:row>
          <xdr:rowOff>180975</xdr:rowOff>
        </xdr:from>
        <xdr:to>
          <xdr:col>22</xdr:col>
          <xdr:colOff>790575</xdr:colOff>
          <xdr:row>5</xdr:row>
          <xdr:rowOff>28575</xdr:rowOff>
        </xdr:to>
        <xdr:sp macro="" textlink="">
          <xdr:nvSpPr>
            <xdr:cNvPr id="7186" name="Check Box 18" hidden="1">
              <a:extLst>
                <a:ext uri="{63B3BB69-23CF-44E3-9099-C40C66FF867C}">
                  <a14:compatExt spid="_x0000_s7186"/>
                </a:ext>
                <a:ext uri="{FF2B5EF4-FFF2-40B4-BE49-F238E27FC236}">
                  <a16:creationId xmlns:a16="http://schemas.microsoft.com/office/drawing/2014/main" id="{00000000-0008-0000-0600-00001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66675</xdr:colOff>
          <xdr:row>4</xdr:row>
          <xdr:rowOff>180975</xdr:rowOff>
        </xdr:from>
        <xdr:to>
          <xdr:col>22</xdr:col>
          <xdr:colOff>790575</xdr:colOff>
          <xdr:row>6</xdr:row>
          <xdr:rowOff>28575</xdr:rowOff>
        </xdr:to>
        <xdr:sp macro="" textlink="">
          <xdr:nvSpPr>
            <xdr:cNvPr id="7187" name="Check Box 19" hidden="1">
              <a:extLst>
                <a:ext uri="{63B3BB69-23CF-44E3-9099-C40C66FF867C}">
                  <a14:compatExt spid="_x0000_s7187"/>
                </a:ext>
                <a:ext uri="{FF2B5EF4-FFF2-40B4-BE49-F238E27FC236}">
                  <a16:creationId xmlns:a16="http://schemas.microsoft.com/office/drawing/2014/main" id="{00000000-0008-0000-0600-00001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66675</xdr:colOff>
          <xdr:row>5</xdr:row>
          <xdr:rowOff>180975</xdr:rowOff>
        </xdr:from>
        <xdr:to>
          <xdr:col>22</xdr:col>
          <xdr:colOff>790575</xdr:colOff>
          <xdr:row>7</xdr:row>
          <xdr:rowOff>28575</xdr:rowOff>
        </xdr:to>
        <xdr:sp macro="" textlink="">
          <xdr:nvSpPr>
            <xdr:cNvPr id="7188" name="Check Box 20" hidden="1">
              <a:extLst>
                <a:ext uri="{63B3BB69-23CF-44E3-9099-C40C66FF867C}">
                  <a14:compatExt spid="_x0000_s7188"/>
                </a:ext>
                <a:ext uri="{FF2B5EF4-FFF2-40B4-BE49-F238E27FC236}">
                  <a16:creationId xmlns:a16="http://schemas.microsoft.com/office/drawing/2014/main" id="{00000000-0008-0000-0600-00001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66675</xdr:colOff>
          <xdr:row>6</xdr:row>
          <xdr:rowOff>180975</xdr:rowOff>
        </xdr:from>
        <xdr:to>
          <xdr:col>22</xdr:col>
          <xdr:colOff>790575</xdr:colOff>
          <xdr:row>8</xdr:row>
          <xdr:rowOff>28575</xdr:rowOff>
        </xdr:to>
        <xdr:sp macro="" textlink="">
          <xdr:nvSpPr>
            <xdr:cNvPr id="7189" name="Check Box 21" hidden="1">
              <a:extLst>
                <a:ext uri="{63B3BB69-23CF-44E3-9099-C40C66FF867C}">
                  <a14:compatExt spid="_x0000_s7189"/>
                </a:ext>
                <a:ext uri="{FF2B5EF4-FFF2-40B4-BE49-F238E27FC236}">
                  <a16:creationId xmlns:a16="http://schemas.microsoft.com/office/drawing/2014/main" id="{00000000-0008-0000-0600-00001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66675</xdr:colOff>
          <xdr:row>7</xdr:row>
          <xdr:rowOff>180975</xdr:rowOff>
        </xdr:from>
        <xdr:to>
          <xdr:col>22</xdr:col>
          <xdr:colOff>790575</xdr:colOff>
          <xdr:row>9</xdr:row>
          <xdr:rowOff>28575</xdr:rowOff>
        </xdr:to>
        <xdr:sp macro="" textlink="">
          <xdr:nvSpPr>
            <xdr:cNvPr id="7190" name="Check Box 22" hidden="1">
              <a:extLst>
                <a:ext uri="{63B3BB69-23CF-44E3-9099-C40C66FF867C}">
                  <a14:compatExt spid="_x0000_s7190"/>
                </a:ext>
                <a:ext uri="{FF2B5EF4-FFF2-40B4-BE49-F238E27FC236}">
                  <a16:creationId xmlns:a16="http://schemas.microsoft.com/office/drawing/2014/main" id="{00000000-0008-0000-0600-00001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66675</xdr:colOff>
          <xdr:row>3</xdr:row>
          <xdr:rowOff>180975</xdr:rowOff>
        </xdr:from>
        <xdr:to>
          <xdr:col>29</xdr:col>
          <xdr:colOff>790575</xdr:colOff>
          <xdr:row>5</xdr:row>
          <xdr:rowOff>28575</xdr:rowOff>
        </xdr:to>
        <xdr:sp macro="" textlink="">
          <xdr:nvSpPr>
            <xdr:cNvPr id="7191" name="Check Box 23" hidden="1">
              <a:extLst>
                <a:ext uri="{63B3BB69-23CF-44E3-9099-C40C66FF867C}">
                  <a14:compatExt spid="_x0000_s7191"/>
                </a:ext>
                <a:ext uri="{FF2B5EF4-FFF2-40B4-BE49-F238E27FC236}">
                  <a16:creationId xmlns:a16="http://schemas.microsoft.com/office/drawing/2014/main" id="{00000000-0008-0000-0600-00001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66675</xdr:colOff>
          <xdr:row>4</xdr:row>
          <xdr:rowOff>180975</xdr:rowOff>
        </xdr:from>
        <xdr:to>
          <xdr:col>29</xdr:col>
          <xdr:colOff>790575</xdr:colOff>
          <xdr:row>6</xdr:row>
          <xdr:rowOff>28575</xdr:rowOff>
        </xdr:to>
        <xdr:sp macro="" textlink="">
          <xdr:nvSpPr>
            <xdr:cNvPr id="7192" name="Check Box 24" hidden="1">
              <a:extLst>
                <a:ext uri="{63B3BB69-23CF-44E3-9099-C40C66FF867C}">
                  <a14:compatExt spid="_x0000_s7192"/>
                </a:ext>
                <a:ext uri="{FF2B5EF4-FFF2-40B4-BE49-F238E27FC236}">
                  <a16:creationId xmlns:a16="http://schemas.microsoft.com/office/drawing/2014/main" id="{00000000-0008-0000-0600-00001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66675</xdr:colOff>
          <xdr:row>5</xdr:row>
          <xdr:rowOff>180975</xdr:rowOff>
        </xdr:from>
        <xdr:to>
          <xdr:col>29</xdr:col>
          <xdr:colOff>790575</xdr:colOff>
          <xdr:row>7</xdr:row>
          <xdr:rowOff>28575</xdr:rowOff>
        </xdr:to>
        <xdr:sp macro="" textlink="">
          <xdr:nvSpPr>
            <xdr:cNvPr id="7193" name="Check Box 25" hidden="1">
              <a:extLst>
                <a:ext uri="{63B3BB69-23CF-44E3-9099-C40C66FF867C}">
                  <a14:compatExt spid="_x0000_s7193"/>
                </a:ext>
                <a:ext uri="{FF2B5EF4-FFF2-40B4-BE49-F238E27FC236}">
                  <a16:creationId xmlns:a16="http://schemas.microsoft.com/office/drawing/2014/main" id="{00000000-0008-0000-0600-00001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66675</xdr:colOff>
          <xdr:row>6</xdr:row>
          <xdr:rowOff>180975</xdr:rowOff>
        </xdr:from>
        <xdr:to>
          <xdr:col>29</xdr:col>
          <xdr:colOff>790575</xdr:colOff>
          <xdr:row>8</xdr:row>
          <xdr:rowOff>28575</xdr:rowOff>
        </xdr:to>
        <xdr:sp macro="" textlink="">
          <xdr:nvSpPr>
            <xdr:cNvPr id="7194" name="Check Box 26" hidden="1">
              <a:extLst>
                <a:ext uri="{63B3BB69-23CF-44E3-9099-C40C66FF867C}">
                  <a14:compatExt spid="_x0000_s7194"/>
                </a:ext>
                <a:ext uri="{FF2B5EF4-FFF2-40B4-BE49-F238E27FC236}">
                  <a16:creationId xmlns:a16="http://schemas.microsoft.com/office/drawing/2014/main" id="{00000000-0008-0000-0600-00001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66675</xdr:colOff>
          <xdr:row>7</xdr:row>
          <xdr:rowOff>180975</xdr:rowOff>
        </xdr:from>
        <xdr:to>
          <xdr:col>29</xdr:col>
          <xdr:colOff>790575</xdr:colOff>
          <xdr:row>9</xdr:row>
          <xdr:rowOff>28575</xdr:rowOff>
        </xdr:to>
        <xdr:sp macro="" textlink="">
          <xdr:nvSpPr>
            <xdr:cNvPr id="7195" name="Check Box 27" hidden="1">
              <a:extLst>
                <a:ext uri="{63B3BB69-23CF-44E3-9099-C40C66FF867C}">
                  <a14:compatExt spid="_x0000_s7195"/>
                </a:ext>
                <a:ext uri="{FF2B5EF4-FFF2-40B4-BE49-F238E27FC236}">
                  <a16:creationId xmlns:a16="http://schemas.microsoft.com/office/drawing/2014/main" id="{00000000-0008-0000-0600-00001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oneCellAnchor>
    <xdr:from>
      <xdr:col>23</xdr:col>
      <xdr:colOff>485546</xdr:colOff>
      <xdr:row>29</xdr:row>
      <xdr:rowOff>82397</xdr:rowOff>
    </xdr:from>
    <xdr:ext cx="1876425" cy="1476375"/>
    <xdr:pic>
      <xdr:nvPicPr>
        <xdr:cNvPr id="7" name="image4.png">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5" cstate="print"/>
        <a:stretch>
          <a:fillRect/>
        </a:stretch>
      </xdr:blipFill>
      <xdr:spPr>
        <a:xfrm>
          <a:off x="19884413" y="5140975"/>
          <a:ext cx="1876425" cy="1476375"/>
        </a:xfrm>
        <a:prstGeom prst="rect">
          <a:avLst/>
        </a:prstGeom>
        <a:noFill/>
      </xdr:spPr>
    </xdr:pic>
    <xdr:clientData fLocksWithSheet="0"/>
  </xdr:oneCellAnchor>
  <xdr:oneCellAnchor>
    <xdr:from>
      <xdr:col>20</xdr:col>
      <xdr:colOff>384328</xdr:colOff>
      <xdr:row>28</xdr:row>
      <xdr:rowOff>137482</xdr:rowOff>
    </xdr:from>
    <xdr:ext cx="2190750" cy="1571625"/>
    <xdr:pic>
      <xdr:nvPicPr>
        <xdr:cNvPr id="8" name="image5.png">
          <a:extLst>
            <a:ext uri="{FF2B5EF4-FFF2-40B4-BE49-F238E27FC236}">
              <a16:creationId xmlns:a16="http://schemas.microsoft.com/office/drawing/2014/main" id="{00000000-0008-0000-0600-000008000000}"/>
            </a:ext>
          </a:extLst>
        </xdr:cNvPr>
        <xdr:cNvPicPr preferRelativeResize="0"/>
      </xdr:nvPicPr>
      <xdr:blipFill>
        <a:blip xmlns:r="http://schemas.openxmlformats.org/officeDocument/2006/relationships" r:embed="rId6" cstate="print"/>
        <a:stretch>
          <a:fillRect/>
        </a:stretch>
      </xdr:blipFill>
      <xdr:spPr>
        <a:xfrm>
          <a:off x="17221774" y="5021627"/>
          <a:ext cx="2190750" cy="15716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809625</xdr:colOff>
      <xdr:row>9</xdr:row>
      <xdr:rowOff>95250</xdr:rowOff>
    </xdr:from>
    <xdr:ext cx="5819775" cy="2867025"/>
    <xdr:graphicFrame macro="">
      <xdr:nvGraphicFramePr>
        <xdr:cNvPr id="5" name="Chart 5">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552450</xdr:colOff>
      <xdr:row>9</xdr:row>
      <xdr:rowOff>104775</xdr:rowOff>
    </xdr:from>
    <xdr:ext cx="5781675" cy="2867025"/>
    <xdr:graphicFrame macro="">
      <xdr:nvGraphicFramePr>
        <xdr:cNvPr id="1852865391" name="Chart 6">
          <a:extLst>
            <a:ext uri="{FF2B5EF4-FFF2-40B4-BE49-F238E27FC236}">
              <a16:creationId xmlns:a16="http://schemas.microsoft.com/office/drawing/2014/main" id="{00000000-0008-0000-0700-00006F7B7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17</xdr:col>
      <xdr:colOff>66675</xdr:colOff>
      <xdr:row>9</xdr:row>
      <xdr:rowOff>133350</xdr:rowOff>
    </xdr:from>
    <xdr:ext cx="5825752" cy="2790825"/>
    <xdr:graphicFrame macro="">
      <xdr:nvGraphicFramePr>
        <xdr:cNvPr id="580389086" name="Chart 7" title="Chart">
          <a:extLst>
            <a:ext uri="{FF2B5EF4-FFF2-40B4-BE49-F238E27FC236}">
              <a16:creationId xmlns:a16="http://schemas.microsoft.com/office/drawing/2014/main" id="{00000000-0008-0000-0700-0000DE089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23</xdr:col>
      <xdr:colOff>809625</xdr:colOff>
      <xdr:row>9</xdr:row>
      <xdr:rowOff>104775</xdr:rowOff>
    </xdr:from>
    <xdr:ext cx="6446184" cy="2867025"/>
    <xdr:graphicFrame macro="">
      <xdr:nvGraphicFramePr>
        <xdr:cNvPr id="6" name="Chart 8" title="Chart">
          <a:extLst>
            <a:ext uri="{FF2B5EF4-FFF2-40B4-BE49-F238E27FC236}">
              <a16:creationId xmlns:a16="http://schemas.microsoft.com/office/drawing/2014/main" id="{00000000-0008-0000-0700-000006000000}"/>
            </a:ext>
            <a:ext uri="{147F2762-F138-4A5C-976F-8EAC2B608ADB}">
              <a16:predDERef xmlns:a16="http://schemas.microsoft.com/office/drawing/2014/main" pred="{00000000-0008-0000-0700-0000DE089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4</xdr:col>
      <xdr:colOff>638175</xdr:colOff>
      <xdr:row>29</xdr:row>
      <xdr:rowOff>85725</xdr:rowOff>
    </xdr:from>
    <xdr:ext cx="2190750" cy="1495425"/>
    <xdr:pic>
      <xdr:nvPicPr>
        <xdr:cNvPr id="2" name="image7.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8</xdr:col>
      <xdr:colOff>647700</xdr:colOff>
      <xdr:row>28</xdr:row>
      <xdr:rowOff>142875</xdr:rowOff>
    </xdr:from>
    <xdr:ext cx="1695450" cy="1571625"/>
    <xdr:pic>
      <xdr:nvPicPr>
        <xdr:cNvPr id="3" name="image6.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mc:AlternateContent xmlns:mc="http://schemas.openxmlformats.org/markup-compatibility/2006">
    <mc:Choice xmlns:a14="http://schemas.microsoft.com/office/drawing/2010/main" Requires="a14">
      <xdr:twoCellAnchor editAs="oneCell">
        <xdr:from>
          <xdr:col>7</xdr:col>
          <xdr:colOff>66675</xdr:colOff>
          <xdr:row>3</xdr:row>
          <xdr:rowOff>180975</xdr:rowOff>
        </xdr:from>
        <xdr:to>
          <xdr:col>7</xdr:col>
          <xdr:colOff>790575</xdr:colOff>
          <xdr:row>5</xdr:row>
          <xdr:rowOff>28575</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4</xdr:row>
          <xdr:rowOff>180975</xdr:rowOff>
        </xdr:from>
        <xdr:to>
          <xdr:col>7</xdr:col>
          <xdr:colOff>790575</xdr:colOff>
          <xdr:row>6</xdr:row>
          <xdr:rowOff>28575</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7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5</xdr:row>
          <xdr:rowOff>180975</xdr:rowOff>
        </xdr:from>
        <xdr:to>
          <xdr:col>7</xdr:col>
          <xdr:colOff>790575</xdr:colOff>
          <xdr:row>7</xdr:row>
          <xdr:rowOff>28575</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7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6</xdr:row>
          <xdr:rowOff>180975</xdr:rowOff>
        </xdr:from>
        <xdr:to>
          <xdr:col>7</xdr:col>
          <xdr:colOff>790575</xdr:colOff>
          <xdr:row>8</xdr:row>
          <xdr:rowOff>28575</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7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7</xdr:row>
          <xdr:rowOff>180975</xdr:rowOff>
        </xdr:from>
        <xdr:to>
          <xdr:col>7</xdr:col>
          <xdr:colOff>790575</xdr:colOff>
          <xdr:row>9</xdr:row>
          <xdr:rowOff>28575</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7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66675</xdr:colOff>
          <xdr:row>3</xdr:row>
          <xdr:rowOff>180975</xdr:rowOff>
        </xdr:from>
        <xdr:to>
          <xdr:col>14</xdr:col>
          <xdr:colOff>790575</xdr:colOff>
          <xdr:row>5</xdr:row>
          <xdr:rowOff>28575</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7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66675</xdr:colOff>
          <xdr:row>4</xdr:row>
          <xdr:rowOff>180975</xdr:rowOff>
        </xdr:from>
        <xdr:to>
          <xdr:col>14</xdr:col>
          <xdr:colOff>790575</xdr:colOff>
          <xdr:row>6</xdr:row>
          <xdr:rowOff>28575</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7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66675</xdr:colOff>
          <xdr:row>5</xdr:row>
          <xdr:rowOff>180975</xdr:rowOff>
        </xdr:from>
        <xdr:to>
          <xdr:col>14</xdr:col>
          <xdr:colOff>790575</xdr:colOff>
          <xdr:row>7</xdr:row>
          <xdr:rowOff>28575</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7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66675</xdr:colOff>
          <xdr:row>6</xdr:row>
          <xdr:rowOff>180975</xdr:rowOff>
        </xdr:from>
        <xdr:to>
          <xdr:col>14</xdr:col>
          <xdr:colOff>790575</xdr:colOff>
          <xdr:row>8</xdr:row>
          <xdr:rowOff>28575</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7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66675</xdr:colOff>
          <xdr:row>7</xdr:row>
          <xdr:rowOff>180975</xdr:rowOff>
        </xdr:from>
        <xdr:to>
          <xdr:col>14</xdr:col>
          <xdr:colOff>790575</xdr:colOff>
          <xdr:row>9</xdr:row>
          <xdr:rowOff>28575</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7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66675</xdr:colOff>
          <xdr:row>3</xdr:row>
          <xdr:rowOff>180975</xdr:rowOff>
        </xdr:from>
        <xdr:to>
          <xdr:col>23</xdr:col>
          <xdr:colOff>790575</xdr:colOff>
          <xdr:row>5</xdr:row>
          <xdr:rowOff>28575</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7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66675</xdr:colOff>
          <xdr:row>4</xdr:row>
          <xdr:rowOff>180975</xdr:rowOff>
        </xdr:from>
        <xdr:to>
          <xdr:col>23</xdr:col>
          <xdr:colOff>790575</xdr:colOff>
          <xdr:row>6</xdr:row>
          <xdr:rowOff>28575</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7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66675</xdr:colOff>
          <xdr:row>5</xdr:row>
          <xdr:rowOff>180975</xdr:rowOff>
        </xdr:from>
        <xdr:to>
          <xdr:col>23</xdr:col>
          <xdr:colOff>790575</xdr:colOff>
          <xdr:row>7</xdr:row>
          <xdr:rowOff>28575</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7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66675</xdr:colOff>
          <xdr:row>6</xdr:row>
          <xdr:rowOff>180975</xdr:rowOff>
        </xdr:from>
        <xdr:to>
          <xdr:col>23</xdr:col>
          <xdr:colOff>790575</xdr:colOff>
          <xdr:row>8</xdr:row>
          <xdr:rowOff>28575</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7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66675</xdr:colOff>
          <xdr:row>7</xdr:row>
          <xdr:rowOff>180975</xdr:rowOff>
        </xdr:from>
        <xdr:to>
          <xdr:col>23</xdr:col>
          <xdr:colOff>790575</xdr:colOff>
          <xdr:row>9</xdr:row>
          <xdr:rowOff>28575</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7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66675</xdr:colOff>
          <xdr:row>3</xdr:row>
          <xdr:rowOff>180975</xdr:rowOff>
        </xdr:from>
        <xdr:to>
          <xdr:col>30</xdr:col>
          <xdr:colOff>790575</xdr:colOff>
          <xdr:row>5</xdr:row>
          <xdr:rowOff>28575</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7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66675</xdr:colOff>
          <xdr:row>4</xdr:row>
          <xdr:rowOff>180975</xdr:rowOff>
        </xdr:from>
        <xdr:to>
          <xdr:col>30</xdr:col>
          <xdr:colOff>790575</xdr:colOff>
          <xdr:row>6</xdr:row>
          <xdr:rowOff>28575</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7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66675</xdr:colOff>
          <xdr:row>5</xdr:row>
          <xdr:rowOff>180975</xdr:rowOff>
        </xdr:from>
        <xdr:to>
          <xdr:col>30</xdr:col>
          <xdr:colOff>790575</xdr:colOff>
          <xdr:row>7</xdr:row>
          <xdr:rowOff>28575</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7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66675</xdr:colOff>
          <xdr:row>6</xdr:row>
          <xdr:rowOff>180975</xdr:rowOff>
        </xdr:from>
        <xdr:to>
          <xdr:col>30</xdr:col>
          <xdr:colOff>790575</xdr:colOff>
          <xdr:row>8</xdr:row>
          <xdr:rowOff>28575</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7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66675</xdr:colOff>
          <xdr:row>7</xdr:row>
          <xdr:rowOff>180975</xdr:rowOff>
        </xdr:from>
        <xdr:to>
          <xdr:col>30</xdr:col>
          <xdr:colOff>790575</xdr:colOff>
          <xdr:row>9</xdr:row>
          <xdr:rowOff>28575</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7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oneCellAnchor>
    <xdr:from>
      <xdr:col>21</xdr:col>
      <xdr:colOff>398585</xdr:colOff>
      <xdr:row>29</xdr:row>
      <xdr:rowOff>23447</xdr:rowOff>
    </xdr:from>
    <xdr:ext cx="2190750" cy="1495425"/>
    <xdr:pic>
      <xdr:nvPicPr>
        <xdr:cNvPr id="4" name="image7.png">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5" cstate="print"/>
        <a:stretch>
          <a:fillRect/>
        </a:stretch>
      </xdr:blipFill>
      <xdr:spPr>
        <a:xfrm>
          <a:off x="18112154" y="5122985"/>
          <a:ext cx="2190750" cy="1495425"/>
        </a:xfrm>
        <a:prstGeom prst="rect">
          <a:avLst/>
        </a:prstGeom>
        <a:noFill/>
      </xdr:spPr>
    </xdr:pic>
    <xdr:clientData fLocksWithSheet="0"/>
  </xdr:oneCellAnchor>
  <xdr:oneCellAnchor>
    <xdr:from>
      <xdr:col>24</xdr:col>
      <xdr:colOff>445477</xdr:colOff>
      <xdr:row>29</xdr:row>
      <xdr:rowOff>0</xdr:rowOff>
    </xdr:from>
    <xdr:ext cx="1695450" cy="1571625"/>
    <xdr:pic>
      <xdr:nvPicPr>
        <xdr:cNvPr id="7" name="image6.png">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6" cstate="print"/>
        <a:stretch>
          <a:fillRect/>
        </a:stretch>
      </xdr:blipFill>
      <xdr:spPr>
        <a:xfrm>
          <a:off x="20726400" y="5099538"/>
          <a:ext cx="1695450" cy="157162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38100</xdr:colOff>
      <xdr:row>11</xdr:row>
      <xdr:rowOff>0</xdr:rowOff>
    </xdr:from>
    <xdr:ext cx="4572000" cy="2609850"/>
    <xdr:graphicFrame macro="">
      <xdr:nvGraphicFramePr>
        <xdr:cNvPr id="10" name="Chart 9">
          <a:extLst>
            <a:ext uri="{FF2B5EF4-FFF2-40B4-BE49-F238E27FC236}">
              <a16:creationId xmlns:a16="http://schemas.microsoft.com/office/drawing/2014/main" id="{00000000-0008-0000-08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38100</xdr:colOff>
      <xdr:row>28</xdr:row>
      <xdr:rowOff>57150</xdr:rowOff>
    </xdr:from>
    <xdr:ext cx="4572000" cy="2609850"/>
    <xdr:graphicFrame macro="">
      <xdr:nvGraphicFramePr>
        <xdr:cNvPr id="1213265722" name="Chart 10">
          <a:extLst>
            <a:ext uri="{FF2B5EF4-FFF2-40B4-BE49-F238E27FC236}">
              <a16:creationId xmlns:a16="http://schemas.microsoft.com/office/drawing/2014/main" id="{00000000-0008-0000-0800-00003AF75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76200</xdr:colOff>
      <xdr:row>5</xdr:row>
      <xdr:rowOff>47625</xdr:rowOff>
    </xdr:from>
    <xdr:ext cx="704850" cy="581025"/>
    <xdr:pic>
      <xdr:nvPicPr>
        <xdr:cNvPr id="6" name="image10.png">
          <a:extLst>
            <a:ext uri="{FF2B5EF4-FFF2-40B4-BE49-F238E27FC236}">
              <a16:creationId xmlns:a16="http://schemas.microsoft.com/office/drawing/2014/main" id="{00000000-0008-0000-0800-000006000000}"/>
            </a:ext>
            <a:ext uri="{147F2762-F138-4A5C-976F-8EAC2B608ADB}">
              <a16:predDERef xmlns:a16="http://schemas.microsoft.com/office/drawing/2014/main" pred="{00000000-0008-0000-0800-00003AF75048}"/>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180975</xdr:colOff>
      <xdr:row>2</xdr:row>
      <xdr:rowOff>85725</xdr:rowOff>
    </xdr:from>
    <xdr:ext cx="2085975" cy="314325"/>
    <xdr:pic>
      <xdr:nvPicPr>
        <xdr:cNvPr id="3" name="image8.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723900</xdr:colOff>
      <xdr:row>4</xdr:row>
      <xdr:rowOff>85725</xdr:rowOff>
    </xdr:from>
    <xdr:ext cx="962025" cy="495300"/>
    <xdr:pic>
      <xdr:nvPicPr>
        <xdr:cNvPr id="4" name="image9.pn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835742</xdr:colOff>
      <xdr:row>3</xdr:row>
      <xdr:rowOff>40968</xdr:rowOff>
    </xdr:from>
    <xdr:ext cx="4440903" cy="2490838"/>
    <xdr:graphicFrame macro="">
      <xdr:nvGraphicFramePr>
        <xdr:cNvPr id="188782504" name="Chart 11">
          <a:extLst>
            <a:ext uri="{FF2B5EF4-FFF2-40B4-BE49-F238E27FC236}">
              <a16:creationId xmlns:a16="http://schemas.microsoft.com/office/drawing/2014/main" id="{00000000-0008-0000-0900-0000A8974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387350</xdr:colOff>
      <xdr:row>22</xdr:row>
      <xdr:rowOff>109887</xdr:rowOff>
    </xdr:from>
    <xdr:ext cx="1086989" cy="514350"/>
    <xdr:pic>
      <xdr:nvPicPr>
        <xdr:cNvPr id="2" name="image11.png">
          <a:extLst>
            <a:ext uri="{FF2B5EF4-FFF2-40B4-BE49-F238E27FC236}">
              <a16:creationId xmlns:a16="http://schemas.microsoft.com/office/drawing/2014/main" id="{00000000-0008-0000-0900-000002000000}"/>
            </a:ext>
          </a:extLst>
        </xdr:cNvPr>
        <xdr:cNvPicPr preferRelativeResize="0"/>
      </xdr:nvPicPr>
      <xdr:blipFill rotWithShape="1">
        <a:blip xmlns:r="http://schemas.openxmlformats.org/officeDocument/2006/relationships" r:embed="rId2" cstate="print"/>
        <a:srcRect l="7968"/>
        <a:stretch>
          <a:fillRect/>
        </a:stretch>
      </xdr:blipFill>
      <xdr:spPr>
        <a:xfrm>
          <a:off x="3549650" y="3965607"/>
          <a:ext cx="1086989" cy="514350"/>
        </a:xfrm>
        <a:prstGeom prst="rect">
          <a:avLst/>
        </a:prstGeom>
        <a:noFill/>
      </xdr:spPr>
    </xdr:pic>
    <xdr:clientData fLocksWithSheet="0"/>
  </xdr:oneCellAnchor>
  <xdr:oneCellAnchor>
    <xdr:from>
      <xdr:col>4</xdr:col>
      <xdr:colOff>387350</xdr:colOff>
      <xdr:row>25</xdr:row>
      <xdr:rowOff>158715</xdr:rowOff>
    </xdr:from>
    <xdr:ext cx="1308612" cy="1066800"/>
    <xdr:pic>
      <xdr:nvPicPr>
        <xdr:cNvPr id="7" name="image12.png">
          <a:extLst>
            <a:ext uri="{FF2B5EF4-FFF2-40B4-BE49-F238E27FC236}">
              <a16:creationId xmlns:a16="http://schemas.microsoft.com/office/drawing/2014/main" id="{00000000-0008-0000-0900-000007000000}"/>
            </a:ext>
          </a:extLst>
        </xdr:cNvPr>
        <xdr:cNvPicPr preferRelativeResize="0"/>
      </xdr:nvPicPr>
      <xdr:blipFill rotWithShape="1">
        <a:blip xmlns:r="http://schemas.openxmlformats.org/officeDocument/2006/relationships" r:embed="rId3" cstate="print"/>
        <a:srcRect l="5251" r="-1"/>
        <a:stretch>
          <a:fillRect/>
        </a:stretch>
      </xdr:blipFill>
      <xdr:spPr>
        <a:xfrm>
          <a:off x="3549650" y="4540215"/>
          <a:ext cx="1308612" cy="1066800"/>
        </a:xfrm>
        <a:prstGeom prst="rect">
          <a:avLst/>
        </a:prstGeom>
        <a:noFill/>
      </xdr:spPr>
    </xdr:pic>
    <xdr:clientData fLocksWithSheet="0"/>
  </xdr:oneCellAnchor>
  <xdr:oneCellAnchor>
    <xdr:from>
      <xdr:col>4</xdr:col>
      <xdr:colOff>387350</xdr:colOff>
      <xdr:row>32</xdr:row>
      <xdr:rowOff>58952</xdr:rowOff>
    </xdr:from>
    <xdr:ext cx="1924050" cy="276225"/>
    <xdr:pic>
      <xdr:nvPicPr>
        <xdr:cNvPr id="4" name="image13.pn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4" cstate="print"/>
        <a:stretch>
          <a:fillRect/>
        </a:stretch>
      </xdr:blipFill>
      <xdr:spPr>
        <a:xfrm>
          <a:off x="3549650" y="5667272"/>
          <a:ext cx="1924050" cy="276225"/>
        </a:xfrm>
        <a:prstGeom prst="rect">
          <a:avLst/>
        </a:prstGeom>
        <a:noFill/>
      </xdr:spPr>
    </xdr:pic>
    <xdr:clientData fLocksWithSheet="0"/>
  </xdr:oneCellAnchor>
  <xdr:oneCellAnchor>
    <xdr:from>
      <xdr:col>4</xdr:col>
      <xdr:colOff>387350</xdr:colOff>
      <xdr:row>20</xdr:row>
      <xdr:rowOff>32173</xdr:rowOff>
    </xdr:from>
    <xdr:ext cx="541785" cy="367976"/>
    <xdr:pic>
      <xdr:nvPicPr>
        <xdr:cNvPr id="5" name="image10.png">
          <a:extLst>
            <a:ext uri="{FF2B5EF4-FFF2-40B4-BE49-F238E27FC236}">
              <a16:creationId xmlns:a16="http://schemas.microsoft.com/office/drawing/2014/main" id="{00000000-0008-0000-0900-000005000000}"/>
            </a:ext>
          </a:extLst>
        </xdr:cNvPr>
        <xdr:cNvPicPr preferRelativeResize="0"/>
      </xdr:nvPicPr>
      <xdr:blipFill rotWithShape="1">
        <a:blip xmlns:r="http://schemas.openxmlformats.org/officeDocument/2006/relationships" r:embed="rId5" cstate="print"/>
        <a:srcRect l="19887" t="23755" b="9637"/>
        <a:stretch>
          <a:fillRect/>
        </a:stretch>
      </xdr:blipFill>
      <xdr:spPr>
        <a:xfrm>
          <a:off x="3549650" y="3537373"/>
          <a:ext cx="541785" cy="367976"/>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7</xdr:col>
      <xdr:colOff>809625</xdr:colOff>
      <xdr:row>3</xdr:row>
      <xdr:rowOff>95251</xdr:rowOff>
    </xdr:from>
    <xdr:ext cx="5819775" cy="2845426"/>
    <xdr:graphicFrame macro="">
      <xdr:nvGraphicFramePr>
        <xdr:cNvPr id="5" name="Chart 12">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552450</xdr:colOff>
      <xdr:row>3</xdr:row>
      <xdr:rowOff>104776</xdr:rowOff>
    </xdr:from>
    <xdr:ext cx="5781675" cy="2845426"/>
    <xdr:graphicFrame macro="">
      <xdr:nvGraphicFramePr>
        <xdr:cNvPr id="6" name="Chart 13">
          <a:extLst>
            <a:ext uri="{FF2B5EF4-FFF2-40B4-BE49-F238E27FC236}">
              <a16:creationId xmlns:a16="http://schemas.microsoft.com/office/drawing/2014/main" id="{00000000-0008-0000-0A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552450</xdr:colOff>
      <xdr:row>9</xdr:row>
      <xdr:rowOff>104775</xdr:rowOff>
    </xdr:from>
    <xdr:ext cx="4124325" cy="2867025"/>
    <xdr:graphicFrame macro="">
      <xdr:nvGraphicFramePr>
        <xdr:cNvPr id="1329544232" name="Chart 15">
          <a:extLst>
            <a:ext uri="{FF2B5EF4-FFF2-40B4-BE49-F238E27FC236}">
              <a16:creationId xmlns:a16="http://schemas.microsoft.com/office/drawing/2014/main" id="{00000000-0008-0000-0B00-0000283C3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257175</xdr:colOff>
      <xdr:row>28</xdr:row>
      <xdr:rowOff>85725</xdr:rowOff>
    </xdr:from>
    <xdr:ext cx="1743075" cy="1685925"/>
    <xdr:pic>
      <xdr:nvPicPr>
        <xdr:cNvPr id="2" name="image14.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752475</xdr:colOff>
      <xdr:row>29</xdr:row>
      <xdr:rowOff>133350</xdr:rowOff>
    </xdr:from>
    <xdr:ext cx="1438275" cy="1152525"/>
    <xdr:pic>
      <xdr:nvPicPr>
        <xdr:cNvPr id="3" name="image15.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mc:AlternateContent xmlns:mc="http://schemas.openxmlformats.org/markup-compatibility/2006">
    <mc:Choice xmlns:a14="http://schemas.microsoft.com/office/drawing/2010/main" Requires="a14">
      <xdr:twoCellAnchor editAs="oneCell">
        <xdr:from>
          <xdr:col>5</xdr:col>
          <xdr:colOff>66675</xdr:colOff>
          <xdr:row>3</xdr:row>
          <xdr:rowOff>180975</xdr:rowOff>
        </xdr:from>
        <xdr:to>
          <xdr:col>5</xdr:col>
          <xdr:colOff>790575</xdr:colOff>
          <xdr:row>5</xdr:row>
          <xdr:rowOff>28575</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B00-000001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4</xdr:row>
          <xdr:rowOff>180975</xdr:rowOff>
        </xdr:from>
        <xdr:to>
          <xdr:col>5</xdr:col>
          <xdr:colOff>790575</xdr:colOff>
          <xdr:row>6</xdr:row>
          <xdr:rowOff>28575</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B00-000002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5</xdr:row>
          <xdr:rowOff>180975</xdr:rowOff>
        </xdr:from>
        <xdr:to>
          <xdr:col>5</xdr:col>
          <xdr:colOff>790575</xdr:colOff>
          <xdr:row>7</xdr:row>
          <xdr:rowOff>28575</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B00-000003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6</xdr:row>
          <xdr:rowOff>180975</xdr:rowOff>
        </xdr:from>
        <xdr:to>
          <xdr:col>5</xdr:col>
          <xdr:colOff>790575</xdr:colOff>
          <xdr:row>8</xdr:row>
          <xdr:rowOff>28575</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B00-000004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7</xdr:row>
          <xdr:rowOff>180975</xdr:rowOff>
        </xdr:from>
        <xdr:to>
          <xdr:col>5</xdr:col>
          <xdr:colOff>790575</xdr:colOff>
          <xdr:row>9</xdr:row>
          <xdr:rowOff>28575</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B00-000005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3</xdr:row>
          <xdr:rowOff>180975</xdr:rowOff>
        </xdr:from>
        <xdr:to>
          <xdr:col>10</xdr:col>
          <xdr:colOff>790575</xdr:colOff>
          <xdr:row>5</xdr:row>
          <xdr:rowOff>28575</xdr:rowOff>
        </xdr:to>
        <xdr:sp macro="" textlink="">
          <xdr:nvSpPr>
            <xdr:cNvPr id="12294" name="Check Box 6" hidden="1">
              <a:extLst>
                <a:ext uri="{63B3BB69-23CF-44E3-9099-C40C66FF867C}">
                  <a14:compatExt spid="_x0000_s12294"/>
                </a:ext>
                <a:ext uri="{FF2B5EF4-FFF2-40B4-BE49-F238E27FC236}">
                  <a16:creationId xmlns:a16="http://schemas.microsoft.com/office/drawing/2014/main" id="{00000000-0008-0000-0B00-000006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4</xdr:row>
          <xdr:rowOff>180975</xdr:rowOff>
        </xdr:from>
        <xdr:to>
          <xdr:col>10</xdr:col>
          <xdr:colOff>790575</xdr:colOff>
          <xdr:row>6</xdr:row>
          <xdr:rowOff>28575</xdr:rowOff>
        </xdr:to>
        <xdr:sp macro="" textlink="">
          <xdr:nvSpPr>
            <xdr:cNvPr id="12295" name="Check Box 7" hidden="1">
              <a:extLst>
                <a:ext uri="{63B3BB69-23CF-44E3-9099-C40C66FF867C}">
                  <a14:compatExt spid="_x0000_s12295"/>
                </a:ext>
                <a:ext uri="{FF2B5EF4-FFF2-40B4-BE49-F238E27FC236}">
                  <a16:creationId xmlns:a16="http://schemas.microsoft.com/office/drawing/2014/main" id="{00000000-0008-0000-0B00-000007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5</xdr:row>
          <xdr:rowOff>180975</xdr:rowOff>
        </xdr:from>
        <xdr:to>
          <xdr:col>10</xdr:col>
          <xdr:colOff>790575</xdr:colOff>
          <xdr:row>7</xdr:row>
          <xdr:rowOff>28575</xdr:rowOff>
        </xdr:to>
        <xdr:sp macro="" textlink="">
          <xdr:nvSpPr>
            <xdr:cNvPr id="12296" name="Check Box 8" hidden="1">
              <a:extLst>
                <a:ext uri="{63B3BB69-23CF-44E3-9099-C40C66FF867C}">
                  <a14:compatExt spid="_x0000_s12296"/>
                </a:ext>
                <a:ext uri="{FF2B5EF4-FFF2-40B4-BE49-F238E27FC236}">
                  <a16:creationId xmlns:a16="http://schemas.microsoft.com/office/drawing/2014/main" id="{00000000-0008-0000-0B00-000008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6</xdr:row>
          <xdr:rowOff>180975</xdr:rowOff>
        </xdr:from>
        <xdr:to>
          <xdr:col>10</xdr:col>
          <xdr:colOff>790575</xdr:colOff>
          <xdr:row>8</xdr:row>
          <xdr:rowOff>28575</xdr:rowOff>
        </xdr:to>
        <xdr:sp macro="" textlink="">
          <xdr:nvSpPr>
            <xdr:cNvPr id="12297" name="Check Box 9" hidden="1">
              <a:extLst>
                <a:ext uri="{63B3BB69-23CF-44E3-9099-C40C66FF867C}">
                  <a14:compatExt spid="_x0000_s12297"/>
                </a:ext>
                <a:ext uri="{FF2B5EF4-FFF2-40B4-BE49-F238E27FC236}">
                  <a16:creationId xmlns:a16="http://schemas.microsoft.com/office/drawing/2014/main" id="{00000000-0008-0000-0B00-000009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7</xdr:row>
          <xdr:rowOff>180975</xdr:rowOff>
        </xdr:from>
        <xdr:to>
          <xdr:col>10</xdr:col>
          <xdr:colOff>790575</xdr:colOff>
          <xdr:row>9</xdr:row>
          <xdr:rowOff>28575</xdr:rowOff>
        </xdr:to>
        <xdr:sp macro="" textlink="">
          <xdr:nvSpPr>
            <xdr:cNvPr id="12298" name="Check Box 10" hidden="1">
              <a:extLst>
                <a:ext uri="{63B3BB69-23CF-44E3-9099-C40C66FF867C}">
                  <a14:compatExt spid="_x0000_s12298"/>
                </a:ext>
                <a:ext uri="{FF2B5EF4-FFF2-40B4-BE49-F238E27FC236}">
                  <a16:creationId xmlns:a16="http://schemas.microsoft.com/office/drawing/2014/main" id="{00000000-0008-0000-0B00-00000A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6</xdr:col>
      <xdr:colOff>79376</xdr:colOff>
      <xdr:row>10</xdr:row>
      <xdr:rowOff>61735</xdr:rowOff>
    </xdr:from>
    <xdr:to>
      <xdr:col>10</xdr:col>
      <xdr:colOff>705556</xdr:colOff>
      <xdr:row>25</xdr:row>
      <xdr:rowOff>146403</xdr:rowOff>
    </xdr:to>
    <xdr:graphicFrame macro="">
      <xdr:nvGraphicFramePr>
        <xdr:cNvPr id="4" name="Chart 4">
          <a:extLst>
            <a:ext uri="{FF2B5EF4-FFF2-40B4-BE49-F238E27FC236}">
              <a16:creationId xmlns:a16="http://schemas.microsoft.com/office/drawing/2014/main" id="{00000000-0008-0000-0B00-000004000000}"/>
            </a:ext>
            <a:ext uri="{147F2762-F138-4A5C-976F-8EAC2B608ADB}">
              <a16:predDERef xmlns:a16="http://schemas.microsoft.com/office/drawing/2014/main" pred="{00000000-0008-0000-0B00-00000A3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5</xdr:col>
      <xdr:colOff>809625</xdr:colOff>
      <xdr:row>9</xdr:row>
      <xdr:rowOff>95250</xdr:rowOff>
    </xdr:from>
    <xdr:ext cx="4162425" cy="2867025"/>
    <xdr:graphicFrame macro="">
      <xdr:nvGraphicFramePr>
        <xdr:cNvPr id="1940502363" name="Chart 16">
          <a:extLst>
            <a:ext uri="{FF2B5EF4-FFF2-40B4-BE49-F238E27FC236}">
              <a16:creationId xmlns:a16="http://schemas.microsoft.com/office/drawing/2014/main" id="{00000000-0008-0000-0C00-00005BB7A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552450</xdr:colOff>
      <xdr:row>9</xdr:row>
      <xdr:rowOff>104775</xdr:rowOff>
    </xdr:from>
    <xdr:ext cx="4124325" cy="2867025"/>
    <xdr:graphicFrame macro="">
      <xdr:nvGraphicFramePr>
        <xdr:cNvPr id="787554869" name="Chart 17">
          <a:extLst>
            <a:ext uri="{FF2B5EF4-FFF2-40B4-BE49-F238E27FC236}">
              <a16:creationId xmlns:a16="http://schemas.microsoft.com/office/drawing/2014/main" id="{00000000-0008-0000-0C00-00003522F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337705</xdr:colOff>
      <xdr:row>28</xdr:row>
      <xdr:rowOff>61480</xdr:rowOff>
    </xdr:from>
    <xdr:ext cx="2510816" cy="1289338"/>
    <xdr:pic>
      <xdr:nvPicPr>
        <xdr:cNvPr id="3" name="image16.png">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3" cstate="print"/>
        <a:stretch>
          <a:fillRect/>
        </a:stretch>
      </xdr:blipFill>
      <xdr:spPr>
        <a:xfrm>
          <a:off x="3496541" y="4910571"/>
          <a:ext cx="2510816" cy="1289338"/>
        </a:xfrm>
        <a:prstGeom prst="rect">
          <a:avLst/>
        </a:prstGeom>
        <a:noFill/>
      </xdr:spPr>
    </xdr:pic>
    <xdr:clientData fLocksWithSheet="0"/>
  </xdr:oneCellAnchor>
  <mc:AlternateContent xmlns:mc="http://schemas.openxmlformats.org/markup-compatibility/2006">
    <mc:Choice xmlns:a14="http://schemas.microsoft.com/office/drawing/2010/main" Requires="a14">
      <xdr:twoCellAnchor editAs="oneCell">
        <xdr:from>
          <xdr:col>5</xdr:col>
          <xdr:colOff>66675</xdr:colOff>
          <xdr:row>3</xdr:row>
          <xdr:rowOff>180975</xdr:rowOff>
        </xdr:from>
        <xdr:to>
          <xdr:col>5</xdr:col>
          <xdr:colOff>790575</xdr:colOff>
          <xdr:row>5</xdr:row>
          <xdr:rowOff>28575</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0C00-000001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4</xdr:row>
          <xdr:rowOff>180975</xdr:rowOff>
        </xdr:from>
        <xdr:to>
          <xdr:col>5</xdr:col>
          <xdr:colOff>790575</xdr:colOff>
          <xdr:row>6</xdr:row>
          <xdr:rowOff>28575</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0C00-000002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5</xdr:row>
          <xdr:rowOff>180975</xdr:rowOff>
        </xdr:from>
        <xdr:to>
          <xdr:col>5</xdr:col>
          <xdr:colOff>790575</xdr:colOff>
          <xdr:row>7</xdr:row>
          <xdr:rowOff>28575</xdr:rowOff>
        </xdr:to>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0C00-000003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6</xdr:row>
          <xdr:rowOff>180975</xdr:rowOff>
        </xdr:from>
        <xdr:to>
          <xdr:col>5</xdr:col>
          <xdr:colOff>790575</xdr:colOff>
          <xdr:row>8</xdr:row>
          <xdr:rowOff>28575</xdr:rowOff>
        </xdr:to>
        <xdr:sp macro="" textlink="">
          <xdr:nvSpPr>
            <xdr:cNvPr id="13316" name="Check Box 4" hidden="1">
              <a:extLst>
                <a:ext uri="{63B3BB69-23CF-44E3-9099-C40C66FF867C}">
                  <a14:compatExt spid="_x0000_s13316"/>
                </a:ext>
                <a:ext uri="{FF2B5EF4-FFF2-40B4-BE49-F238E27FC236}">
                  <a16:creationId xmlns:a16="http://schemas.microsoft.com/office/drawing/2014/main" id="{00000000-0008-0000-0C00-000004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7</xdr:row>
          <xdr:rowOff>180975</xdr:rowOff>
        </xdr:from>
        <xdr:to>
          <xdr:col>5</xdr:col>
          <xdr:colOff>790575</xdr:colOff>
          <xdr:row>9</xdr:row>
          <xdr:rowOff>28575</xdr:rowOff>
        </xdr:to>
        <xdr:sp macro="" textlink="">
          <xdr:nvSpPr>
            <xdr:cNvPr id="13317" name="Check Box 5" hidden="1">
              <a:extLst>
                <a:ext uri="{63B3BB69-23CF-44E3-9099-C40C66FF867C}">
                  <a14:compatExt spid="_x0000_s13317"/>
                </a:ext>
                <a:ext uri="{FF2B5EF4-FFF2-40B4-BE49-F238E27FC236}">
                  <a16:creationId xmlns:a16="http://schemas.microsoft.com/office/drawing/2014/main" id="{00000000-0008-0000-0C00-000005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3</xdr:row>
          <xdr:rowOff>180975</xdr:rowOff>
        </xdr:from>
        <xdr:to>
          <xdr:col>10</xdr:col>
          <xdr:colOff>790575</xdr:colOff>
          <xdr:row>5</xdr:row>
          <xdr:rowOff>28575</xdr:rowOff>
        </xdr:to>
        <xdr:sp macro="" textlink="">
          <xdr:nvSpPr>
            <xdr:cNvPr id="13318" name="Check Box 6" hidden="1">
              <a:extLst>
                <a:ext uri="{63B3BB69-23CF-44E3-9099-C40C66FF867C}">
                  <a14:compatExt spid="_x0000_s13318"/>
                </a:ext>
                <a:ext uri="{FF2B5EF4-FFF2-40B4-BE49-F238E27FC236}">
                  <a16:creationId xmlns:a16="http://schemas.microsoft.com/office/drawing/2014/main" id="{00000000-0008-0000-0C00-000006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4</xdr:row>
          <xdr:rowOff>180975</xdr:rowOff>
        </xdr:from>
        <xdr:to>
          <xdr:col>10</xdr:col>
          <xdr:colOff>790575</xdr:colOff>
          <xdr:row>6</xdr:row>
          <xdr:rowOff>28575</xdr:rowOff>
        </xdr:to>
        <xdr:sp macro="" textlink="">
          <xdr:nvSpPr>
            <xdr:cNvPr id="13319" name="Check Box 7" hidden="1">
              <a:extLst>
                <a:ext uri="{63B3BB69-23CF-44E3-9099-C40C66FF867C}">
                  <a14:compatExt spid="_x0000_s13319"/>
                </a:ext>
                <a:ext uri="{FF2B5EF4-FFF2-40B4-BE49-F238E27FC236}">
                  <a16:creationId xmlns:a16="http://schemas.microsoft.com/office/drawing/2014/main" id="{00000000-0008-0000-0C00-000007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5</xdr:row>
          <xdr:rowOff>180975</xdr:rowOff>
        </xdr:from>
        <xdr:to>
          <xdr:col>10</xdr:col>
          <xdr:colOff>790575</xdr:colOff>
          <xdr:row>7</xdr:row>
          <xdr:rowOff>28575</xdr:rowOff>
        </xdr:to>
        <xdr:sp macro="" textlink="">
          <xdr:nvSpPr>
            <xdr:cNvPr id="13320" name="Check Box 8" hidden="1">
              <a:extLst>
                <a:ext uri="{63B3BB69-23CF-44E3-9099-C40C66FF867C}">
                  <a14:compatExt spid="_x0000_s13320"/>
                </a:ext>
                <a:ext uri="{FF2B5EF4-FFF2-40B4-BE49-F238E27FC236}">
                  <a16:creationId xmlns:a16="http://schemas.microsoft.com/office/drawing/2014/main" id="{00000000-0008-0000-0C00-000008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6</xdr:row>
          <xdr:rowOff>180975</xdr:rowOff>
        </xdr:from>
        <xdr:to>
          <xdr:col>10</xdr:col>
          <xdr:colOff>790575</xdr:colOff>
          <xdr:row>8</xdr:row>
          <xdr:rowOff>28575</xdr:rowOff>
        </xdr:to>
        <xdr:sp macro="" textlink="">
          <xdr:nvSpPr>
            <xdr:cNvPr id="13321" name="Check Box 9" hidden="1">
              <a:extLst>
                <a:ext uri="{63B3BB69-23CF-44E3-9099-C40C66FF867C}">
                  <a14:compatExt spid="_x0000_s13321"/>
                </a:ext>
                <a:ext uri="{FF2B5EF4-FFF2-40B4-BE49-F238E27FC236}">
                  <a16:creationId xmlns:a16="http://schemas.microsoft.com/office/drawing/2014/main" id="{00000000-0008-0000-0C00-000009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7</xdr:row>
          <xdr:rowOff>180975</xdr:rowOff>
        </xdr:from>
        <xdr:to>
          <xdr:col>10</xdr:col>
          <xdr:colOff>790575</xdr:colOff>
          <xdr:row>9</xdr:row>
          <xdr:rowOff>28575</xdr:rowOff>
        </xdr:to>
        <xdr:sp macro="" textlink="">
          <xdr:nvSpPr>
            <xdr:cNvPr id="13322" name="Check Box 10" hidden="1">
              <a:extLst>
                <a:ext uri="{63B3BB69-23CF-44E3-9099-C40C66FF867C}">
                  <a14:compatExt spid="_x0000_s13322"/>
                </a:ext>
                <a:ext uri="{FF2B5EF4-FFF2-40B4-BE49-F238E27FC236}">
                  <a16:creationId xmlns:a16="http://schemas.microsoft.com/office/drawing/2014/main" id="{00000000-0008-0000-0C00-00000A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7</xdr:col>
      <xdr:colOff>504825</xdr:colOff>
      <xdr:row>26</xdr:row>
      <xdr:rowOff>161925</xdr:rowOff>
    </xdr:from>
    <xdr:to>
      <xdr:col>9</xdr:col>
      <xdr:colOff>704850</xdr:colOff>
      <xdr:row>35</xdr:row>
      <xdr:rowOff>133350</xdr:rowOff>
    </xdr:to>
    <xdr:pic>
      <xdr:nvPicPr>
        <xdr:cNvPr id="2" name="Picture 1">
          <a:extLst>
            <a:ext uri="{FF2B5EF4-FFF2-40B4-BE49-F238E27FC236}">
              <a16:creationId xmlns:a16="http://schemas.microsoft.com/office/drawing/2014/main" id="{00000000-0008-0000-0C00-000002000000}"/>
            </a:ext>
            <a:ext uri="{147F2762-F138-4A5C-976F-8EAC2B608ADB}">
              <a16:predDERef xmlns:a16="http://schemas.microsoft.com/office/drawing/2014/main" pred="{00000000-0008-0000-0C00-00000A340000}"/>
            </a:ext>
          </a:extLst>
        </xdr:cNvPr>
        <xdr:cNvPicPr>
          <a:picLocks noChangeAspect="1"/>
        </xdr:cNvPicPr>
      </xdr:nvPicPr>
      <xdr:blipFill>
        <a:blip xmlns:r="http://schemas.openxmlformats.org/officeDocument/2006/relationships" r:embed="rId4"/>
        <a:stretch>
          <a:fillRect/>
        </a:stretch>
      </xdr:blipFill>
      <xdr:spPr>
        <a:xfrm>
          <a:off x="6057900" y="4867275"/>
          <a:ext cx="1857375" cy="16002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552450</xdr:colOff>
      <xdr:row>9</xdr:row>
      <xdr:rowOff>104775</xdr:rowOff>
    </xdr:from>
    <xdr:ext cx="4124325" cy="2867025"/>
    <xdr:graphicFrame macro="">
      <xdr:nvGraphicFramePr>
        <xdr:cNvPr id="245638498" name="Chart 18">
          <a:extLst>
            <a:ext uri="{FF2B5EF4-FFF2-40B4-BE49-F238E27FC236}">
              <a16:creationId xmlns:a16="http://schemas.microsoft.com/office/drawing/2014/main" id="{00000000-0008-0000-0D00-00006225A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161925</xdr:colOff>
      <xdr:row>28</xdr:row>
      <xdr:rowOff>104775</xdr:rowOff>
    </xdr:from>
    <xdr:ext cx="1162050" cy="819150"/>
    <xdr:pic>
      <xdr:nvPicPr>
        <xdr:cNvPr id="2" name="image18.pn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mc:AlternateContent xmlns:mc="http://schemas.openxmlformats.org/markup-compatibility/2006">
    <mc:Choice xmlns:a14="http://schemas.microsoft.com/office/drawing/2010/main" Requires="a14">
      <xdr:twoCellAnchor editAs="oneCell">
        <xdr:from>
          <xdr:col>5</xdr:col>
          <xdr:colOff>66675</xdr:colOff>
          <xdr:row>3</xdr:row>
          <xdr:rowOff>180975</xdr:rowOff>
        </xdr:from>
        <xdr:to>
          <xdr:col>5</xdr:col>
          <xdr:colOff>790575</xdr:colOff>
          <xdr:row>5</xdr:row>
          <xdr:rowOff>28575</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D00-000001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4</xdr:row>
          <xdr:rowOff>180975</xdr:rowOff>
        </xdr:from>
        <xdr:to>
          <xdr:col>5</xdr:col>
          <xdr:colOff>790575</xdr:colOff>
          <xdr:row>6</xdr:row>
          <xdr:rowOff>28575</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0D00-000002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5</xdr:row>
          <xdr:rowOff>180975</xdr:rowOff>
        </xdr:from>
        <xdr:to>
          <xdr:col>5</xdr:col>
          <xdr:colOff>790575</xdr:colOff>
          <xdr:row>7</xdr:row>
          <xdr:rowOff>28575</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D00-000003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6</xdr:row>
          <xdr:rowOff>180975</xdr:rowOff>
        </xdr:from>
        <xdr:to>
          <xdr:col>5</xdr:col>
          <xdr:colOff>790575</xdr:colOff>
          <xdr:row>8</xdr:row>
          <xdr:rowOff>28575</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D00-000004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7</xdr:row>
          <xdr:rowOff>180975</xdr:rowOff>
        </xdr:from>
        <xdr:to>
          <xdr:col>5</xdr:col>
          <xdr:colOff>790575</xdr:colOff>
          <xdr:row>9</xdr:row>
          <xdr:rowOff>28575</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D00-0000053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oneCellAnchor>
    <xdr:from>
      <xdr:col>0</xdr:col>
      <xdr:colOff>419100</xdr:colOff>
      <xdr:row>9</xdr:row>
      <xdr:rowOff>152400</xdr:rowOff>
    </xdr:from>
    <xdr:ext cx="4991100" cy="2867025"/>
    <xdr:graphicFrame macro="">
      <xdr:nvGraphicFramePr>
        <xdr:cNvPr id="4" name="Chart 19">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486000</xdr:colOff>
      <xdr:row>28</xdr:row>
      <xdr:rowOff>60000</xdr:rowOff>
    </xdr:from>
    <xdr:ext cx="684000" cy="792000"/>
    <xdr:pic>
      <xdr:nvPicPr>
        <xdr:cNvPr id="2" name="image19.png">
          <a:extLst>
            <a:ext uri="{FF2B5EF4-FFF2-40B4-BE49-F238E27FC236}">
              <a16:creationId xmlns:a16="http://schemas.microsoft.com/office/drawing/2014/main" id="{00000000-0008-0000-0E00-000002000000}"/>
            </a:ext>
          </a:extLst>
        </xdr:cNvPr>
        <xdr:cNvPicPr preferRelativeResize="0"/>
      </xdr:nvPicPr>
      <xdr:blipFill rotWithShape="1">
        <a:blip xmlns:r="http://schemas.openxmlformats.org/officeDocument/2006/relationships" r:embed="rId2" cstate="print"/>
        <a:srcRect t="4867" b="4820"/>
        <a:stretch>
          <a:fillRect/>
        </a:stretch>
      </xdr:blipFill>
      <xdr:spPr>
        <a:xfrm>
          <a:off x="3642000" y="4932000"/>
          <a:ext cx="684000" cy="792000"/>
        </a:xfrm>
        <a:prstGeom prst="rect">
          <a:avLst/>
        </a:prstGeom>
        <a:noFill/>
      </xdr:spPr>
    </xdr:pic>
    <xdr:clientData fLocksWithSheet="0"/>
  </xdr:oneCellAnchor>
  <mc:AlternateContent xmlns:mc="http://schemas.openxmlformats.org/markup-compatibility/2006">
    <mc:Choice xmlns:a14="http://schemas.microsoft.com/office/drawing/2010/main" Requires="a14">
      <xdr:twoCellAnchor editAs="oneCell">
        <xdr:from>
          <xdr:col>6</xdr:col>
          <xdr:colOff>66675</xdr:colOff>
          <xdr:row>3</xdr:row>
          <xdr:rowOff>180975</xdr:rowOff>
        </xdr:from>
        <xdr:to>
          <xdr:col>6</xdr:col>
          <xdr:colOff>790575</xdr:colOff>
          <xdr:row>5</xdr:row>
          <xdr:rowOff>28575</xdr:rowOff>
        </xdr:to>
        <xdr:sp macro="" textlink="">
          <xdr:nvSpPr>
            <xdr:cNvPr id="15361" name="Check Box 1" hidden="1">
              <a:extLst>
                <a:ext uri="{63B3BB69-23CF-44E3-9099-C40C66FF867C}">
                  <a14:compatExt spid="_x0000_s15361"/>
                </a:ext>
                <a:ext uri="{FF2B5EF4-FFF2-40B4-BE49-F238E27FC236}">
                  <a16:creationId xmlns:a16="http://schemas.microsoft.com/office/drawing/2014/main" id="{00000000-0008-0000-0E00-000001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4</xdr:row>
          <xdr:rowOff>180975</xdr:rowOff>
        </xdr:from>
        <xdr:to>
          <xdr:col>6</xdr:col>
          <xdr:colOff>790575</xdr:colOff>
          <xdr:row>6</xdr:row>
          <xdr:rowOff>28575</xdr:rowOff>
        </xdr:to>
        <xdr:sp macro="" textlink="">
          <xdr:nvSpPr>
            <xdr:cNvPr id="15362" name="Check Box 2" hidden="1">
              <a:extLst>
                <a:ext uri="{63B3BB69-23CF-44E3-9099-C40C66FF867C}">
                  <a14:compatExt spid="_x0000_s15362"/>
                </a:ext>
                <a:ext uri="{FF2B5EF4-FFF2-40B4-BE49-F238E27FC236}">
                  <a16:creationId xmlns:a16="http://schemas.microsoft.com/office/drawing/2014/main" id="{00000000-0008-0000-0E00-000002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5</xdr:row>
          <xdr:rowOff>180975</xdr:rowOff>
        </xdr:from>
        <xdr:to>
          <xdr:col>6</xdr:col>
          <xdr:colOff>790575</xdr:colOff>
          <xdr:row>7</xdr:row>
          <xdr:rowOff>28575</xdr:rowOff>
        </xdr:to>
        <xdr:sp macro="" textlink="">
          <xdr:nvSpPr>
            <xdr:cNvPr id="15363" name="Check Box 3" hidden="1">
              <a:extLst>
                <a:ext uri="{63B3BB69-23CF-44E3-9099-C40C66FF867C}">
                  <a14:compatExt spid="_x0000_s15363"/>
                </a:ext>
                <a:ext uri="{FF2B5EF4-FFF2-40B4-BE49-F238E27FC236}">
                  <a16:creationId xmlns:a16="http://schemas.microsoft.com/office/drawing/2014/main" id="{00000000-0008-0000-0E00-000003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6</xdr:row>
          <xdr:rowOff>180975</xdr:rowOff>
        </xdr:from>
        <xdr:to>
          <xdr:col>6</xdr:col>
          <xdr:colOff>790575</xdr:colOff>
          <xdr:row>8</xdr:row>
          <xdr:rowOff>28575</xdr:rowOff>
        </xdr:to>
        <xdr:sp macro="" textlink="">
          <xdr:nvSpPr>
            <xdr:cNvPr id="15364" name="Check Box 4" hidden="1">
              <a:extLst>
                <a:ext uri="{63B3BB69-23CF-44E3-9099-C40C66FF867C}">
                  <a14:compatExt spid="_x0000_s15364"/>
                </a:ext>
                <a:ext uri="{FF2B5EF4-FFF2-40B4-BE49-F238E27FC236}">
                  <a16:creationId xmlns:a16="http://schemas.microsoft.com/office/drawing/2014/main" id="{00000000-0008-0000-0E00-000004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7</xdr:row>
          <xdr:rowOff>180975</xdr:rowOff>
        </xdr:from>
        <xdr:to>
          <xdr:col>6</xdr:col>
          <xdr:colOff>790575</xdr:colOff>
          <xdr:row>9</xdr:row>
          <xdr:rowOff>28575</xdr:rowOff>
        </xdr:to>
        <xdr:sp macro="" textlink="">
          <xdr:nvSpPr>
            <xdr:cNvPr id="15365" name="Check Box 5" hidden="1">
              <a:extLst>
                <a:ext uri="{63B3BB69-23CF-44E3-9099-C40C66FF867C}">
                  <a14:compatExt spid="_x0000_s15365"/>
                </a:ext>
                <a:ext uri="{FF2B5EF4-FFF2-40B4-BE49-F238E27FC236}">
                  <a16:creationId xmlns:a16="http://schemas.microsoft.com/office/drawing/2014/main" id="{00000000-0008-0000-0E00-0000053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oneCellAnchor>
    <xdr:from>
      <xdr:col>0</xdr:col>
      <xdr:colOff>552450</xdr:colOff>
      <xdr:row>2</xdr:row>
      <xdr:rowOff>104775</xdr:rowOff>
    </xdr:from>
    <xdr:ext cx="5781675" cy="2867025"/>
    <xdr:graphicFrame macro="">
      <xdr:nvGraphicFramePr>
        <xdr:cNvPr id="809982333" name="Chart 20">
          <a:extLst>
            <a:ext uri="{FF2B5EF4-FFF2-40B4-BE49-F238E27FC236}">
              <a16:creationId xmlns:a16="http://schemas.microsoft.com/office/drawing/2014/main" id="{00000000-0008-0000-0F00-00007D594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128256</xdr:colOff>
      <xdr:row>27</xdr:row>
      <xdr:rowOff>103551</xdr:rowOff>
    </xdr:from>
    <xdr:ext cx="2059663" cy="561975"/>
    <xdr:pic>
      <xdr:nvPicPr>
        <xdr:cNvPr id="2" name="image21.png">
          <a:extLst>
            <a:ext uri="{FF2B5EF4-FFF2-40B4-BE49-F238E27FC236}">
              <a16:creationId xmlns:a16="http://schemas.microsoft.com/office/drawing/2014/main" id="{00000000-0008-0000-0F00-000002000000}"/>
            </a:ext>
          </a:extLst>
        </xdr:cNvPr>
        <xdr:cNvPicPr preferRelativeResize="0"/>
      </xdr:nvPicPr>
      <xdr:blipFill rotWithShape="1">
        <a:blip xmlns:r="http://schemas.openxmlformats.org/officeDocument/2006/relationships" r:embed="rId2" cstate="print"/>
        <a:srcRect l="3805" r="1768"/>
        <a:stretch>
          <a:fillRect/>
        </a:stretch>
      </xdr:blipFill>
      <xdr:spPr>
        <a:xfrm>
          <a:off x="8940296" y="4788719"/>
          <a:ext cx="2059663" cy="561975"/>
        </a:xfrm>
        <a:prstGeom prst="rect">
          <a:avLst/>
        </a:prstGeom>
        <a:noFill/>
      </xdr:spPr>
    </xdr:pic>
    <xdr:clientData fLocksWithSheet="0"/>
  </xdr:oneCellAnchor>
  <xdr:oneCellAnchor>
    <xdr:from>
      <xdr:col>12</xdr:col>
      <xdr:colOff>128256</xdr:colOff>
      <xdr:row>31</xdr:row>
      <xdr:rowOff>94026</xdr:rowOff>
    </xdr:from>
    <xdr:ext cx="1736662" cy="752475"/>
    <xdr:pic>
      <xdr:nvPicPr>
        <xdr:cNvPr id="3" name="image22.png">
          <a:extLst>
            <a:ext uri="{FF2B5EF4-FFF2-40B4-BE49-F238E27FC236}">
              <a16:creationId xmlns:a16="http://schemas.microsoft.com/office/drawing/2014/main" id="{00000000-0008-0000-0F00-000003000000}"/>
            </a:ext>
          </a:extLst>
        </xdr:cNvPr>
        <xdr:cNvPicPr preferRelativeResize="0"/>
      </xdr:nvPicPr>
      <xdr:blipFill rotWithShape="1">
        <a:blip xmlns:r="http://schemas.openxmlformats.org/officeDocument/2006/relationships" r:embed="rId3" cstate="print"/>
        <a:srcRect l="6499"/>
        <a:stretch>
          <a:fillRect/>
        </a:stretch>
      </xdr:blipFill>
      <xdr:spPr>
        <a:xfrm>
          <a:off x="8940296" y="5473293"/>
          <a:ext cx="1736662" cy="752475"/>
        </a:xfrm>
        <a:prstGeom prst="rect">
          <a:avLst/>
        </a:prstGeom>
        <a:noFill/>
      </xdr:spPr>
    </xdr:pic>
    <xdr:clientData fLocksWithSheet="0"/>
  </xdr:oneCellAnchor>
  <xdr:oneCellAnchor>
    <xdr:from>
      <xdr:col>12</xdr:col>
      <xdr:colOff>128256</xdr:colOff>
      <xdr:row>36</xdr:row>
      <xdr:rowOff>143725</xdr:rowOff>
    </xdr:from>
    <xdr:ext cx="1981955" cy="857250"/>
    <xdr:pic>
      <xdr:nvPicPr>
        <xdr:cNvPr id="4" name="image20.png">
          <a:extLst>
            <a:ext uri="{FF2B5EF4-FFF2-40B4-BE49-F238E27FC236}">
              <a16:creationId xmlns:a16="http://schemas.microsoft.com/office/drawing/2014/main" id="{00000000-0008-0000-0F00-000004000000}"/>
            </a:ext>
          </a:extLst>
        </xdr:cNvPr>
        <xdr:cNvPicPr preferRelativeResize="0"/>
      </xdr:nvPicPr>
      <xdr:blipFill rotWithShape="1">
        <a:blip xmlns:r="http://schemas.openxmlformats.org/officeDocument/2006/relationships" r:embed="rId4" cstate="print"/>
        <a:srcRect l="2767"/>
        <a:stretch>
          <a:fillRect/>
        </a:stretch>
      </xdr:blipFill>
      <xdr:spPr>
        <a:xfrm>
          <a:off x="8940296" y="6390616"/>
          <a:ext cx="1981955" cy="857250"/>
        </a:xfrm>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1760</xdr:colOff>
      <xdr:row>2</xdr:row>
      <xdr:rowOff>104776</xdr:rowOff>
    </xdr:from>
    <xdr:ext cx="4269281" cy="2783140"/>
    <xdr:graphicFrame macro="">
      <xdr:nvGraphicFramePr>
        <xdr:cNvPr id="2028424301" name="Chart 21">
          <a:extLst>
            <a:ext uri="{FF2B5EF4-FFF2-40B4-BE49-F238E27FC236}">
              <a16:creationId xmlns:a16="http://schemas.microsoft.com/office/drawing/2014/main" id="{00000000-0008-0000-1000-00006D4CE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147278</xdr:colOff>
      <xdr:row>36</xdr:row>
      <xdr:rowOff>41142</xdr:rowOff>
    </xdr:from>
    <xdr:ext cx="3201682" cy="2693094"/>
    <xdr:pic>
      <xdr:nvPicPr>
        <xdr:cNvPr id="2" name="image23.png">
          <a:extLst>
            <a:ext uri="{FF2B5EF4-FFF2-40B4-BE49-F238E27FC236}">
              <a16:creationId xmlns:a16="http://schemas.microsoft.com/office/drawing/2014/main" id="{00000000-0008-0000-1000-000002000000}"/>
            </a:ext>
          </a:extLst>
        </xdr:cNvPr>
        <xdr:cNvPicPr preferRelativeResize="0"/>
      </xdr:nvPicPr>
      <xdr:blipFill rotWithShape="1">
        <a:blip xmlns:r="http://schemas.openxmlformats.org/officeDocument/2006/relationships" r:embed="rId2" cstate="print"/>
        <a:srcRect l="5013"/>
        <a:stretch>
          <a:fillRect/>
        </a:stretch>
      </xdr:blipFill>
      <xdr:spPr>
        <a:xfrm>
          <a:off x="5865480" y="6265209"/>
          <a:ext cx="3201682" cy="2693094"/>
        </a:xfrm>
        <a:prstGeom prst="rect">
          <a:avLst/>
        </a:prstGeom>
        <a:noFill/>
      </xdr:spPr>
    </xdr:pic>
    <xdr:clientData fLocksWithSheet="0"/>
  </xdr:oneCellAnchor>
  <xdr:oneCellAnchor>
    <xdr:from>
      <xdr:col>7</xdr:col>
      <xdr:colOff>108857</xdr:colOff>
      <xdr:row>31</xdr:row>
      <xdr:rowOff>34498</xdr:rowOff>
    </xdr:from>
    <xdr:ext cx="3042965" cy="573821"/>
    <xdr:pic>
      <xdr:nvPicPr>
        <xdr:cNvPr id="3" name="image24.png">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3" cstate="print"/>
        <a:stretch>
          <a:fillRect/>
        </a:stretch>
      </xdr:blipFill>
      <xdr:spPr>
        <a:xfrm>
          <a:off x="5827059" y="5394111"/>
          <a:ext cx="3042965" cy="573821"/>
        </a:xfrm>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9</xdr:col>
      <xdr:colOff>366890</xdr:colOff>
      <xdr:row>2</xdr:row>
      <xdr:rowOff>104776</xdr:rowOff>
    </xdr:from>
    <xdr:ext cx="7090128" cy="2731558"/>
    <xdr:graphicFrame macro="">
      <xdr:nvGraphicFramePr>
        <xdr:cNvPr id="8" name="Chart 22">
          <a:extLst>
            <a:ext uri="{FF2B5EF4-FFF2-40B4-BE49-F238E27FC236}">
              <a16:creationId xmlns:a16="http://schemas.microsoft.com/office/drawing/2014/main" id="{00000000-0008-0000-1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19049</xdr:colOff>
      <xdr:row>2</xdr:row>
      <xdr:rowOff>104776</xdr:rowOff>
    </xdr:from>
    <xdr:ext cx="6909505" cy="2731558"/>
    <xdr:graphicFrame macro="">
      <xdr:nvGraphicFramePr>
        <xdr:cNvPr id="988113522" name="Chart 23">
          <a:extLst>
            <a:ext uri="{FF2B5EF4-FFF2-40B4-BE49-F238E27FC236}">
              <a16:creationId xmlns:a16="http://schemas.microsoft.com/office/drawing/2014/main" id="{00000000-0008-0000-1100-0000726AE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5</xdr:col>
      <xdr:colOff>629151</xdr:colOff>
      <xdr:row>22</xdr:row>
      <xdr:rowOff>0</xdr:rowOff>
    </xdr:from>
    <xdr:ext cx="982077" cy="857250"/>
    <xdr:pic>
      <xdr:nvPicPr>
        <xdr:cNvPr id="2" name="image25.png">
          <a:extLst>
            <a:ext uri="{FF2B5EF4-FFF2-40B4-BE49-F238E27FC236}">
              <a16:creationId xmlns:a16="http://schemas.microsoft.com/office/drawing/2014/main" id="{00000000-0008-0000-1100-000002000000}"/>
            </a:ext>
          </a:extLst>
        </xdr:cNvPr>
        <xdr:cNvPicPr preferRelativeResize="0"/>
      </xdr:nvPicPr>
      <xdr:blipFill rotWithShape="1">
        <a:blip xmlns:r="http://schemas.openxmlformats.org/officeDocument/2006/relationships" r:embed="rId3" cstate="print"/>
        <a:srcRect l="11876"/>
        <a:stretch>
          <a:fillRect/>
        </a:stretch>
      </xdr:blipFill>
      <xdr:spPr>
        <a:xfrm>
          <a:off x="4639677" y="3749842"/>
          <a:ext cx="982077" cy="857250"/>
        </a:xfrm>
        <a:prstGeom prst="rect">
          <a:avLst/>
        </a:prstGeom>
        <a:noFill/>
      </xdr:spPr>
    </xdr:pic>
    <xdr:clientData fLocksWithSheet="0"/>
  </xdr:oneCellAnchor>
  <xdr:oneCellAnchor>
    <xdr:from>
      <xdr:col>5</xdr:col>
      <xdr:colOff>629151</xdr:colOff>
      <xdr:row>27</xdr:row>
      <xdr:rowOff>124577</xdr:rowOff>
    </xdr:from>
    <xdr:ext cx="1617746" cy="1114425"/>
    <xdr:pic>
      <xdr:nvPicPr>
        <xdr:cNvPr id="3" name="image27.png">
          <a:extLst>
            <a:ext uri="{FF2B5EF4-FFF2-40B4-BE49-F238E27FC236}">
              <a16:creationId xmlns:a16="http://schemas.microsoft.com/office/drawing/2014/main" id="{00000000-0008-0000-1100-000003000000}"/>
            </a:ext>
          </a:extLst>
        </xdr:cNvPr>
        <xdr:cNvPicPr preferRelativeResize="0"/>
      </xdr:nvPicPr>
      <xdr:blipFill rotWithShape="1">
        <a:blip xmlns:r="http://schemas.openxmlformats.org/officeDocument/2006/relationships" r:embed="rId4" cstate="print"/>
        <a:srcRect l="13346"/>
        <a:stretch>
          <a:fillRect/>
        </a:stretch>
      </xdr:blipFill>
      <xdr:spPr>
        <a:xfrm>
          <a:off x="4639677" y="4726656"/>
          <a:ext cx="1617746" cy="1114425"/>
        </a:xfrm>
        <a:prstGeom prst="rect">
          <a:avLst/>
        </a:prstGeom>
        <a:noFill/>
      </xdr:spPr>
    </xdr:pic>
    <xdr:clientData fLocksWithSheet="0"/>
  </xdr:oneCellAnchor>
  <xdr:oneCellAnchor>
    <xdr:from>
      <xdr:col>5</xdr:col>
      <xdr:colOff>629151</xdr:colOff>
      <xdr:row>34</xdr:row>
      <xdr:rowOff>165434</xdr:rowOff>
    </xdr:from>
    <xdr:ext cx="6419850" cy="771525"/>
    <xdr:pic>
      <xdr:nvPicPr>
        <xdr:cNvPr id="4" name="image26.png">
          <a:extLst>
            <a:ext uri="{FF2B5EF4-FFF2-40B4-BE49-F238E27FC236}">
              <a16:creationId xmlns:a16="http://schemas.microsoft.com/office/drawing/2014/main" id="{00000000-0008-0000-1100-000004000000}"/>
            </a:ext>
          </a:extLst>
        </xdr:cNvPr>
        <xdr:cNvPicPr preferRelativeResize="0"/>
      </xdr:nvPicPr>
      <xdr:blipFill>
        <a:blip xmlns:r="http://schemas.openxmlformats.org/officeDocument/2006/relationships" r:embed="rId5" cstate="print"/>
        <a:stretch>
          <a:fillRect/>
        </a:stretch>
      </xdr:blipFill>
      <xdr:spPr>
        <a:xfrm>
          <a:off x="4639677" y="5960645"/>
          <a:ext cx="6419850" cy="771525"/>
        </a:xfrm>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47625</xdr:colOff>
      <xdr:row>2</xdr:row>
      <xdr:rowOff>76200</xdr:rowOff>
    </xdr:from>
    <xdr:ext cx="7419975" cy="2867025"/>
    <xdr:graphicFrame macro="">
      <xdr:nvGraphicFramePr>
        <xdr:cNvPr id="1489704168" name="Chart 24">
          <a:extLst>
            <a:ext uri="{FF2B5EF4-FFF2-40B4-BE49-F238E27FC236}">
              <a16:creationId xmlns:a16="http://schemas.microsoft.com/office/drawing/2014/main" id="{00000000-0008-0000-1200-0000E814C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295275</xdr:colOff>
      <xdr:row>22</xdr:row>
      <xdr:rowOff>9525</xdr:rowOff>
    </xdr:from>
    <xdr:ext cx="4758854" cy="495714"/>
    <xdr:pic>
      <xdr:nvPicPr>
        <xdr:cNvPr id="2" name="image29.png">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2" cstate="print"/>
        <a:stretch>
          <a:fillRect/>
        </a:stretch>
      </xdr:blipFill>
      <xdr:spPr>
        <a:xfrm>
          <a:off x="11211753" y="3836090"/>
          <a:ext cx="4758854" cy="495714"/>
        </a:xfrm>
        <a:prstGeom prst="rect">
          <a:avLst/>
        </a:prstGeom>
        <a:noFill/>
      </xdr:spPr>
    </xdr:pic>
    <xdr:clientData fLocksWithSheet="0"/>
  </xdr:oneCellAnchor>
  <xdr:oneCellAnchor>
    <xdr:from>
      <xdr:col>13</xdr:col>
      <xdr:colOff>295275</xdr:colOff>
      <xdr:row>25</xdr:row>
      <xdr:rowOff>127965</xdr:rowOff>
    </xdr:from>
    <xdr:ext cx="3124281" cy="1023317"/>
    <xdr:pic>
      <xdr:nvPicPr>
        <xdr:cNvPr id="3" name="image28.png">
          <a:extLst>
            <a:ext uri="{FF2B5EF4-FFF2-40B4-BE49-F238E27FC236}">
              <a16:creationId xmlns:a16="http://schemas.microsoft.com/office/drawing/2014/main" id="{00000000-0008-0000-1200-000003000000}"/>
            </a:ext>
          </a:extLst>
        </xdr:cNvPr>
        <xdr:cNvPicPr preferRelativeResize="0"/>
      </xdr:nvPicPr>
      <xdr:blipFill rotWithShape="1">
        <a:blip xmlns:r="http://schemas.openxmlformats.org/officeDocument/2006/relationships" r:embed="rId3" cstate="print"/>
        <a:srcRect l="4276"/>
        <a:stretch>
          <a:fillRect/>
        </a:stretch>
      </xdr:blipFill>
      <xdr:spPr>
        <a:xfrm>
          <a:off x="11211753" y="4476335"/>
          <a:ext cx="3124281" cy="1023317"/>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18" Type="http://schemas.openxmlformats.org/officeDocument/2006/relationships/ctrlProp" Target="../ctrlProps/ctrlProp16.xml"/><Relationship Id="rId3" Type="http://schemas.openxmlformats.org/officeDocument/2006/relationships/ctrlProp" Target="../ctrlProps/ctrlProp1.xml"/><Relationship Id="rId21" Type="http://schemas.openxmlformats.org/officeDocument/2006/relationships/ctrlProp" Target="../ctrlProps/ctrlProp19.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 Type="http://schemas.openxmlformats.org/officeDocument/2006/relationships/vmlDrawing" Target="../drawings/vmlDrawing1.vml"/><Relationship Id="rId16" Type="http://schemas.openxmlformats.org/officeDocument/2006/relationships/ctrlProp" Target="../ctrlProps/ctrlProp14.xml"/><Relationship Id="rId20" Type="http://schemas.openxmlformats.org/officeDocument/2006/relationships/ctrlProp" Target="../ctrlProps/ctrlProp18.xml"/><Relationship Id="rId1" Type="http://schemas.openxmlformats.org/officeDocument/2006/relationships/drawing" Target="../drawings/drawing2.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10" Type="http://schemas.openxmlformats.org/officeDocument/2006/relationships/ctrlProp" Target="../ctrlProps/ctrlProp8.xml"/><Relationship Id="rId19" Type="http://schemas.openxmlformats.org/officeDocument/2006/relationships/ctrlProp" Target="../ctrlProps/ctrlProp17.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27.xml"/><Relationship Id="rId13" Type="http://schemas.openxmlformats.org/officeDocument/2006/relationships/ctrlProp" Target="../ctrlProps/ctrlProp32.xml"/><Relationship Id="rId18" Type="http://schemas.openxmlformats.org/officeDocument/2006/relationships/ctrlProp" Target="../ctrlProps/ctrlProp37.xml"/><Relationship Id="rId3" Type="http://schemas.openxmlformats.org/officeDocument/2006/relationships/ctrlProp" Target="../ctrlProps/ctrlProp22.xml"/><Relationship Id="rId21" Type="http://schemas.openxmlformats.org/officeDocument/2006/relationships/ctrlProp" Target="../ctrlProps/ctrlProp40.xml"/><Relationship Id="rId7" Type="http://schemas.openxmlformats.org/officeDocument/2006/relationships/ctrlProp" Target="../ctrlProps/ctrlProp26.xml"/><Relationship Id="rId12" Type="http://schemas.openxmlformats.org/officeDocument/2006/relationships/ctrlProp" Target="../ctrlProps/ctrlProp31.xml"/><Relationship Id="rId17" Type="http://schemas.openxmlformats.org/officeDocument/2006/relationships/ctrlProp" Target="../ctrlProps/ctrlProp36.xml"/><Relationship Id="rId2" Type="http://schemas.openxmlformats.org/officeDocument/2006/relationships/vmlDrawing" Target="../drawings/vmlDrawing2.vml"/><Relationship Id="rId16" Type="http://schemas.openxmlformats.org/officeDocument/2006/relationships/ctrlProp" Target="../ctrlProps/ctrlProp35.xml"/><Relationship Id="rId20" Type="http://schemas.openxmlformats.org/officeDocument/2006/relationships/ctrlProp" Target="../ctrlProps/ctrlProp39.xml"/><Relationship Id="rId1" Type="http://schemas.openxmlformats.org/officeDocument/2006/relationships/drawing" Target="../drawings/drawing3.xml"/><Relationship Id="rId6" Type="http://schemas.openxmlformats.org/officeDocument/2006/relationships/ctrlProp" Target="../ctrlProps/ctrlProp25.xml"/><Relationship Id="rId11" Type="http://schemas.openxmlformats.org/officeDocument/2006/relationships/ctrlProp" Target="../ctrlProps/ctrlProp30.xml"/><Relationship Id="rId5" Type="http://schemas.openxmlformats.org/officeDocument/2006/relationships/ctrlProp" Target="../ctrlProps/ctrlProp24.xml"/><Relationship Id="rId15" Type="http://schemas.openxmlformats.org/officeDocument/2006/relationships/ctrlProp" Target="../ctrlProps/ctrlProp34.xml"/><Relationship Id="rId10" Type="http://schemas.openxmlformats.org/officeDocument/2006/relationships/ctrlProp" Target="../ctrlProps/ctrlProp29.xml"/><Relationship Id="rId19" Type="http://schemas.openxmlformats.org/officeDocument/2006/relationships/ctrlProp" Target="../ctrlProps/ctrlProp38.xml"/><Relationship Id="rId4" Type="http://schemas.openxmlformats.org/officeDocument/2006/relationships/ctrlProp" Target="../ctrlProps/ctrlProp23.xm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47.xml"/><Relationship Id="rId3" Type="http://schemas.openxmlformats.org/officeDocument/2006/relationships/ctrlProp" Target="../ctrlProps/ctrlProp42.xml"/><Relationship Id="rId7" Type="http://schemas.openxmlformats.org/officeDocument/2006/relationships/ctrlProp" Target="../ctrlProps/ctrlProp46.xml"/><Relationship Id="rId12" Type="http://schemas.openxmlformats.org/officeDocument/2006/relationships/ctrlProp" Target="../ctrlProps/ctrlProp51.xml"/><Relationship Id="rId2" Type="http://schemas.openxmlformats.org/officeDocument/2006/relationships/vmlDrawing" Target="../drawings/vmlDrawing3.vml"/><Relationship Id="rId1" Type="http://schemas.openxmlformats.org/officeDocument/2006/relationships/drawing" Target="../drawings/drawing7.xml"/><Relationship Id="rId6" Type="http://schemas.openxmlformats.org/officeDocument/2006/relationships/ctrlProp" Target="../ctrlProps/ctrlProp45.xml"/><Relationship Id="rId11" Type="http://schemas.openxmlformats.org/officeDocument/2006/relationships/ctrlProp" Target="../ctrlProps/ctrlProp50.xml"/><Relationship Id="rId5" Type="http://schemas.openxmlformats.org/officeDocument/2006/relationships/ctrlProp" Target="../ctrlProps/ctrlProp44.xml"/><Relationship Id="rId10" Type="http://schemas.openxmlformats.org/officeDocument/2006/relationships/ctrlProp" Target="../ctrlProps/ctrlProp49.xml"/><Relationship Id="rId4" Type="http://schemas.openxmlformats.org/officeDocument/2006/relationships/ctrlProp" Target="../ctrlProps/ctrlProp43.xml"/><Relationship Id="rId9" Type="http://schemas.openxmlformats.org/officeDocument/2006/relationships/ctrlProp" Target="../ctrlProps/ctrlProp48.xml"/></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57.xml"/><Relationship Id="rId3" Type="http://schemas.openxmlformats.org/officeDocument/2006/relationships/ctrlProp" Target="../ctrlProps/ctrlProp52.xml"/><Relationship Id="rId7" Type="http://schemas.openxmlformats.org/officeDocument/2006/relationships/ctrlProp" Target="../ctrlProps/ctrlProp56.xml"/><Relationship Id="rId12" Type="http://schemas.openxmlformats.org/officeDocument/2006/relationships/ctrlProp" Target="../ctrlProps/ctrlProp61.xml"/><Relationship Id="rId2" Type="http://schemas.openxmlformats.org/officeDocument/2006/relationships/vmlDrawing" Target="../drawings/vmlDrawing4.vml"/><Relationship Id="rId1" Type="http://schemas.openxmlformats.org/officeDocument/2006/relationships/drawing" Target="../drawings/drawing8.xml"/><Relationship Id="rId6" Type="http://schemas.openxmlformats.org/officeDocument/2006/relationships/ctrlProp" Target="../ctrlProps/ctrlProp55.xml"/><Relationship Id="rId11" Type="http://schemas.openxmlformats.org/officeDocument/2006/relationships/ctrlProp" Target="../ctrlProps/ctrlProp60.xml"/><Relationship Id="rId5" Type="http://schemas.openxmlformats.org/officeDocument/2006/relationships/ctrlProp" Target="../ctrlProps/ctrlProp54.xml"/><Relationship Id="rId10" Type="http://schemas.openxmlformats.org/officeDocument/2006/relationships/ctrlProp" Target="../ctrlProps/ctrlProp59.xml"/><Relationship Id="rId4" Type="http://schemas.openxmlformats.org/officeDocument/2006/relationships/ctrlProp" Target="../ctrlProps/ctrlProp53.xml"/><Relationship Id="rId9" Type="http://schemas.openxmlformats.org/officeDocument/2006/relationships/ctrlProp" Target="../ctrlProps/ctrlProp58.xml"/></Relationships>
</file>

<file path=xl/worksheets/_rels/sheet14.xml.rels><?xml version="1.0" encoding="UTF-8" standalone="yes"?>
<Relationships xmlns="http://schemas.openxmlformats.org/package/2006/relationships"><Relationship Id="rId3" Type="http://schemas.openxmlformats.org/officeDocument/2006/relationships/ctrlProp" Target="../ctrlProps/ctrlProp62.xml"/><Relationship Id="rId7" Type="http://schemas.openxmlformats.org/officeDocument/2006/relationships/ctrlProp" Target="../ctrlProps/ctrlProp66.xml"/><Relationship Id="rId2" Type="http://schemas.openxmlformats.org/officeDocument/2006/relationships/vmlDrawing" Target="../drawings/vmlDrawing5.vml"/><Relationship Id="rId1" Type="http://schemas.openxmlformats.org/officeDocument/2006/relationships/drawing" Target="../drawings/drawing9.xml"/><Relationship Id="rId6" Type="http://schemas.openxmlformats.org/officeDocument/2006/relationships/ctrlProp" Target="../ctrlProps/ctrlProp65.xml"/><Relationship Id="rId5" Type="http://schemas.openxmlformats.org/officeDocument/2006/relationships/ctrlProp" Target="../ctrlProps/ctrlProp64.xml"/><Relationship Id="rId4" Type="http://schemas.openxmlformats.org/officeDocument/2006/relationships/ctrlProp" Target="../ctrlProps/ctrlProp63.xml"/></Relationships>
</file>

<file path=xl/worksheets/_rels/sheet15.xml.rels><?xml version="1.0" encoding="UTF-8" standalone="yes"?>
<Relationships xmlns="http://schemas.openxmlformats.org/package/2006/relationships"><Relationship Id="rId3" Type="http://schemas.openxmlformats.org/officeDocument/2006/relationships/ctrlProp" Target="../ctrlProps/ctrlProp67.xml"/><Relationship Id="rId7" Type="http://schemas.openxmlformats.org/officeDocument/2006/relationships/ctrlProp" Target="../ctrlProps/ctrlProp71.xml"/><Relationship Id="rId2" Type="http://schemas.openxmlformats.org/officeDocument/2006/relationships/vmlDrawing" Target="../drawings/vmlDrawing6.vml"/><Relationship Id="rId1" Type="http://schemas.openxmlformats.org/officeDocument/2006/relationships/drawing" Target="../drawings/drawing10.xml"/><Relationship Id="rId6" Type="http://schemas.openxmlformats.org/officeDocument/2006/relationships/ctrlProp" Target="../ctrlProps/ctrlProp70.xml"/><Relationship Id="rId5" Type="http://schemas.openxmlformats.org/officeDocument/2006/relationships/ctrlProp" Target="../ctrlProps/ctrlProp69.xml"/><Relationship Id="rId4" Type="http://schemas.openxmlformats.org/officeDocument/2006/relationships/ctrlProp" Target="../ctrlProps/ctrlProp6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showGridLines="0" workbookViewId="0">
      <selection activeCell="D21" sqref="D21"/>
    </sheetView>
  </sheetViews>
  <sheetFormatPr defaultColWidth="14.42578125" defaultRowHeight="15" customHeight="1" x14ac:dyDescent="0.25"/>
  <cols>
    <col min="1" max="9" width="8.7109375" customWidth="1"/>
    <col min="10" max="12" width="11.42578125" customWidth="1"/>
    <col min="13" max="26" width="8.7109375" customWidth="1"/>
  </cols>
  <sheetData>
    <row r="1" spans="1:26" ht="14.25" customHeight="1" x14ac:dyDescent="0.25">
      <c r="A1" s="69"/>
      <c r="B1" s="69"/>
      <c r="C1" s="69"/>
      <c r="D1" s="69"/>
      <c r="E1" s="69"/>
      <c r="F1" s="69"/>
      <c r="G1" s="69"/>
      <c r="H1" s="69"/>
      <c r="I1" s="69"/>
      <c r="J1" s="69"/>
      <c r="K1" s="69"/>
      <c r="L1" s="69"/>
      <c r="M1" s="69"/>
      <c r="N1" s="69"/>
      <c r="O1" s="69"/>
      <c r="P1" s="69"/>
      <c r="Q1" s="69"/>
      <c r="R1" s="69"/>
      <c r="S1" s="69"/>
      <c r="T1" s="69"/>
      <c r="U1" s="69"/>
      <c r="V1" s="69"/>
      <c r="W1" s="69"/>
      <c r="X1" s="69"/>
      <c r="Y1" s="69"/>
      <c r="Z1" s="69"/>
    </row>
    <row r="2" spans="1:26" ht="14.25" customHeight="1" x14ac:dyDescent="0.25">
      <c r="A2" s="69"/>
      <c r="B2" s="69"/>
      <c r="C2" s="69"/>
      <c r="D2" s="69"/>
      <c r="E2" s="69"/>
      <c r="F2" s="69"/>
      <c r="G2" s="69"/>
      <c r="H2" s="69"/>
      <c r="I2" s="69"/>
      <c r="J2" s="69"/>
      <c r="K2" s="69"/>
      <c r="L2" s="69"/>
      <c r="M2" s="69"/>
      <c r="N2" s="69"/>
      <c r="O2" s="69"/>
      <c r="P2" s="69"/>
      <c r="Q2" s="69"/>
      <c r="R2" s="69"/>
      <c r="S2" s="69"/>
      <c r="T2" s="69"/>
      <c r="U2" s="69"/>
      <c r="V2" s="69"/>
      <c r="W2" s="69"/>
      <c r="X2" s="69"/>
      <c r="Y2" s="69"/>
      <c r="Z2" s="69"/>
    </row>
    <row r="3" spans="1:26" ht="14.25" customHeight="1" x14ac:dyDescent="0.25">
      <c r="A3" s="69"/>
      <c r="B3" s="69"/>
      <c r="C3" s="69"/>
      <c r="D3" s="69"/>
      <c r="E3" s="69"/>
      <c r="F3" s="69"/>
      <c r="G3" s="69"/>
      <c r="H3" s="69"/>
      <c r="I3" s="69"/>
      <c r="J3" s="69"/>
      <c r="K3" s="69"/>
      <c r="L3" s="69"/>
      <c r="M3" s="69"/>
      <c r="N3" s="69"/>
      <c r="O3" s="69"/>
      <c r="P3" s="69"/>
      <c r="Q3" s="69"/>
      <c r="R3" s="69"/>
      <c r="S3" s="69"/>
      <c r="T3" s="69"/>
      <c r="U3" s="69"/>
      <c r="V3" s="69"/>
      <c r="W3" s="69"/>
      <c r="X3" s="69"/>
      <c r="Y3" s="69"/>
      <c r="Z3" s="69"/>
    </row>
    <row r="4" spans="1:26" ht="14.25" customHeight="1" x14ac:dyDescent="0.25">
      <c r="A4" s="69"/>
      <c r="B4" s="69"/>
      <c r="C4" s="69"/>
      <c r="D4" s="109"/>
      <c r="E4" s="110"/>
      <c r="F4" s="110"/>
      <c r="G4" s="110"/>
      <c r="H4" s="110"/>
      <c r="I4" s="110"/>
      <c r="J4" s="110"/>
      <c r="K4" s="110"/>
      <c r="L4" s="110"/>
      <c r="M4" s="110"/>
      <c r="N4" s="110"/>
      <c r="O4" s="110"/>
      <c r="P4" s="110"/>
      <c r="Q4" s="110"/>
      <c r="R4" s="111"/>
      <c r="S4" s="69"/>
      <c r="T4" s="69"/>
      <c r="U4" s="69"/>
      <c r="V4" s="69"/>
      <c r="W4" s="69"/>
      <c r="X4" s="69"/>
      <c r="Y4" s="69"/>
      <c r="Z4" s="69"/>
    </row>
    <row r="5" spans="1:26" ht="14.25" customHeight="1" x14ac:dyDescent="0.25">
      <c r="A5" s="69"/>
      <c r="B5" s="69"/>
      <c r="C5" s="69"/>
      <c r="D5" s="112"/>
      <c r="E5" s="113"/>
      <c r="F5" s="113"/>
      <c r="G5" s="113"/>
      <c r="H5" s="113"/>
      <c r="I5" s="113"/>
      <c r="J5" s="113"/>
      <c r="K5" s="113"/>
      <c r="L5" s="113"/>
      <c r="M5" s="113"/>
      <c r="N5" s="113"/>
      <c r="O5" s="113"/>
      <c r="P5" s="113"/>
      <c r="Q5" s="113"/>
      <c r="R5" s="105"/>
      <c r="S5" s="69"/>
      <c r="T5" s="69"/>
      <c r="U5" s="69"/>
      <c r="V5" s="69"/>
      <c r="W5" s="69"/>
      <c r="X5" s="69"/>
      <c r="Y5" s="69"/>
      <c r="Z5" s="69"/>
    </row>
    <row r="6" spans="1:26" ht="40.5" customHeight="1" x14ac:dyDescent="0.3">
      <c r="A6" s="69"/>
      <c r="B6" s="69"/>
      <c r="C6" s="69"/>
      <c r="D6" s="114" t="s">
        <v>0</v>
      </c>
      <c r="E6" s="104"/>
      <c r="F6" s="104"/>
      <c r="G6" s="104"/>
      <c r="H6" s="104"/>
      <c r="I6" s="104"/>
      <c r="J6" s="104"/>
      <c r="K6" s="104"/>
      <c r="L6" s="104"/>
      <c r="M6" s="104"/>
      <c r="N6" s="104"/>
      <c r="O6" s="104"/>
      <c r="P6" s="104"/>
      <c r="Q6" s="104"/>
      <c r="R6" s="105"/>
      <c r="S6" s="69"/>
      <c r="T6" s="69"/>
      <c r="U6" s="69"/>
      <c r="V6" s="69"/>
      <c r="W6" s="69"/>
      <c r="X6" s="69"/>
      <c r="Y6" s="69"/>
      <c r="Z6" s="69"/>
    </row>
    <row r="7" spans="1:26" ht="45" customHeight="1" x14ac:dyDescent="0.3">
      <c r="A7" s="69"/>
      <c r="B7" s="69"/>
      <c r="C7" s="69"/>
      <c r="D7" s="114" t="s">
        <v>1</v>
      </c>
      <c r="E7" s="104"/>
      <c r="F7" s="104"/>
      <c r="G7" s="104"/>
      <c r="H7" s="104"/>
      <c r="I7" s="104"/>
      <c r="J7" s="104"/>
      <c r="K7" s="104"/>
      <c r="L7" s="104"/>
      <c r="M7" s="104"/>
      <c r="N7" s="104"/>
      <c r="O7" s="104"/>
      <c r="P7" s="104"/>
      <c r="Q7" s="104"/>
      <c r="R7" s="105"/>
      <c r="S7" s="69"/>
      <c r="T7" s="69"/>
      <c r="U7" s="69"/>
      <c r="V7" s="69"/>
      <c r="W7" s="69"/>
      <c r="X7" s="69"/>
      <c r="Y7" s="69"/>
      <c r="Z7" s="69"/>
    </row>
    <row r="8" spans="1:26" ht="14.25" customHeight="1" x14ac:dyDescent="0.25">
      <c r="A8" s="69"/>
      <c r="B8" s="69"/>
      <c r="C8" s="69"/>
      <c r="D8" s="115"/>
      <c r="E8" s="104"/>
      <c r="F8" s="104"/>
      <c r="G8" s="104"/>
      <c r="H8" s="104"/>
      <c r="I8" s="104"/>
      <c r="J8" s="104"/>
      <c r="K8" s="104"/>
      <c r="L8" s="104"/>
      <c r="M8" s="104"/>
      <c r="N8" s="104"/>
      <c r="O8" s="104"/>
      <c r="P8" s="104"/>
      <c r="Q8" s="104"/>
      <c r="R8" s="105"/>
      <c r="S8" s="69"/>
      <c r="T8" s="69"/>
      <c r="U8" s="69"/>
      <c r="V8" s="69"/>
      <c r="W8" s="69"/>
      <c r="X8" s="69"/>
      <c r="Y8" s="69"/>
      <c r="Z8" s="69"/>
    </row>
    <row r="9" spans="1:26" ht="14.25" customHeight="1" x14ac:dyDescent="0.25">
      <c r="A9" s="69"/>
      <c r="B9" s="69"/>
      <c r="C9" s="69"/>
      <c r="D9" s="112"/>
      <c r="E9" s="113"/>
      <c r="F9" s="113"/>
      <c r="G9" s="113"/>
      <c r="H9" s="113"/>
      <c r="I9" s="113"/>
      <c r="J9" s="113"/>
      <c r="K9" s="113"/>
      <c r="L9" s="113"/>
      <c r="M9" s="113"/>
      <c r="N9" s="113"/>
      <c r="O9" s="113"/>
      <c r="P9" s="113"/>
      <c r="Q9" s="113"/>
      <c r="R9" s="105"/>
      <c r="S9" s="69"/>
      <c r="T9" s="69"/>
      <c r="U9" s="69"/>
      <c r="V9" s="69"/>
      <c r="W9" s="69"/>
      <c r="X9" s="69"/>
      <c r="Y9" s="69"/>
      <c r="Z9" s="69"/>
    </row>
    <row r="10" spans="1:26" ht="14.25" customHeight="1" x14ac:dyDescent="0.25">
      <c r="A10" s="69"/>
      <c r="B10" s="69"/>
      <c r="C10" s="69"/>
      <c r="D10" s="116"/>
      <c r="E10" s="107"/>
      <c r="F10" s="107"/>
      <c r="G10" s="107"/>
      <c r="H10" s="107"/>
      <c r="I10" s="107"/>
      <c r="J10" s="107"/>
      <c r="K10" s="107"/>
      <c r="L10" s="107"/>
      <c r="M10" s="107"/>
      <c r="N10" s="107"/>
      <c r="O10" s="107"/>
      <c r="P10" s="107"/>
      <c r="Q10" s="107"/>
      <c r="R10" s="108"/>
      <c r="S10" s="69"/>
      <c r="T10" s="69"/>
      <c r="U10" s="69"/>
      <c r="V10" s="69"/>
      <c r="W10" s="69"/>
      <c r="X10" s="69"/>
      <c r="Y10" s="69"/>
      <c r="Z10" s="69"/>
    </row>
    <row r="11" spans="1:26" ht="14.25" customHeight="1" x14ac:dyDescent="0.25">
      <c r="A11" s="69"/>
      <c r="B11" s="69"/>
      <c r="C11" s="69"/>
      <c r="D11" s="69"/>
      <c r="E11" s="69"/>
      <c r="F11" s="69"/>
      <c r="G11" s="69"/>
      <c r="H11" s="70"/>
      <c r="I11" s="70"/>
      <c r="J11" s="70"/>
      <c r="K11" s="70"/>
      <c r="L11" s="70"/>
      <c r="M11" s="70"/>
      <c r="N11" s="70"/>
      <c r="O11" s="69"/>
      <c r="P11" s="69"/>
      <c r="Q11" s="69"/>
      <c r="R11" s="69"/>
      <c r="S11" s="69"/>
      <c r="T11" s="69"/>
      <c r="U11" s="69"/>
      <c r="V11" s="69"/>
      <c r="W11" s="69"/>
      <c r="X11" s="69"/>
      <c r="Y11" s="69"/>
      <c r="Z11" s="69"/>
    </row>
    <row r="12" spans="1:26" ht="14.25" customHeight="1" x14ac:dyDescent="0.25">
      <c r="A12" s="69"/>
      <c r="B12" s="69"/>
      <c r="C12" s="69"/>
      <c r="D12" s="69"/>
      <c r="E12" s="69"/>
      <c r="F12" s="69"/>
      <c r="G12" s="69"/>
      <c r="H12" s="70"/>
      <c r="I12" s="70"/>
      <c r="J12" s="70"/>
      <c r="K12" s="70"/>
      <c r="L12" s="70"/>
      <c r="M12" s="70"/>
      <c r="N12" s="70"/>
      <c r="O12" s="69"/>
      <c r="P12" s="69"/>
      <c r="Q12" s="69"/>
      <c r="R12" s="69"/>
      <c r="S12" s="69"/>
      <c r="T12" s="69"/>
      <c r="U12" s="69"/>
      <c r="V12" s="69"/>
      <c r="W12" s="69"/>
      <c r="X12" s="69"/>
      <c r="Y12" s="69"/>
      <c r="Z12" s="69"/>
    </row>
    <row r="13" spans="1:26" ht="14.25" customHeight="1" x14ac:dyDescent="0.25">
      <c r="A13" s="69"/>
      <c r="B13" s="69"/>
      <c r="C13" s="69"/>
      <c r="D13" s="69"/>
      <c r="E13" s="69"/>
      <c r="F13" s="69"/>
      <c r="G13" s="71"/>
      <c r="H13" s="71"/>
      <c r="I13" s="71"/>
      <c r="J13" s="71"/>
      <c r="K13" s="72" t="s">
        <v>2</v>
      </c>
      <c r="L13" s="69"/>
      <c r="M13" s="73"/>
      <c r="N13" s="70"/>
      <c r="O13" s="69"/>
      <c r="P13" s="69"/>
      <c r="Q13" s="69"/>
      <c r="R13" s="69"/>
      <c r="S13" s="69"/>
      <c r="T13" s="69"/>
      <c r="U13" s="69"/>
      <c r="V13" s="69"/>
      <c r="W13" s="69"/>
      <c r="X13" s="69"/>
      <c r="Y13" s="69"/>
      <c r="Z13" s="69"/>
    </row>
    <row r="14" spans="1:26" ht="25.5" customHeight="1" x14ac:dyDescent="0.25">
      <c r="A14" s="69"/>
      <c r="B14" s="69"/>
      <c r="C14" s="69"/>
      <c r="D14" s="69"/>
      <c r="E14" s="69"/>
      <c r="F14" s="69"/>
      <c r="G14" s="69"/>
      <c r="H14" s="69"/>
      <c r="I14" s="117" t="s">
        <v>3</v>
      </c>
      <c r="J14" s="118"/>
      <c r="K14" s="118"/>
      <c r="L14" s="118"/>
      <c r="M14" s="118"/>
      <c r="N14" s="69"/>
      <c r="O14" s="69"/>
      <c r="P14" s="69"/>
      <c r="Q14" s="69"/>
      <c r="R14" s="69"/>
      <c r="S14" s="69"/>
      <c r="T14" s="69"/>
      <c r="U14" s="69"/>
      <c r="V14" s="69"/>
      <c r="W14" s="69"/>
      <c r="X14" s="69"/>
      <c r="Y14" s="69"/>
      <c r="Z14" s="69"/>
    </row>
    <row r="15" spans="1:26" ht="17.25" customHeight="1" x14ac:dyDescent="0.25">
      <c r="A15" s="69"/>
      <c r="B15" s="69"/>
      <c r="C15" s="69"/>
      <c r="D15" s="69"/>
      <c r="E15" s="69"/>
      <c r="F15" s="69"/>
      <c r="G15" s="69"/>
      <c r="H15" s="69"/>
      <c r="I15" s="118"/>
      <c r="J15" s="119"/>
      <c r="K15" s="119"/>
      <c r="L15" s="119"/>
      <c r="M15" s="118"/>
      <c r="N15" s="69"/>
      <c r="O15" s="69"/>
      <c r="P15" s="69"/>
      <c r="Q15" s="69"/>
      <c r="R15" s="69"/>
      <c r="S15" s="69"/>
      <c r="T15" s="69"/>
      <c r="U15" s="69"/>
      <c r="V15" s="69"/>
      <c r="W15" s="69"/>
      <c r="X15" s="69"/>
      <c r="Y15" s="69"/>
      <c r="Z15" s="69"/>
    </row>
    <row r="16" spans="1:26" ht="14.25" customHeight="1" x14ac:dyDescent="0.25">
      <c r="A16" s="69"/>
      <c r="B16" s="69"/>
      <c r="C16" s="69"/>
      <c r="D16" s="69"/>
      <c r="E16" s="69"/>
      <c r="F16" s="69"/>
      <c r="G16" s="69"/>
      <c r="H16" s="69"/>
      <c r="I16" s="118"/>
      <c r="J16" s="118"/>
      <c r="K16" s="118"/>
      <c r="L16" s="118"/>
      <c r="M16" s="118"/>
      <c r="N16" s="69"/>
      <c r="O16" s="69"/>
      <c r="P16" s="69"/>
      <c r="Q16" s="69"/>
      <c r="R16" s="69"/>
      <c r="S16" s="69"/>
      <c r="T16" s="69"/>
      <c r="U16" s="69"/>
      <c r="V16" s="69"/>
      <c r="W16" s="69"/>
      <c r="X16" s="69"/>
      <c r="Y16" s="69"/>
      <c r="Z16" s="69"/>
    </row>
    <row r="17" spans="1:26" ht="14.25" customHeight="1" x14ac:dyDescent="0.25">
      <c r="A17" s="69"/>
      <c r="B17" s="69"/>
      <c r="C17" s="69"/>
      <c r="D17" s="74"/>
      <c r="E17" s="74"/>
      <c r="F17" s="74"/>
      <c r="G17" s="74"/>
      <c r="H17" s="74"/>
      <c r="I17" s="74"/>
      <c r="J17" s="74"/>
      <c r="K17" s="74"/>
      <c r="L17" s="74"/>
      <c r="M17" s="74"/>
      <c r="N17" s="74"/>
      <c r="O17" s="74"/>
      <c r="P17" s="74"/>
      <c r="Q17" s="74"/>
      <c r="R17" s="74"/>
      <c r="S17" s="69"/>
      <c r="T17" s="69"/>
      <c r="U17" s="69"/>
      <c r="V17" s="69"/>
      <c r="W17" s="69"/>
      <c r="X17" s="69"/>
      <c r="Y17" s="69"/>
      <c r="Z17" s="69"/>
    </row>
    <row r="18" spans="1:26" ht="14.25" customHeight="1" x14ac:dyDescent="0.25">
      <c r="A18" s="69"/>
      <c r="B18" s="69"/>
      <c r="C18" s="69"/>
      <c r="D18" s="120"/>
      <c r="E18" s="110"/>
      <c r="F18" s="110"/>
      <c r="G18" s="110"/>
      <c r="H18" s="110"/>
      <c r="I18" s="110"/>
      <c r="J18" s="110"/>
      <c r="K18" s="110"/>
      <c r="L18" s="110"/>
      <c r="M18" s="110"/>
      <c r="N18" s="110"/>
      <c r="O18" s="110"/>
      <c r="P18" s="110"/>
      <c r="Q18" s="110"/>
      <c r="R18" s="111"/>
      <c r="S18" s="69"/>
      <c r="T18" s="69"/>
      <c r="U18" s="69"/>
      <c r="V18" s="69"/>
      <c r="W18" s="69"/>
      <c r="X18" s="69"/>
      <c r="Y18" s="69"/>
      <c r="Z18" s="69"/>
    </row>
    <row r="19" spans="1:26" ht="14.25" customHeight="1" x14ac:dyDescent="0.3">
      <c r="A19" s="69"/>
      <c r="B19" s="69"/>
      <c r="C19" s="69"/>
      <c r="D19" s="103" t="s">
        <v>4</v>
      </c>
      <c r="E19" s="104"/>
      <c r="F19" s="104"/>
      <c r="G19" s="104"/>
      <c r="H19" s="104"/>
      <c r="I19" s="104"/>
      <c r="J19" s="104"/>
      <c r="K19" s="104"/>
      <c r="L19" s="104"/>
      <c r="M19" s="104"/>
      <c r="N19" s="104"/>
      <c r="O19" s="104"/>
      <c r="P19" s="104"/>
      <c r="Q19" s="104"/>
      <c r="R19" s="105"/>
      <c r="S19" s="69"/>
      <c r="T19" s="69"/>
      <c r="U19" s="69"/>
      <c r="V19" s="69"/>
      <c r="W19" s="69"/>
      <c r="X19" s="69"/>
      <c r="Y19" s="69"/>
      <c r="Z19" s="69"/>
    </row>
    <row r="20" spans="1:26" ht="14.25" customHeight="1" x14ac:dyDescent="0.3">
      <c r="A20" s="69"/>
      <c r="B20" s="69"/>
      <c r="C20" s="69"/>
      <c r="D20" s="103" t="s">
        <v>5</v>
      </c>
      <c r="E20" s="104"/>
      <c r="F20" s="104"/>
      <c r="G20" s="104"/>
      <c r="H20" s="104"/>
      <c r="I20" s="104"/>
      <c r="J20" s="104"/>
      <c r="K20" s="104"/>
      <c r="L20" s="104"/>
      <c r="M20" s="104"/>
      <c r="N20" s="104"/>
      <c r="O20" s="104"/>
      <c r="P20" s="104"/>
      <c r="Q20" s="104"/>
      <c r="R20" s="105"/>
      <c r="S20" s="69"/>
      <c r="T20" s="69"/>
      <c r="U20" s="69"/>
      <c r="V20" s="69"/>
      <c r="W20" s="69"/>
      <c r="X20" s="69"/>
      <c r="Y20" s="69"/>
      <c r="Z20" s="69"/>
    </row>
    <row r="21" spans="1:26" ht="14.25" customHeight="1" x14ac:dyDescent="0.3">
      <c r="A21" s="69"/>
      <c r="B21" s="69"/>
      <c r="C21" s="69"/>
      <c r="D21" s="103" t="s">
        <v>6</v>
      </c>
      <c r="E21" s="104"/>
      <c r="F21" s="104"/>
      <c r="G21" s="104"/>
      <c r="H21" s="104"/>
      <c r="I21" s="104"/>
      <c r="J21" s="104"/>
      <c r="K21" s="104"/>
      <c r="L21" s="104"/>
      <c r="M21" s="104"/>
      <c r="N21" s="104"/>
      <c r="O21" s="104"/>
      <c r="P21" s="104"/>
      <c r="Q21" s="104"/>
      <c r="R21" s="105"/>
      <c r="S21" s="69"/>
      <c r="T21" s="69"/>
      <c r="U21" s="69"/>
      <c r="V21" s="69"/>
      <c r="W21" s="69"/>
      <c r="X21" s="69"/>
      <c r="Y21" s="69"/>
      <c r="Z21" s="69"/>
    </row>
    <row r="22" spans="1:26" ht="14.25" customHeight="1" x14ac:dyDescent="0.3">
      <c r="A22" s="69"/>
      <c r="B22" s="69"/>
      <c r="C22" s="69"/>
      <c r="D22" s="103">
        <v>2025</v>
      </c>
      <c r="E22" s="104"/>
      <c r="F22" s="104"/>
      <c r="G22" s="104"/>
      <c r="H22" s="104"/>
      <c r="I22" s="104"/>
      <c r="J22" s="104"/>
      <c r="K22" s="104"/>
      <c r="L22" s="104"/>
      <c r="M22" s="104"/>
      <c r="N22" s="104"/>
      <c r="O22" s="104"/>
      <c r="P22" s="104"/>
      <c r="Q22" s="104"/>
      <c r="R22" s="105"/>
      <c r="S22" s="69"/>
      <c r="T22" s="69"/>
      <c r="U22" s="69"/>
      <c r="V22" s="69"/>
      <c r="W22" s="69"/>
      <c r="X22" s="69"/>
      <c r="Y22" s="69"/>
      <c r="Z22" s="69"/>
    </row>
    <row r="23" spans="1:26" ht="14.25" customHeight="1" x14ac:dyDescent="0.25">
      <c r="A23" s="69"/>
      <c r="B23" s="69"/>
      <c r="C23" s="69"/>
      <c r="D23" s="106"/>
      <c r="E23" s="107"/>
      <c r="F23" s="107"/>
      <c r="G23" s="107"/>
      <c r="H23" s="107"/>
      <c r="I23" s="107"/>
      <c r="J23" s="107"/>
      <c r="K23" s="107"/>
      <c r="L23" s="107"/>
      <c r="M23" s="107"/>
      <c r="N23" s="107"/>
      <c r="O23" s="107"/>
      <c r="P23" s="107"/>
      <c r="Q23" s="107"/>
      <c r="R23" s="108"/>
      <c r="S23" s="69"/>
      <c r="T23" s="69"/>
      <c r="U23" s="69"/>
      <c r="V23" s="69"/>
      <c r="W23" s="69"/>
      <c r="X23" s="69"/>
      <c r="Y23" s="69"/>
      <c r="Z23" s="69"/>
    </row>
    <row r="24" spans="1:26" ht="14.25" customHeight="1" x14ac:dyDescent="0.25">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spans="1:26" ht="14.25" customHeight="1" x14ac:dyDescent="0.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spans="1:26" ht="14.25" customHeight="1" x14ac:dyDescent="0.25">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spans="1:26" ht="14.25" customHeight="1" x14ac:dyDescent="0.25">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spans="1:26" ht="14.25" customHeight="1" x14ac:dyDescent="0.25">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spans="1:26" ht="14.25" customHeight="1" x14ac:dyDescent="0.25">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spans="1:26" ht="14.25" customHeight="1" x14ac:dyDescent="0.25">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spans="1:26" ht="14.25" customHeight="1" x14ac:dyDescent="0.25">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spans="1:26" ht="14.25" customHeight="1" x14ac:dyDescent="0.25">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spans="1:26" ht="14.25" customHeight="1" x14ac:dyDescent="0.25">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spans="1:26" ht="14.25" customHeight="1" x14ac:dyDescent="0.25">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spans="1:26" ht="14.25" customHeight="1" x14ac:dyDescent="0.2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spans="1:26" ht="14.25" customHeight="1" x14ac:dyDescent="0.25">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spans="1:26" ht="14.25" customHeight="1" x14ac:dyDescent="0.25">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spans="1:26" ht="14.25" customHeight="1" x14ac:dyDescent="0.25">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spans="1:26" ht="14.25" customHeight="1" x14ac:dyDescent="0.25">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spans="1:26" ht="14.25" customHeight="1" x14ac:dyDescent="0.25">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spans="1:26" ht="14.25" customHeight="1" x14ac:dyDescent="0.25">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spans="1:26" ht="14.25" customHeight="1" x14ac:dyDescent="0.25">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spans="1:26" ht="14.25" customHeight="1" x14ac:dyDescent="0.25">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spans="1:26" ht="14.25" customHeight="1" x14ac:dyDescent="0.25">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spans="1:26" ht="14.25" customHeight="1" x14ac:dyDescent="0.2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spans="1:26" ht="14.25" customHeight="1" x14ac:dyDescent="0.25">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spans="1:26" ht="14.25" customHeight="1" x14ac:dyDescent="0.25">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spans="1:26" ht="14.25" customHeight="1" x14ac:dyDescent="0.25">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spans="1:26" ht="14.25" customHeight="1" x14ac:dyDescent="0.25">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spans="1:26" ht="14.25" customHeight="1" x14ac:dyDescent="0.25">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spans="1:26" ht="14.25" customHeight="1" x14ac:dyDescent="0.25">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spans="1:26" ht="14.25" customHeight="1" x14ac:dyDescent="0.25">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spans="1:26" ht="14.25" customHeight="1" x14ac:dyDescent="0.25">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spans="1:26" ht="14.25" customHeight="1" x14ac:dyDescent="0.25">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spans="1:26" ht="14.25" customHeight="1" x14ac:dyDescent="0.2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spans="1:26" ht="14.25" customHeight="1" x14ac:dyDescent="0.25">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spans="1:26" ht="14.25" customHeight="1" x14ac:dyDescent="0.25">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spans="1:26" ht="14.25" customHeight="1" x14ac:dyDescent="0.25">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spans="1:26" ht="14.25" customHeight="1" x14ac:dyDescent="0.25">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spans="1:26" ht="14.25" customHeight="1" x14ac:dyDescent="0.25">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spans="1:26" ht="14.25" customHeight="1" x14ac:dyDescent="0.25">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spans="1:26" ht="14.25" customHeight="1"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spans="1:26" ht="14.25" customHeight="1" x14ac:dyDescent="0.25">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spans="1:26" ht="14.25" customHeight="1" x14ac:dyDescent="0.25">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spans="1:26" ht="14.25" customHeight="1"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spans="1:26" ht="14.25" customHeight="1"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spans="1:26" ht="14.25" customHeight="1"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spans="1:26" ht="14.25" customHeight="1"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spans="1:26" ht="14.25" customHeight="1"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spans="1:26" ht="14.25" customHeight="1"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spans="1:26" ht="14.25" customHeight="1"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spans="1:26" ht="14.25" customHeight="1"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spans="1:26" ht="14.25" customHeight="1"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spans="1:26" ht="14.25" customHeight="1"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spans="1:26" ht="14.25" customHeight="1"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spans="1:26" ht="14.25" customHeight="1"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spans="1:26" ht="14.25" customHeight="1"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spans="1:26" ht="14.25" customHeight="1"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spans="1:26" ht="14.25" customHeight="1"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spans="1:26" ht="14.25" customHeight="1"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spans="1:26" ht="14.25" customHeight="1"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spans="1:26" ht="14.25" customHeight="1"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spans="1:26" ht="14.25" customHeight="1"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spans="1:26" ht="14.25" customHeight="1"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spans="1:26" ht="14.25" customHeight="1"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spans="1:26" ht="14.25" customHeight="1"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spans="1:26" ht="14.25" customHeight="1"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spans="1:26" ht="14.25" customHeight="1"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spans="1:26" ht="14.25" customHeight="1"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spans="1:26" ht="14.25" customHeight="1"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spans="1:26" ht="14.25" customHeight="1"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spans="1:26" ht="14.25" customHeight="1"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spans="1:26" ht="14.25" customHeight="1"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spans="1:26" ht="14.25" customHeight="1"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spans="1:26" ht="14.25" customHeight="1"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spans="1:26" ht="14.25" customHeight="1"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spans="1:26" ht="14.25" customHeight="1"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spans="1:26" ht="14.25" customHeight="1"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spans="1:26" ht="14.25" customHeight="1"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spans="1:26" ht="14.25" customHeight="1"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spans="1:26" ht="14.25" customHeight="1" x14ac:dyDescent="0.25">
      <c r="A101" s="69"/>
      <c r="B101" s="69"/>
      <c r="C101" s="69"/>
      <c r="D101" s="69"/>
      <c r="E101" s="69"/>
      <c r="F101" s="69"/>
      <c r="G101" s="69"/>
      <c r="H101" s="69"/>
      <c r="I101" s="69"/>
      <c r="J101" s="69"/>
      <c r="K101" s="69"/>
      <c r="L101" s="69"/>
      <c r="M101" s="69"/>
      <c r="N101" s="69"/>
      <c r="O101" s="69"/>
      <c r="P101" s="69"/>
      <c r="Q101" s="69"/>
      <c r="R101" s="69"/>
      <c r="S101" s="69"/>
      <c r="T101" s="69"/>
      <c r="U101" s="69"/>
    </row>
    <row r="102" spans="1:26" ht="14.25" customHeight="1" x14ac:dyDescent="0.25">
      <c r="A102" s="69"/>
      <c r="B102" s="69"/>
      <c r="C102" s="69"/>
      <c r="D102" s="69"/>
      <c r="E102" s="69"/>
      <c r="F102" s="69"/>
      <c r="G102" s="69"/>
      <c r="H102" s="69"/>
      <c r="I102" s="69"/>
      <c r="J102" s="69"/>
      <c r="K102" s="69"/>
      <c r="L102" s="69"/>
      <c r="M102" s="69"/>
      <c r="N102" s="69"/>
      <c r="O102" s="69"/>
      <c r="P102" s="69"/>
      <c r="Q102" s="69"/>
      <c r="R102" s="69"/>
      <c r="S102" s="69"/>
      <c r="T102" s="69"/>
      <c r="U102" s="69"/>
    </row>
    <row r="103" spans="1:26" ht="14.25" customHeight="1" x14ac:dyDescent="0.25">
      <c r="A103" s="69"/>
      <c r="B103" s="69"/>
      <c r="C103" s="69"/>
      <c r="D103" s="69"/>
      <c r="E103" s="69"/>
      <c r="F103" s="69"/>
      <c r="G103" s="69"/>
      <c r="H103" s="69"/>
      <c r="I103" s="69"/>
      <c r="J103" s="69"/>
      <c r="K103" s="69"/>
      <c r="L103" s="69"/>
      <c r="M103" s="69"/>
      <c r="N103" s="69"/>
      <c r="O103" s="69"/>
      <c r="P103" s="69"/>
      <c r="Q103" s="69"/>
      <c r="R103" s="69"/>
      <c r="S103" s="69"/>
      <c r="T103" s="69"/>
      <c r="U103" s="69"/>
    </row>
    <row r="104" spans="1:26" ht="14.25" customHeight="1" x14ac:dyDescent="0.25">
      <c r="A104" s="69"/>
      <c r="B104" s="69"/>
      <c r="C104" s="69"/>
      <c r="D104" s="69"/>
      <c r="E104" s="69"/>
      <c r="F104" s="69"/>
      <c r="G104" s="69"/>
      <c r="H104" s="69"/>
      <c r="I104" s="69"/>
      <c r="J104" s="69"/>
      <c r="K104" s="69"/>
      <c r="L104" s="69"/>
      <c r="M104" s="69"/>
      <c r="N104" s="69"/>
      <c r="O104" s="69"/>
      <c r="P104" s="69"/>
      <c r="Q104" s="69"/>
      <c r="R104" s="69"/>
      <c r="S104" s="69"/>
      <c r="T104" s="69"/>
      <c r="U104" s="69"/>
    </row>
    <row r="105" spans="1:26" ht="14.25" customHeight="1" x14ac:dyDescent="0.25">
      <c r="A105" s="69"/>
      <c r="B105" s="69"/>
      <c r="C105" s="69"/>
      <c r="D105" s="69"/>
      <c r="E105" s="69"/>
      <c r="F105" s="69"/>
      <c r="G105" s="69"/>
      <c r="H105" s="69"/>
      <c r="I105" s="69"/>
      <c r="J105" s="69"/>
      <c r="K105" s="69"/>
      <c r="L105" s="69"/>
      <c r="M105" s="69"/>
      <c r="N105" s="69"/>
      <c r="O105" s="69"/>
      <c r="P105" s="69"/>
      <c r="Q105" s="69"/>
      <c r="R105" s="69"/>
      <c r="S105" s="69"/>
      <c r="T105" s="69"/>
      <c r="U105" s="69"/>
    </row>
    <row r="106" spans="1:26" ht="14.25" customHeight="1" x14ac:dyDescent="0.25">
      <c r="A106" s="69"/>
      <c r="B106" s="69"/>
      <c r="C106" s="69"/>
      <c r="D106" s="69"/>
      <c r="E106" s="69"/>
      <c r="F106" s="69"/>
      <c r="G106" s="69"/>
      <c r="H106" s="69"/>
      <c r="I106" s="69"/>
      <c r="J106" s="69"/>
      <c r="K106" s="69"/>
      <c r="L106" s="69"/>
      <c r="M106" s="69"/>
      <c r="N106" s="69"/>
      <c r="O106" s="69"/>
      <c r="P106" s="69"/>
      <c r="Q106" s="69"/>
      <c r="R106" s="69"/>
      <c r="S106" s="69"/>
      <c r="T106" s="69"/>
      <c r="U106" s="69"/>
    </row>
    <row r="107" spans="1:26" ht="14.25" customHeight="1" x14ac:dyDescent="0.25">
      <c r="A107" s="69"/>
      <c r="B107" s="69"/>
      <c r="C107" s="69"/>
      <c r="D107" s="69"/>
      <c r="E107" s="69"/>
      <c r="F107" s="69"/>
      <c r="G107" s="69"/>
      <c r="H107" s="69"/>
      <c r="I107" s="69"/>
      <c r="J107" s="69"/>
      <c r="K107" s="69"/>
      <c r="L107" s="69"/>
      <c r="M107" s="69"/>
      <c r="N107" s="69"/>
      <c r="O107" s="69"/>
      <c r="P107" s="69"/>
      <c r="Q107" s="69"/>
      <c r="R107" s="69"/>
      <c r="S107" s="69"/>
      <c r="T107" s="69"/>
      <c r="U107" s="69"/>
    </row>
    <row r="108" spans="1:26" ht="14.25" customHeight="1" x14ac:dyDescent="0.25">
      <c r="A108" s="69"/>
      <c r="B108" s="69"/>
      <c r="C108" s="69"/>
      <c r="D108" s="69"/>
      <c r="E108" s="69"/>
      <c r="F108" s="69"/>
      <c r="G108" s="69"/>
      <c r="H108" s="69"/>
      <c r="I108" s="69"/>
      <c r="J108" s="69"/>
      <c r="K108" s="69"/>
      <c r="L108" s="69"/>
      <c r="M108" s="69"/>
      <c r="N108" s="69"/>
      <c r="O108" s="69"/>
      <c r="P108" s="69"/>
      <c r="Q108" s="69"/>
      <c r="R108" s="69"/>
      <c r="S108" s="69"/>
      <c r="T108" s="69"/>
      <c r="U108" s="69"/>
    </row>
    <row r="109" spans="1:26" ht="14.25" customHeight="1" x14ac:dyDescent="0.25">
      <c r="A109" s="69"/>
      <c r="B109" s="69"/>
      <c r="C109" s="69"/>
      <c r="D109" s="69"/>
      <c r="E109" s="69"/>
      <c r="F109" s="69"/>
      <c r="G109" s="69"/>
      <c r="H109" s="69"/>
      <c r="I109" s="69"/>
      <c r="J109" s="69"/>
      <c r="K109" s="69"/>
      <c r="L109" s="69"/>
      <c r="M109" s="69"/>
      <c r="N109" s="69"/>
      <c r="O109" s="69"/>
      <c r="P109" s="69"/>
      <c r="Q109" s="69"/>
      <c r="R109" s="69"/>
      <c r="S109" s="69"/>
      <c r="T109" s="69"/>
      <c r="U109" s="69"/>
    </row>
    <row r="110" spans="1:26" ht="14.25" customHeight="1" x14ac:dyDescent="0.25">
      <c r="A110" s="69"/>
      <c r="B110" s="69"/>
      <c r="C110" s="69"/>
      <c r="D110" s="69"/>
      <c r="E110" s="69"/>
      <c r="F110" s="69"/>
      <c r="G110" s="69"/>
      <c r="H110" s="69"/>
      <c r="I110" s="69"/>
      <c r="J110" s="69"/>
      <c r="K110" s="69"/>
      <c r="L110" s="69"/>
      <c r="M110" s="69"/>
      <c r="N110" s="69"/>
      <c r="O110" s="69"/>
      <c r="P110" s="69"/>
      <c r="Q110" s="69"/>
      <c r="R110" s="69"/>
      <c r="S110" s="69"/>
      <c r="T110" s="69"/>
      <c r="U110" s="69"/>
    </row>
    <row r="111" spans="1:26" ht="14.25" customHeight="1" x14ac:dyDescent="0.25">
      <c r="A111" s="69"/>
      <c r="B111" s="69"/>
      <c r="C111" s="69"/>
      <c r="D111" s="69"/>
      <c r="E111" s="69"/>
      <c r="F111" s="69"/>
      <c r="G111" s="69"/>
      <c r="H111" s="69"/>
      <c r="I111" s="69"/>
      <c r="J111" s="69"/>
      <c r="K111" s="69"/>
      <c r="L111" s="69"/>
      <c r="M111" s="69"/>
      <c r="N111" s="69"/>
      <c r="O111" s="69"/>
      <c r="P111" s="69"/>
      <c r="Q111" s="69"/>
      <c r="R111" s="69"/>
      <c r="S111" s="69"/>
      <c r="T111" s="69"/>
      <c r="U111" s="69"/>
    </row>
    <row r="112" spans="1:26" ht="14.25" customHeight="1" x14ac:dyDescent="0.25">
      <c r="A112" s="69"/>
      <c r="B112" s="69"/>
      <c r="C112" s="69"/>
      <c r="D112" s="69"/>
      <c r="E112" s="69"/>
      <c r="F112" s="69"/>
      <c r="G112" s="69"/>
      <c r="H112" s="69"/>
      <c r="I112" s="69"/>
      <c r="J112" s="69"/>
      <c r="K112" s="69"/>
      <c r="L112" s="69"/>
      <c r="M112" s="69"/>
      <c r="N112" s="69"/>
      <c r="O112" s="69"/>
      <c r="P112" s="69"/>
      <c r="Q112" s="69"/>
      <c r="R112" s="69"/>
      <c r="S112" s="69"/>
      <c r="T112" s="69"/>
      <c r="U112" s="69"/>
    </row>
    <row r="113" spans="1:21" ht="14.25" customHeight="1" x14ac:dyDescent="0.25">
      <c r="A113" s="69"/>
      <c r="B113" s="69"/>
      <c r="C113" s="69"/>
      <c r="D113" s="69"/>
      <c r="E113" s="69"/>
      <c r="F113" s="69"/>
      <c r="G113" s="69"/>
      <c r="H113" s="69"/>
      <c r="I113" s="69"/>
      <c r="J113" s="69"/>
      <c r="K113" s="69"/>
      <c r="L113" s="69"/>
      <c r="M113" s="69"/>
      <c r="N113" s="69"/>
      <c r="O113" s="69"/>
      <c r="P113" s="69"/>
      <c r="Q113" s="69"/>
      <c r="R113" s="69"/>
      <c r="S113" s="69"/>
      <c r="T113" s="69"/>
      <c r="U113" s="69"/>
    </row>
    <row r="114" spans="1:21" ht="14.25" customHeight="1" x14ac:dyDescent="0.25">
      <c r="A114" s="69"/>
      <c r="B114" s="69"/>
      <c r="C114" s="69"/>
      <c r="D114" s="69"/>
      <c r="E114" s="69"/>
      <c r="F114" s="69"/>
      <c r="G114" s="69"/>
      <c r="H114" s="69"/>
      <c r="I114" s="69"/>
      <c r="J114" s="69"/>
      <c r="K114" s="69"/>
      <c r="L114" s="69"/>
      <c r="M114" s="69"/>
      <c r="N114" s="69"/>
      <c r="O114" s="69"/>
      <c r="P114" s="69"/>
      <c r="Q114" s="69"/>
      <c r="R114" s="69"/>
      <c r="S114" s="69"/>
      <c r="T114" s="69"/>
      <c r="U114" s="69"/>
    </row>
    <row r="115" spans="1:21" ht="14.25" customHeight="1" x14ac:dyDescent="0.25">
      <c r="A115" s="69"/>
      <c r="B115" s="69"/>
      <c r="C115" s="69"/>
      <c r="D115" s="69"/>
      <c r="E115" s="69"/>
      <c r="F115" s="69"/>
      <c r="G115" s="69"/>
      <c r="H115" s="69"/>
      <c r="I115" s="69"/>
      <c r="J115" s="69"/>
      <c r="K115" s="69"/>
      <c r="L115" s="69"/>
      <c r="M115" s="69"/>
      <c r="N115" s="69"/>
      <c r="O115" s="69"/>
      <c r="P115" s="69"/>
      <c r="Q115" s="69"/>
      <c r="R115" s="69"/>
      <c r="S115" s="69"/>
      <c r="T115" s="69"/>
      <c r="U115" s="69"/>
    </row>
    <row r="116" spans="1:21" ht="14.25" customHeight="1" x14ac:dyDescent="0.25">
      <c r="A116" s="69"/>
      <c r="B116" s="69"/>
      <c r="C116" s="69"/>
      <c r="D116" s="69"/>
      <c r="E116" s="69"/>
      <c r="F116" s="69"/>
      <c r="G116" s="69"/>
      <c r="H116" s="69"/>
      <c r="I116" s="69"/>
      <c r="J116" s="69"/>
      <c r="K116" s="69"/>
      <c r="L116" s="69"/>
      <c r="M116" s="69"/>
      <c r="N116" s="69"/>
      <c r="O116" s="69"/>
      <c r="P116" s="69"/>
      <c r="Q116" s="69"/>
      <c r="R116" s="69"/>
      <c r="S116" s="69"/>
      <c r="T116" s="69"/>
      <c r="U116" s="69"/>
    </row>
    <row r="117" spans="1:21" ht="14.25" customHeight="1" x14ac:dyDescent="0.25">
      <c r="A117" s="69"/>
      <c r="B117" s="69"/>
      <c r="C117" s="69"/>
      <c r="D117" s="69"/>
      <c r="E117" s="69"/>
      <c r="F117" s="69"/>
      <c r="G117" s="69"/>
      <c r="H117" s="69"/>
      <c r="I117" s="69"/>
      <c r="J117" s="69"/>
      <c r="K117" s="69"/>
      <c r="L117" s="69"/>
      <c r="M117" s="69"/>
      <c r="N117" s="69"/>
      <c r="O117" s="69"/>
      <c r="P117" s="69"/>
      <c r="Q117" s="69"/>
      <c r="R117" s="69"/>
      <c r="S117" s="69"/>
      <c r="T117" s="69"/>
      <c r="U117" s="69"/>
    </row>
    <row r="118" spans="1:21" ht="14.25" customHeight="1" x14ac:dyDescent="0.25">
      <c r="A118" s="69"/>
      <c r="B118" s="69"/>
      <c r="C118" s="69"/>
      <c r="D118" s="69"/>
      <c r="E118" s="69"/>
      <c r="F118" s="69"/>
      <c r="G118" s="69"/>
      <c r="H118" s="69"/>
      <c r="I118" s="69"/>
      <c r="J118" s="69"/>
      <c r="K118" s="69"/>
      <c r="L118" s="69"/>
      <c r="M118" s="69"/>
      <c r="N118" s="69"/>
      <c r="O118" s="69"/>
      <c r="P118" s="69"/>
      <c r="Q118" s="69"/>
      <c r="R118" s="69"/>
      <c r="S118" s="69"/>
      <c r="T118" s="69"/>
      <c r="U118" s="69"/>
    </row>
    <row r="119" spans="1:21" ht="14.25" customHeight="1" x14ac:dyDescent="0.25">
      <c r="A119" s="69"/>
      <c r="B119" s="69"/>
      <c r="C119" s="69"/>
      <c r="D119" s="69"/>
      <c r="E119" s="69"/>
      <c r="F119" s="69"/>
      <c r="G119" s="69"/>
      <c r="H119" s="69"/>
      <c r="I119" s="69"/>
      <c r="J119" s="69"/>
      <c r="K119" s="69"/>
      <c r="L119" s="69"/>
      <c r="M119" s="69"/>
      <c r="N119" s="69"/>
      <c r="O119" s="69"/>
      <c r="P119" s="69"/>
      <c r="Q119" s="69"/>
      <c r="R119" s="69"/>
      <c r="S119" s="69"/>
      <c r="T119" s="69"/>
      <c r="U119" s="69"/>
    </row>
    <row r="120" spans="1:21" ht="14.25" customHeight="1" x14ac:dyDescent="0.25">
      <c r="A120" s="69"/>
      <c r="B120" s="69"/>
      <c r="C120" s="69"/>
      <c r="D120" s="69"/>
      <c r="E120" s="69"/>
      <c r="F120" s="69"/>
      <c r="G120" s="69"/>
      <c r="H120" s="69"/>
      <c r="I120" s="69"/>
      <c r="J120" s="69"/>
      <c r="K120" s="69"/>
      <c r="L120" s="69"/>
      <c r="M120" s="69"/>
      <c r="N120" s="69"/>
      <c r="O120" s="69"/>
      <c r="P120" s="69"/>
      <c r="Q120" s="69"/>
      <c r="R120" s="69"/>
      <c r="S120" s="69"/>
      <c r="T120" s="69"/>
      <c r="U120" s="69"/>
    </row>
    <row r="121" spans="1:21" ht="14.25" customHeight="1" x14ac:dyDescent="0.25">
      <c r="A121" s="69"/>
      <c r="B121" s="69"/>
      <c r="C121" s="69"/>
      <c r="D121" s="69"/>
      <c r="E121" s="69"/>
      <c r="F121" s="69"/>
      <c r="G121" s="69"/>
      <c r="H121" s="69"/>
      <c r="I121" s="69"/>
      <c r="J121" s="69"/>
      <c r="K121" s="69"/>
      <c r="L121" s="69"/>
      <c r="M121" s="69"/>
      <c r="N121" s="69"/>
      <c r="O121" s="69"/>
      <c r="P121" s="69"/>
      <c r="Q121" s="69"/>
      <c r="R121" s="69"/>
      <c r="S121" s="69"/>
      <c r="T121" s="69"/>
      <c r="U121" s="69"/>
    </row>
    <row r="122" spans="1:21" ht="14.25" customHeight="1" x14ac:dyDescent="0.25">
      <c r="A122" s="69"/>
      <c r="B122" s="69"/>
      <c r="C122" s="69"/>
      <c r="D122" s="69"/>
      <c r="E122" s="69"/>
      <c r="F122" s="69"/>
      <c r="G122" s="69"/>
      <c r="H122" s="69"/>
      <c r="I122" s="69"/>
      <c r="J122" s="69"/>
      <c r="K122" s="69"/>
      <c r="L122" s="69"/>
      <c r="M122" s="69"/>
      <c r="N122" s="69"/>
      <c r="O122" s="69"/>
      <c r="P122" s="69"/>
      <c r="Q122" s="69"/>
      <c r="R122" s="69"/>
      <c r="S122" s="69"/>
      <c r="T122" s="69"/>
      <c r="U122" s="69"/>
    </row>
    <row r="123" spans="1:21" ht="14.25" customHeight="1" x14ac:dyDescent="0.25">
      <c r="A123" s="69"/>
      <c r="B123" s="69"/>
      <c r="C123" s="69"/>
      <c r="D123" s="69"/>
      <c r="E123" s="69"/>
      <c r="F123" s="69"/>
      <c r="G123" s="69"/>
      <c r="H123" s="69"/>
      <c r="I123" s="69"/>
      <c r="J123" s="69"/>
      <c r="K123" s="69"/>
      <c r="L123" s="69"/>
      <c r="M123" s="69"/>
      <c r="N123" s="69"/>
      <c r="O123" s="69"/>
      <c r="P123" s="69"/>
      <c r="Q123" s="69"/>
      <c r="R123" s="69"/>
      <c r="S123" s="69"/>
      <c r="T123" s="69"/>
      <c r="U123" s="69"/>
    </row>
    <row r="124" spans="1:21" ht="14.25" customHeight="1" x14ac:dyDescent="0.25">
      <c r="A124" s="69"/>
      <c r="B124" s="69"/>
      <c r="C124" s="69"/>
      <c r="D124" s="69"/>
      <c r="E124" s="69"/>
      <c r="F124" s="69"/>
      <c r="G124" s="69"/>
      <c r="H124" s="69"/>
      <c r="I124" s="69"/>
      <c r="J124" s="69"/>
      <c r="K124" s="69"/>
      <c r="L124" s="69"/>
      <c r="M124" s="69"/>
      <c r="N124" s="69"/>
      <c r="O124" s="69"/>
      <c r="P124" s="69"/>
      <c r="Q124" s="69"/>
      <c r="R124" s="69"/>
      <c r="S124" s="69"/>
      <c r="T124" s="69"/>
      <c r="U124" s="69"/>
    </row>
    <row r="125" spans="1:21" ht="14.25" customHeight="1" x14ac:dyDescent="0.25">
      <c r="A125" s="69"/>
      <c r="B125" s="69"/>
      <c r="C125" s="69"/>
      <c r="D125" s="69"/>
      <c r="E125" s="69"/>
      <c r="F125" s="69"/>
      <c r="G125" s="69"/>
      <c r="H125" s="69"/>
      <c r="I125" s="69"/>
      <c r="J125" s="69"/>
      <c r="K125" s="69"/>
      <c r="L125" s="69"/>
      <c r="M125" s="69"/>
      <c r="N125" s="69"/>
      <c r="O125" s="69"/>
      <c r="P125" s="69"/>
      <c r="Q125" s="69"/>
      <c r="R125" s="69"/>
      <c r="S125" s="69"/>
      <c r="T125" s="69"/>
      <c r="U125" s="69"/>
    </row>
    <row r="126" spans="1:21" ht="14.25" customHeight="1" x14ac:dyDescent="0.25">
      <c r="A126" s="69"/>
      <c r="B126" s="69"/>
      <c r="C126" s="69"/>
      <c r="D126" s="69"/>
      <c r="E126" s="69"/>
      <c r="F126" s="69"/>
      <c r="G126" s="69"/>
      <c r="H126" s="69"/>
      <c r="I126" s="69"/>
      <c r="J126" s="69"/>
      <c r="K126" s="69"/>
      <c r="L126" s="69"/>
      <c r="M126" s="69"/>
      <c r="N126" s="69"/>
      <c r="O126" s="69"/>
      <c r="P126" s="69"/>
      <c r="Q126" s="69"/>
      <c r="R126" s="69"/>
      <c r="S126" s="69"/>
      <c r="T126" s="69"/>
      <c r="U126" s="69"/>
    </row>
    <row r="127" spans="1:21" ht="14.25" customHeight="1" x14ac:dyDescent="0.25">
      <c r="A127" s="69"/>
      <c r="B127" s="69"/>
      <c r="C127" s="69"/>
      <c r="D127" s="69"/>
      <c r="E127" s="69"/>
      <c r="F127" s="69"/>
      <c r="G127" s="69"/>
      <c r="H127" s="69"/>
      <c r="I127" s="69"/>
      <c r="J127" s="69"/>
      <c r="K127" s="69"/>
      <c r="L127" s="69"/>
      <c r="M127" s="69"/>
      <c r="N127" s="69"/>
      <c r="O127" s="69"/>
      <c r="P127" s="69"/>
      <c r="Q127" s="69"/>
      <c r="R127" s="69"/>
      <c r="S127" s="69"/>
      <c r="T127" s="69"/>
      <c r="U127" s="69"/>
    </row>
    <row r="128" spans="1:21" ht="14.25" customHeight="1" x14ac:dyDescent="0.25">
      <c r="A128" s="69"/>
      <c r="B128" s="69"/>
      <c r="C128" s="69"/>
      <c r="D128" s="69"/>
      <c r="E128" s="69"/>
      <c r="F128" s="69"/>
      <c r="G128" s="69"/>
      <c r="H128" s="69"/>
      <c r="I128" s="69"/>
      <c r="J128" s="69"/>
      <c r="K128" s="69"/>
      <c r="L128" s="69"/>
      <c r="M128" s="69"/>
      <c r="N128" s="69"/>
      <c r="O128" s="69"/>
      <c r="P128" s="69"/>
      <c r="Q128" s="69"/>
      <c r="R128" s="69"/>
      <c r="S128" s="69"/>
      <c r="T128" s="69"/>
      <c r="U128" s="69"/>
    </row>
    <row r="129" spans="1:21" ht="14.25" customHeight="1" x14ac:dyDescent="0.25">
      <c r="A129" s="69"/>
      <c r="B129" s="69"/>
      <c r="C129" s="69"/>
      <c r="D129" s="69"/>
      <c r="E129" s="69"/>
      <c r="F129" s="69"/>
      <c r="G129" s="69"/>
      <c r="H129" s="69"/>
      <c r="I129" s="69"/>
      <c r="J129" s="69"/>
      <c r="K129" s="69"/>
      <c r="L129" s="69"/>
      <c r="M129" s="69"/>
      <c r="N129" s="69"/>
      <c r="O129" s="69"/>
      <c r="P129" s="69"/>
      <c r="Q129" s="69"/>
      <c r="R129" s="69"/>
      <c r="S129" s="69"/>
      <c r="T129" s="69"/>
      <c r="U129" s="69"/>
    </row>
    <row r="130" spans="1:21" ht="14.25" customHeight="1" x14ac:dyDescent="0.25">
      <c r="A130" s="69"/>
      <c r="B130" s="69"/>
      <c r="C130" s="69"/>
      <c r="D130" s="69"/>
      <c r="E130" s="69"/>
      <c r="F130" s="69"/>
      <c r="G130" s="69"/>
      <c r="H130" s="69"/>
      <c r="I130" s="69"/>
      <c r="J130" s="69"/>
      <c r="K130" s="69"/>
      <c r="L130" s="69"/>
      <c r="M130" s="69"/>
      <c r="N130" s="69"/>
      <c r="O130" s="69"/>
      <c r="P130" s="69"/>
      <c r="Q130" s="69"/>
      <c r="R130" s="69"/>
      <c r="S130" s="69"/>
      <c r="T130" s="69"/>
      <c r="U130" s="69"/>
    </row>
    <row r="131" spans="1:21" ht="14.25" customHeight="1" x14ac:dyDescent="0.25">
      <c r="A131" s="69"/>
      <c r="B131" s="69"/>
      <c r="C131" s="69"/>
      <c r="D131" s="69"/>
      <c r="E131" s="69"/>
      <c r="F131" s="69"/>
      <c r="G131" s="69"/>
      <c r="H131" s="69"/>
      <c r="I131" s="69"/>
      <c r="J131" s="69"/>
      <c r="K131" s="69"/>
      <c r="L131" s="69"/>
      <c r="M131" s="69"/>
      <c r="N131" s="69"/>
      <c r="O131" s="69"/>
      <c r="P131" s="69"/>
      <c r="Q131" s="69"/>
      <c r="R131" s="69"/>
      <c r="S131" s="69"/>
      <c r="T131" s="69"/>
      <c r="U131" s="69"/>
    </row>
    <row r="132" spans="1:21" ht="14.25" customHeight="1" x14ac:dyDescent="0.25">
      <c r="A132" s="69"/>
      <c r="B132" s="69"/>
      <c r="C132" s="69"/>
      <c r="D132" s="69"/>
      <c r="E132" s="69"/>
      <c r="F132" s="69"/>
      <c r="G132" s="69"/>
      <c r="H132" s="69"/>
      <c r="I132" s="69"/>
      <c r="J132" s="69"/>
      <c r="K132" s="69"/>
      <c r="L132" s="69"/>
      <c r="M132" s="69"/>
      <c r="N132" s="69"/>
      <c r="O132" s="69"/>
      <c r="P132" s="69"/>
      <c r="Q132" s="69"/>
      <c r="R132" s="69"/>
      <c r="S132" s="69"/>
      <c r="T132" s="69"/>
      <c r="U132" s="69"/>
    </row>
    <row r="133" spans="1:21" ht="14.25" customHeight="1" x14ac:dyDescent="0.25">
      <c r="A133" s="69"/>
      <c r="B133" s="69"/>
      <c r="C133" s="69"/>
      <c r="D133" s="69"/>
      <c r="E133" s="69"/>
      <c r="F133" s="69"/>
      <c r="G133" s="69"/>
      <c r="H133" s="69"/>
      <c r="I133" s="69"/>
      <c r="J133" s="69"/>
      <c r="K133" s="69"/>
      <c r="L133" s="69"/>
      <c r="M133" s="69"/>
      <c r="N133" s="69"/>
      <c r="O133" s="69"/>
      <c r="P133" s="69"/>
      <c r="Q133" s="69"/>
      <c r="R133" s="69"/>
      <c r="S133" s="69"/>
      <c r="T133" s="69"/>
      <c r="U133" s="69"/>
    </row>
    <row r="134" spans="1:21" ht="14.25" customHeight="1" x14ac:dyDescent="0.25">
      <c r="A134" s="69"/>
      <c r="B134" s="69"/>
      <c r="C134" s="69"/>
      <c r="D134" s="69"/>
      <c r="E134" s="69"/>
      <c r="F134" s="69"/>
      <c r="G134" s="69"/>
      <c r="H134" s="69"/>
      <c r="I134" s="69"/>
      <c r="J134" s="69"/>
      <c r="K134" s="69"/>
      <c r="L134" s="69"/>
      <c r="M134" s="69"/>
      <c r="N134" s="69"/>
      <c r="O134" s="69"/>
      <c r="P134" s="69"/>
      <c r="Q134" s="69"/>
      <c r="R134" s="69"/>
      <c r="S134" s="69"/>
      <c r="T134" s="69"/>
      <c r="U134" s="69"/>
    </row>
    <row r="135" spans="1:21" ht="14.25" customHeight="1" x14ac:dyDescent="0.25">
      <c r="A135" s="69"/>
      <c r="B135" s="69"/>
      <c r="C135" s="69"/>
      <c r="D135" s="69"/>
      <c r="E135" s="69"/>
      <c r="F135" s="69"/>
      <c r="G135" s="69"/>
      <c r="H135" s="69"/>
      <c r="I135" s="69"/>
      <c r="J135" s="69"/>
      <c r="K135" s="69"/>
      <c r="L135" s="69"/>
      <c r="M135" s="69"/>
      <c r="N135" s="69"/>
      <c r="O135" s="69"/>
      <c r="P135" s="69"/>
      <c r="Q135" s="69"/>
      <c r="R135" s="69"/>
      <c r="S135" s="69"/>
      <c r="T135" s="69"/>
      <c r="U135" s="69"/>
    </row>
    <row r="136" spans="1:21" ht="14.25" customHeight="1" x14ac:dyDescent="0.25">
      <c r="A136" s="69"/>
      <c r="B136" s="69"/>
      <c r="C136" s="69"/>
      <c r="D136" s="69"/>
      <c r="E136" s="69"/>
      <c r="F136" s="69"/>
      <c r="G136" s="69"/>
      <c r="H136" s="69"/>
      <c r="I136" s="69"/>
      <c r="J136" s="69"/>
      <c r="K136" s="69"/>
      <c r="L136" s="69"/>
      <c r="M136" s="69"/>
      <c r="N136" s="69"/>
      <c r="O136" s="69"/>
      <c r="P136" s="69"/>
      <c r="Q136" s="69"/>
      <c r="R136" s="69"/>
      <c r="S136" s="69"/>
      <c r="T136" s="69"/>
      <c r="U136" s="69"/>
    </row>
    <row r="137" spans="1:21" ht="14.25" customHeight="1" x14ac:dyDescent="0.25">
      <c r="A137" s="69"/>
      <c r="B137" s="69"/>
      <c r="C137" s="69"/>
      <c r="D137" s="69"/>
      <c r="E137" s="69"/>
      <c r="F137" s="69"/>
      <c r="G137" s="69"/>
      <c r="H137" s="69"/>
      <c r="I137" s="69"/>
      <c r="J137" s="69"/>
      <c r="K137" s="69"/>
      <c r="L137" s="69"/>
      <c r="M137" s="69"/>
      <c r="N137" s="69"/>
      <c r="O137" s="69"/>
      <c r="P137" s="69"/>
      <c r="Q137" s="69"/>
      <c r="R137" s="69"/>
      <c r="S137" s="69"/>
      <c r="T137" s="69"/>
      <c r="U137" s="69"/>
    </row>
    <row r="138" spans="1:21" ht="14.25" customHeight="1" x14ac:dyDescent="0.25">
      <c r="A138" s="69"/>
      <c r="B138" s="69"/>
      <c r="C138" s="69"/>
      <c r="D138" s="69"/>
      <c r="E138" s="69"/>
      <c r="F138" s="69"/>
      <c r="G138" s="69"/>
      <c r="H138" s="69"/>
      <c r="I138" s="69"/>
      <c r="J138" s="69"/>
      <c r="K138" s="69"/>
      <c r="L138" s="69"/>
      <c r="M138" s="69"/>
      <c r="N138" s="69"/>
      <c r="O138" s="69"/>
      <c r="P138" s="69"/>
      <c r="Q138" s="69"/>
      <c r="R138" s="69"/>
      <c r="S138" s="69"/>
      <c r="T138" s="69"/>
      <c r="U138" s="69"/>
    </row>
    <row r="139" spans="1:21" ht="14.25" customHeight="1" x14ac:dyDescent="0.25">
      <c r="A139" s="69"/>
      <c r="B139" s="69"/>
      <c r="C139" s="69"/>
      <c r="D139" s="69"/>
      <c r="E139" s="69"/>
      <c r="F139" s="69"/>
      <c r="G139" s="69"/>
      <c r="H139" s="69"/>
      <c r="I139" s="69"/>
      <c r="J139" s="69"/>
      <c r="K139" s="69"/>
      <c r="L139" s="69"/>
      <c r="M139" s="69"/>
      <c r="N139" s="69"/>
      <c r="O139" s="69"/>
      <c r="P139" s="69"/>
      <c r="Q139" s="69"/>
      <c r="R139" s="69"/>
      <c r="S139" s="69"/>
      <c r="T139" s="69"/>
      <c r="U139" s="69"/>
    </row>
    <row r="140" spans="1:21" ht="14.25" customHeight="1" x14ac:dyDescent="0.25">
      <c r="A140" s="69"/>
      <c r="B140" s="69"/>
      <c r="C140" s="69"/>
      <c r="D140" s="69"/>
      <c r="E140" s="69"/>
      <c r="F140" s="69"/>
      <c r="G140" s="69"/>
      <c r="H140" s="69"/>
      <c r="I140" s="69"/>
      <c r="J140" s="69"/>
      <c r="K140" s="69"/>
      <c r="L140" s="69"/>
      <c r="M140" s="69"/>
      <c r="N140" s="69"/>
      <c r="O140" s="69"/>
      <c r="P140" s="69"/>
      <c r="Q140" s="69"/>
      <c r="R140" s="69"/>
      <c r="S140" s="69"/>
      <c r="T140" s="69"/>
      <c r="U140" s="69"/>
    </row>
    <row r="141" spans="1:21" ht="14.25" customHeight="1" x14ac:dyDescent="0.25">
      <c r="A141" s="69"/>
      <c r="B141" s="69"/>
      <c r="C141" s="69"/>
      <c r="D141" s="69"/>
      <c r="E141" s="69"/>
      <c r="F141" s="69"/>
      <c r="G141" s="69"/>
      <c r="H141" s="69"/>
      <c r="I141" s="69"/>
      <c r="J141" s="69"/>
      <c r="K141" s="69"/>
      <c r="L141" s="69"/>
      <c r="M141" s="69"/>
      <c r="N141" s="69"/>
      <c r="O141" s="69"/>
      <c r="P141" s="69"/>
      <c r="Q141" s="69"/>
      <c r="R141" s="69"/>
      <c r="S141" s="69"/>
      <c r="T141" s="69"/>
      <c r="U141" s="69"/>
    </row>
    <row r="142" spans="1:21" ht="14.25" customHeight="1" x14ac:dyDescent="0.25">
      <c r="A142" s="69"/>
      <c r="B142" s="69"/>
      <c r="C142" s="69"/>
      <c r="D142" s="69"/>
      <c r="E142" s="69"/>
      <c r="F142" s="69"/>
      <c r="G142" s="69"/>
      <c r="H142" s="69"/>
      <c r="I142" s="69"/>
      <c r="J142" s="69"/>
      <c r="K142" s="69"/>
      <c r="L142" s="69"/>
      <c r="M142" s="69"/>
      <c r="N142" s="69"/>
      <c r="O142" s="69"/>
      <c r="P142" s="69"/>
      <c r="Q142" s="69"/>
      <c r="R142" s="69"/>
      <c r="S142" s="69"/>
      <c r="T142" s="69"/>
      <c r="U142" s="69"/>
    </row>
    <row r="143" spans="1:21" ht="14.25" customHeight="1" x14ac:dyDescent="0.25">
      <c r="A143" s="69"/>
      <c r="B143" s="69"/>
      <c r="C143" s="69"/>
      <c r="D143" s="69"/>
      <c r="E143" s="69"/>
      <c r="F143" s="69"/>
      <c r="G143" s="69"/>
      <c r="H143" s="69"/>
      <c r="I143" s="69"/>
      <c r="J143" s="69"/>
      <c r="K143" s="69"/>
      <c r="L143" s="69"/>
      <c r="M143" s="69"/>
      <c r="N143" s="69"/>
      <c r="O143" s="69"/>
      <c r="P143" s="69"/>
      <c r="Q143" s="69"/>
      <c r="R143" s="69"/>
      <c r="S143" s="69"/>
      <c r="T143" s="69"/>
      <c r="U143" s="69"/>
    </row>
    <row r="144" spans="1:21" ht="14.25" customHeight="1" x14ac:dyDescent="0.25">
      <c r="A144" s="69"/>
      <c r="B144" s="69"/>
      <c r="C144" s="69"/>
      <c r="D144" s="69"/>
      <c r="E144" s="69"/>
      <c r="F144" s="69"/>
      <c r="G144" s="69"/>
      <c r="H144" s="69"/>
      <c r="I144" s="69"/>
      <c r="J144" s="69"/>
      <c r="K144" s="69"/>
      <c r="L144" s="69"/>
      <c r="M144" s="69"/>
      <c r="N144" s="69"/>
      <c r="O144" s="69"/>
      <c r="P144" s="69"/>
      <c r="Q144" s="69"/>
      <c r="R144" s="69"/>
      <c r="S144" s="69"/>
      <c r="T144" s="69"/>
      <c r="U144" s="69"/>
    </row>
    <row r="145" spans="1:21" ht="14.25" customHeight="1" x14ac:dyDescent="0.25">
      <c r="A145" s="69"/>
      <c r="B145" s="69"/>
      <c r="C145" s="69"/>
      <c r="D145" s="69"/>
      <c r="E145" s="69"/>
      <c r="F145" s="69"/>
      <c r="G145" s="69"/>
      <c r="H145" s="69"/>
      <c r="I145" s="69"/>
      <c r="J145" s="69"/>
      <c r="K145" s="69"/>
      <c r="L145" s="69"/>
      <c r="M145" s="69"/>
      <c r="N145" s="69"/>
      <c r="O145" s="69"/>
      <c r="P145" s="69"/>
      <c r="Q145" s="69"/>
      <c r="R145" s="69"/>
      <c r="S145" s="69"/>
      <c r="T145" s="69"/>
      <c r="U145" s="69"/>
    </row>
    <row r="146" spans="1:21" ht="14.25" customHeight="1" x14ac:dyDescent="0.25">
      <c r="A146" s="69"/>
      <c r="B146" s="69"/>
      <c r="C146" s="69"/>
      <c r="D146" s="69"/>
      <c r="E146" s="69"/>
      <c r="F146" s="69"/>
      <c r="G146" s="69"/>
      <c r="H146" s="69"/>
      <c r="I146" s="69"/>
      <c r="J146" s="69"/>
      <c r="K146" s="69"/>
      <c r="L146" s="69"/>
      <c r="M146" s="69"/>
      <c r="N146" s="69"/>
      <c r="O146" s="69"/>
      <c r="P146" s="69"/>
      <c r="Q146" s="69"/>
      <c r="R146" s="69"/>
      <c r="S146" s="69"/>
      <c r="T146" s="69"/>
      <c r="U146" s="69"/>
    </row>
    <row r="147" spans="1:21" ht="14.25" customHeight="1" x14ac:dyDescent="0.25">
      <c r="A147" s="69"/>
      <c r="B147" s="69"/>
      <c r="C147" s="69"/>
      <c r="D147" s="69"/>
      <c r="E147" s="69"/>
      <c r="F147" s="69"/>
      <c r="G147" s="69"/>
      <c r="H147" s="69"/>
      <c r="I147" s="69"/>
      <c r="J147" s="69"/>
      <c r="K147" s="69"/>
      <c r="L147" s="69"/>
      <c r="M147" s="69"/>
      <c r="N147" s="69"/>
      <c r="O147" s="69"/>
      <c r="P147" s="69"/>
      <c r="Q147" s="69"/>
      <c r="R147" s="69"/>
      <c r="S147" s="69"/>
      <c r="T147" s="69"/>
      <c r="U147" s="69"/>
    </row>
    <row r="148" spans="1:21" ht="14.25" customHeight="1" x14ac:dyDescent="0.25">
      <c r="A148" s="69"/>
      <c r="B148" s="69"/>
      <c r="C148" s="69"/>
      <c r="D148" s="69"/>
      <c r="E148" s="69"/>
      <c r="F148" s="69"/>
      <c r="G148" s="69"/>
      <c r="H148" s="69"/>
      <c r="I148" s="69"/>
      <c r="J148" s="69"/>
      <c r="K148" s="69"/>
      <c r="L148" s="69"/>
      <c r="M148" s="69"/>
      <c r="N148" s="69"/>
      <c r="O148" s="69"/>
      <c r="P148" s="69"/>
      <c r="Q148" s="69"/>
      <c r="R148" s="69"/>
      <c r="S148" s="69"/>
      <c r="T148" s="69"/>
      <c r="U148" s="69"/>
    </row>
    <row r="149" spans="1:21" ht="14.25" customHeight="1" x14ac:dyDescent="0.25">
      <c r="A149" s="69"/>
      <c r="B149" s="69"/>
      <c r="C149" s="69"/>
      <c r="D149" s="69"/>
      <c r="E149" s="69"/>
      <c r="F149" s="69"/>
      <c r="G149" s="69"/>
      <c r="H149" s="69"/>
      <c r="I149" s="69"/>
      <c r="J149" s="69"/>
      <c r="K149" s="69"/>
      <c r="L149" s="69"/>
      <c r="M149" s="69"/>
      <c r="N149" s="69"/>
      <c r="O149" s="69"/>
      <c r="P149" s="69"/>
      <c r="Q149" s="69"/>
      <c r="R149" s="69"/>
      <c r="S149" s="69"/>
      <c r="T149" s="69"/>
      <c r="U149" s="69"/>
    </row>
    <row r="150" spans="1:21" ht="14.25" customHeight="1" x14ac:dyDescent="0.25">
      <c r="A150" s="69"/>
      <c r="B150" s="69"/>
      <c r="C150" s="69"/>
      <c r="D150" s="69"/>
      <c r="E150" s="69"/>
      <c r="F150" s="69"/>
      <c r="G150" s="69"/>
      <c r="H150" s="69"/>
      <c r="I150" s="69"/>
      <c r="J150" s="69"/>
      <c r="K150" s="69"/>
      <c r="L150" s="69"/>
      <c r="M150" s="69"/>
      <c r="N150" s="69"/>
      <c r="O150" s="69"/>
      <c r="P150" s="69"/>
      <c r="Q150" s="69"/>
      <c r="R150" s="69"/>
      <c r="S150" s="69"/>
      <c r="T150" s="69"/>
      <c r="U150" s="69"/>
    </row>
    <row r="151" spans="1:21" ht="14.25" customHeight="1" x14ac:dyDescent="0.25">
      <c r="A151" s="69"/>
      <c r="B151" s="69"/>
      <c r="C151" s="69"/>
      <c r="D151" s="69"/>
      <c r="E151" s="69"/>
      <c r="F151" s="69"/>
      <c r="G151" s="69"/>
      <c r="H151" s="69"/>
      <c r="I151" s="69"/>
      <c r="J151" s="69"/>
      <c r="K151" s="69"/>
      <c r="L151" s="69"/>
      <c r="M151" s="69"/>
      <c r="N151" s="69"/>
      <c r="O151" s="69"/>
      <c r="P151" s="69"/>
      <c r="Q151" s="69"/>
      <c r="R151" s="69"/>
      <c r="S151" s="69"/>
      <c r="T151" s="69"/>
      <c r="U151" s="69"/>
    </row>
    <row r="152" spans="1:21" ht="14.25" customHeight="1" x14ac:dyDescent="0.25">
      <c r="A152" s="69"/>
      <c r="B152" s="69"/>
      <c r="C152" s="69"/>
      <c r="D152" s="69"/>
      <c r="E152" s="69"/>
      <c r="F152" s="69"/>
      <c r="G152" s="69"/>
      <c r="H152" s="69"/>
      <c r="I152" s="69"/>
      <c r="J152" s="69"/>
      <c r="K152" s="69"/>
      <c r="L152" s="69"/>
      <c r="M152" s="69"/>
      <c r="N152" s="69"/>
      <c r="O152" s="69"/>
      <c r="P152" s="69"/>
      <c r="Q152" s="69"/>
      <c r="R152" s="69"/>
      <c r="S152" s="69"/>
      <c r="T152" s="69"/>
      <c r="U152" s="69"/>
    </row>
    <row r="153" spans="1:21" ht="14.25" customHeight="1" x14ac:dyDescent="0.25">
      <c r="A153" s="69"/>
      <c r="B153" s="69"/>
      <c r="C153" s="69"/>
      <c r="D153" s="69"/>
      <c r="E153" s="69"/>
      <c r="F153" s="69"/>
      <c r="G153" s="69"/>
      <c r="H153" s="69"/>
      <c r="I153" s="69"/>
      <c r="J153" s="69"/>
      <c r="K153" s="69"/>
      <c r="L153" s="69"/>
      <c r="M153" s="69"/>
      <c r="N153" s="69"/>
      <c r="O153" s="69"/>
      <c r="P153" s="69"/>
      <c r="Q153" s="69"/>
      <c r="R153" s="69"/>
      <c r="S153" s="69"/>
      <c r="T153" s="69"/>
      <c r="U153" s="69"/>
    </row>
    <row r="154" spans="1:21" ht="14.25" customHeight="1" x14ac:dyDescent="0.25">
      <c r="A154" s="69"/>
      <c r="B154" s="69"/>
      <c r="C154" s="69"/>
      <c r="D154" s="69"/>
      <c r="E154" s="69"/>
      <c r="F154" s="69"/>
      <c r="G154" s="69"/>
      <c r="H154" s="69"/>
      <c r="I154" s="69"/>
      <c r="J154" s="69"/>
      <c r="K154" s="69"/>
      <c r="L154" s="69"/>
      <c r="M154" s="69"/>
      <c r="N154" s="69"/>
      <c r="O154" s="69"/>
      <c r="P154" s="69"/>
      <c r="Q154" s="69"/>
      <c r="R154" s="69"/>
      <c r="S154" s="69"/>
      <c r="T154" s="69"/>
      <c r="U154" s="69"/>
    </row>
    <row r="155" spans="1:21" ht="14.25" customHeight="1" x14ac:dyDescent="0.25">
      <c r="A155" s="69"/>
      <c r="B155" s="69"/>
      <c r="C155" s="69"/>
      <c r="D155" s="69"/>
      <c r="E155" s="69"/>
      <c r="F155" s="69"/>
      <c r="G155" s="69"/>
      <c r="H155" s="69"/>
      <c r="I155" s="69"/>
      <c r="J155" s="69"/>
      <c r="K155" s="69"/>
      <c r="L155" s="69"/>
      <c r="M155" s="69"/>
      <c r="N155" s="69"/>
      <c r="O155" s="69"/>
      <c r="P155" s="69"/>
      <c r="Q155" s="69"/>
      <c r="R155" s="69"/>
      <c r="S155" s="69"/>
      <c r="T155" s="69"/>
      <c r="U155" s="69"/>
    </row>
    <row r="156" spans="1:21" ht="14.25" customHeight="1" x14ac:dyDescent="0.25">
      <c r="A156" s="69"/>
      <c r="B156" s="69"/>
      <c r="C156" s="69"/>
      <c r="D156" s="69"/>
      <c r="E156" s="69"/>
      <c r="F156" s="69"/>
      <c r="G156" s="69"/>
      <c r="H156" s="69"/>
      <c r="I156" s="69"/>
      <c r="J156" s="69"/>
      <c r="K156" s="69"/>
      <c r="L156" s="69"/>
      <c r="M156" s="69"/>
      <c r="N156" s="69"/>
      <c r="O156" s="69"/>
      <c r="P156" s="69"/>
      <c r="Q156" s="69"/>
      <c r="R156" s="69"/>
      <c r="S156" s="69"/>
      <c r="T156" s="69"/>
      <c r="U156" s="69"/>
    </row>
    <row r="157" spans="1:21" ht="14.25" customHeight="1" x14ac:dyDescent="0.25">
      <c r="A157" s="69"/>
      <c r="B157" s="69"/>
      <c r="C157" s="69"/>
      <c r="D157" s="69"/>
      <c r="E157" s="69"/>
      <c r="F157" s="69"/>
      <c r="G157" s="69"/>
      <c r="H157" s="69"/>
      <c r="I157" s="69"/>
      <c r="J157" s="69"/>
      <c r="K157" s="69"/>
      <c r="L157" s="69"/>
      <c r="M157" s="69"/>
      <c r="N157" s="69"/>
      <c r="O157" s="69"/>
      <c r="P157" s="69"/>
      <c r="Q157" s="69"/>
      <c r="R157" s="69"/>
      <c r="S157" s="69"/>
      <c r="T157" s="69"/>
      <c r="U157" s="69"/>
    </row>
    <row r="158" spans="1:21" ht="14.25" customHeight="1" x14ac:dyDescent="0.25">
      <c r="A158" s="69"/>
      <c r="B158" s="69"/>
      <c r="C158" s="69"/>
      <c r="D158" s="69"/>
      <c r="E158" s="69"/>
      <c r="F158" s="69"/>
      <c r="G158" s="69"/>
      <c r="H158" s="69"/>
      <c r="I158" s="69"/>
      <c r="J158" s="69"/>
      <c r="K158" s="69"/>
      <c r="L158" s="69"/>
      <c r="M158" s="69"/>
      <c r="N158" s="69"/>
      <c r="O158" s="69"/>
      <c r="P158" s="69"/>
      <c r="Q158" s="69"/>
      <c r="R158" s="69"/>
      <c r="S158" s="69"/>
      <c r="T158" s="69"/>
      <c r="U158" s="69"/>
    </row>
    <row r="159" spans="1:21" ht="14.25" customHeight="1" x14ac:dyDescent="0.25">
      <c r="A159" s="69"/>
      <c r="B159" s="69"/>
      <c r="C159" s="69"/>
      <c r="D159" s="69"/>
      <c r="E159" s="69"/>
      <c r="F159" s="69"/>
      <c r="G159" s="69"/>
      <c r="H159" s="69"/>
      <c r="I159" s="69"/>
      <c r="J159" s="69"/>
      <c r="K159" s="69"/>
      <c r="L159" s="69"/>
      <c r="M159" s="69"/>
      <c r="N159" s="69"/>
      <c r="O159" s="69"/>
      <c r="P159" s="69"/>
      <c r="Q159" s="69"/>
      <c r="R159" s="69"/>
      <c r="S159" s="69"/>
      <c r="T159" s="69"/>
      <c r="U159" s="69"/>
    </row>
    <row r="160" spans="1:21" ht="14.25" customHeight="1" x14ac:dyDescent="0.25">
      <c r="A160" s="69"/>
      <c r="B160" s="69"/>
      <c r="C160" s="69"/>
      <c r="D160" s="69"/>
      <c r="E160" s="69"/>
      <c r="F160" s="69"/>
      <c r="G160" s="69"/>
      <c r="H160" s="69"/>
      <c r="I160" s="69"/>
      <c r="J160" s="69"/>
      <c r="K160" s="69"/>
      <c r="L160" s="69"/>
      <c r="M160" s="69"/>
      <c r="N160" s="69"/>
      <c r="O160" s="69"/>
      <c r="P160" s="69"/>
      <c r="Q160" s="69"/>
      <c r="R160" s="69"/>
      <c r="S160" s="69"/>
      <c r="T160" s="69"/>
      <c r="U160" s="69"/>
    </row>
    <row r="161" spans="1:21" ht="14.25" customHeight="1" x14ac:dyDescent="0.25">
      <c r="A161" s="69"/>
      <c r="B161" s="69"/>
      <c r="C161" s="69"/>
      <c r="D161" s="69"/>
      <c r="E161" s="69"/>
      <c r="F161" s="69"/>
      <c r="G161" s="69"/>
      <c r="H161" s="69"/>
      <c r="I161" s="69"/>
      <c r="J161" s="69"/>
      <c r="K161" s="69"/>
      <c r="L161" s="69"/>
      <c r="M161" s="69"/>
      <c r="N161" s="69"/>
      <c r="O161" s="69"/>
      <c r="P161" s="69"/>
      <c r="Q161" s="69"/>
      <c r="R161" s="69"/>
      <c r="S161" s="69"/>
      <c r="T161" s="69"/>
      <c r="U161" s="69"/>
    </row>
    <row r="162" spans="1:21" ht="14.25" customHeight="1" x14ac:dyDescent="0.25">
      <c r="A162" s="69"/>
      <c r="B162" s="69"/>
      <c r="C162" s="69"/>
      <c r="D162" s="69"/>
      <c r="E162" s="69"/>
      <c r="F162" s="69"/>
      <c r="G162" s="69"/>
      <c r="H162" s="69"/>
      <c r="I162" s="69"/>
      <c r="J162" s="69"/>
      <c r="K162" s="69"/>
      <c r="L162" s="69"/>
      <c r="M162" s="69"/>
      <c r="N162" s="69"/>
      <c r="O162" s="69"/>
      <c r="P162" s="69"/>
      <c r="Q162" s="69"/>
      <c r="R162" s="69"/>
      <c r="S162" s="69"/>
      <c r="T162" s="69"/>
      <c r="U162" s="69"/>
    </row>
    <row r="163" spans="1:21" ht="14.25" customHeight="1" x14ac:dyDescent="0.25">
      <c r="A163" s="69"/>
      <c r="B163" s="69"/>
      <c r="C163" s="69"/>
      <c r="D163" s="69"/>
      <c r="E163" s="69"/>
      <c r="F163" s="69"/>
      <c r="G163" s="69"/>
      <c r="H163" s="69"/>
      <c r="I163" s="69"/>
      <c r="J163" s="69"/>
      <c r="K163" s="69"/>
      <c r="L163" s="69"/>
      <c r="M163" s="69"/>
      <c r="N163" s="69"/>
      <c r="O163" s="69"/>
      <c r="P163" s="69"/>
      <c r="Q163" s="69"/>
      <c r="R163" s="69"/>
      <c r="S163" s="69"/>
      <c r="T163" s="69"/>
      <c r="U163" s="69"/>
    </row>
    <row r="164" spans="1:21" ht="14.25" customHeight="1" x14ac:dyDescent="0.25">
      <c r="A164" s="69"/>
      <c r="B164" s="69"/>
      <c r="C164" s="69"/>
      <c r="D164" s="69"/>
      <c r="E164" s="69"/>
      <c r="F164" s="69"/>
      <c r="G164" s="69"/>
      <c r="H164" s="69"/>
      <c r="I164" s="69"/>
      <c r="J164" s="69"/>
      <c r="K164" s="69"/>
      <c r="L164" s="69"/>
      <c r="M164" s="69"/>
      <c r="N164" s="69"/>
      <c r="O164" s="69"/>
      <c r="P164" s="69"/>
      <c r="Q164" s="69"/>
      <c r="R164" s="69"/>
      <c r="S164" s="69"/>
      <c r="T164" s="69"/>
      <c r="U164" s="69"/>
    </row>
    <row r="165" spans="1:21" ht="14.25" customHeight="1" x14ac:dyDescent="0.25">
      <c r="A165" s="69"/>
      <c r="B165" s="69"/>
      <c r="C165" s="69"/>
      <c r="D165" s="69"/>
      <c r="E165" s="69"/>
      <c r="F165" s="69"/>
      <c r="G165" s="69"/>
      <c r="H165" s="69"/>
      <c r="I165" s="69"/>
      <c r="J165" s="69"/>
      <c r="K165" s="69"/>
      <c r="L165" s="69"/>
      <c r="M165" s="69"/>
      <c r="N165" s="69"/>
      <c r="O165" s="69"/>
      <c r="P165" s="69"/>
      <c r="Q165" s="69"/>
      <c r="R165" s="69"/>
      <c r="S165" s="69"/>
      <c r="T165" s="69"/>
      <c r="U165" s="69"/>
    </row>
    <row r="166" spans="1:21" ht="14.25" customHeight="1" x14ac:dyDescent="0.25">
      <c r="A166" s="69"/>
      <c r="B166" s="69"/>
      <c r="C166" s="69"/>
      <c r="D166" s="69"/>
      <c r="E166" s="69"/>
      <c r="F166" s="69"/>
      <c r="G166" s="69"/>
      <c r="H166" s="69"/>
      <c r="I166" s="69"/>
      <c r="J166" s="69"/>
      <c r="K166" s="69"/>
      <c r="L166" s="69"/>
      <c r="M166" s="69"/>
      <c r="N166" s="69"/>
      <c r="O166" s="69"/>
      <c r="P166" s="69"/>
      <c r="Q166" s="69"/>
      <c r="R166" s="69"/>
      <c r="S166" s="69"/>
      <c r="T166" s="69"/>
      <c r="U166" s="69"/>
    </row>
    <row r="167" spans="1:21" ht="14.25" customHeight="1" x14ac:dyDescent="0.25">
      <c r="A167" s="69"/>
      <c r="B167" s="69"/>
      <c r="C167" s="69"/>
      <c r="D167" s="69"/>
      <c r="E167" s="69"/>
      <c r="F167" s="69"/>
      <c r="G167" s="69"/>
      <c r="H167" s="69"/>
      <c r="I167" s="69"/>
      <c r="J167" s="69"/>
      <c r="K167" s="69"/>
      <c r="L167" s="69"/>
      <c r="M167" s="69"/>
      <c r="N167" s="69"/>
      <c r="O167" s="69"/>
      <c r="P167" s="69"/>
      <c r="Q167" s="69"/>
      <c r="R167" s="69"/>
      <c r="S167" s="69"/>
      <c r="T167" s="69"/>
      <c r="U167" s="69"/>
    </row>
    <row r="168" spans="1:21" ht="14.25" customHeight="1" x14ac:dyDescent="0.25">
      <c r="A168" s="69"/>
      <c r="B168" s="69"/>
      <c r="C168" s="69"/>
      <c r="D168" s="69"/>
      <c r="E168" s="69"/>
      <c r="F168" s="69"/>
      <c r="G168" s="69"/>
      <c r="H168" s="69"/>
      <c r="I168" s="69"/>
      <c r="J168" s="69"/>
      <c r="K168" s="69"/>
      <c r="L168" s="69"/>
      <c r="M168" s="69"/>
      <c r="N168" s="69"/>
      <c r="O168" s="69"/>
      <c r="P168" s="69"/>
      <c r="Q168" s="69"/>
      <c r="R168" s="69"/>
      <c r="S168" s="69"/>
      <c r="T168" s="69"/>
      <c r="U168" s="69"/>
    </row>
    <row r="169" spans="1:21" ht="14.25" customHeight="1" x14ac:dyDescent="0.25">
      <c r="A169" s="69"/>
      <c r="B169" s="69"/>
      <c r="C169" s="69"/>
      <c r="D169" s="69"/>
      <c r="E169" s="69"/>
      <c r="F169" s="69"/>
      <c r="G169" s="69"/>
      <c r="H169" s="69"/>
      <c r="I169" s="69"/>
      <c r="J169" s="69"/>
      <c r="K169" s="69"/>
      <c r="L169" s="69"/>
      <c r="M169" s="69"/>
      <c r="N169" s="69"/>
      <c r="O169" s="69"/>
      <c r="P169" s="69"/>
      <c r="Q169" s="69"/>
      <c r="R169" s="69"/>
      <c r="S169" s="69"/>
      <c r="T169" s="69"/>
      <c r="U169" s="69"/>
    </row>
    <row r="170" spans="1:21" ht="14.25" customHeight="1" x14ac:dyDescent="0.25">
      <c r="A170" s="69"/>
      <c r="B170" s="69"/>
      <c r="C170" s="69"/>
      <c r="D170" s="69"/>
      <c r="E170" s="69"/>
      <c r="F170" s="69"/>
      <c r="G170" s="69"/>
      <c r="H170" s="69"/>
      <c r="I170" s="69"/>
      <c r="J170" s="69"/>
      <c r="K170" s="69"/>
      <c r="L170" s="69"/>
      <c r="M170" s="69"/>
      <c r="N170" s="69"/>
      <c r="O170" s="69"/>
      <c r="P170" s="69"/>
      <c r="Q170" s="69"/>
      <c r="R170" s="69"/>
      <c r="S170" s="69"/>
      <c r="T170" s="69"/>
      <c r="U170" s="69"/>
    </row>
    <row r="171" spans="1:21" ht="14.25" customHeight="1" x14ac:dyDescent="0.25">
      <c r="A171" s="69"/>
      <c r="B171" s="69"/>
      <c r="C171" s="69"/>
      <c r="D171" s="69"/>
      <c r="E171" s="69"/>
      <c r="F171" s="69"/>
      <c r="G171" s="69"/>
      <c r="H171" s="69"/>
      <c r="I171" s="69"/>
      <c r="J171" s="69"/>
      <c r="K171" s="69"/>
      <c r="L171" s="69"/>
      <c r="M171" s="69"/>
      <c r="N171" s="69"/>
      <c r="O171" s="69"/>
      <c r="P171" s="69"/>
      <c r="Q171" s="69"/>
      <c r="R171" s="69"/>
      <c r="S171" s="69"/>
      <c r="T171" s="69"/>
      <c r="U171" s="69"/>
    </row>
    <row r="172" spans="1:21" ht="14.25" customHeight="1" x14ac:dyDescent="0.25">
      <c r="A172" s="69"/>
      <c r="B172" s="69"/>
      <c r="C172" s="69"/>
      <c r="D172" s="69"/>
      <c r="E172" s="69"/>
      <c r="F172" s="69"/>
      <c r="G172" s="69"/>
      <c r="H172" s="69"/>
      <c r="I172" s="69"/>
      <c r="J172" s="69"/>
      <c r="K172" s="69"/>
      <c r="L172" s="69"/>
      <c r="M172" s="69"/>
      <c r="N172" s="69"/>
      <c r="O172" s="69"/>
      <c r="P172" s="69"/>
      <c r="Q172" s="69"/>
      <c r="R172" s="69"/>
      <c r="S172" s="69"/>
      <c r="T172" s="69"/>
      <c r="U172" s="69"/>
    </row>
    <row r="173" spans="1:21" ht="14.25" customHeight="1" x14ac:dyDescent="0.25">
      <c r="A173" s="69"/>
      <c r="B173" s="69"/>
      <c r="C173" s="69"/>
      <c r="D173" s="69"/>
      <c r="E173" s="69"/>
      <c r="F173" s="69"/>
      <c r="G173" s="69"/>
      <c r="H173" s="69"/>
      <c r="I173" s="69"/>
      <c r="J173" s="69"/>
      <c r="K173" s="69"/>
      <c r="L173" s="69"/>
      <c r="M173" s="69"/>
      <c r="N173" s="69"/>
      <c r="O173" s="69"/>
      <c r="P173" s="69"/>
      <c r="Q173" s="69"/>
      <c r="R173" s="69"/>
      <c r="S173" s="69"/>
      <c r="T173" s="69"/>
      <c r="U173" s="69"/>
    </row>
    <row r="174" spans="1:21" ht="14.25" customHeight="1" x14ac:dyDescent="0.25">
      <c r="A174" s="69"/>
      <c r="B174" s="69"/>
      <c r="C174" s="69"/>
      <c r="D174" s="69"/>
      <c r="E174" s="69"/>
      <c r="F174" s="69"/>
      <c r="G174" s="69"/>
      <c r="H174" s="69"/>
      <c r="I174" s="69"/>
      <c r="J174" s="69"/>
      <c r="K174" s="69"/>
      <c r="L174" s="69"/>
      <c r="M174" s="69"/>
      <c r="N174" s="69"/>
      <c r="O174" s="69"/>
      <c r="P174" s="69"/>
      <c r="Q174" s="69"/>
      <c r="R174" s="69"/>
      <c r="S174" s="69"/>
      <c r="T174" s="69"/>
      <c r="U174" s="69"/>
    </row>
    <row r="175" spans="1:21" ht="14.25" customHeight="1" x14ac:dyDescent="0.25">
      <c r="A175" s="69"/>
      <c r="B175" s="69"/>
      <c r="C175" s="69"/>
      <c r="D175" s="69"/>
      <c r="E175" s="69"/>
      <c r="F175" s="69"/>
      <c r="G175" s="69"/>
      <c r="H175" s="69"/>
      <c r="I175" s="69"/>
      <c r="J175" s="69"/>
      <c r="K175" s="69"/>
      <c r="L175" s="69"/>
      <c r="M175" s="69"/>
      <c r="N175" s="69"/>
      <c r="O175" s="69"/>
      <c r="P175" s="69"/>
      <c r="Q175" s="69"/>
      <c r="R175" s="69"/>
      <c r="S175" s="69"/>
      <c r="T175" s="69"/>
      <c r="U175" s="69"/>
    </row>
    <row r="176" spans="1:21" ht="14.25" customHeight="1" x14ac:dyDescent="0.25">
      <c r="A176" s="69"/>
      <c r="B176" s="69"/>
      <c r="C176" s="69"/>
      <c r="D176" s="69"/>
      <c r="E176" s="69"/>
      <c r="F176" s="69"/>
      <c r="G176" s="69"/>
      <c r="H176" s="69"/>
      <c r="I176" s="69"/>
      <c r="J176" s="69"/>
      <c r="K176" s="69"/>
      <c r="L176" s="69"/>
      <c r="M176" s="69"/>
      <c r="N176" s="69"/>
      <c r="O176" s="69"/>
      <c r="P176" s="69"/>
      <c r="Q176" s="69"/>
      <c r="R176" s="69"/>
      <c r="S176" s="69"/>
      <c r="T176" s="69"/>
      <c r="U176" s="69"/>
    </row>
    <row r="177" spans="1:21" ht="14.25" customHeight="1" x14ac:dyDescent="0.25">
      <c r="A177" s="69"/>
      <c r="B177" s="69"/>
      <c r="C177" s="69"/>
      <c r="D177" s="69"/>
      <c r="E177" s="69"/>
      <c r="F177" s="69"/>
      <c r="G177" s="69"/>
      <c r="H177" s="69"/>
      <c r="I177" s="69"/>
      <c r="J177" s="69"/>
      <c r="K177" s="69"/>
      <c r="L177" s="69"/>
      <c r="M177" s="69"/>
      <c r="N177" s="69"/>
      <c r="O177" s="69"/>
      <c r="P177" s="69"/>
      <c r="Q177" s="69"/>
      <c r="R177" s="69"/>
      <c r="S177" s="69"/>
      <c r="T177" s="69"/>
      <c r="U177" s="69"/>
    </row>
    <row r="178" spans="1:21" ht="14.25" customHeight="1" x14ac:dyDescent="0.25">
      <c r="A178" s="69"/>
      <c r="B178" s="69"/>
      <c r="C178" s="69"/>
      <c r="D178" s="69"/>
      <c r="E178" s="69"/>
      <c r="F178" s="69"/>
      <c r="G178" s="69"/>
      <c r="H178" s="69"/>
      <c r="I178" s="69"/>
      <c r="J178" s="69"/>
      <c r="K178" s="69"/>
      <c r="L178" s="69"/>
      <c r="M178" s="69"/>
      <c r="N178" s="69"/>
      <c r="O178" s="69"/>
      <c r="P178" s="69"/>
      <c r="Q178" s="69"/>
      <c r="R178" s="69"/>
      <c r="S178" s="69"/>
      <c r="T178" s="69"/>
      <c r="U178" s="69"/>
    </row>
    <row r="179" spans="1:21" ht="14.25" customHeight="1" x14ac:dyDescent="0.25">
      <c r="A179" s="69"/>
      <c r="B179" s="69"/>
      <c r="C179" s="69"/>
      <c r="D179" s="69"/>
      <c r="E179" s="69"/>
      <c r="F179" s="69"/>
      <c r="G179" s="69"/>
      <c r="H179" s="69"/>
      <c r="I179" s="69"/>
      <c r="J179" s="69"/>
      <c r="K179" s="69"/>
      <c r="L179" s="69"/>
      <c r="M179" s="69"/>
      <c r="N179" s="69"/>
      <c r="O179" s="69"/>
      <c r="P179" s="69"/>
      <c r="Q179" s="69"/>
      <c r="R179" s="69"/>
      <c r="S179" s="69"/>
      <c r="T179" s="69"/>
      <c r="U179" s="69"/>
    </row>
    <row r="180" spans="1:21" ht="14.25" customHeight="1" x14ac:dyDescent="0.25">
      <c r="A180" s="69"/>
      <c r="B180" s="69"/>
      <c r="C180" s="69"/>
      <c r="D180" s="69"/>
      <c r="E180" s="69"/>
      <c r="F180" s="69"/>
      <c r="G180" s="69"/>
      <c r="H180" s="69"/>
      <c r="I180" s="69"/>
      <c r="J180" s="69"/>
      <c r="K180" s="69"/>
      <c r="L180" s="69"/>
      <c r="M180" s="69"/>
      <c r="N180" s="69"/>
      <c r="O180" s="69"/>
      <c r="P180" s="69"/>
      <c r="Q180" s="69"/>
      <c r="R180" s="69"/>
      <c r="S180" s="69"/>
      <c r="T180" s="69"/>
      <c r="U180" s="69"/>
    </row>
    <row r="181" spans="1:21" ht="14.25" customHeight="1" x14ac:dyDescent="0.25">
      <c r="A181" s="69"/>
      <c r="B181" s="69"/>
      <c r="C181" s="69"/>
      <c r="D181" s="69"/>
      <c r="E181" s="69"/>
      <c r="F181" s="69"/>
      <c r="G181" s="69"/>
      <c r="H181" s="69"/>
      <c r="I181" s="69"/>
      <c r="J181" s="69"/>
      <c r="K181" s="69"/>
      <c r="L181" s="69"/>
      <c r="M181" s="69"/>
      <c r="N181" s="69"/>
      <c r="O181" s="69"/>
      <c r="P181" s="69"/>
      <c r="Q181" s="69"/>
      <c r="R181" s="69"/>
      <c r="S181" s="69"/>
      <c r="T181" s="69"/>
      <c r="U181" s="69"/>
    </row>
    <row r="182" spans="1:21" ht="14.25" customHeight="1" x14ac:dyDescent="0.25">
      <c r="A182" s="69"/>
      <c r="B182" s="69"/>
      <c r="C182" s="69"/>
      <c r="D182" s="69"/>
      <c r="E182" s="69"/>
      <c r="F182" s="69"/>
      <c r="G182" s="69"/>
      <c r="H182" s="69"/>
      <c r="I182" s="69"/>
      <c r="J182" s="69"/>
      <c r="K182" s="69"/>
      <c r="L182" s="69"/>
      <c r="M182" s="69"/>
      <c r="N182" s="69"/>
      <c r="O182" s="69"/>
      <c r="P182" s="69"/>
      <c r="Q182" s="69"/>
      <c r="R182" s="69"/>
      <c r="S182" s="69"/>
      <c r="T182" s="69"/>
      <c r="U182" s="69"/>
    </row>
    <row r="183" spans="1:21" ht="14.25" customHeight="1" x14ac:dyDescent="0.25">
      <c r="A183" s="69"/>
      <c r="B183" s="69"/>
      <c r="C183" s="69"/>
      <c r="D183" s="69"/>
      <c r="E183" s="69"/>
      <c r="F183" s="69"/>
      <c r="G183" s="69"/>
      <c r="H183" s="69"/>
      <c r="I183" s="69"/>
      <c r="J183" s="69"/>
      <c r="K183" s="69"/>
      <c r="L183" s="69"/>
      <c r="M183" s="69"/>
      <c r="N183" s="69"/>
      <c r="O183" s="69"/>
      <c r="P183" s="69"/>
      <c r="Q183" s="69"/>
      <c r="R183" s="69"/>
      <c r="S183" s="69"/>
      <c r="T183" s="69"/>
      <c r="U183" s="69"/>
    </row>
    <row r="184" spans="1:21" ht="14.25" customHeight="1" x14ac:dyDescent="0.25">
      <c r="A184" s="69"/>
      <c r="B184" s="69"/>
      <c r="C184" s="69"/>
      <c r="D184" s="69"/>
      <c r="E184" s="69"/>
      <c r="F184" s="69"/>
      <c r="G184" s="69"/>
      <c r="H184" s="69"/>
      <c r="I184" s="69"/>
      <c r="J184" s="69"/>
      <c r="K184" s="69"/>
      <c r="L184" s="69"/>
      <c r="M184" s="69"/>
      <c r="N184" s="69"/>
      <c r="O184" s="69"/>
      <c r="P184" s="69"/>
      <c r="Q184" s="69"/>
      <c r="R184" s="69"/>
      <c r="S184" s="69"/>
      <c r="T184" s="69"/>
      <c r="U184" s="69"/>
    </row>
    <row r="185" spans="1:21" ht="14.25" customHeight="1" x14ac:dyDescent="0.25">
      <c r="A185" s="69"/>
      <c r="B185" s="69"/>
      <c r="C185" s="69"/>
      <c r="D185" s="69"/>
      <c r="E185" s="69"/>
      <c r="F185" s="69"/>
      <c r="G185" s="69"/>
      <c r="H185" s="69"/>
      <c r="I185" s="69"/>
      <c r="J185" s="69"/>
      <c r="K185" s="69"/>
      <c r="L185" s="69"/>
      <c r="M185" s="69"/>
      <c r="N185" s="69"/>
      <c r="O185" s="69"/>
      <c r="P185" s="69"/>
      <c r="Q185" s="69"/>
      <c r="R185" s="69"/>
      <c r="S185" s="69"/>
      <c r="T185" s="69"/>
      <c r="U185" s="69"/>
    </row>
    <row r="186" spans="1:21" ht="14.25" customHeight="1" x14ac:dyDescent="0.25">
      <c r="A186" s="69"/>
      <c r="B186" s="69"/>
      <c r="C186" s="69"/>
      <c r="D186" s="69"/>
      <c r="E186" s="69"/>
      <c r="F186" s="69"/>
      <c r="G186" s="69"/>
      <c r="H186" s="69"/>
      <c r="I186" s="69"/>
      <c r="J186" s="69"/>
      <c r="K186" s="69"/>
      <c r="L186" s="69"/>
      <c r="M186" s="69"/>
      <c r="N186" s="69"/>
      <c r="O186" s="69"/>
      <c r="P186" s="69"/>
      <c r="Q186" s="69"/>
      <c r="R186" s="69"/>
      <c r="S186" s="69"/>
      <c r="T186" s="69"/>
      <c r="U186" s="69"/>
    </row>
    <row r="187" spans="1:21" ht="14.25" customHeight="1" x14ac:dyDescent="0.25">
      <c r="A187" s="69"/>
      <c r="B187" s="69"/>
      <c r="C187" s="69"/>
      <c r="D187" s="69"/>
      <c r="E187" s="69"/>
      <c r="F187" s="69"/>
      <c r="G187" s="69"/>
      <c r="H187" s="69"/>
      <c r="I187" s="69"/>
      <c r="J187" s="69"/>
      <c r="K187" s="69"/>
      <c r="L187" s="69"/>
      <c r="M187" s="69"/>
      <c r="N187" s="69"/>
      <c r="O187" s="69"/>
      <c r="P187" s="69"/>
      <c r="Q187" s="69"/>
      <c r="R187" s="69"/>
      <c r="S187" s="69"/>
      <c r="T187" s="69"/>
      <c r="U187" s="69"/>
    </row>
    <row r="188" spans="1:21" ht="14.25" customHeight="1" x14ac:dyDescent="0.25">
      <c r="A188" s="69"/>
      <c r="B188" s="69"/>
      <c r="C188" s="69"/>
      <c r="D188" s="69"/>
      <c r="E188" s="69"/>
      <c r="F188" s="69"/>
      <c r="G188" s="69"/>
      <c r="H188" s="69"/>
      <c r="I188" s="69"/>
      <c r="J188" s="69"/>
      <c r="K188" s="69"/>
      <c r="L188" s="69"/>
      <c r="M188" s="69"/>
      <c r="N188" s="69"/>
      <c r="O188" s="69"/>
      <c r="P188" s="69"/>
      <c r="Q188" s="69"/>
      <c r="R188" s="69"/>
      <c r="S188" s="69"/>
      <c r="T188" s="69"/>
      <c r="U188" s="69"/>
    </row>
    <row r="189" spans="1:21" ht="14.25" customHeight="1" x14ac:dyDescent="0.25">
      <c r="A189" s="69"/>
      <c r="B189" s="69"/>
      <c r="C189" s="69"/>
      <c r="D189" s="69"/>
      <c r="E189" s="69"/>
      <c r="F189" s="69"/>
      <c r="G189" s="69"/>
      <c r="H189" s="69"/>
      <c r="I189" s="69"/>
      <c r="J189" s="69"/>
      <c r="K189" s="69"/>
      <c r="L189" s="69"/>
      <c r="M189" s="69"/>
      <c r="N189" s="69"/>
      <c r="O189" s="69"/>
      <c r="P189" s="69"/>
      <c r="Q189" s="69"/>
      <c r="R189" s="69"/>
      <c r="S189" s="69"/>
      <c r="T189" s="69"/>
      <c r="U189" s="69"/>
    </row>
    <row r="190" spans="1:21" ht="14.25" customHeight="1" x14ac:dyDescent="0.25">
      <c r="A190" s="69"/>
      <c r="B190" s="69"/>
      <c r="C190" s="69"/>
      <c r="D190" s="69"/>
      <c r="E190" s="69"/>
      <c r="F190" s="69"/>
      <c r="G190" s="69"/>
      <c r="H190" s="69"/>
      <c r="I190" s="69"/>
      <c r="J190" s="69"/>
      <c r="K190" s="69"/>
      <c r="L190" s="69"/>
      <c r="M190" s="69"/>
      <c r="N190" s="69"/>
      <c r="O190" s="69"/>
      <c r="P190" s="69"/>
      <c r="Q190" s="69"/>
      <c r="R190" s="69"/>
      <c r="S190" s="69"/>
      <c r="T190" s="69"/>
      <c r="U190" s="69"/>
    </row>
    <row r="191" spans="1:21" ht="14.25" customHeight="1" x14ac:dyDescent="0.25">
      <c r="A191" s="69"/>
      <c r="B191" s="69"/>
      <c r="C191" s="69"/>
      <c r="D191" s="69"/>
      <c r="E191" s="69"/>
      <c r="F191" s="69"/>
      <c r="G191" s="69"/>
      <c r="H191" s="69"/>
      <c r="I191" s="69"/>
      <c r="J191" s="69"/>
      <c r="K191" s="69"/>
      <c r="L191" s="69"/>
      <c r="M191" s="69"/>
      <c r="N191" s="69"/>
      <c r="O191" s="69"/>
      <c r="P191" s="69"/>
      <c r="Q191" s="69"/>
      <c r="R191" s="69"/>
      <c r="S191" s="69"/>
      <c r="T191" s="69"/>
      <c r="U191" s="69"/>
    </row>
    <row r="192" spans="1:21" ht="14.25" customHeight="1" x14ac:dyDescent="0.25">
      <c r="A192" s="69"/>
      <c r="B192" s="69"/>
      <c r="C192" s="69"/>
      <c r="D192" s="69"/>
      <c r="E192" s="69"/>
      <c r="F192" s="69"/>
      <c r="G192" s="69"/>
      <c r="H192" s="69"/>
      <c r="I192" s="69"/>
      <c r="J192" s="69"/>
      <c r="K192" s="69"/>
      <c r="L192" s="69"/>
      <c r="M192" s="69"/>
      <c r="N192" s="69"/>
      <c r="O192" s="69"/>
      <c r="P192" s="69"/>
      <c r="Q192" s="69"/>
      <c r="R192" s="69"/>
      <c r="S192" s="69"/>
      <c r="T192" s="69"/>
      <c r="U192" s="69"/>
    </row>
    <row r="193" spans="1:21" ht="14.25" customHeight="1" x14ac:dyDescent="0.25">
      <c r="A193" s="69"/>
      <c r="B193" s="69"/>
      <c r="C193" s="69"/>
      <c r="D193" s="69"/>
      <c r="E193" s="69"/>
      <c r="F193" s="69"/>
      <c r="G193" s="69"/>
      <c r="H193" s="69"/>
      <c r="I193" s="69"/>
      <c r="J193" s="69"/>
      <c r="K193" s="69"/>
      <c r="L193" s="69"/>
      <c r="M193" s="69"/>
      <c r="N193" s="69"/>
      <c r="O193" s="69"/>
      <c r="P193" s="69"/>
      <c r="Q193" s="69"/>
      <c r="R193" s="69"/>
      <c r="S193" s="69"/>
      <c r="T193" s="69"/>
      <c r="U193" s="69"/>
    </row>
    <row r="194" spans="1:21" ht="14.25" customHeight="1" x14ac:dyDescent="0.25">
      <c r="A194" s="69"/>
      <c r="B194" s="69"/>
      <c r="C194" s="69"/>
      <c r="D194" s="69"/>
      <c r="E194" s="69"/>
      <c r="F194" s="69"/>
      <c r="G194" s="69"/>
      <c r="H194" s="69"/>
      <c r="I194" s="69"/>
      <c r="J194" s="69"/>
      <c r="K194" s="69"/>
      <c r="L194" s="69"/>
      <c r="M194" s="69"/>
      <c r="N194" s="69"/>
      <c r="O194" s="69"/>
      <c r="P194" s="69"/>
      <c r="Q194" s="69"/>
      <c r="R194" s="69"/>
      <c r="S194" s="69"/>
      <c r="T194" s="69"/>
      <c r="U194" s="69"/>
    </row>
    <row r="195" spans="1:21" ht="14.25" customHeight="1" x14ac:dyDescent="0.25">
      <c r="A195" s="69"/>
      <c r="B195" s="69"/>
      <c r="C195" s="69"/>
      <c r="D195" s="69"/>
      <c r="E195" s="69"/>
      <c r="F195" s="69"/>
      <c r="G195" s="69"/>
      <c r="H195" s="69"/>
      <c r="I195" s="69"/>
      <c r="J195" s="69"/>
      <c r="K195" s="69"/>
      <c r="L195" s="69"/>
      <c r="M195" s="69"/>
      <c r="N195" s="69"/>
      <c r="O195" s="69"/>
      <c r="P195" s="69"/>
      <c r="Q195" s="69"/>
      <c r="R195" s="69"/>
      <c r="S195" s="69"/>
      <c r="T195" s="69"/>
      <c r="U195" s="69"/>
    </row>
    <row r="196" spans="1:21" ht="14.25" customHeight="1" x14ac:dyDescent="0.25">
      <c r="A196" s="69"/>
      <c r="B196" s="69"/>
      <c r="C196" s="69"/>
      <c r="D196" s="69"/>
      <c r="E196" s="69"/>
      <c r="F196" s="69"/>
      <c r="G196" s="69"/>
      <c r="H196" s="69"/>
      <c r="I196" s="69"/>
      <c r="J196" s="69"/>
      <c r="K196" s="69"/>
      <c r="L196" s="69"/>
      <c r="M196" s="69"/>
      <c r="N196" s="69"/>
      <c r="O196" s="69"/>
      <c r="P196" s="69"/>
      <c r="Q196" s="69"/>
      <c r="R196" s="69"/>
      <c r="S196" s="69"/>
      <c r="T196" s="69"/>
      <c r="U196" s="69"/>
    </row>
    <row r="197" spans="1:21" ht="14.25" customHeight="1" x14ac:dyDescent="0.25">
      <c r="A197" s="69"/>
      <c r="B197" s="69"/>
      <c r="C197" s="69"/>
      <c r="D197" s="69"/>
      <c r="E197" s="69"/>
      <c r="F197" s="69"/>
      <c r="G197" s="69"/>
      <c r="H197" s="69"/>
      <c r="I197" s="69"/>
      <c r="J197" s="69"/>
      <c r="K197" s="69"/>
      <c r="L197" s="69"/>
      <c r="M197" s="69"/>
      <c r="N197" s="69"/>
      <c r="O197" s="69"/>
      <c r="P197" s="69"/>
      <c r="Q197" s="69"/>
      <c r="R197" s="69"/>
      <c r="S197" s="69"/>
      <c r="T197" s="69"/>
      <c r="U197" s="69"/>
    </row>
    <row r="198" spans="1:21" ht="14.25" customHeight="1" x14ac:dyDescent="0.25">
      <c r="A198" s="69"/>
      <c r="B198" s="69"/>
      <c r="C198" s="69"/>
      <c r="D198" s="69"/>
      <c r="E198" s="69"/>
      <c r="F198" s="69"/>
      <c r="G198" s="69"/>
      <c r="H198" s="69"/>
      <c r="I198" s="69"/>
      <c r="J198" s="69"/>
      <c r="K198" s="69"/>
      <c r="L198" s="69"/>
      <c r="M198" s="69"/>
      <c r="N198" s="69"/>
      <c r="O198" s="69"/>
      <c r="P198" s="69"/>
      <c r="Q198" s="69"/>
      <c r="R198" s="69"/>
      <c r="S198" s="69"/>
      <c r="T198" s="69"/>
      <c r="U198" s="69"/>
    </row>
    <row r="199" spans="1:21" ht="14.25" customHeight="1" x14ac:dyDescent="0.25">
      <c r="A199" s="69"/>
      <c r="B199" s="69"/>
      <c r="C199" s="69"/>
      <c r="D199" s="69"/>
      <c r="E199" s="69"/>
      <c r="F199" s="69"/>
      <c r="G199" s="69"/>
      <c r="H199" s="69"/>
      <c r="I199" s="69"/>
      <c r="J199" s="69"/>
      <c r="K199" s="69"/>
      <c r="L199" s="69"/>
      <c r="M199" s="69"/>
      <c r="N199" s="69"/>
      <c r="O199" s="69"/>
      <c r="P199" s="69"/>
      <c r="Q199" s="69"/>
      <c r="R199" s="69"/>
      <c r="S199" s="69"/>
      <c r="T199" s="69"/>
      <c r="U199" s="69"/>
    </row>
    <row r="200" spans="1:21" ht="14.25" customHeight="1" x14ac:dyDescent="0.25">
      <c r="A200" s="69"/>
      <c r="B200" s="69"/>
      <c r="C200" s="69"/>
      <c r="D200" s="69"/>
      <c r="E200" s="69"/>
      <c r="F200" s="69"/>
      <c r="G200" s="69"/>
      <c r="H200" s="69"/>
      <c r="I200" s="69"/>
      <c r="J200" s="69"/>
      <c r="K200" s="69"/>
      <c r="L200" s="69"/>
      <c r="M200" s="69"/>
      <c r="N200" s="69"/>
      <c r="O200" s="69"/>
      <c r="P200" s="69"/>
      <c r="Q200" s="69"/>
      <c r="R200" s="69"/>
      <c r="S200" s="69"/>
      <c r="T200" s="69"/>
      <c r="U200" s="69"/>
    </row>
    <row r="201" spans="1:21" ht="14.25" customHeight="1" x14ac:dyDescent="0.25">
      <c r="A201" s="69"/>
      <c r="B201" s="69"/>
      <c r="C201" s="69"/>
      <c r="D201" s="69"/>
      <c r="E201" s="69"/>
      <c r="F201" s="69"/>
      <c r="G201" s="69"/>
      <c r="H201" s="69"/>
      <c r="I201" s="69"/>
      <c r="J201" s="69"/>
      <c r="K201" s="69"/>
      <c r="L201" s="69"/>
      <c r="M201" s="69"/>
      <c r="N201" s="69"/>
      <c r="O201" s="69"/>
      <c r="P201" s="69"/>
      <c r="Q201" s="69"/>
      <c r="R201" s="69"/>
      <c r="S201" s="69"/>
      <c r="T201" s="69"/>
      <c r="U201" s="69"/>
    </row>
    <row r="202" spans="1:21" ht="14.25" customHeight="1" x14ac:dyDescent="0.25">
      <c r="A202" s="69"/>
      <c r="B202" s="69"/>
      <c r="C202" s="69"/>
      <c r="D202" s="69"/>
      <c r="E202" s="69"/>
      <c r="F202" s="69"/>
      <c r="G202" s="69"/>
      <c r="H202" s="69"/>
      <c r="I202" s="69"/>
      <c r="J202" s="69"/>
      <c r="K202" s="69"/>
      <c r="L202" s="69"/>
      <c r="M202" s="69"/>
      <c r="N202" s="69"/>
      <c r="O202" s="69"/>
      <c r="P202" s="69"/>
      <c r="Q202" s="69"/>
      <c r="R202" s="69"/>
      <c r="S202" s="69"/>
      <c r="T202" s="69"/>
      <c r="U202" s="69"/>
    </row>
    <row r="203" spans="1:21" ht="14.25" customHeight="1" x14ac:dyDescent="0.25">
      <c r="A203" s="69"/>
      <c r="B203" s="69"/>
      <c r="C203" s="69"/>
      <c r="D203" s="69"/>
      <c r="E203" s="69"/>
      <c r="F203" s="69"/>
      <c r="G203" s="69"/>
      <c r="H203" s="69"/>
      <c r="I203" s="69"/>
      <c r="J203" s="69"/>
      <c r="K203" s="69"/>
      <c r="L203" s="69"/>
      <c r="M203" s="69"/>
      <c r="N203" s="69"/>
      <c r="O203" s="69"/>
      <c r="P203" s="69"/>
      <c r="Q203" s="69"/>
      <c r="R203" s="69"/>
      <c r="S203" s="69"/>
      <c r="T203" s="69"/>
      <c r="U203" s="69"/>
    </row>
    <row r="204" spans="1:21" ht="14.25" customHeight="1" x14ac:dyDescent="0.25">
      <c r="A204" s="69"/>
      <c r="B204" s="69"/>
      <c r="C204" s="69"/>
      <c r="D204" s="69"/>
      <c r="E204" s="69"/>
      <c r="F204" s="69"/>
      <c r="G204" s="69"/>
      <c r="H204" s="69"/>
      <c r="I204" s="69"/>
      <c r="J204" s="69"/>
      <c r="K204" s="69"/>
      <c r="L204" s="69"/>
      <c r="M204" s="69"/>
      <c r="N204" s="69"/>
      <c r="O204" s="69"/>
      <c r="P204" s="69"/>
      <c r="Q204" s="69"/>
      <c r="R204" s="69"/>
      <c r="S204" s="69"/>
      <c r="T204" s="69"/>
      <c r="U204" s="69"/>
    </row>
    <row r="205" spans="1:21" ht="14.25" customHeight="1" x14ac:dyDescent="0.25">
      <c r="A205" s="69"/>
      <c r="B205" s="69"/>
      <c r="C205" s="69"/>
      <c r="D205" s="69"/>
      <c r="E205" s="69"/>
      <c r="F205" s="69"/>
      <c r="G205" s="69"/>
      <c r="H205" s="69"/>
      <c r="I205" s="69"/>
      <c r="J205" s="69"/>
      <c r="K205" s="69"/>
      <c r="L205" s="69"/>
      <c r="M205" s="69"/>
      <c r="N205" s="69"/>
      <c r="O205" s="69"/>
      <c r="P205" s="69"/>
      <c r="Q205" s="69"/>
      <c r="R205" s="69"/>
      <c r="S205" s="69"/>
      <c r="T205" s="69"/>
      <c r="U205" s="69"/>
    </row>
    <row r="206" spans="1:21" ht="14.25" customHeight="1" x14ac:dyDescent="0.25">
      <c r="A206" s="69"/>
      <c r="B206" s="69"/>
      <c r="C206" s="69"/>
      <c r="D206" s="69"/>
      <c r="E206" s="69"/>
      <c r="F206" s="69"/>
      <c r="G206" s="69"/>
      <c r="H206" s="69"/>
      <c r="I206" s="69"/>
      <c r="J206" s="69"/>
      <c r="K206" s="69"/>
      <c r="L206" s="69"/>
      <c r="M206" s="69"/>
      <c r="N206" s="69"/>
      <c r="O206" s="69"/>
      <c r="P206" s="69"/>
      <c r="Q206" s="69"/>
      <c r="R206" s="69"/>
      <c r="S206" s="69"/>
      <c r="T206" s="69"/>
      <c r="U206" s="69"/>
    </row>
    <row r="207" spans="1:21" ht="14.25" customHeight="1" x14ac:dyDescent="0.25">
      <c r="A207" s="69"/>
      <c r="B207" s="69"/>
      <c r="C207" s="69"/>
      <c r="D207" s="69"/>
      <c r="E207" s="69"/>
      <c r="F207" s="69"/>
      <c r="G207" s="69"/>
      <c r="H207" s="69"/>
      <c r="I207" s="69"/>
      <c r="J207" s="69"/>
      <c r="K207" s="69"/>
      <c r="L207" s="69"/>
      <c r="M207" s="69"/>
      <c r="N207" s="69"/>
      <c r="O207" s="69"/>
      <c r="P207" s="69"/>
      <c r="Q207" s="69"/>
      <c r="R207" s="69"/>
      <c r="S207" s="69"/>
      <c r="T207" s="69"/>
      <c r="U207" s="69"/>
    </row>
    <row r="208" spans="1:21" ht="14.25" customHeight="1" x14ac:dyDescent="0.25">
      <c r="A208" s="69"/>
      <c r="B208" s="69"/>
      <c r="C208" s="69"/>
      <c r="D208" s="69"/>
      <c r="E208" s="69"/>
      <c r="F208" s="69"/>
      <c r="G208" s="69"/>
      <c r="H208" s="69"/>
      <c r="I208" s="69"/>
      <c r="J208" s="69"/>
      <c r="K208" s="69"/>
      <c r="L208" s="69"/>
      <c r="M208" s="69"/>
      <c r="N208" s="69"/>
      <c r="O208" s="69"/>
      <c r="P208" s="69"/>
      <c r="Q208" s="69"/>
      <c r="R208" s="69"/>
      <c r="S208" s="69"/>
      <c r="T208" s="69"/>
      <c r="U208" s="69"/>
    </row>
    <row r="209" spans="1:21" ht="14.25" customHeight="1" x14ac:dyDescent="0.25">
      <c r="A209" s="69"/>
      <c r="B209" s="69"/>
      <c r="C209" s="69"/>
      <c r="D209" s="69"/>
      <c r="E209" s="69"/>
      <c r="F209" s="69"/>
      <c r="G209" s="69"/>
      <c r="H209" s="69"/>
      <c r="I209" s="69"/>
      <c r="J209" s="69"/>
      <c r="K209" s="69"/>
      <c r="L209" s="69"/>
      <c r="M209" s="69"/>
      <c r="N209" s="69"/>
      <c r="O209" s="69"/>
      <c r="P209" s="69"/>
      <c r="Q209" s="69"/>
      <c r="R209" s="69"/>
      <c r="S209" s="69"/>
      <c r="T209" s="69"/>
      <c r="U209" s="69"/>
    </row>
    <row r="210" spans="1:21" ht="14.25" customHeight="1" x14ac:dyDescent="0.25">
      <c r="A210" s="69"/>
      <c r="B210" s="69"/>
      <c r="C210" s="69"/>
      <c r="D210" s="69"/>
      <c r="E210" s="69"/>
      <c r="F210" s="69"/>
      <c r="G210" s="69"/>
      <c r="H210" s="69"/>
      <c r="I210" s="69"/>
      <c r="J210" s="69"/>
      <c r="K210" s="69"/>
      <c r="L210" s="69"/>
      <c r="M210" s="69"/>
      <c r="N210" s="69"/>
      <c r="O210" s="69"/>
      <c r="P210" s="69"/>
      <c r="Q210" s="69"/>
      <c r="R210" s="69"/>
      <c r="S210" s="69"/>
      <c r="T210" s="69"/>
      <c r="U210" s="69"/>
    </row>
    <row r="211" spans="1:21" ht="14.25" customHeight="1" x14ac:dyDescent="0.25">
      <c r="A211" s="69"/>
      <c r="B211" s="69"/>
      <c r="C211" s="69"/>
      <c r="D211" s="69"/>
      <c r="E211" s="69"/>
      <c r="F211" s="69"/>
      <c r="G211" s="69"/>
      <c r="H211" s="69"/>
      <c r="I211" s="69"/>
      <c r="J211" s="69"/>
      <c r="K211" s="69"/>
      <c r="L211" s="69"/>
      <c r="M211" s="69"/>
      <c r="N211" s="69"/>
      <c r="O211" s="69"/>
      <c r="P211" s="69"/>
      <c r="Q211" s="69"/>
      <c r="R211" s="69"/>
      <c r="S211" s="69"/>
      <c r="T211" s="69"/>
      <c r="U211" s="69"/>
    </row>
    <row r="212" spans="1:21" ht="14.25" customHeight="1" x14ac:dyDescent="0.25">
      <c r="A212" s="69"/>
      <c r="B212" s="69"/>
      <c r="C212" s="69"/>
      <c r="D212" s="69"/>
      <c r="E212" s="69"/>
      <c r="F212" s="69"/>
      <c r="G212" s="69"/>
      <c r="H212" s="69"/>
      <c r="I212" s="69"/>
      <c r="J212" s="69"/>
      <c r="K212" s="69"/>
      <c r="L212" s="69"/>
      <c r="M212" s="69"/>
      <c r="N212" s="69"/>
      <c r="O212" s="69"/>
      <c r="P212" s="69"/>
      <c r="Q212" s="69"/>
      <c r="R212" s="69"/>
      <c r="S212" s="69"/>
      <c r="T212" s="69"/>
      <c r="U212" s="69"/>
    </row>
    <row r="213" spans="1:21" ht="14.25" customHeight="1" x14ac:dyDescent="0.25">
      <c r="A213" s="69"/>
      <c r="B213" s="69"/>
      <c r="C213" s="69"/>
      <c r="D213" s="69"/>
      <c r="E213" s="69"/>
      <c r="F213" s="69"/>
      <c r="G213" s="69"/>
      <c r="H213" s="69"/>
      <c r="I213" s="69"/>
      <c r="J213" s="69"/>
      <c r="K213" s="69"/>
      <c r="L213" s="69"/>
      <c r="M213" s="69"/>
      <c r="N213" s="69"/>
      <c r="O213" s="69"/>
      <c r="P213" s="69"/>
      <c r="Q213" s="69"/>
      <c r="R213" s="69"/>
      <c r="S213" s="69"/>
      <c r="T213" s="69"/>
      <c r="U213" s="69"/>
    </row>
    <row r="214" spans="1:21" ht="14.25" customHeight="1" x14ac:dyDescent="0.25">
      <c r="A214" s="69"/>
      <c r="B214" s="69"/>
      <c r="C214" s="69"/>
      <c r="D214" s="69"/>
      <c r="E214" s="69"/>
      <c r="F214" s="69"/>
      <c r="G214" s="69"/>
      <c r="H214" s="69"/>
      <c r="I214" s="69"/>
      <c r="J214" s="69"/>
      <c r="K214" s="69"/>
      <c r="L214" s="69"/>
      <c r="M214" s="69"/>
      <c r="N214" s="69"/>
      <c r="O214" s="69"/>
      <c r="P214" s="69"/>
      <c r="Q214" s="69"/>
      <c r="R214" s="69"/>
      <c r="S214" s="69"/>
      <c r="T214" s="69"/>
      <c r="U214" s="69"/>
    </row>
    <row r="215" spans="1:21" ht="14.25" customHeight="1" x14ac:dyDescent="0.25">
      <c r="A215" s="69"/>
      <c r="B215" s="69"/>
      <c r="C215" s="69"/>
      <c r="D215" s="69"/>
      <c r="E215" s="69"/>
      <c r="F215" s="69"/>
      <c r="G215" s="69"/>
      <c r="H215" s="69"/>
      <c r="I215" s="69"/>
      <c r="J215" s="69"/>
      <c r="K215" s="69"/>
      <c r="L215" s="69"/>
      <c r="M215" s="69"/>
      <c r="N215" s="69"/>
      <c r="O215" s="69"/>
      <c r="P215" s="69"/>
      <c r="Q215" s="69"/>
      <c r="R215" s="69"/>
      <c r="S215" s="69"/>
      <c r="T215" s="69"/>
      <c r="U215" s="69"/>
    </row>
    <row r="216" spans="1:21" ht="14.25" customHeight="1" x14ac:dyDescent="0.25">
      <c r="A216" s="69"/>
      <c r="B216" s="69"/>
      <c r="C216" s="69"/>
      <c r="D216" s="69"/>
      <c r="E216" s="69"/>
      <c r="F216" s="69"/>
      <c r="G216" s="69"/>
      <c r="H216" s="69"/>
      <c r="I216" s="69"/>
      <c r="J216" s="69"/>
      <c r="K216" s="69"/>
      <c r="L216" s="69"/>
      <c r="M216" s="69"/>
      <c r="N216" s="69"/>
      <c r="O216" s="69"/>
      <c r="P216" s="69"/>
      <c r="Q216" s="69"/>
      <c r="R216" s="69"/>
      <c r="S216" s="69"/>
      <c r="T216" s="69"/>
      <c r="U216" s="69"/>
    </row>
    <row r="217" spans="1:21" ht="14.25" customHeight="1" x14ac:dyDescent="0.25">
      <c r="A217" s="69"/>
      <c r="B217" s="69"/>
      <c r="C217" s="69"/>
      <c r="D217" s="69"/>
      <c r="E217" s="69"/>
      <c r="F217" s="69"/>
      <c r="G217" s="69"/>
      <c r="H217" s="69"/>
      <c r="I217" s="69"/>
      <c r="J217" s="69"/>
      <c r="K217" s="69"/>
      <c r="L217" s="69"/>
      <c r="M217" s="69"/>
      <c r="N217" s="69"/>
      <c r="O217" s="69"/>
      <c r="P217" s="69"/>
      <c r="Q217" s="69"/>
      <c r="R217" s="69"/>
      <c r="S217" s="69"/>
      <c r="T217" s="69"/>
      <c r="U217" s="69"/>
    </row>
    <row r="218" spans="1:21" ht="14.25" customHeight="1" x14ac:dyDescent="0.25">
      <c r="A218" s="69"/>
      <c r="B218" s="69"/>
      <c r="C218" s="69"/>
      <c r="D218" s="69"/>
      <c r="E218" s="69"/>
      <c r="F218" s="69"/>
      <c r="G218" s="69"/>
      <c r="H218" s="69"/>
      <c r="I218" s="69"/>
      <c r="J218" s="69"/>
      <c r="K218" s="69"/>
      <c r="L218" s="69"/>
      <c r="M218" s="69"/>
      <c r="N218" s="69"/>
      <c r="O218" s="69"/>
      <c r="P218" s="69"/>
      <c r="Q218" s="69"/>
      <c r="R218" s="69"/>
      <c r="S218" s="69"/>
      <c r="T218" s="69"/>
      <c r="U218" s="69"/>
    </row>
    <row r="219" spans="1:21" ht="14.25" customHeight="1" x14ac:dyDescent="0.25">
      <c r="A219" s="69"/>
      <c r="B219" s="69"/>
      <c r="C219" s="69"/>
      <c r="D219" s="69"/>
      <c r="E219" s="69"/>
      <c r="F219" s="69"/>
      <c r="G219" s="69"/>
      <c r="H219" s="69"/>
      <c r="I219" s="69"/>
      <c r="J219" s="69"/>
      <c r="K219" s="69"/>
      <c r="L219" s="69"/>
      <c r="M219" s="69"/>
      <c r="N219" s="69"/>
      <c r="O219" s="69"/>
      <c r="P219" s="69"/>
      <c r="Q219" s="69"/>
      <c r="R219" s="69"/>
      <c r="S219" s="69"/>
      <c r="T219" s="69"/>
      <c r="U219" s="69"/>
    </row>
    <row r="220" spans="1:21" ht="14.25" customHeight="1" x14ac:dyDescent="0.25">
      <c r="A220" s="69"/>
      <c r="B220" s="69"/>
      <c r="C220" s="69"/>
      <c r="D220" s="69"/>
      <c r="E220" s="69"/>
      <c r="F220" s="69"/>
      <c r="G220" s="69"/>
      <c r="H220" s="69"/>
      <c r="I220" s="69"/>
      <c r="J220" s="69"/>
      <c r="K220" s="69"/>
      <c r="L220" s="69"/>
      <c r="M220" s="69"/>
      <c r="N220" s="69"/>
      <c r="O220" s="69"/>
      <c r="P220" s="69"/>
      <c r="Q220" s="69"/>
      <c r="R220" s="69"/>
      <c r="S220" s="69"/>
      <c r="T220" s="69"/>
      <c r="U220" s="69"/>
    </row>
    <row r="221" spans="1:21" ht="14.25" customHeight="1" x14ac:dyDescent="0.25">
      <c r="A221" s="69"/>
      <c r="B221" s="69"/>
      <c r="C221" s="69"/>
      <c r="D221" s="69"/>
      <c r="E221" s="69"/>
      <c r="F221" s="69"/>
      <c r="G221" s="69"/>
      <c r="H221" s="69"/>
      <c r="I221" s="69"/>
      <c r="J221" s="69"/>
      <c r="K221" s="69"/>
      <c r="L221" s="69"/>
      <c r="M221" s="69"/>
      <c r="N221" s="69"/>
      <c r="O221" s="69"/>
      <c r="P221" s="69"/>
      <c r="Q221" s="69"/>
      <c r="R221" s="69"/>
      <c r="S221" s="69"/>
      <c r="T221" s="69"/>
      <c r="U221" s="69"/>
    </row>
    <row r="222" spans="1:21" ht="14.25" customHeight="1" x14ac:dyDescent="0.25">
      <c r="A222" s="69"/>
      <c r="B222" s="69"/>
      <c r="C222" s="69"/>
      <c r="D222" s="69"/>
      <c r="E222" s="69"/>
      <c r="F222" s="69"/>
      <c r="G222" s="69"/>
      <c r="H222" s="69"/>
      <c r="I222" s="69"/>
      <c r="J222" s="69"/>
      <c r="K222" s="69"/>
      <c r="L222" s="69"/>
      <c r="M222" s="69"/>
      <c r="N222" s="69"/>
      <c r="O222" s="69"/>
      <c r="P222" s="69"/>
      <c r="Q222" s="69"/>
      <c r="R222" s="69"/>
      <c r="S222" s="69"/>
      <c r="T222" s="69"/>
      <c r="U222" s="69"/>
    </row>
    <row r="223" spans="1:21" ht="14.25" customHeight="1" x14ac:dyDescent="0.25"/>
    <row r="224" spans="1:21"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11">
    <mergeCell ref="D20:R20"/>
    <mergeCell ref="D21:R21"/>
    <mergeCell ref="D22:R22"/>
    <mergeCell ref="D23:R23"/>
    <mergeCell ref="D4:R5"/>
    <mergeCell ref="D6:R6"/>
    <mergeCell ref="D7:R7"/>
    <mergeCell ref="D8:R10"/>
    <mergeCell ref="I14:M16"/>
    <mergeCell ref="D18:R18"/>
    <mergeCell ref="D19:R19"/>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D7D31"/>
  </sheetPr>
  <dimension ref="A1:H999"/>
  <sheetViews>
    <sheetView showGridLines="0" topLeftCell="A3" zoomScale="68" workbookViewId="0">
      <selection activeCell="B6" sqref="B6"/>
    </sheetView>
  </sheetViews>
  <sheetFormatPr defaultColWidth="14.42578125" defaultRowHeight="15" customHeight="1" x14ac:dyDescent="0.25"/>
  <cols>
    <col min="1" max="1" width="11.5703125" customWidth="1"/>
    <col min="2" max="2" width="146.7109375" customWidth="1"/>
    <col min="3" max="3" width="8.7109375" customWidth="1"/>
    <col min="4" max="5" width="13.5703125" customWidth="1"/>
    <col min="6" max="6" width="51.5703125" customWidth="1"/>
    <col min="7" max="7" width="13.5703125" customWidth="1"/>
    <col min="8" max="26" width="8.7109375" customWidth="1"/>
  </cols>
  <sheetData>
    <row r="1" spans="1:8" ht="14.25" customHeight="1" x14ac:dyDescent="0.25">
      <c r="A1" s="11" t="s">
        <v>7</v>
      </c>
      <c r="B1" s="12" t="s">
        <v>8</v>
      </c>
    </row>
    <row r="2" spans="1:8" ht="78" customHeight="1" x14ac:dyDescent="0.25">
      <c r="A2" s="88">
        <v>1</v>
      </c>
      <c r="B2" s="89" t="s">
        <v>9</v>
      </c>
      <c r="E2" s="121" t="s">
        <v>10</v>
      </c>
      <c r="F2" s="124"/>
    </row>
    <row r="3" spans="1:8" ht="54" customHeight="1" x14ac:dyDescent="0.25">
      <c r="A3" s="88">
        <v>2</v>
      </c>
      <c r="B3" s="89" t="s">
        <v>11</v>
      </c>
      <c r="C3" s="13"/>
      <c r="E3" s="122"/>
      <c r="F3" s="125"/>
      <c r="H3" s="14"/>
    </row>
    <row r="4" spans="1:8" ht="45" x14ac:dyDescent="0.25">
      <c r="A4" s="88">
        <v>3</v>
      </c>
      <c r="B4" s="89" t="s">
        <v>12</v>
      </c>
      <c r="C4" s="13"/>
      <c r="E4" s="122"/>
      <c r="F4" s="125"/>
      <c r="H4" s="14"/>
    </row>
    <row r="5" spans="1:8" ht="35.25" customHeight="1" x14ac:dyDescent="0.25">
      <c r="A5" s="88">
        <v>4</v>
      </c>
      <c r="B5" s="89" t="s">
        <v>13</v>
      </c>
      <c r="E5" s="123"/>
      <c r="F5" s="126"/>
      <c r="H5" s="14"/>
    </row>
    <row r="6" spans="1:8" ht="41.25" customHeight="1" x14ac:dyDescent="0.25">
      <c r="A6" s="88">
        <v>5</v>
      </c>
      <c r="B6" s="89" t="s">
        <v>14</v>
      </c>
      <c r="E6" s="121" t="s">
        <v>15</v>
      </c>
      <c r="F6" s="124"/>
      <c r="H6" s="14"/>
    </row>
    <row r="7" spans="1:8" ht="75" x14ac:dyDescent="0.25">
      <c r="A7" s="88">
        <v>6</v>
      </c>
      <c r="B7" s="89" t="s">
        <v>16</v>
      </c>
      <c r="E7" s="122"/>
      <c r="F7" s="125"/>
      <c r="H7" s="14"/>
    </row>
    <row r="8" spans="1:8" ht="69.75" customHeight="1" x14ac:dyDescent="0.25">
      <c r="A8" s="88">
        <v>7</v>
      </c>
      <c r="B8" s="89" t="s">
        <v>17</v>
      </c>
      <c r="E8" s="122"/>
      <c r="F8" s="125"/>
      <c r="H8" s="14"/>
    </row>
    <row r="9" spans="1:8" ht="33.75" customHeight="1" x14ac:dyDescent="0.25">
      <c r="A9" s="88">
        <v>8</v>
      </c>
      <c r="B9" s="89" t="s">
        <v>18</v>
      </c>
      <c r="E9" s="123"/>
      <c r="F9" s="126"/>
    </row>
    <row r="10" spans="1:8" ht="14.25" customHeight="1" x14ac:dyDescent="0.25">
      <c r="A10" s="15"/>
      <c r="B10" s="16"/>
      <c r="E10" s="127" t="s">
        <v>19</v>
      </c>
      <c r="F10" s="124"/>
    </row>
    <row r="11" spans="1:8" ht="14.25" customHeight="1" x14ac:dyDescent="0.25">
      <c r="A11" s="15"/>
      <c r="B11" s="16"/>
      <c r="E11" s="128"/>
      <c r="F11" s="125"/>
    </row>
    <row r="12" spans="1:8" ht="14.25" customHeight="1" x14ac:dyDescent="0.25">
      <c r="A12" s="15"/>
      <c r="B12" s="16"/>
      <c r="E12" s="128"/>
      <c r="F12" s="125"/>
    </row>
    <row r="13" spans="1:8" ht="14.25" customHeight="1" x14ac:dyDescent="0.25">
      <c r="A13" s="15"/>
      <c r="B13" s="16"/>
      <c r="E13" s="128"/>
      <c r="F13" s="125"/>
    </row>
    <row r="14" spans="1:8" ht="14.25" customHeight="1" x14ac:dyDescent="0.25">
      <c r="A14" s="15"/>
      <c r="B14" s="16"/>
      <c r="E14" s="128"/>
      <c r="F14" s="125"/>
    </row>
    <row r="15" spans="1:8" ht="14.25" customHeight="1" x14ac:dyDescent="0.25">
      <c r="A15" s="15"/>
      <c r="B15" s="16"/>
      <c r="E15" s="128"/>
      <c r="F15" s="125"/>
    </row>
    <row r="16" spans="1:8" ht="14.25" customHeight="1" x14ac:dyDescent="0.25">
      <c r="A16" s="15"/>
      <c r="B16" s="16"/>
      <c r="E16" s="128"/>
      <c r="F16" s="125"/>
    </row>
    <row r="17" spans="1:6" ht="14.25" customHeight="1" x14ac:dyDescent="0.25">
      <c r="A17" s="15"/>
      <c r="B17" s="16"/>
      <c r="E17" s="128"/>
      <c r="F17" s="125"/>
    </row>
    <row r="18" spans="1:6" ht="14.25" customHeight="1" x14ac:dyDescent="0.25">
      <c r="A18" s="15"/>
      <c r="B18" s="16"/>
      <c r="E18" s="128"/>
      <c r="F18" s="125"/>
    </row>
    <row r="19" spans="1:6" ht="14.25" customHeight="1" x14ac:dyDescent="0.25">
      <c r="A19" s="15"/>
      <c r="B19" s="16"/>
      <c r="E19" s="128"/>
      <c r="F19" s="125"/>
    </row>
    <row r="20" spans="1:6" ht="14.25" customHeight="1" x14ac:dyDescent="0.25">
      <c r="A20" s="15"/>
      <c r="B20" s="16"/>
      <c r="E20" s="128"/>
      <c r="F20" s="125"/>
    </row>
    <row r="21" spans="1:6" ht="14.25" customHeight="1" x14ac:dyDescent="0.25">
      <c r="A21" s="15"/>
      <c r="B21" s="16"/>
      <c r="E21" s="128"/>
      <c r="F21" s="125"/>
    </row>
    <row r="22" spans="1:6" ht="14.25" customHeight="1" x14ac:dyDescent="0.25">
      <c r="A22" s="15"/>
      <c r="B22" s="16"/>
      <c r="E22" s="128"/>
      <c r="F22" s="125"/>
    </row>
    <row r="23" spans="1:6" ht="14.25" customHeight="1" x14ac:dyDescent="0.25">
      <c r="A23" s="15"/>
      <c r="B23" s="16"/>
      <c r="E23" s="128"/>
      <c r="F23" s="125"/>
    </row>
    <row r="24" spans="1:6" ht="14.25" customHeight="1" x14ac:dyDescent="0.25">
      <c r="A24" s="15"/>
      <c r="B24" s="16"/>
      <c r="E24" s="128"/>
      <c r="F24" s="125"/>
    </row>
    <row r="25" spans="1:6" ht="14.25" customHeight="1" x14ac:dyDescent="0.25">
      <c r="A25" s="15"/>
      <c r="B25" s="16"/>
      <c r="E25" s="128"/>
      <c r="F25" s="125"/>
    </row>
    <row r="26" spans="1:6" ht="14.25" customHeight="1" x14ac:dyDescent="0.25">
      <c r="A26" s="15"/>
      <c r="B26" s="16"/>
      <c r="E26" s="128"/>
      <c r="F26" s="125"/>
    </row>
    <row r="27" spans="1:6" ht="14.25" customHeight="1" x14ac:dyDescent="0.25">
      <c r="A27" s="15"/>
      <c r="B27" s="16"/>
      <c r="E27" s="129"/>
      <c r="F27" s="130"/>
    </row>
    <row r="28" spans="1:6" ht="14.25" customHeight="1" x14ac:dyDescent="0.25">
      <c r="A28" s="15"/>
      <c r="B28" s="16"/>
    </row>
    <row r="29" spans="1:6" ht="14.25" customHeight="1" x14ac:dyDescent="0.25">
      <c r="A29" s="15"/>
      <c r="B29" s="16"/>
    </row>
    <row r="30" spans="1:6" ht="14.25" customHeight="1" x14ac:dyDescent="0.25">
      <c r="A30" s="15"/>
      <c r="B30" s="16"/>
    </row>
    <row r="31" spans="1:6" ht="14.25" customHeight="1" x14ac:dyDescent="0.25">
      <c r="A31" s="15"/>
      <c r="B31" s="16"/>
    </row>
    <row r="32" spans="1:6" ht="14.25" customHeight="1" x14ac:dyDescent="0.25">
      <c r="A32" s="15"/>
      <c r="B32" s="16"/>
    </row>
    <row r="33" spans="1:2" ht="14.25" customHeight="1" x14ac:dyDescent="0.25">
      <c r="A33" s="15"/>
      <c r="B33" s="16"/>
    </row>
    <row r="34" spans="1:2" ht="14.25" customHeight="1" x14ac:dyDescent="0.25">
      <c r="A34" s="15"/>
      <c r="B34" s="16"/>
    </row>
    <row r="35" spans="1:2" ht="14.25" customHeight="1" x14ac:dyDescent="0.25">
      <c r="A35" s="15"/>
      <c r="B35" s="16"/>
    </row>
    <row r="36" spans="1:2" ht="14.25" customHeight="1" x14ac:dyDescent="0.25">
      <c r="A36" s="15"/>
      <c r="B36" s="16"/>
    </row>
    <row r="37" spans="1:2" ht="14.25" customHeight="1" x14ac:dyDescent="0.25">
      <c r="A37" s="15"/>
      <c r="B37" s="16"/>
    </row>
    <row r="38" spans="1:2" ht="14.25" customHeight="1" x14ac:dyDescent="0.25">
      <c r="A38" s="15"/>
      <c r="B38" s="16"/>
    </row>
    <row r="39" spans="1:2" ht="14.25" customHeight="1" x14ac:dyDescent="0.25">
      <c r="A39" s="15"/>
      <c r="B39" s="16"/>
    </row>
    <row r="40" spans="1:2" ht="14.25" customHeight="1" x14ac:dyDescent="0.25">
      <c r="A40" s="15"/>
      <c r="B40" s="16"/>
    </row>
    <row r="41" spans="1:2" ht="14.25" customHeight="1" x14ac:dyDescent="0.25">
      <c r="A41" s="15"/>
      <c r="B41" s="16"/>
    </row>
    <row r="42" spans="1:2" ht="14.25" customHeight="1" x14ac:dyDescent="0.25">
      <c r="A42" s="15"/>
      <c r="B42" s="16"/>
    </row>
    <row r="43" spans="1:2" ht="14.25" customHeight="1" x14ac:dyDescent="0.25">
      <c r="A43" s="15"/>
      <c r="B43" s="16"/>
    </row>
    <row r="44" spans="1:2" ht="14.25" customHeight="1" x14ac:dyDescent="0.25">
      <c r="A44" s="15"/>
      <c r="B44" s="16"/>
    </row>
    <row r="45" spans="1:2" ht="14.25" customHeight="1" x14ac:dyDescent="0.25">
      <c r="A45" s="15"/>
      <c r="B45" s="16"/>
    </row>
    <row r="46" spans="1:2" ht="14.25" customHeight="1" x14ac:dyDescent="0.25">
      <c r="A46" s="15"/>
      <c r="B46" s="16"/>
    </row>
    <row r="47" spans="1:2" ht="14.25" customHeight="1" x14ac:dyDescent="0.25">
      <c r="A47" s="15"/>
      <c r="B47" s="16"/>
    </row>
    <row r="48" spans="1:2" ht="14.25" customHeight="1" x14ac:dyDescent="0.25">
      <c r="A48" s="15"/>
      <c r="B48" s="16"/>
    </row>
    <row r="49" spans="1:2" ht="14.25" customHeight="1" x14ac:dyDescent="0.25">
      <c r="A49" s="15"/>
      <c r="B49" s="16"/>
    </row>
    <row r="50" spans="1:2" ht="14.25" customHeight="1" x14ac:dyDescent="0.25">
      <c r="A50" s="15"/>
      <c r="B50" s="16"/>
    </row>
    <row r="51" spans="1:2" ht="14.25" customHeight="1" x14ac:dyDescent="0.25">
      <c r="A51" s="15"/>
      <c r="B51" s="16"/>
    </row>
    <row r="52" spans="1:2" ht="14.25" customHeight="1" x14ac:dyDescent="0.25">
      <c r="A52" s="15"/>
      <c r="B52" s="16"/>
    </row>
    <row r="53" spans="1:2" ht="14.25" customHeight="1" x14ac:dyDescent="0.25">
      <c r="A53" s="15"/>
      <c r="B53" s="16"/>
    </row>
    <row r="54" spans="1:2" ht="14.25" customHeight="1" x14ac:dyDescent="0.25">
      <c r="A54" s="15"/>
      <c r="B54" s="16"/>
    </row>
    <row r="55" spans="1:2" ht="14.25" customHeight="1" x14ac:dyDescent="0.25">
      <c r="A55" s="15"/>
      <c r="B55" s="16"/>
    </row>
    <row r="56" spans="1:2" ht="14.25" customHeight="1" x14ac:dyDescent="0.25">
      <c r="A56" s="15"/>
      <c r="B56" s="16"/>
    </row>
    <row r="57" spans="1:2" ht="14.25" customHeight="1" x14ac:dyDescent="0.25">
      <c r="A57" s="15"/>
      <c r="B57" s="16"/>
    </row>
    <row r="58" spans="1:2" ht="14.25" customHeight="1" x14ac:dyDescent="0.25">
      <c r="A58" s="15"/>
      <c r="B58" s="16"/>
    </row>
    <row r="59" spans="1:2" ht="14.25" customHeight="1" x14ac:dyDescent="0.25">
      <c r="A59" s="15"/>
      <c r="B59" s="16"/>
    </row>
    <row r="60" spans="1:2" ht="14.25" customHeight="1" x14ac:dyDescent="0.25">
      <c r="A60" s="15"/>
      <c r="B60" s="16"/>
    </row>
    <row r="61" spans="1:2" ht="14.25" customHeight="1" x14ac:dyDescent="0.25">
      <c r="A61" s="15"/>
      <c r="B61" s="16"/>
    </row>
    <row r="62" spans="1:2" ht="14.25" customHeight="1" x14ac:dyDescent="0.25">
      <c r="A62" s="15"/>
      <c r="B62" s="16"/>
    </row>
    <row r="63" spans="1:2" ht="14.25" customHeight="1" x14ac:dyDescent="0.25">
      <c r="A63" s="15"/>
      <c r="B63" s="16"/>
    </row>
    <row r="64" spans="1:2" ht="14.25" customHeight="1" x14ac:dyDescent="0.25">
      <c r="A64" s="15"/>
      <c r="B64" s="16"/>
    </row>
    <row r="65" spans="1:2" ht="14.25" customHeight="1" x14ac:dyDescent="0.25">
      <c r="A65" s="15"/>
      <c r="B65" s="16"/>
    </row>
    <row r="66" spans="1:2" ht="14.25" customHeight="1" x14ac:dyDescent="0.25">
      <c r="A66" s="15"/>
      <c r="B66" s="16"/>
    </row>
    <row r="67" spans="1:2" ht="14.25" customHeight="1" x14ac:dyDescent="0.25">
      <c r="A67" s="15"/>
      <c r="B67" s="16"/>
    </row>
    <row r="68" spans="1:2" ht="14.25" customHeight="1" x14ac:dyDescent="0.25">
      <c r="A68" s="15"/>
      <c r="B68" s="16"/>
    </row>
    <row r="69" spans="1:2" ht="14.25" customHeight="1" x14ac:dyDescent="0.25">
      <c r="A69" s="15"/>
      <c r="B69" s="16"/>
    </row>
    <row r="70" spans="1:2" ht="14.25" customHeight="1" x14ac:dyDescent="0.25">
      <c r="A70" s="15"/>
      <c r="B70" s="16"/>
    </row>
    <row r="71" spans="1:2" ht="14.25" customHeight="1" x14ac:dyDescent="0.25">
      <c r="A71" s="15"/>
      <c r="B71" s="16"/>
    </row>
    <row r="72" spans="1:2" ht="14.25" customHeight="1" x14ac:dyDescent="0.25">
      <c r="A72" s="15"/>
      <c r="B72" s="16"/>
    </row>
    <row r="73" spans="1:2" ht="14.25" customHeight="1" x14ac:dyDescent="0.25">
      <c r="A73" s="15"/>
      <c r="B73" s="16"/>
    </row>
    <row r="74" spans="1:2" ht="14.25" customHeight="1" x14ac:dyDescent="0.25">
      <c r="A74" s="15"/>
      <c r="B74" s="16"/>
    </row>
    <row r="75" spans="1:2" ht="14.25" customHeight="1" x14ac:dyDescent="0.25">
      <c r="A75" s="15"/>
      <c r="B75" s="16"/>
    </row>
    <row r="76" spans="1:2" ht="14.25" customHeight="1" x14ac:dyDescent="0.25">
      <c r="A76" s="15"/>
      <c r="B76" s="16"/>
    </row>
    <row r="77" spans="1:2" ht="14.25" customHeight="1" x14ac:dyDescent="0.25">
      <c r="A77" s="15"/>
      <c r="B77" s="16"/>
    </row>
    <row r="78" spans="1:2" ht="14.25" customHeight="1" x14ac:dyDescent="0.25">
      <c r="A78" s="15"/>
      <c r="B78" s="16"/>
    </row>
    <row r="79" spans="1:2" ht="14.25" customHeight="1" x14ac:dyDescent="0.25">
      <c r="A79" s="15"/>
      <c r="B79" s="16"/>
    </row>
    <row r="80" spans="1:2" ht="14.25" customHeight="1" x14ac:dyDescent="0.25">
      <c r="A80" s="15"/>
      <c r="B80" s="16"/>
    </row>
    <row r="81" spans="1:2" ht="14.25" customHeight="1" x14ac:dyDescent="0.25">
      <c r="A81" s="15"/>
      <c r="B81" s="16"/>
    </row>
    <row r="82" spans="1:2" ht="14.25" customHeight="1" x14ac:dyDescent="0.25">
      <c r="A82" s="15"/>
      <c r="B82" s="16"/>
    </row>
    <row r="83" spans="1:2" ht="14.25" customHeight="1" x14ac:dyDescent="0.25">
      <c r="A83" s="15"/>
      <c r="B83" s="16"/>
    </row>
    <row r="84" spans="1:2" ht="14.25" customHeight="1" x14ac:dyDescent="0.25">
      <c r="A84" s="15"/>
      <c r="B84" s="16"/>
    </row>
    <row r="85" spans="1:2" ht="14.25" customHeight="1" x14ac:dyDescent="0.25">
      <c r="A85" s="15"/>
      <c r="B85" s="16"/>
    </row>
    <row r="86" spans="1:2" ht="14.25" customHeight="1" x14ac:dyDescent="0.25">
      <c r="A86" s="15"/>
      <c r="B86" s="16"/>
    </row>
    <row r="87" spans="1:2" ht="14.25" customHeight="1" x14ac:dyDescent="0.25">
      <c r="A87" s="15"/>
      <c r="B87" s="16"/>
    </row>
    <row r="88" spans="1:2" ht="14.25" customHeight="1" x14ac:dyDescent="0.25">
      <c r="A88" s="15"/>
      <c r="B88" s="16"/>
    </row>
    <row r="89" spans="1:2" ht="14.25" customHeight="1" x14ac:dyDescent="0.25">
      <c r="A89" s="15"/>
      <c r="B89" s="16"/>
    </row>
    <row r="90" spans="1:2" ht="14.25" customHeight="1" x14ac:dyDescent="0.25">
      <c r="A90" s="15"/>
      <c r="B90" s="16"/>
    </row>
    <row r="91" spans="1:2" ht="14.25" customHeight="1" x14ac:dyDescent="0.25">
      <c r="A91" s="15"/>
      <c r="B91" s="16"/>
    </row>
    <row r="92" spans="1:2" ht="14.25" customHeight="1" x14ac:dyDescent="0.25">
      <c r="A92" s="15"/>
      <c r="B92" s="16"/>
    </row>
    <row r="93" spans="1:2" ht="14.25" customHeight="1" x14ac:dyDescent="0.25">
      <c r="A93" s="15"/>
      <c r="B93" s="16"/>
    </row>
    <row r="94" spans="1:2" ht="14.25" customHeight="1" x14ac:dyDescent="0.25">
      <c r="A94" s="15"/>
      <c r="B94" s="16"/>
    </row>
    <row r="95" spans="1:2" ht="14.25" customHeight="1" x14ac:dyDescent="0.25">
      <c r="A95" s="15"/>
      <c r="B95" s="16"/>
    </row>
    <row r="96" spans="1:2" ht="14.25" customHeight="1" x14ac:dyDescent="0.25">
      <c r="A96" s="15"/>
      <c r="B96" s="16"/>
    </row>
    <row r="97" spans="1:2" ht="14.25" customHeight="1" x14ac:dyDescent="0.25">
      <c r="A97" s="15"/>
      <c r="B97" s="16"/>
    </row>
    <row r="98" spans="1:2" ht="14.25" customHeight="1" x14ac:dyDescent="0.25">
      <c r="A98" s="15"/>
      <c r="B98" s="16"/>
    </row>
    <row r="99" spans="1:2" ht="14.25" customHeight="1" x14ac:dyDescent="0.25">
      <c r="A99" s="15"/>
      <c r="B99" s="16"/>
    </row>
    <row r="100" spans="1:2" ht="14.25" customHeight="1" x14ac:dyDescent="0.25">
      <c r="A100" s="15"/>
      <c r="B100" s="16"/>
    </row>
    <row r="101" spans="1:2" ht="14.25" customHeight="1" x14ac:dyDescent="0.25">
      <c r="A101" s="15"/>
      <c r="B101" s="16"/>
    </row>
    <row r="102" spans="1:2" ht="14.25" customHeight="1" x14ac:dyDescent="0.25">
      <c r="A102" s="15"/>
      <c r="B102" s="16"/>
    </row>
    <row r="103" spans="1:2" ht="14.25" customHeight="1" x14ac:dyDescent="0.25">
      <c r="A103" s="15"/>
      <c r="B103" s="16"/>
    </row>
    <row r="104" spans="1:2" ht="14.25" customHeight="1" x14ac:dyDescent="0.25">
      <c r="A104" s="15"/>
      <c r="B104" s="16"/>
    </row>
    <row r="105" spans="1:2" ht="14.25" customHeight="1" x14ac:dyDescent="0.25">
      <c r="A105" s="15"/>
      <c r="B105" s="16"/>
    </row>
    <row r="106" spans="1:2" ht="14.25" customHeight="1" x14ac:dyDescent="0.25">
      <c r="A106" s="15"/>
      <c r="B106" s="16"/>
    </row>
    <row r="107" spans="1:2" ht="14.25" customHeight="1" x14ac:dyDescent="0.25">
      <c r="A107" s="15"/>
      <c r="B107" s="16"/>
    </row>
    <row r="108" spans="1:2" ht="14.25" customHeight="1" x14ac:dyDescent="0.25">
      <c r="A108" s="15"/>
      <c r="B108" s="16"/>
    </row>
    <row r="109" spans="1:2" ht="14.25" customHeight="1" x14ac:dyDescent="0.25">
      <c r="A109" s="15"/>
      <c r="B109" s="16"/>
    </row>
    <row r="110" spans="1:2" ht="14.25" customHeight="1" x14ac:dyDescent="0.25">
      <c r="A110" s="15"/>
      <c r="B110" s="16"/>
    </row>
    <row r="111" spans="1:2" ht="14.25" customHeight="1" x14ac:dyDescent="0.25">
      <c r="A111" s="15"/>
      <c r="B111" s="16"/>
    </row>
    <row r="112" spans="1:2" ht="14.25" customHeight="1" x14ac:dyDescent="0.25">
      <c r="A112" s="15"/>
      <c r="B112" s="16"/>
    </row>
    <row r="113" spans="1:2" ht="14.25" customHeight="1" x14ac:dyDescent="0.25">
      <c r="A113" s="15"/>
      <c r="B113" s="16"/>
    </row>
    <row r="114" spans="1:2" ht="14.25" customHeight="1" x14ac:dyDescent="0.25">
      <c r="A114" s="15"/>
      <c r="B114" s="16"/>
    </row>
    <row r="115" spans="1:2" ht="14.25" customHeight="1" x14ac:dyDescent="0.25">
      <c r="A115" s="15"/>
      <c r="B115" s="16"/>
    </row>
    <row r="116" spans="1:2" ht="14.25" customHeight="1" x14ac:dyDescent="0.25">
      <c r="A116" s="15"/>
      <c r="B116" s="16"/>
    </row>
    <row r="117" spans="1:2" ht="14.25" customHeight="1" x14ac:dyDescent="0.25">
      <c r="A117" s="15"/>
      <c r="B117" s="16"/>
    </row>
    <row r="118" spans="1:2" ht="14.25" customHeight="1" x14ac:dyDescent="0.25">
      <c r="A118" s="15"/>
      <c r="B118" s="16"/>
    </row>
    <row r="119" spans="1:2" ht="14.25" customHeight="1" x14ac:dyDescent="0.25">
      <c r="A119" s="15"/>
      <c r="B119" s="16"/>
    </row>
    <row r="120" spans="1:2" ht="14.25" customHeight="1" x14ac:dyDescent="0.25">
      <c r="A120" s="15"/>
      <c r="B120" s="16"/>
    </row>
    <row r="121" spans="1:2" ht="14.25" customHeight="1" x14ac:dyDescent="0.25">
      <c r="A121" s="15"/>
      <c r="B121" s="16"/>
    </row>
    <row r="122" spans="1:2" ht="14.25" customHeight="1" x14ac:dyDescent="0.25">
      <c r="A122" s="15"/>
      <c r="B122" s="16"/>
    </row>
    <row r="123" spans="1:2" ht="14.25" customHeight="1" x14ac:dyDescent="0.25">
      <c r="A123" s="15"/>
      <c r="B123" s="16"/>
    </row>
    <row r="124" spans="1:2" ht="14.25" customHeight="1" x14ac:dyDescent="0.25">
      <c r="A124" s="15"/>
      <c r="B124" s="16"/>
    </row>
    <row r="125" spans="1:2" ht="14.25" customHeight="1" x14ac:dyDescent="0.25">
      <c r="A125" s="15"/>
      <c r="B125" s="16"/>
    </row>
    <row r="126" spans="1:2" ht="14.25" customHeight="1" x14ac:dyDescent="0.25">
      <c r="A126" s="15"/>
      <c r="B126" s="16"/>
    </row>
    <row r="127" spans="1:2" ht="14.25" customHeight="1" x14ac:dyDescent="0.25">
      <c r="A127" s="15"/>
      <c r="B127" s="16"/>
    </row>
    <row r="128" spans="1:2" ht="14.25" customHeight="1" x14ac:dyDescent="0.25">
      <c r="A128" s="15"/>
      <c r="B128" s="16"/>
    </row>
    <row r="129" spans="1:2" ht="14.25" customHeight="1" x14ac:dyDescent="0.25">
      <c r="A129" s="15"/>
      <c r="B129" s="16"/>
    </row>
    <row r="130" spans="1:2" ht="14.25" customHeight="1" x14ac:dyDescent="0.25">
      <c r="A130" s="15"/>
      <c r="B130" s="16"/>
    </row>
    <row r="131" spans="1:2" ht="14.25" customHeight="1" x14ac:dyDescent="0.25">
      <c r="A131" s="15"/>
      <c r="B131" s="16"/>
    </row>
    <row r="132" spans="1:2" ht="14.25" customHeight="1" x14ac:dyDescent="0.25">
      <c r="A132" s="15"/>
      <c r="B132" s="16"/>
    </row>
    <row r="133" spans="1:2" ht="14.25" customHeight="1" x14ac:dyDescent="0.25">
      <c r="A133" s="15"/>
      <c r="B133" s="16"/>
    </row>
    <row r="134" spans="1:2" ht="14.25" customHeight="1" x14ac:dyDescent="0.25">
      <c r="A134" s="15"/>
      <c r="B134" s="16"/>
    </row>
    <row r="135" spans="1:2" ht="14.25" customHeight="1" x14ac:dyDescent="0.25">
      <c r="A135" s="15"/>
      <c r="B135" s="16"/>
    </row>
    <row r="136" spans="1:2" ht="14.25" customHeight="1" x14ac:dyDescent="0.25">
      <c r="A136" s="15"/>
      <c r="B136" s="16"/>
    </row>
    <row r="137" spans="1:2" ht="14.25" customHeight="1" x14ac:dyDescent="0.25">
      <c r="A137" s="15"/>
      <c r="B137" s="16"/>
    </row>
    <row r="138" spans="1:2" ht="14.25" customHeight="1" x14ac:dyDescent="0.25">
      <c r="A138" s="15"/>
      <c r="B138" s="16"/>
    </row>
    <row r="139" spans="1:2" ht="14.25" customHeight="1" x14ac:dyDescent="0.25">
      <c r="A139" s="15"/>
      <c r="B139" s="16"/>
    </row>
    <row r="140" spans="1:2" ht="14.25" customHeight="1" x14ac:dyDescent="0.25">
      <c r="A140" s="15"/>
      <c r="B140" s="16"/>
    </row>
    <row r="141" spans="1:2" ht="14.25" customHeight="1" x14ac:dyDescent="0.25">
      <c r="A141" s="15"/>
      <c r="B141" s="16"/>
    </row>
    <row r="142" spans="1:2" ht="14.25" customHeight="1" x14ac:dyDescent="0.25">
      <c r="A142" s="15"/>
      <c r="B142" s="16"/>
    </row>
    <row r="143" spans="1:2" ht="14.25" customHeight="1" x14ac:dyDescent="0.25">
      <c r="A143" s="15"/>
      <c r="B143" s="16"/>
    </row>
    <row r="144" spans="1:2" ht="14.25" customHeight="1" x14ac:dyDescent="0.25">
      <c r="A144" s="15"/>
      <c r="B144" s="16"/>
    </row>
    <row r="145" spans="1:2" ht="14.25" customHeight="1" x14ac:dyDescent="0.25">
      <c r="A145" s="15"/>
      <c r="B145" s="16"/>
    </row>
    <row r="146" spans="1:2" ht="14.25" customHeight="1" x14ac:dyDescent="0.25">
      <c r="A146" s="15"/>
      <c r="B146" s="16"/>
    </row>
    <row r="147" spans="1:2" ht="14.25" customHeight="1" x14ac:dyDescent="0.25">
      <c r="A147" s="15"/>
      <c r="B147" s="16"/>
    </row>
    <row r="148" spans="1:2" ht="14.25" customHeight="1" x14ac:dyDescent="0.25">
      <c r="A148" s="15"/>
      <c r="B148" s="16"/>
    </row>
    <row r="149" spans="1:2" ht="14.25" customHeight="1" x14ac:dyDescent="0.25">
      <c r="A149" s="15"/>
      <c r="B149" s="16"/>
    </row>
    <row r="150" spans="1:2" ht="14.25" customHeight="1" x14ac:dyDescent="0.25">
      <c r="A150" s="15"/>
      <c r="B150" s="16"/>
    </row>
    <row r="151" spans="1:2" ht="14.25" customHeight="1" x14ac:dyDescent="0.25">
      <c r="A151" s="15"/>
      <c r="B151" s="16"/>
    </row>
    <row r="152" spans="1:2" ht="14.25" customHeight="1" x14ac:dyDescent="0.25">
      <c r="A152" s="15"/>
      <c r="B152" s="16"/>
    </row>
    <row r="153" spans="1:2" ht="14.25" customHeight="1" x14ac:dyDescent="0.25">
      <c r="A153" s="15"/>
      <c r="B153" s="16"/>
    </row>
    <row r="154" spans="1:2" ht="14.25" customHeight="1" x14ac:dyDescent="0.25">
      <c r="A154" s="15"/>
      <c r="B154" s="16"/>
    </row>
    <row r="155" spans="1:2" ht="14.25" customHeight="1" x14ac:dyDescent="0.25">
      <c r="A155" s="15"/>
      <c r="B155" s="16"/>
    </row>
    <row r="156" spans="1:2" ht="14.25" customHeight="1" x14ac:dyDescent="0.25">
      <c r="A156" s="15"/>
      <c r="B156" s="16"/>
    </row>
    <row r="157" spans="1:2" ht="14.25" customHeight="1" x14ac:dyDescent="0.25">
      <c r="A157" s="15"/>
      <c r="B157" s="16"/>
    </row>
    <row r="158" spans="1:2" ht="14.25" customHeight="1" x14ac:dyDescent="0.25">
      <c r="A158" s="15"/>
      <c r="B158" s="16"/>
    </row>
    <row r="159" spans="1:2" ht="14.25" customHeight="1" x14ac:dyDescent="0.25">
      <c r="A159" s="15"/>
      <c r="B159" s="16"/>
    </row>
    <row r="160" spans="1:2" ht="14.25" customHeight="1" x14ac:dyDescent="0.25">
      <c r="A160" s="15"/>
      <c r="B160" s="16"/>
    </row>
    <row r="161" spans="1:2" ht="14.25" customHeight="1" x14ac:dyDescent="0.25">
      <c r="A161" s="15"/>
      <c r="B161" s="16"/>
    </row>
    <row r="162" spans="1:2" ht="14.25" customHeight="1" x14ac:dyDescent="0.25">
      <c r="A162" s="15"/>
      <c r="B162" s="16"/>
    </row>
    <row r="163" spans="1:2" ht="14.25" customHeight="1" x14ac:dyDescent="0.25">
      <c r="A163" s="15"/>
      <c r="B163" s="16"/>
    </row>
    <row r="164" spans="1:2" ht="14.25" customHeight="1" x14ac:dyDescent="0.25">
      <c r="A164" s="15"/>
      <c r="B164" s="16"/>
    </row>
    <row r="165" spans="1:2" ht="14.25" customHeight="1" x14ac:dyDescent="0.25">
      <c r="A165" s="15"/>
      <c r="B165" s="16"/>
    </row>
    <row r="166" spans="1:2" ht="14.25" customHeight="1" x14ac:dyDescent="0.25">
      <c r="A166" s="15"/>
      <c r="B166" s="16"/>
    </row>
    <row r="167" spans="1:2" ht="14.25" customHeight="1" x14ac:dyDescent="0.25">
      <c r="A167" s="15"/>
      <c r="B167" s="16"/>
    </row>
    <row r="168" spans="1:2" ht="14.25" customHeight="1" x14ac:dyDescent="0.25">
      <c r="A168" s="15"/>
      <c r="B168" s="16"/>
    </row>
    <row r="169" spans="1:2" ht="14.25" customHeight="1" x14ac:dyDescent="0.25">
      <c r="A169" s="15"/>
      <c r="B169" s="16"/>
    </row>
    <row r="170" spans="1:2" ht="14.25" customHeight="1" x14ac:dyDescent="0.25">
      <c r="A170" s="15"/>
      <c r="B170" s="16"/>
    </row>
    <row r="171" spans="1:2" ht="14.25" customHeight="1" x14ac:dyDescent="0.25">
      <c r="A171" s="15"/>
      <c r="B171" s="16"/>
    </row>
    <row r="172" spans="1:2" ht="14.25" customHeight="1" x14ac:dyDescent="0.25">
      <c r="A172" s="15"/>
      <c r="B172" s="16"/>
    </row>
    <row r="173" spans="1:2" ht="14.25" customHeight="1" x14ac:dyDescent="0.25">
      <c r="A173" s="15"/>
      <c r="B173" s="16"/>
    </row>
    <row r="174" spans="1:2" ht="14.25" customHeight="1" x14ac:dyDescent="0.25">
      <c r="A174" s="15"/>
      <c r="B174" s="16"/>
    </row>
    <row r="175" spans="1:2" ht="14.25" customHeight="1" x14ac:dyDescent="0.25">
      <c r="A175" s="15"/>
      <c r="B175" s="16"/>
    </row>
    <row r="176" spans="1:2" ht="14.25" customHeight="1" x14ac:dyDescent="0.25">
      <c r="A176" s="15"/>
      <c r="B176" s="16"/>
    </row>
    <row r="177" spans="1:2" ht="14.25" customHeight="1" x14ac:dyDescent="0.25">
      <c r="A177" s="15"/>
      <c r="B177" s="16"/>
    </row>
    <row r="178" spans="1:2" ht="14.25" customHeight="1" x14ac:dyDescent="0.25">
      <c r="A178" s="15"/>
      <c r="B178" s="16"/>
    </row>
    <row r="179" spans="1:2" ht="14.25" customHeight="1" x14ac:dyDescent="0.25">
      <c r="A179" s="15"/>
      <c r="B179" s="16"/>
    </row>
    <row r="180" spans="1:2" ht="14.25" customHeight="1" x14ac:dyDescent="0.25">
      <c r="A180" s="15"/>
      <c r="B180" s="16"/>
    </row>
    <row r="181" spans="1:2" ht="14.25" customHeight="1" x14ac:dyDescent="0.25">
      <c r="A181" s="15"/>
      <c r="B181" s="16"/>
    </row>
    <row r="182" spans="1:2" ht="14.25" customHeight="1" x14ac:dyDescent="0.25">
      <c r="A182" s="15"/>
      <c r="B182" s="16"/>
    </row>
    <row r="183" spans="1:2" ht="14.25" customHeight="1" x14ac:dyDescent="0.25">
      <c r="A183" s="15"/>
      <c r="B183" s="16"/>
    </row>
    <row r="184" spans="1:2" ht="14.25" customHeight="1" x14ac:dyDescent="0.25">
      <c r="A184" s="15"/>
      <c r="B184" s="16"/>
    </row>
    <row r="185" spans="1:2" ht="14.25" customHeight="1" x14ac:dyDescent="0.25">
      <c r="A185" s="15"/>
      <c r="B185" s="16"/>
    </row>
    <row r="186" spans="1:2" ht="14.25" customHeight="1" x14ac:dyDescent="0.25">
      <c r="A186" s="15"/>
      <c r="B186" s="16"/>
    </row>
    <row r="187" spans="1:2" ht="14.25" customHeight="1" x14ac:dyDescent="0.25">
      <c r="A187" s="15"/>
      <c r="B187" s="16"/>
    </row>
    <row r="188" spans="1:2" ht="14.25" customHeight="1" x14ac:dyDescent="0.25">
      <c r="A188" s="15"/>
      <c r="B188" s="16"/>
    </row>
    <row r="189" spans="1:2" ht="14.25" customHeight="1" x14ac:dyDescent="0.25">
      <c r="A189" s="15"/>
      <c r="B189" s="16"/>
    </row>
    <row r="190" spans="1:2" ht="14.25" customHeight="1" x14ac:dyDescent="0.25">
      <c r="A190" s="15"/>
      <c r="B190" s="16"/>
    </row>
    <row r="191" spans="1:2" ht="14.25" customHeight="1" x14ac:dyDescent="0.25">
      <c r="A191" s="15"/>
      <c r="B191" s="16"/>
    </row>
    <row r="192" spans="1:2" ht="14.25" customHeight="1" x14ac:dyDescent="0.25">
      <c r="A192" s="15"/>
      <c r="B192" s="16"/>
    </row>
    <row r="193" spans="1:2" ht="14.25" customHeight="1" x14ac:dyDescent="0.25">
      <c r="A193" s="15"/>
      <c r="B193" s="16"/>
    </row>
    <row r="194" spans="1:2" ht="14.25" customHeight="1" x14ac:dyDescent="0.25">
      <c r="A194" s="15"/>
      <c r="B194" s="16"/>
    </row>
    <row r="195" spans="1:2" ht="14.25" customHeight="1" x14ac:dyDescent="0.25">
      <c r="A195" s="15"/>
      <c r="B195" s="16"/>
    </row>
    <row r="196" spans="1:2" ht="14.25" customHeight="1" x14ac:dyDescent="0.25">
      <c r="A196" s="15"/>
      <c r="B196" s="16"/>
    </row>
    <row r="197" spans="1:2" ht="14.25" customHeight="1" x14ac:dyDescent="0.25">
      <c r="A197" s="15"/>
      <c r="B197" s="16"/>
    </row>
    <row r="198" spans="1:2" ht="14.25" customHeight="1" x14ac:dyDescent="0.25">
      <c r="A198" s="15"/>
      <c r="B198" s="16"/>
    </row>
    <row r="199" spans="1:2" ht="14.25" customHeight="1" x14ac:dyDescent="0.25">
      <c r="A199" s="15"/>
      <c r="B199" s="16"/>
    </row>
    <row r="200" spans="1:2" ht="14.25" customHeight="1" x14ac:dyDescent="0.25">
      <c r="A200" s="15"/>
      <c r="B200" s="16"/>
    </row>
    <row r="201" spans="1:2" ht="14.25" customHeight="1" x14ac:dyDescent="0.25">
      <c r="A201" s="15"/>
      <c r="B201" s="16"/>
    </row>
    <row r="202" spans="1:2" ht="14.25" customHeight="1" x14ac:dyDescent="0.25">
      <c r="A202" s="15"/>
      <c r="B202" s="16"/>
    </row>
    <row r="203" spans="1:2" ht="14.25" customHeight="1" x14ac:dyDescent="0.25">
      <c r="A203" s="15"/>
      <c r="B203" s="16"/>
    </row>
    <row r="204" spans="1:2" ht="14.25" customHeight="1" x14ac:dyDescent="0.25">
      <c r="A204" s="15"/>
      <c r="B204" s="16"/>
    </row>
    <row r="205" spans="1:2" ht="14.25" customHeight="1" x14ac:dyDescent="0.25">
      <c r="A205" s="15"/>
      <c r="B205" s="16"/>
    </row>
    <row r="206" spans="1:2" ht="14.25" customHeight="1" x14ac:dyDescent="0.25">
      <c r="A206" s="15"/>
      <c r="B206" s="16"/>
    </row>
    <row r="207" spans="1:2" ht="14.25" customHeight="1" x14ac:dyDescent="0.25">
      <c r="A207" s="15"/>
      <c r="B207" s="16"/>
    </row>
    <row r="208" spans="1:2" ht="14.25" customHeight="1" x14ac:dyDescent="0.25">
      <c r="A208" s="15"/>
      <c r="B208" s="16"/>
    </row>
    <row r="209" spans="1:2" ht="14.25" customHeight="1" x14ac:dyDescent="0.25">
      <c r="A209" s="15"/>
      <c r="B209" s="16"/>
    </row>
    <row r="210" spans="1:2" ht="14.25" customHeight="1" x14ac:dyDescent="0.25">
      <c r="A210" s="15"/>
      <c r="B210" s="16"/>
    </row>
    <row r="211" spans="1:2" ht="14.25" customHeight="1" x14ac:dyDescent="0.25">
      <c r="A211" s="15"/>
      <c r="B211" s="16"/>
    </row>
    <row r="212" spans="1:2" ht="14.25" customHeight="1" x14ac:dyDescent="0.25">
      <c r="A212" s="15"/>
      <c r="B212" s="16"/>
    </row>
    <row r="213" spans="1:2" ht="14.25" customHeight="1" x14ac:dyDescent="0.25">
      <c r="A213" s="15"/>
      <c r="B213" s="16"/>
    </row>
    <row r="214" spans="1:2" ht="14.25" customHeight="1" x14ac:dyDescent="0.25">
      <c r="A214" s="15"/>
      <c r="B214" s="16"/>
    </row>
    <row r="215" spans="1:2" ht="14.25" customHeight="1" x14ac:dyDescent="0.25">
      <c r="A215" s="15"/>
      <c r="B215" s="16"/>
    </row>
    <row r="216" spans="1:2" ht="14.25" customHeight="1" x14ac:dyDescent="0.25">
      <c r="A216" s="15"/>
      <c r="B216" s="16"/>
    </row>
    <row r="217" spans="1:2" ht="14.25" customHeight="1" x14ac:dyDescent="0.25">
      <c r="A217" s="15"/>
      <c r="B217" s="16"/>
    </row>
    <row r="218" spans="1:2" ht="14.25" customHeight="1" x14ac:dyDescent="0.25">
      <c r="A218" s="15"/>
      <c r="B218" s="16"/>
    </row>
    <row r="219" spans="1:2" ht="14.25" customHeight="1" x14ac:dyDescent="0.25">
      <c r="A219" s="15"/>
      <c r="B219" s="16"/>
    </row>
    <row r="220" spans="1:2" ht="14.25" customHeight="1" x14ac:dyDescent="0.25">
      <c r="A220" s="15"/>
      <c r="B220" s="16"/>
    </row>
    <row r="221" spans="1:2" ht="14.25" customHeight="1" x14ac:dyDescent="0.25">
      <c r="A221" s="15"/>
      <c r="B221" s="16"/>
    </row>
    <row r="222" spans="1:2" ht="14.25" customHeight="1" x14ac:dyDescent="0.25">
      <c r="A222" s="15"/>
      <c r="B222" s="16"/>
    </row>
    <row r="223" spans="1:2" ht="14.25" customHeight="1" x14ac:dyDescent="0.25">
      <c r="A223" s="15"/>
      <c r="B223" s="16"/>
    </row>
    <row r="224" spans="1:2" ht="14.25" customHeight="1" x14ac:dyDescent="0.25">
      <c r="A224" s="15"/>
      <c r="B224" s="16"/>
    </row>
    <row r="225" spans="1:2" ht="14.25" customHeight="1" x14ac:dyDescent="0.25">
      <c r="A225" s="15"/>
      <c r="B225" s="16"/>
    </row>
    <row r="226" spans="1:2" ht="14.25" customHeight="1" x14ac:dyDescent="0.25">
      <c r="A226" s="15"/>
      <c r="B226" s="16"/>
    </row>
    <row r="227" spans="1:2" ht="14.25" customHeight="1" x14ac:dyDescent="0.25">
      <c r="A227" s="15"/>
      <c r="B227" s="16"/>
    </row>
    <row r="228" spans="1:2" ht="14.25" customHeight="1" x14ac:dyDescent="0.25">
      <c r="A228" s="15"/>
      <c r="B228" s="16"/>
    </row>
    <row r="229" spans="1:2" ht="14.25" customHeight="1" x14ac:dyDescent="0.25">
      <c r="A229" s="15"/>
      <c r="B229" s="16"/>
    </row>
    <row r="230" spans="1:2" ht="14.25" customHeight="1" x14ac:dyDescent="0.25">
      <c r="A230" s="15"/>
      <c r="B230" s="16"/>
    </row>
    <row r="231" spans="1:2" ht="14.25" customHeight="1" x14ac:dyDescent="0.25">
      <c r="A231" s="15"/>
      <c r="B231" s="16"/>
    </row>
    <row r="232" spans="1:2" ht="14.25" customHeight="1" x14ac:dyDescent="0.25">
      <c r="A232" s="15"/>
      <c r="B232" s="16"/>
    </row>
    <row r="233" spans="1:2" ht="14.25" customHeight="1" x14ac:dyDescent="0.25">
      <c r="A233" s="15"/>
      <c r="B233" s="16"/>
    </row>
    <row r="234" spans="1:2" ht="14.25" customHeight="1" x14ac:dyDescent="0.25">
      <c r="A234" s="15"/>
      <c r="B234" s="16"/>
    </row>
    <row r="235" spans="1:2" ht="14.25" customHeight="1" x14ac:dyDescent="0.25">
      <c r="A235" s="15"/>
      <c r="B235" s="16"/>
    </row>
    <row r="236" spans="1:2" ht="14.25" customHeight="1" x14ac:dyDescent="0.25">
      <c r="A236" s="15"/>
      <c r="B236" s="16"/>
    </row>
    <row r="237" spans="1:2" ht="14.25" customHeight="1" x14ac:dyDescent="0.25">
      <c r="A237" s="15"/>
      <c r="B237" s="16"/>
    </row>
    <row r="238" spans="1:2" ht="14.25" customHeight="1" x14ac:dyDescent="0.25">
      <c r="A238" s="15"/>
      <c r="B238" s="16"/>
    </row>
    <row r="239" spans="1:2" ht="14.25" customHeight="1" x14ac:dyDescent="0.25">
      <c r="A239" s="15"/>
      <c r="B239" s="16"/>
    </row>
    <row r="240" spans="1:2" ht="14.25" customHeight="1" x14ac:dyDescent="0.25">
      <c r="A240" s="15"/>
      <c r="B240" s="16"/>
    </row>
    <row r="241" spans="1:2" ht="14.25" customHeight="1" x14ac:dyDescent="0.25">
      <c r="A241" s="15"/>
      <c r="B241" s="16"/>
    </row>
    <row r="242" spans="1:2" ht="14.25" customHeight="1" x14ac:dyDescent="0.25">
      <c r="A242" s="15"/>
      <c r="B242" s="16"/>
    </row>
    <row r="243" spans="1:2" ht="14.25" customHeight="1" x14ac:dyDescent="0.25">
      <c r="A243" s="15"/>
      <c r="B243" s="16"/>
    </row>
    <row r="244" spans="1:2" ht="14.25" customHeight="1" x14ac:dyDescent="0.25">
      <c r="A244" s="15"/>
      <c r="B244" s="16"/>
    </row>
    <row r="245" spans="1:2" ht="14.25" customHeight="1" x14ac:dyDescent="0.25">
      <c r="A245" s="15"/>
      <c r="B245" s="16"/>
    </row>
    <row r="246" spans="1:2" ht="14.25" customHeight="1" x14ac:dyDescent="0.25">
      <c r="A246" s="15"/>
      <c r="B246" s="16"/>
    </row>
    <row r="247" spans="1:2" ht="14.25" customHeight="1" x14ac:dyDescent="0.25">
      <c r="A247" s="15"/>
      <c r="B247" s="16"/>
    </row>
    <row r="248" spans="1:2" ht="14.25" customHeight="1" x14ac:dyDescent="0.25">
      <c r="A248" s="15"/>
      <c r="B248" s="16"/>
    </row>
    <row r="249" spans="1:2" ht="14.25" customHeight="1" x14ac:dyDescent="0.25">
      <c r="A249" s="15"/>
      <c r="B249" s="16"/>
    </row>
    <row r="250" spans="1:2" ht="14.25" customHeight="1" x14ac:dyDescent="0.25">
      <c r="A250" s="15"/>
      <c r="B250" s="16"/>
    </row>
    <row r="251" spans="1:2" ht="14.25" customHeight="1" x14ac:dyDescent="0.25">
      <c r="A251" s="15"/>
      <c r="B251" s="16"/>
    </row>
    <row r="252" spans="1:2" ht="14.25" customHeight="1" x14ac:dyDescent="0.25">
      <c r="A252" s="15"/>
      <c r="B252" s="16"/>
    </row>
    <row r="253" spans="1:2" ht="14.25" customHeight="1" x14ac:dyDescent="0.25">
      <c r="A253" s="15"/>
      <c r="B253" s="16"/>
    </row>
    <row r="254" spans="1:2" ht="14.25" customHeight="1" x14ac:dyDescent="0.25">
      <c r="A254" s="15"/>
      <c r="B254" s="16"/>
    </row>
    <row r="255" spans="1:2" ht="14.25" customHeight="1" x14ac:dyDescent="0.25">
      <c r="A255" s="15"/>
      <c r="B255" s="16"/>
    </row>
    <row r="256" spans="1:2" ht="14.25" customHeight="1" x14ac:dyDescent="0.25">
      <c r="A256" s="15"/>
      <c r="B256" s="16"/>
    </row>
    <row r="257" spans="1:2" ht="14.25" customHeight="1" x14ac:dyDescent="0.25">
      <c r="A257" s="15"/>
      <c r="B257" s="16"/>
    </row>
    <row r="258" spans="1:2" ht="14.25" customHeight="1" x14ac:dyDescent="0.25">
      <c r="A258" s="15"/>
      <c r="B258" s="16"/>
    </row>
    <row r="259" spans="1:2" ht="14.25" customHeight="1" x14ac:dyDescent="0.25">
      <c r="A259" s="15"/>
      <c r="B259" s="16"/>
    </row>
    <row r="260" spans="1:2" ht="14.25" customHeight="1" x14ac:dyDescent="0.25">
      <c r="A260" s="15"/>
      <c r="B260" s="16"/>
    </row>
    <row r="261" spans="1:2" ht="14.25" customHeight="1" x14ac:dyDescent="0.25">
      <c r="A261" s="15"/>
      <c r="B261" s="16"/>
    </row>
    <row r="262" spans="1:2" ht="14.25" customHeight="1" x14ac:dyDescent="0.25">
      <c r="A262" s="15"/>
      <c r="B262" s="16"/>
    </row>
    <row r="263" spans="1:2" ht="14.25" customHeight="1" x14ac:dyDescent="0.25">
      <c r="A263" s="15"/>
      <c r="B263" s="16"/>
    </row>
    <row r="264" spans="1:2" ht="14.25" customHeight="1" x14ac:dyDescent="0.25">
      <c r="A264" s="15"/>
      <c r="B264" s="16"/>
    </row>
    <row r="265" spans="1:2" ht="14.25" customHeight="1" x14ac:dyDescent="0.25">
      <c r="A265" s="15"/>
      <c r="B265" s="16"/>
    </row>
    <row r="266" spans="1:2" ht="14.25" customHeight="1" x14ac:dyDescent="0.25">
      <c r="A266" s="15"/>
      <c r="B266" s="16"/>
    </row>
    <row r="267" spans="1:2" ht="14.25" customHeight="1" x14ac:dyDescent="0.25">
      <c r="A267" s="15"/>
      <c r="B267" s="16"/>
    </row>
    <row r="268" spans="1:2" ht="14.25" customHeight="1" x14ac:dyDescent="0.25">
      <c r="A268" s="15"/>
      <c r="B268" s="16"/>
    </row>
    <row r="269" spans="1:2" ht="14.25" customHeight="1" x14ac:dyDescent="0.25">
      <c r="A269" s="15"/>
      <c r="B269" s="16"/>
    </row>
    <row r="270" spans="1:2" ht="14.25" customHeight="1" x14ac:dyDescent="0.25">
      <c r="A270" s="15"/>
      <c r="B270" s="16"/>
    </row>
    <row r="271" spans="1:2" ht="14.25" customHeight="1" x14ac:dyDescent="0.25">
      <c r="A271" s="15"/>
      <c r="B271" s="16"/>
    </row>
    <row r="272" spans="1:2" ht="14.25" customHeight="1" x14ac:dyDescent="0.25">
      <c r="A272" s="15"/>
      <c r="B272" s="16"/>
    </row>
    <row r="273" spans="1:2" ht="14.25" customHeight="1" x14ac:dyDescent="0.25">
      <c r="A273" s="15"/>
      <c r="B273" s="16"/>
    </row>
    <row r="274" spans="1:2" ht="14.25" customHeight="1" x14ac:dyDescent="0.25">
      <c r="A274" s="15"/>
      <c r="B274" s="16"/>
    </row>
    <row r="275" spans="1:2" ht="14.25" customHeight="1" x14ac:dyDescent="0.25">
      <c r="A275" s="15"/>
      <c r="B275" s="16"/>
    </row>
    <row r="276" spans="1:2" ht="14.25" customHeight="1" x14ac:dyDescent="0.25">
      <c r="A276" s="15"/>
      <c r="B276" s="16"/>
    </row>
    <row r="277" spans="1:2" ht="14.25" customHeight="1" x14ac:dyDescent="0.25">
      <c r="A277" s="15"/>
      <c r="B277" s="16"/>
    </row>
    <row r="278" spans="1:2" ht="14.25" customHeight="1" x14ac:dyDescent="0.25">
      <c r="A278" s="15"/>
      <c r="B278" s="16"/>
    </row>
    <row r="279" spans="1:2" ht="14.25" customHeight="1" x14ac:dyDescent="0.25">
      <c r="A279" s="15"/>
      <c r="B279" s="16"/>
    </row>
    <row r="280" spans="1:2" ht="14.25" customHeight="1" x14ac:dyDescent="0.25">
      <c r="A280" s="15"/>
      <c r="B280" s="16"/>
    </row>
    <row r="281" spans="1:2" ht="14.25" customHeight="1" x14ac:dyDescent="0.25">
      <c r="A281" s="15"/>
      <c r="B281" s="16"/>
    </row>
    <row r="282" spans="1:2" ht="14.25" customHeight="1" x14ac:dyDescent="0.25">
      <c r="A282" s="15"/>
      <c r="B282" s="16"/>
    </row>
    <row r="283" spans="1:2" ht="14.25" customHeight="1" x14ac:dyDescent="0.25">
      <c r="A283" s="15"/>
      <c r="B283" s="16"/>
    </row>
    <row r="284" spans="1:2" ht="14.25" customHeight="1" x14ac:dyDescent="0.25">
      <c r="A284" s="15"/>
      <c r="B284" s="16"/>
    </row>
    <row r="285" spans="1:2" ht="14.25" customHeight="1" x14ac:dyDescent="0.25">
      <c r="A285" s="15"/>
      <c r="B285" s="16"/>
    </row>
    <row r="286" spans="1:2" ht="14.25" customHeight="1" x14ac:dyDescent="0.25">
      <c r="A286" s="15"/>
      <c r="B286" s="16"/>
    </row>
    <row r="287" spans="1:2" ht="14.25" customHeight="1" x14ac:dyDescent="0.25">
      <c r="A287" s="15"/>
      <c r="B287" s="16"/>
    </row>
    <row r="288" spans="1:2" ht="14.25" customHeight="1" x14ac:dyDescent="0.25">
      <c r="A288" s="15"/>
      <c r="B288" s="16"/>
    </row>
    <row r="289" spans="1:2" ht="14.25" customHeight="1" x14ac:dyDescent="0.25">
      <c r="A289" s="15"/>
      <c r="B289" s="16"/>
    </row>
    <row r="290" spans="1:2" ht="14.25" customHeight="1" x14ac:dyDescent="0.25">
      <c r="A290" s="15"/>
      <c r="B290" s="16"/>
    </row>
    <row r="291" spans="1:2" ht="14.25" customHeight="1" x14ac:dyDescent="0.25">
      <c r="A291" s="15"/>
      <c r="B291" s="16"/>
    </row>
    <row r="292" spans="1:2" ht="14.25" customHeight="1" x14ac:dyDescent="0.25">
      <c r="A292" s="15"/>
      <c r="B292" s="16"/>
    </row>
    <row r="293" spans="1:2" ht="14.25" customHeight="1" x14ac:dyDescent="0.25">
      <c r="A293" s="15"/>
      <c r="B293" s="16"/>
    </row>
    <row r="294" spans="1:2" ht="14.25" customHeight="1" x14ac:dyDescent="0.25">
      <c r="A294" s="15"/>
      <c r="B294" s="16"/>
    </row>
    <row r="295" spans="1:2" ht="14.25" customHeight="1" x14ac:dyDescent="0.25">
      <c r="A295" s="15"/>
      <c r="B295" s="16"/>
    </row>
    <row r="296" spans="1:2" ht="14.25" customHeight="1" x14ac:dyDescent="0.25">
      <c r="A296" s="15"/>
      <c r="B296" s="16"/>
    </row>
    <row r="297" spans="1:2" ht="14.25" customHeight="1" x14ac:dyDescent="0.25">
      <c r="A297" s="15"/>
      <c r="B297" s="16"/>
    </row>
    <row r="298" spans="1:2" ht="14.25" customHeight="1" x14ac:dyDescent="0.25">
      <c r="A298" s="15"/>
      <c r="B298" s="16"/>
    </row>
    <row r="299" spans="1:2" ht="14.25" customHeight="1" x14ac:dyDescent="0.25">
      <c r="A299" s="15"/>
      <c r="B299" s="16"/>
    </row>
    <row r="300" spans="1:2" ht="14.25" customHeight="1" x14ac:dyDescent="0.25">
      <c r="A300" s="15"/>
      <c r="B300" s="16"/>
    </row>
    <row r="301" spans="1:2" ht="14.25" customHeight="1" x14ac:dyDescent="0.25">
      <c r="A301" s="15"/>
      <c r="B301" s="16"/>
    </row>
    <row r="302" spans="1:2" ht="14.25" customHeight="1" x14ac:dyDescent="0.25">
      <c r="A302" s="15"/>
      <c r="B302" s="16"/>
    </row>
    <row r="303" spans="1:2" ht="14.25" customHeight="1" x14ac:dyDescent="0.25">
      <c r="A303" s="15"/>
      <c r="B303" s="16"/>
    </row>
    <row r="304" spans="1:2" ht="14.25" customHeight="1" x14ac:dyDescent="0.25">
      <c r="A304" s="15"/>
      <c r="B304" s="16"/>
    </row>
    <row r="305" spans="1:2" ht="14.25" customHeight="1" x14ac:dyDescent="0.25">
      <c r="A305" s="15"/>
      <c r="B305" s="16"/>
    </row>
    <row r="306" spans="1:2" ht="14.25" customHeight="1" x14ac:dyDescent="0.25">
      <c r="A306" s="15"/>
      <c r="B306" s="16"/>
    </row>
    <row r="307" spans="1:2" ht="14.25" customHeight="1" x14ac:dyDescent="0.25">
      <c r="A307" s="15"/>
      <c r="B307" s="16"/>
    </row>
    <row r="308" spans="1:2" ht="14.25" customHeight="1" x14ac:dyDescent="0.25">
      <c r="A308" s="15"/>
      <c r="B308" s="16"/>
    </row>
    <row r="309" spans="1:2" ht="14.25" customHeight="1" x14ac:dyDescent="0.25">
      <c r="A309" s="15"/>
      <c r="B309" s="16"/>
    </row>
    <row r="310" spans="1:2" ht="14.25" customHeight="1" x14ac:dyDescent="0.25">
      <c r="A310" s="15"/>
      <c r="B310" s="16"/>
    </row>
    <row r="311" spans="1:2" ht="14.25" customHeight="1" x14ac:dyDescent="0.25">
      <c r="A311" s="15"/>
      <c r="B311" s="16"/>
    </row>
    <row r="312" spans="1:2" ht="14.25" customHeight="1" x14ac:dyDescent="0.25">
      <c r="A312" s="15"/>
      <c r="B312" s="16"/>
    </row>
    <row r="313" spans="1:2" ht="14.25" customHeight="1" x14ac:dyDescent="0.25">
      <c r="A313" s="15"/>
      <c r="B313" s="16"/>
    </row>
    <row r="314" spans="1:2" ht="14.25" customHeight="1" x14ac:dyDescent="0.25">
      <c r="A314" s="15"/>
      <c r="B314" s="16"/>
    </row>
    <row r="315" spans="1:2" ht="14.25" customHeight="1" x14ac:dyDescent="0.25">
      <c r="A315" s="15"/>
      <c r="B315" s="16"/>
    </row>
    <row r="316" spans="1:2" ht="14.25" customHeight="1" x14ac:dyDescent="0.25">
      <c r="A316" s="15"/>
      <c r="B316" s="16"/>
    </row>
    <row r="317" spans="1:2" ht="14.25" customHeight="1" x14ac:dyDescent="0.25">
      <c r="A317" s="15"/>
      <c r="B317" s="16"/>
    </row>
    <row r="318" spans="1:2" ht="14.25" customHeight="1" x14ac:dyDescent="0.25">
      <c r="A318" s="15"/>
      <c r="B318" s="16"/>
    </row>
    <row r="319" spans="1:2" ht="14.25" customHeight="1" x14ac:dyDescent="0.25">
      <c r="A319" s="15"/>
      <c r="B319" s="16"/>
    </row>
    <row r="320" spans="1:2" ht="14.25" customHeight="1" x14ac:dyDescent="0.25">
      <c r="A320" s="15"/>
      <c r="B320" s="16"/>
    </row>
    <row r="321" spans="1:2" ht="14.25" customHeight="1" x14ac:dyDescent="0.25">
      <c r="A321" s="15"/>
      <c r="B321" s="16"/>
    </row>
    <row r="322" spans="1:2" ht="14.25" customHeight="1" x14ac:dyDescent="0.25">
      <c r="A322" s="15"/>
      <c r="B322" s="16"/>
    </row>
    <row r="323" spans="1:2" ht="14.25" customHeight="1" x14ac:dyDescent="0.25">
      <c r="A323" s="15"/>
      <c r="B323" s="16"/>
    </row>
    <row r="324" spans="1:2" ht="14.25" customHeight="1" x14ac:dyDescent="0.25">
      <c r="A324" s="15"/>
      <c r="B324" s="16"/>
    </row>
    <row r="325" spans="1:2" ht="14.25" customHeight="1" x14ac:dyDescent="0.25">
      <c r="A325" s="15"/>
      <c r="B325" s="16"/>
    </row>
    <row r="326" spans="1:2" ht="14.25" customHeight="1" x14ac:dyDescent="0.25">
      <c r="A326" s="15"/>
      <c r="B326" s="16"/>
    </row>
    <row r="327" spans="1:2" ht="14.25" customHeight="1" x14ac:dyDescent="0.25">
      <c r="A327" s="15"/>
      <c r="B327" s="16"/>
    </row>
    <row r="328" spans="1:2" ht="14.25" customHeight="1" x14ac:dyDescent="0.25">
      <c r="A328" s="15"/>
      <c r="B328" s="16"/>
    </row>
    <row r="329" spans="1:2" ht="14.25" customHeight="1" x14ac:dyDescent="0.25">
      <c r="A329" s="15"/>
      <c r="B329" s="16"/>
    </row>
    <row r="330" spans="1:2" ht="14.25" customHeight="1" x14ac:dyDescent="0.25">
      <c r="A330" s="15"/>
      <c r="B330" s="16"/>
    </row>
    <row r="331" spans="1:2" ht="14.25" customHeight="1" x14ac:dyDescent="0.25">
      <c r="A331" s="15"/>
      <c r="B331" s="16"/>
    </row>
    <row r="332" spans="1:2" ht="14.25" customHeight="1" x14ac:dyDescent="0.25">
      <c r="A332" s="15"/>
      <c r="B332" s="16"/>
    </row>
    <row r="333" spans="1:2" ht="14.25" customHeight="1" x14ac:dyDescent="0.25">
      <c r="A333" s="15"/>
      <c r="B333" s="16"/>
    </row>
    <row r="334" spans="1:2" ht="14.25" customHeight="1" x14ac:dyDescent="0.25">
      <c r="A334" s="15"/>
      <c r="B334" s="16"/>
    </row>
    <row r="335" spans="1:2" ht="14.25" customHeight="1" x14ac:dyDescent="0.25">
      <c r="A335" s="15"/>
      <c r="B335" s="16"/>
    </row>
    <row r="336" spans="1:2" ht="14.25" customHeight="1" x14ac:dyDescent="0.25">
      <c r="A336" s="15"/>
      <c r="B336" s="16"/>
    </row>
    <row r="337" spans="1:2" ht="14.25" customHeight="1" x14ac:dyDescent="0.25">
      <c r="A337" s="15"/>
      <c r="B337" s="16"/>
    </row>
    <row r="338" spans="1:2" ht="14.25" customHeight="1" x14ac:dyDescent="0.25">
      <c r="A338" s="15"/>
      <c r="B338" s="16"/>
    </row>
    <row r="339" spans="1:2" ht="14.25" customHeight="1" x14ac:dyDescent="0.25">
      <c r="A339" s="15"/>
      <c r="B339" s="16"/>
    </row>
    <row r="340" spans="1:2" ht="14.25" customHeight="1" x14ac:dyDescent="0.25">
      <c r="A340" s="15"/>
      <c r="B340" s="16"/>
    </row>
    <row r="341" spans="1:2" ht="14.25" customHeight="1" x14ac:dyDescent="0.25">
      <c r="A341" s="15"/>
      <c r="B341" s="16"/>
    </row>
    <row r="342" spans="1:2" ht="14.25" customHeight="1" x14ac:dyDescent="0.25">
      <c r="A342" s="15"/>
      <c r="B342" s="16"/>
    </row>
    <row r="343" spans="1:2" ht="14.25" customHeight="1" x14ac:dyDescent="0.25">
      <c r="A343" s="15"/>
      <c r="B343" s="16"/>
    </row>
    <row r="344" spans="1:2" ht="14.25" customHeight="1" x14ac:dyDescent="0.25">
      <c r="A344" s="15"/>
      <c r="B344" s="16"/>
    </row>
    <row r="345" spans="1:2" ht="14.25" customHeight="1" x14ac:dyDescent="0.25">
      <c r="A345" s="15"/>
      <c r="B345" s="16"/>
    </row>
    <row r="346" spans="1:2" ht="14.25" customHeight="1" x14ac:dyDescent="0.25">
      <c r="A346" s="15"/>
      <c r="B346" s="16"/>
    </row>
    <row r="347" spans="1:2" ht="14.25" customHeight="1" x14ac:dyDescent="0.25">
      <c r="A347" s="15"/>
      <c r="B347" s="16"/>
    </row>
    <row r="348" spans="1:2" ht="14.25" customHeight="1" x14ac:dyDescent="0.25">
      <c r="A348" s="15"/>
      <c r="B348" s="16"/>
    </row>
    <row r="349" spans="1:2" ht="14.25" customHeight="1" x14ac:dyDescent="0.25">
      <c r="A349" s="15"/>
      <c r="B349" s="16"/>
    </row>
    <row r="350" spans="1:2" ht="14.25" customHeight="1" x14ac:dyDescent="0.25">
      <c r="A350" s="15"/>
      <c r="B350" s="16"/>
    </row>
    <row r="351" spans="1:2" ht="14.25" customHeight="1" x14ac:dyDescent="0.25">
      <c r="A351" s="15"/>
      <c r="B351" s="16"/>
    </row>
    <row r="352" spans="1:2" ht="14.25" customHeight="1" x14ac:dyDescent="0.25">
      <c r="A352" s="15"/>
      <c r="B352" s="16"/>
    </row>
    <row r="353" spans="1:2" ht="14.25" customHeight="1" x14ac:dyDescent="0.25">
      <c r="A353" s="15"/>
      <c r="B353" s="16"/>
    </row>
    <row r="354" spans="1:2" ht="14.25" customHeight="1" x14ac:dyDescent="0.25">
      <c r="A354" s="15"/>
      <c r="B354" s="16"/>
    </row>
    <row r="355" spans="1:2" ht="14.25" customHeight="1" x14ac:dyDescent="0.25">
      <c r="A355" s="15"/>
      <c r="B355" s="16"/>
    </row>
    <row r="356" spans="1:2" ht="14.25" customHeight="1" x14ac:dyDescent="0.25">
      <c r="A356" s="15"/>
      <c r="B356" s="16"/>
    </row>
    <row r="357" spans="1:2" ht="14.25" customHeight="1" x14ac:dyDescent="0.25">
      <c r="A357" s="15"/>
      <c r="B357" s="16"/>
    </row>
    <row r="358" spans="1:2" ht="14.25" customHeight="1" x14ac:dyDescent="0.25">
      <c r="A358" s="15"/>
      <c r="B358" s="16"/>
    </row>
    <row r="359" spans="1:2" ht="14.25" customHeight="1" x14ac:dyDescent="0.25">
      <c r="A359" s="15"/>
      <c r="B359" s="16"/>
    </row>
    <row r="360" spans="1:2" ht="14.25" customHeight="1" x14ac:dyDescent="0.25">
      <c r="A360" s="15"/>
      <c r="B360" s="16"/>
    </row>
    <row r="361" spans="1:2" ht="14.25" customHeight="1" x14ac:dyDescent="0.25">
      <c r="A361" s="15"/>
      <c r="B361" s="16"/>
    </row>
    <row r="362" spans="1:2" ht="14.25" customHeight="1" x14ac:dyDescent="0.25">
      <c r="A362" s="15"/>
      <c r="B362" s="16"/>
    </row>
    <row r="363" spans="1:2" ht="14.25" customHeight="1" x14ac:dyDescent="0.25">
      <c r="A363" s="15"/>
      <c r="B363" s="16"/>
    </row>
    <row r="364" spans="1:2" ht="14.25" customHeight="1" x14ac:dyDescent="0.25">
      <c r="A364" s="15"/>
      <c r="B364" s="16"/>
    </row>
    <row r="365" spans="1:2" ht="14.25" customHeight="1" x14ac:dyDescent="0.25">
      <c r="A365" s="15"/>
      <c r="B365" s="16"/>
    </row>
    <row r="366" spans="1:2" ht="14.25" customHeight="1" x14ac:dyDescent="0.25">
      <c r="A366" s="15"/>
      <c r="B366" s="16"/>
    </row>
    <row r="367" spans="1:2" ht="14.25" customHeight="1" x14ac:dyDescent="0.25">
      <c r="A367" s="15"/>
      <c r="B367" s="16"/>
    </row>
    <row r="368" spans="1:2" ht="14.25" customHeight="1" x14ac:dyDescent="0.25">
      <c r="A368" s="15"/>
      <c r="B368" s="16"/>
    </row>
    <row r="369" spans="1:2" ht="14.25" customHeight="1" x14ac:dyDescent="0.25">
      <c r="A369" s="15"/>
      <c r="B369" s="16"/>
    </row>
    <row r="370" spans="1:2" ht="14.25" customHeight="1" x14ac:dyDescent="0.25">
      <c r="A370" s="15"/>
      <c r="B370" s="16"/>
    </row>
    <row r="371" spans="1:2" ht="14.25" customHeight="1" x14ac:dyDescent="0.25">
      <c r="A371" s="15"/>
      <c r="B371" s="16"/>
    </row>
    <row r="372" spans="1:2" ht="14.25" customHeight="1" x14ac:dyDescent="0.25">
      <c r="A372" s="15"/>
      <c r="B372" s="16"/>
    </row>
    <row r="373" spans="1:2" ht="14.25" customHeight="1" x14ac:dyDescent="0.25">
      <c r="A373" s="15"/>
      <c r="B373" s="16"/>
    </row>
    <row r="374" spans="1:2" ht="14.25" customHeight="1" x14ac:dyDescent="0.25">
      <c r="A374" s="15"/>
      <c r="B374" s="16"/>
    </row>
    <row r="375" spans="1:2" ht="14.25" customHeight="1" x14ac:dyDescent="0.25">
      <c r="A375" s="15"/>
      <c r="B375" s="16"/>
    </row>
    <row r="376" spans="1:2" ht="14.25" customHeight="1" x14ac:dyDescent="0.25">
      <c r="A376" s="15"/>
      <c r="B376" s="16"/>
    </row>
    <row r="377" spans="1:2" ht="14.25" customHeight="1" x14ac:dyDescent="0.25">
      <c r="A377" s="15"/>
      <c r="B377" s="16"/>
    </row>
    <row r="378" spans="1:2" ht="14.25" customHeight="1" x14ac:dyDescent="0.25">
      <c r="A378" s="15"/>
      <c r="B378" s="16"/>
    </row>
    <row r="379" spans="1:2" ht="14.25" customHeight="1" x14ac:dyDescent="0.25">
      <c r="A379" s="15"/>
      <c r="B379" s="16"/>
    </row>
    <row r="380" spans="1:2" ht="14.25" customHeight="1" x14ac:dyDescent="0.25">
      <c r="A380" s="15"/>
      <c r="B380" s="16"/>
    </row>
    <row r="381" spans="1:2" ht="14.25" customHeight="1" x14ac:dyDescent="0.25">
      <c r="A381" s="15"/>
      <c r="B381" s="16"/>
    </row>
    <row r="382" spans="1:2" ht="14.25" customHeight="1" x14ac:dyDescent="0.25">
      <c r="A382" s="15"/>
      <c r="B382" s="16"/>
    </row>
    <row r="383" spans="1:2" ht="14.25" customHeight="1" x14ac:dyDescent="0.25">
      <c r="A383" s="15"/>
      <c r="B383" s="16"/>
    </row>
    <row r="384" spans="1:2" ht="14.25" customHeight="1" x14ac:dyDescent="0.25">
      <c r="A384" s="15"/>
      <c r="B384" s="16"/>
    </row>
    <row r="385" spans="1:2" ht="14.25" customHeight="1" x14ac:dyDescent="0.25">
      <c r="A385" s="15"/>
      <c r="B385" s="16"/>
    </row>
    <row r="386" spans="1:2" ht="14.25" customHeight="1" x14ac:dyDescent="0.25">
      <c r="A386" s="15"/>
      <c r="B386" s="16"/>
    </row>
    <row r="387" spans="1:2" ht="14.25" customHeight="1" x14ac:dyDescent="0.25">
      <c r="A387" s="15"/>
      <c r="B387" s="16"/>
    </row>
    <row r="388" spans="1:2" ht="14.25" customHeight="1" x14ac:dyDescent="0.25">
      <c r="A388" s="15"/>
      <c r="B388" s="16"/>
    </row>
    <row r="389" spans="1:2" ht="14.25" customHeight="1" x14ac:dyDescent="0.25">
      <c r="A389" s="15"/>
      <c r="B389" s="16"/>
    </row>
    <row r="390" spans="1:2" ht="14.25" customHeight="1" x14ac:dyDescent="0.25">
      <c r="A390" s="15"/>
      <c r="B390" s="16"/>
    </row>
    <row r="391" spans="1:2" ht="14.25" customHeight="1" x14ac:dyDescent="0.25">
      <c r="A391" s="15"/>
      <c r="B391" s="16"/>
    </row>
    <row r="392" spans="1:2" ht="14.25" customHeight="1" x14ac:dyDescent="0.25">
      <c r="A392" s="15"/>
      <c r="B392" s="16"/>
    </row>
    <row r="393" spans="1:2" ht="14.25" customHeight="1" x14ac:dyDescent="0.25">
      <c r="A393" s="15"/>
      <c r="B393" s="16"/>
    </row>
    <row r="394" spans="1:2" ht="14.25" customHeight="1" x14ac:dyDescent="0.25">
      <c r="A394" s="15"/>
      <c r="B394" s="16"/>
    </row>
    <row r="395" spans="1:2" ht="14.25" customHeight="1" x14ac:dyDescent="0.25">
      <c r="A395" s="15"/>
      <c r="B395" s="16"/>
    </row>
    <row r="396" spans="1:2" ht="14.25" customHeight="1" x14ac:dyDescent="0.25">
      <c r="A396" s="15"/>
      <c r="B396" s="16"/>
    </row>
    <row r="397" spans="1:2" ht="14.25" customHeight="1" x14ac:dyDescent="0.25">
      <c r="A397" s="15"/>
      <c r="B397" s="16"/>
    </row>
    <row r="398" spans="1:2" ht="14.25" customHeight="1" x14ac:dyDescent="0.25">
      <c r="A398" s="15"/>
      <c r="B398" s="16"/>
    </row>
    <row r="399" spans="1:2" ht="14.25" customHeight="1" x14ac:dyDescent="0.25">
      <c r="A399" s="15"/>
      <c r="B399" s="16"/>
    </row>
    <row r="400" spans="1:2" ht="14.25" customHeight="1" x14ac:dyDescent="0.25">
      <c r="A400" s="15"/>
      <c r="B400" s="16"/>
    </row>
    <row r="401" spans="1:2" ht="14.25" customHeight="1" x14ac:dyDescent="0.25">
      <c r="A401" s="15"/>
      <c r="B401" s="16"/>
    </row>
    <row r="402" spans="1:2" ht="14.25" customHeight="1" x14ac:dyDescent="0.25">
      <c r="A402" s="15"/>
      <c r="B402" s="16"/>
    </row>
    <row r="403" spans="1:2" ht="14.25" customHeight="1" x14ac:dyDescent="0.25">
      <c r="A403" s="15"/>
      <c r="B403" s="16"/>
    </row>
    <row r="404" spans="1:2" ht="14.25" customHeight="1" x14ac:dyDescent="0.25">
      <c r="A404" s="15"/>
      <c r="B404" s="16"/>
    </row>
    <row r="405" spans="1:2" ht="14.25" customHeight="1" x14ac:dyDescent="0.25">
      <c r="A405" s="15"/>
      <c r="B405" s="16"/>
    </row>
    <row r="406" spans="1:2" ht="14.25" customHeight="1" x14ac:dyDescent="0.25">
      <c r="A406" s="15"/>
      <c r="B406" s="16"/>
    </row>
    <row r="407" spans="1:2" ht="14.25" customHeight="1" x14ac:dyDescent="0.25">
      <c r="A407" s="15"/>
      <c r="B407" s="16"/>
    </row>
    <row r="408" spans="1:2" ht="14.25" customHeight="1" x14ac:dyDescent="0.25">
      <c r="A408" s="15"/>
      <c r="B408" s="16"/>
    </row>
    <row r="409" spans="1:2" ht="14.25" customHeight="1" x14ac:dyDescent="0.25">
      <c r="A409" s="15"/>
      <c r="B409" s="16"/>
    </row>
    <row r="410" spans="1:2" ht="14.25" customHeight="1" x14ac:dyDescent="0.25">
      <c r="A410" s="15"/>
      <c r="B410" s="16"/>
    </row>
    <row r="411" spans="1:2" ht="14.25" customHeight="1" x14ac:dyDescent="0.25">
      <c r="A411" s="15"/>
      <c r="B411" s="16"/>
    </row>
    <row r="412" spans="1:2" ht="14.25" customHeight="1" x14ac:dyDescent="0.25">
      <c r="A412" s="15"/>
      <c r="B412" s="16"/>
    </row>
    <row r="413" spans="1:2" ht="14.25" customHeight="1" x14ac:dyDescent="0.25">
      <c r="A413" s="15"/>
      <c r="B413" s="16"/>
    </row>
    <row r="414" spans="1:2" ht="14.25" customHeight="1" x14ac:dyDescent="0.25">
      <c r="A414" s="15"/>
      <c r="B414" s="16"/>
    </row>
    <row r="415" spans="1:2" ht="14.25" customHeight="1" x14ac:dyDescent="0.25">
      <c r="A415" s="15"/>
      <c r="B415" s="16"/>
    </row>
    <row r="416" spans="1:2" ht="14.25" customHeight="1" x14ac:dyDescent="0.25">
      <c r="A416" s="15"/>
      <c r="B416" s="16"/>
    </row>
    <row r="417" spans="1:2" ht="14.25" customHeight="1" x14ac:dyDescent="0.25">
      <c r="A417" s="15"/>
      <c r="B417" s="16"/>
    </row>
    <row r="418" spans="1:2" ht="14.25" customHeight="1" x14ac:dyDescent="0.25">
      <c r="A418" s="15"/>
      <c r="B418" s="16"/>
    </row>
    <row r="419" spans="1:2" ht="14.25" customHeight="1" x14ac:dyDescent="0.25">
      <c r="A419" s="15"/>
      <c r="B419" s="16"/>
    </row>
    <row r="420" spans="1:2" ht="14.25" customHeight="1" x14ac:dyDescent="0.25">
      <c r="A420" s="15"/>
      <c r="B420" s="16"/>
    </row>
    <row r="421" spans="1:2" ht="14.25" customHeight="1" x14ac:dyDescent="0.25">
      <c r="A421" s="15"/>
      <c r="B421" s="16"/>
    </row>
    <row r="422" spans="1:2" ht="14.25" customHeight="1" x14ac:dyDescent="0.25">
      <c r="A422" s="15"/>
      <c r="B422" s="16"/>
    </row>
    <row r="423" spans="1:2" ht="14.25" customHeight="1" x14ac:dyDescent="0.25">
      <c r="A423" s="15"/>
      <c r="B423" s="16"/>
    </row>
    <row r="424" spans="1:2" ht="14.25" customHeight="1" x14ac:dyDescent="0.25">
      <c r="A424" s="15"/>
      <c r="B424" s="16"/>
    </row>
    <row r="425" spans="1:2" ht="14.25" customHeight="1" x14ac:dyDescent="0.25">
      <c r="A425" s="15"/>
      <c r="B425" s="16"/>
    </row>
    <row r="426" spans="1:2" ht="14.25" customHeight="1" x14ac:dyDescent="0.25">
      <c r="A426" s="15"/>
      <c r="B426" s="16"/>
    </row>
    <row r="427" spans="1:2" ht="14.25" customHeight="1" x14ac:dyDescent="0.25">
      <c r="A427" s="15"/>
      <c r="B427" s="16"/>
    </row>
    <row r="428" spans="1:2" ht="14.25" customHeight="1" x14ac:dyDescent="0.25">
      <c r="A428" s="15"/>
      <c r="B428" s="16"/>
    </row>
    <row r="429" spans="1:2" ht="14.25" customHeight="1" x14ac:dyDescent="0.25">
      <c r="A429" s="15"/>
      <c r="B429" s="16"/>
    </row>
    <row r="430" spans="1:2" ht="14.25" customHeight="1" x14ac:dyDescent="0.25">
      <c r="A430" s="15"/>
      <c r="B430" s="16"/>
    </row>
    <row r="431" spans="1:2" ht="14.25" customHeight="1" x14ac:dyDescent="0.25">
      <c r="A431" s="15"/>
      <c r="B431" s="16"/>
    </row>
    <row r="432" spans="1:2" ht="14.25" customHeight="1" x14ac:dyDescent="0.25">
      <c r="A432" s="15"/>
      <c r="B432" s="16"/>
    </row>
    <row r="433" spans="1:2" ht="14.25" customHeight="1" x14ac:dyDescent="0.25">
      <c r="A433" s="15"/>
      <c r="B433" s="16"/>
    </row>
    <row r="434" spans="1:2" ht="14.25" customHeight="1" x14ac:dyDescent="0.25">
      <c r="A434" s="15"/>
      <c r="B434" s="16"/>
    </row>
    <row r="435" spans="1:2" ht="14.25" customHeight="1" x14ac:dyDescent="0.25">
      <c r="A435" s="15"/>
      <c r="B435" s="16"/>
    </row>
    <row r="436" spans="1:2" ht="14.25" customHeight="1" x14ac:dyDescent="0.25">
      <c r="A436" s="15"/>
      <c r="B436" s="16"/>
    </row>
    <row r="437" spans="1:2" ht="14.25" customHeight="1" x14ac:dyDescent="0.25">
      <c r="A437" s="15"/>
      <c r="B437" s="16"/>
    </row>
    <row r="438" spans="1:2" ht="14.25" customHeight="1" x14ac:dyDescent="0.25">
      <c r="A438" s="15"/>
      <c r="B438" s="16"/>
    </row>
    <row r="439" spans="1:2" ht="14.25" customHeight="1" x14ac:dyDescent="0.25">
      <c r="A439" s="15"/>
      <c r="B439" s="16"/>
    </row>
    <row r="440" spans="1:2" ht="14.25" customHeight="1" x14ac:dyDescent="0.25">
      <c r="A440" s="15"/>
      <c r="B440" s="16"/>
    </row>
    <row r="441" spans="1:2" ht="14.25" customHeight="1" x14ac:dyDescent="0.25">
      <c r="A441" s="15"/>
      <c r="B441" s="16"/>
    </row>
    <row r="442" spans="1:2" ht="14.25" customHeight="1" x14ac:dyDescent="0.25">
      <c r="A442" s="15"/>
      <c r="B442" s="16"/>
    </row>
    <row r="443" spans="1:2" ht="14.25" customHeight="1" x14ac:dyDescent="0.25">
      <c r="A443" s="15"/>
      <c r="B443" s="16"/>
    </row>
    <row r="444" spans="1:2" ht="14.25" customHeight="1" x14ac:dyDescent="0.25">
      <c r="A444" s="15"/>
      <c r="B444" s="16"/>
    </row>
    <row r="445" spans="1:2" ht="14.25" customHeight="1" x14ac:dyDescent="0.25">
      <c r="A445" s="15"/>
      <c r="B445" s="16"/>
    </row>
    <row r="446" spans="1:2" ht="14.25" customHeight="1" x14ac:dyDescent="0.25">
      <c r="A446" s="15"/>
      <c r="B446" s="16"/>
    </row>
    <row r="447" spans="1:2" ht="14.25" customHeight="1" x14ac:dyDescent="0.25">
      <c r="A447" s="15"/>
      <c r="B447" s="16"/>
    </row>
    <row r="448" spans="1:2" ht="14.25" customHeight="1" x14ac:dyDescent="0.25">
      <c r="A448" s="15"/>
      <c r="B448" s="16"/>
    </row>
    <row r="449" spans="1:2" ht="14.25" customHeight="1" x14ac:dyDescent="0.25">
      <c r="A449" s="15"/>
      <c r="B449" s="16"/>
    </row>
    <row r="450" spans="1:2" ht="14.25" customHeight="1" x14ac:dyDescent="0.25">
      <c r="A450" s="15"/>
      <c r="B450" s="16"/>
    </row>
    <row r="451" spans="1:2" ht="14.25" customHeight="1" x14ac:dyDescent="0.25">
      <c r="A451" s="15"/>
      <c r="B451" s="16"/>
    </row>
    <row r="452" spans="1:2" ht="14.25" customHeight="1" x14ac:dyDescent="0.25">
      <c r="A452" s="15"/>
      <c r="B452" s="16"/>
    </row>
    <row r="453" spans="1:2" ht="14.25" customHeight="1" x14ac:dyDescent="0.25">
      <c r="A453" s="15"/>
      <c r="B453" s="16"/>
    </row>
    <row r="454" spans="1:2" ht="14.25" customHeight="1" x14ac:dyDescent="0.25">
      <c r="A454" s="15"/>
      <c r="B454" s="16"/>
    </row>
    <row r="455" spans="1:2" ht="14.25" customHeight="1" x14ac:dyDescent="0.25">
      <c r="A455" s="15"/>
      <c r="B455" s="16"/>
    </row>
    <row r="456" spans="1:2" ht="14.25" customHeight="1" x14ac:dyDescent="0.25">
      <c r="A456" s="15"/>
      <c r="B456" s="16"/>
    </row>
    <row r="457" spans="1:2" ht="14.25" customHeight="1" x14ac:dyDescent="0.25">
      <c r="A457" s="15"/>
      <c r="B457" s="16"/>
    </row>
    <row r="458" spans="1:2" ht="14.25" customHeight="1" x14ac:dyDescent="0.25">
      <c r="A458" s="15"/>
      <c r="B458" s="16"/>
    </row>
    <row r="459" spans="1:2" ht="14.25" customHeight="1" x14ac:dyDescent="0.25">
      <c r="A459" s="15"/>
      <c r="B459" s="16"/>
    </row>
    <row r="460" spans="1:2" ht="14.25" customHeight="1" x14ac:dyDescent="0.25">
      <c r="A460" s="15"/>
      <c r="B460" s="16"/>
    </row>
    <row r="461" spans="1:2" ht="14.25" customHeight="1" x14ac:dyDescent="0.25">
      <c r="A461" s="15"/>
      <c r="B461" s="16"/>
    </row>
    <row r="462" spans="1:2" ht="14.25" customHeight="1" x14ac:dyDescent="0.25">
      <c r="A462" s="15"/>
      <c r="B462" s="16"/>
    </row>
    <row r="463" spans="1:2" ht="14.25" customHeight="1" x14ac:dyDescent="0.25">
      <c r="A463" s="15"/>
      <c r="B463" s="16"/>
    </row>
    <row r="464" spans="1:2" ht="14.25" customHeight="1" x14ac:dyDescent="0.25">
      <c r="A464" s="15"/>
      <c r="B464" s="16"/>
    </row>
    <row r="465" spans="1:2" ht="14.25" customHeight="1" x14ac:dyDescent="0.25">
      <c r="A465" s="15"/>
      <c r="B465" s="16"/>
    </row>
    <row r="466" spans="1:2" ht="14.25" customHeight="1" x14ac:dyDescent="0.25">
      <c r="A466" s="15"/>
      <c r="B466" s="16"/>
    </row>
    <row r="467" spans="1:2" ht="14.25" customHeight="1" x14ac:dyDescent="0.25">
      <c r="A467" s="15"/>
      <c r="B467" s="16"/>
    </row>
    <row r="468" spans="1:2" ht="14.25" customHeight="1" x14ac:dyDescent="0.25">
      <c r="A468" s="15"/>
      <c r="B468" s="16"/>
    </row>
    <row r="469" spans="1:2" ht="14.25" customHeight="1" x14ac:dyDescent="0.25">
      <c r="A469" s="15"/>
      <c r="B469" s="16"/>
    </row>
    <row r="470" spans="1:2" ht="14.25" customHeight="1" x14ac:dyDescent="0.25">
      <c r="A470" s="15"/>
      <c r="B470" s="16"/>
    </row>
    <row r="471" spans="1:2" ht="14.25" customHeight="1" x14ac:dyDescent="0.25">
      <c r="A471" s="15"/>
      <c r="B471" s="16"/>
    </row>
    <row r="472" spans="1:2" ht="14.25" customHeight="1" x14ac:dyDescent="0.25">
      <c r="A472" s="15"/>
      <c r="B472" s="16"/>
    </row>
    <row r="473" spans="1:2" ht="14.25" customHeight="1" x14ac:dyDescent="0.25">
      <c r="A473" s="15"/>
      <c r="B473" s="16"/>
    </row>
    <row r="474" spans="1:2" ht="14.25" customHeight="1" x14ac:dyDescent="0.25">
      <c r="A474" s="15"/>
      <c r="B474" s="16"/>
    </row>
    <row r="475" spans="1:2" ht="14.25" customHeight="1" x14ac:dyDescent="0.25">
      <c r="A475" s="15"/>
      <c r="B475" s="16"/>
    </row>
    <row r="476" spans="1:2" ht="14.25" customHeight="1" x14ac:dyDescent="0.25">
      <c r="A476" s="15"/>
      <c r="B476" s="16"/>
    </row>
    <row r="477" spans="1:2" ht="14.25" customHeight="1" x14ac:dyDescent="0.25">
      <c r="A477" s="15"/>
      <c r="B477" s="16"/>
    </row>
    <row r="478" spans="1:2" ht="14.25" customHeight="1" x14ac:dyDescent="0.25">
      <c r="A478" s="15"/>
      <c r="B478" s="16"/>
    </row>
    <row r="479" spans="1:2" ht="14.25" customHeight="1" x14ac:dyDescent="0.25">
      <c r="A479" s="15"/>
      <c r="B479" s="16"/>
    </row>
    <row r="480" spans="1:2" ht="14.25" customHeight="1" x14ac:dyDescent="0.25">
      <c r="A480" s="15"/>
      <c r="B480" s="16"/>
    </row>
    <row r="481" spans="1:2" ht="14.25" customHeight="1" x14ac:dyDescent="0.25">
      <c r="A481" s="15"/>
      <c r="B481" s="16"/>
    </row>
    <row r="482" spans="1:2" ht="14.25" customHeight="1" x14ac:dyDescent="0.25">
      <c r="A482" s="15"/>
      <c r="B482" s="16"/>
    </row>
    <row r="483" spans="1:2" ht="14.25" customHeight="1" x14ac:dyDescent="0.25">
      <c r="A483" s="15"/>
      <c r="B483" s="16"/>
    </row>
    <row r="484" spans="1:2" ht="14.25" customHeight="1" x14ac:dyDescent="0.25">
      <c r="A484" s="15"/>
      <c r="B484" s="16"/>
    </row>
    <row r="485" spans="1:2" ht="14.25" customHeight="1" x14ac:dyDescent="0.25">
      <c r="A485" s="15"/>
      <c r="B485" s="16"/>
    </row>
    <row r="486" spans="1:2" ht="14.25" customHeight="1" x14ac:dyDescent="0.25">
      <c r="A486" s="15"/>
      <c r="B486" s="16"/>
    </row>
    <row r="487" spans="1:2" ht="14.25" customHeight="1" x14ac:dyDescent="0.25">
      <c r="A487" s="15"/>
      <c r="B487" s="16"/>
    </row>
    <row r="488" spans="1:2" ht="14.25" customHeight="1" x14ac:dyDescent="0.25">
      <c r="A488" s="15"/>
      <c r="B488" s="16"/>
    </row>
    <row r="489" spans="1:2" ht="14.25" customHeight="1" x14ac:dyDescent="0.25">
      <c r="A489" s="15"/>
      <c r="B489" s="16"/>
    </row>
    <row r="490" spans="1:2" ht="14.25" customHeight="1" x14ac:dyDescent="0.25">
      <c r="A490" s="15"/>
      <c r="B490" s="16"/>
    </row>
    <row r="491" spans="1:2" ht="14.25" customHeight="1" x14ac:dyDescent="0.25">
      <c r="A491" s="15"/>
      <c r="B491" s="16"/>
    </row>
    <row r="492" spans="1:2" ht="14.25" customHeight="1" x14ac:dyDescent="0.25">
      <c r="A492" s="15"/>
      <c r="B492" s="16"/>
    </row>
    <row r="493" spans="1:2" ht="14.25" customHeight="1" x14ac:dyDescent="0.25">
      <c r="A493" s="15"/>
      <c r="B493" s="16"/>
    </row>
    <row r="494" spans="1:2" ht="14.25" customHeight="1" x14ac:dyDescent="0.25">
      <c r="A494" s="15"/>
      <c r="B494" s="16"/>
    </row>
    <row r="495" spans="1:2" ht="14.25" customHeight="1" x14ac:dyDescent="0.25">
      <c r="A495" s="15"/>
      <c r="B495" s="16"/>
    </row>
    <row r="496" spans="1:2" ht="14.25" customHeight="1" x14ac:dyDescent="0.25">
      <c r="A496" s="15"/>
      <c r="B496" s="16"/>
    </row>
    <row r="497" spans="1:2" ht="14.25" customHeight="1" x14ac:dyDescent="0.25">
      <c r="A497" s="15"/>
      <c r="B497" s="16"/>
    </row>
    <row r="498" spans="1:2" ht="14.25" customHeight="1" x14ac:dyDescent="0.25">
      <c r="A498" s="15"/>
      <c r="B498" s="16"/>
    </row>
    <row r="499" spans="1:2" ht="14.25" customHeight="1" x14ac:dyDescent="0.25">
      <c r="A499" s="15"/>
      <c r="B499" s="16"/>
    </row>
    <row r="500" spans="1:2" ht="14.25" customHeight="1" x14ac:dyDescent="0.25">
      <c r="A500" s="15"/>
      <c r="B500" s="16"/>
    </row>
    <row r="501" spans="1:2" ht="14.25" customHeight="1" x14ac:dyDescent="0.25">
      <c r="A501" s="15"/>
      <c r="B501" s="16"/>
    </row>
    <row r="502" spans="1:2" ht="14.25" customHeight="1" x14ac:dyDescent="0.25">
      <c r="A502" s="15"/>
      <c r="B502" s="16"/>
    </row>
    <row r="503" spans="1:2" ht="14.25" customHeight="1" x14ac:dyDescent="0.25">
      <c r="A503" s="15"/>
      <c r="B503" s="16"/>
    </row>
    <row r="504" spans="1:2" ht="14.25" customHeight="1" x14ac:dyDescent="0.25">
      <c r="A504" s="15"/>
      <c r="B504" s="16"/>
    </row>
    <row r="505" spans="1:2" ht="14.25" customHeight="1" x14ac:dyDescent="0.25">
      <c r="A505" s="15"/>
      <c r="B505" s="16"/>
    </row>
    <row r="506" spans="1:2" ht="14.25" customHeight="1" x14ac:dyDescent="0.25">
      <c r="A506" s="15"/>
      <c r="B506" s="16"/>
    </row>
    <row r="507" spans="1:2" ht="14.25" customHeight="1" x14ac:dyDescent="0.25">
      <c r="A507" s="15"/>
      <c r="B507" s="16"/>
    </row>
    <row r="508" spans="1:2" ht="14.25" customHeight="1" x14ac:dyDescent="0.25">
      <c r="A508" s="15"/>
      <c r="B508" s="16"/>
    </row>
    <row r="509" spans="1:2" ht="14.25" customHeight="1" x14ac:dyDescent="0.25">
      <c r="A509" s="15"/>
      <c r="B509" s="16"/>
    </row>
    <row r="510" spans="1:2" ht="14.25" customHeight="1" x14ac:dyDescent="0.25">
      <c r="A510" s="15"/>
      <c r="B510" s="16"/>
    </row>
    <row r="511" spans="1:2" ht="14.25" customHeight="1" x14ac:dyDescent="0.25">
      <c r="A511" s="15"/>
      <c r="B511" s="16"/>
    </row>
    <row r="512" spans="1:2" ht="14.25" customHeight="1" x14ac:dyDescent="0.25">
      <c r="A512" s="15"/>
      <c r="B512" s="16"/>
    </row>
    <row r="513" spans="1:2" ht="14.25" customHeight="1" x14ac:dyDescent="0.25">
      <c r="A513" s="15"/>
      <c r="B513" s="16"/>
    </row>
    <row r="514" spans="1:2" ht="14.25" customHeight="1" x14ac:dyDescent="0.25">
      <c r="A514" s="15"/>
      <c r="B514" s="16"/>
    </row>
    <row r="515" spans="1:2" ht="14.25" customHeight="1" x14ac:dyDescent="0.25">
      <c r="A515" s="15"/>
      <c r="B515" s="16"/>
    </row>
    <row r="516" spans="1:2" ht="14.25" customHeight="1" x14ac:dyDescent="0.25">
      <c r="A516" s="15"/>
      <c r="B516" s="16"/>
    </row>
    <row r="517" spans="1:2" ht="14.25" customHeight="1" x14ac:dyDescent="0.25">
      <c r="A517" s="15"/>
      <c r="B517" s="16"/>
    </row>
    <row r="518" spans="1:2" ht="14.25" customHeight="1" x14ac:dyDescent="0.25">
      <c r="A518" s="15"/>
      <c r="B518" s="16"/>
    </row>
    <row r="519" spans="1:2" ht="14.25" customHeight="1" x14ac:dyDescent="0.25">
      <c r="A519" s="15"/>
      <c r="B519" s="16"/>
    </row>
    <row r="520" spans="1:2" ht="14.25" customHeight="1" x14ac:dyDescent="0.25">
      <c r="A520" s="15"/>
      <c r="B520" s="16"/>
    </row>
    <row r="521" spans="1:2" ht="14.25" customHeight="1" x14ac:dyDescent="0.25">
      <c r="A521" s="15"/>
      <c r="B521" s="16"/>
    </row>
    <row r="522" spans="1:2" ht="14.25" customHeight="1" x14ac:dyDescent="0.25">
      <c r="A522" s="15"/>
      <c r="B522" s="16"/>
    </row>
    <row r="523" spans="1:2" ht="14.25" customHeight="1" x14ac:dyDescent="0.25">
      <c r="A523" s="15"/>
      <c r="B523" s="16"/>
    </row>
    <row r="524" spans="1:2" ht="14.25" customHeight="1" x14ac:dyDescent="0.25">
      <c r="A524" s="15"/>
      <c r="B524" s="16"/>
    </row>
    <row r="525" spans="1:2" ht="14.25" customHeight="1" x14ac:dyDescent="0.25">
      <c r="A525" s="15"/>
      <c r="B525" s="16"/>
    </row>
    <row r="526" spans="1:2" ht="14.25" customHeight="1" x14ac:dyDescent="0.25">
      <c r="A526" s="15"/>
      <c r="B526" s="16"/>
    </row>
    <row r="527" spans="1:2" ht="14.25" customHeight="1" x14ac:dyDescent="0.25">
      <c r="A527" s="15"/>
      <c r="B527" s="16"/>
    </row>
    <row r="528" spans="1:2" ht="14.25" customHeight="1" x14ac:dyDescent="0.25">
      <c r="A528" s="15"/>
      <c r="B528" s="16"/>
    </row>
    <row r="529" spans="1:2" ht="14.25" customHeight="1" x14ac:dyDescent="0.25">
      <c r="A529" s="15"/>
      <c r="B529" s="16"/>
    </row>
    <row r="530" spans="1:2" ht="14.25" customHeight="1" x14ac:dyDescent="0.25">
      <c r="A530" s="15"/>
      <c r="B530" s="16"/>
    </row>
    <row r="531" spans="1:2" ht="14.25" customHeight="1" x14ac:dyDescent="0.25">
      <c r="A531" s="15"/>
      <c r="B531" s="16"/>
    </row>
    <row r="532" spans="1:2" ht="14.25" customHeight="1" x14ac:dyDescent="0.25">
      <c r="A532" s="15"/>
      <c r="B532" s="16"/>
    </row>
    <row r="533" spans="1:2" ht="14.25" customHeight="1" x14ac:dyDescent="0.25">
      <c r="A533" s="15"/>
      <c r="B533" s="16"/>
    </row>
    <row r="534" spans="1:2" ht="14.25" customHeight="1" x14ac:dyDescent="0.25">
      <c r="A534" s="15"/>
      <c r="B534" s="16"/>
    </row>
    <row r="535" spans="1:2" ht="14.25" customHeight="1" x14ac:dyDescent="0.25">
      <c r="A535" s="15"/>
      <c r="B535" s="16"/>
    </row>
    <row r="536" spans="1:2" ht="14.25" customHeight="1" x14ac:dyDescent="0.25">
      <c r="A536" s="15"/>
      <c r="B536" s="16"/>
    </row>
    <row r="537" spans="1:2" ht="14.25" customHeight="1" x14ac:dyDescent="0.25">
      <c r="A537" s="15"/>
      <c r="B537" s="16"/>
    </row>
    <row r="538" spans="1:2" ht="14.25" customHeight="1" x14ac:dyDescent="0.25">
      <c r="A538" s="15"/>
      <c r="B538" s="16"/>
    </row>
    <row r="539" spans="1:2" ht="14.25" customHeight="1" x14ac:dyDescent="0.25">
      <c r="A539" s="15"/>
      <c r="B539" s="16"/>
    </row>
    <row r="540" spans="1:2" ht="14.25" customHeight="1" x14ac:dyDescent="0.25">
      <c r="A540" s="15"/>
      <c r="B540" s="16"/>
    </row>
    <row r="541" spans="1:2" ht="14.25" customHeight="1" x14ac:dyDescent="0.25">
      <c r="A541" s="15"/>
      <c r="B541" s="16"/>
    </row>
    <row r="542" spans="1:2" ht="14.25" customHeight="1" x14ac:dyDescent="0.25">
      <c r="A542" s="15"/>
      <c r="B542" s="16"/>
    </row>
    <row r="543" spans="1:2" ht="14.25" customHeight="1" x14ac:dyDescent="0.25">
      <c r="A543" s="15"/>
      <c r="B543" s="16"/>
    </row>
    <row r="544" spans="1:2" ht="14.25" customHeight="1" x14ac:dyDescent="0.25">
      <c r="A544" s="15"/>
      <c r="B544" s="16"/>
    </row>
    <row r="545" spans="1:2" ht="14.25" customHeight="1" x14ac:dyDescent="0.25">
      <c r="A545" s="15"/>
      <c r="B545" s="16"/>
    </row>
    <row r="546" spans="1:2" ht="14.25" customHeight="1" x14ac:dyDescent="0.25">
      <c r="A546" s="15"/>
      <c r="B546" s="16"/>
    </row>
    <row r="547" spans="1:2" ht="14.25" customHeight="1" x14ac:dyDescent="0.25">
      <c r="A547" s="15"/>
      <c r="B547" s="16"/>
    </row>
    <row r="548" spans="1:2" ht="14.25" customHeight="1" x14ac:dyDescent="0.25">
      <c r="A548" s="15"/>
      <c r="B548" s="16"/>
    </row>
    <row r="549" spans="1:2" ht="14.25" customHeight="1" x14ac:dyDescent="0.25">
      <c r="A549" s="15"/>
      <c r="B549" s="16"/>
    </row>
    <row r="550" spans="1:2" ht="14.25" customHeight="1" x14ac:dyDescent="0.25">
      <c r="A550" s="15"/>
      <c r="B550" s="16"/>
    </row>
    <row r="551" spans="1:2" ht="14.25" customHeight="1" x14ac:dyDescent="0.25">
      <c r="A551" s="15"/>
      <c r="B551" s="16"/>
    </row>
    <row r="552" spans="1:2" ht="14.25" customHeight="1" x14ac:dyDescent="0.25">
      <c r="A552" s="15"/>
      <c r="B552" s="16"/>
    </row>
    <row r="553" spans="1:2" ht="14.25" customHeight="1" x14ac:dyDescent="0.25">
      <c r="A553" s="15"/>
      <c r="B553" s="16"/>
    </row>
    <row r="554" spans="1:2" ht="14.25" customHeight="1" x14ac:dyDescent="0.25">
      <c r="A554" s="15"/>
      <c r="B554" s="16"/>
    </row>
    <row r="555" spans="1:2" ht="14.25" customHeight="1" x14ac:dyDescent="0.25">
      <c r="A555" s="15"/>
      <c r="B555" s="16"/>
    </row>
    <row r="556" spans="1:2" ht="14.25" customHeight="1" x14ac:dyDescent="0.25">
      <c r="A556" s="15"/>
      <c r="B556" s="16"/>
    </row>
    <row r="557" spans="1:2" ht="14.25" customHeight="1" x14ac:dyDescent="0.25">
      <c r="A557" s="15"/>
      <c r="B557" s="16"/>
    </row>
    <row r="558" spans="1:2" ht="14.25" customHeight="1" x14ac:dyDescent="0.25">
      <c r="A558" s="15"/>
      <c r="B558" s="16"/>
    </row>
    <row r="559" spans="1:2" ht="14.25" customHeight="1" x14ac:dyDescent="0.25">
      <c r="A559" s="15"/>
      <c r="B559" s="16"/>
    </row>
    <row r="560" spans="1:2" ht="14.25" customHeight="1" x14ac:dyDescent="0.25">
      <c r="A560" s="15"/>
      <c r="B560" s="16"/>
    </row>
    <row r="561" spans="1:2" ht="14.25" customHeight="1" x14ac:dyDescent="0.25">
      <c r="A561" s="15"/>
      <c r="B561" s="16"/>
    </row>
    <row r="562" spans="1:2" ht="14.25" customHeight="1" x14ac:dyDescent="0.25">
      <c r="A562" s="15"/>
      <c r="B562" s="16"/>
    </row>
    <row r="563" spans="1:2" ht="14.25" customHeight="1" x14ac:dyDescent="0.25">
      <c r="A563" s="15"/>
      <c r="B563" s="16"/>
    </row>
    <row r="564" spans="1:2" ht="14.25" customHeight="1" x14ac:dyDescent="0.25">
      <c r="A564" s="15"/>
      <c r="B564" s="16"/>
    </row>
    <row r="565" spans="1:2" ht="14.25" customHeight="1" x14ac:dyDescent="0.25">
      <c r="A565" s="15"/>
      <c r="B565" s="16"/>
    </row>
    <row r="566" spans="1:2" ht="14.25" customHeight="1" x14ac:dyDescent="0.25">
      <c r="A566" s="15"/>
      <c r="B566" s="16"/>
    </row>
    <row r="567" spans="1:2" ht="14.25" customHeight="1" x14ac:dyDescent="0.25">
      <c r="A567" s="15"/>
      <c r="B567" s="16"/>
    </row>
    <row r="568" spans="1:2" ht="14.25" customHeight="1" x14ac:dyDescent="0.25">
      <c r="A568" s="15"/>
      <c r="B568" s="16"/>
    </row>
    <row r="569" spans="1:2" ht="14.25" customHeight="1" x14ac:dyDescent="0.25">
      <c r="A569" s="15"/>
      <c r="B569" s="16"/>
    </row>
    <row r="570" spans="1:2" ht="14.25" customHeight="1" x14ac:dyDescent="0.25">
      <c r="A570" s="15"/>
      <c r="B570" s="16"/>
    </row>
    <row r="571" spans="1:2" ht="14.25" customHeight="1" x14ac:dyDescent="0.25">
      <c r="A571" s="15"/>
      <c r="B571" s="16"/>
    </row>
    <row r="572" spans="1:2" ht="14.25" customHeight="1" x14ac:dyDescent="0.25">
      <c r="A572" s="15"/>
      <c r="B572" s="16"/>
    </row>
    <row r="573" spans="1:2" ht="14.25" customHeight="1" x14ac:dyDescent="0.25">
      <c r="A573" s="15"/>
      <c r="B573" s="16"/>
    </row>
    <row r="574" spans="1:2" ht="14.25" customHeight="1" x14ac:dyDescent="0.25">
      <c r="A574" s="15"/>
      <c r="B574" s="16"/>
    </row>
    <row r="575" spans="1:2" ht="14.25" customHeight="1" x14ac:dyDescent="0.25">
      <c r="A575" s="15"/>
      <c r="B575" s="16"/>
    </row>
    <row r="576" spans="1:2" ht="14.25" customHeight="1" x14ac:dyDescent="0.25">
      <c r="A576" s="15"/>
      <c r="B576" s="16"/>
    </row>
    <row r="577" spans="1:2" ht="14.25" customHeight="1" x14ac:dyDescent="0.25">
      <c r="A577" s="15"/>
      <c r="B577" s="16"/>
    </row>
    <row r="578" spans="1:2" ht="14.25" customHeight="1" x14ac:dyDescent="0.25">
      <c r="A578" s="15"/>
      <c r="B578" s="16"/>
    </row>
    <row r="579" spans="1:2" ht="14.25" customHeight="1" x14ac:dyDescent="0.25">
      <c r="A579" s="15"/>
      <c r="B579" s="16"/>
    </row>
    <row r="580" spans="1:2" ht="14.25" customHeight="1" x14ac:dyDescent="0.25">
      <c r="A580" s="15"/>
      <c r="B580" s="16"/>
    </row>
    <row r="581" spans="1:2" ht="14.25" customHeight="1" x14ac:dyDescent="0.25">
      <c r="A581" s="15"/>
      <c r="B581" s="16"/>
    </row>
    <row r="582" spans="1:2" ht="14.25" customHeight="1" x14ac:dyDescent="0.25">
      <c r="A582" s="15"/>
      <c r="B582" s="16"/>
    </row>
    <row r="583" spans="1:2" ht="14.25" customHeight="1" x14ac:dyDescent="0.25">
      <c r="A583" s="15"/>
      <c r="B583" s="16"/>
    </row>
    <row r="584" spans="1:2" ht="14.25" customHeight="1" x14ac:dyDescent="0.25">
      <c r="A584" s="15"/>
      <c r="B584" s="16"/>
    </row>
    <row r="585" spans="1:2" ht="14.25" customHeight="1" x14ac:dyDescent="0.25">
      <c r="A585" s="15"/>
      <c r="B585" s="16"/>
    </row>
    <row r="586" spans="1:2" ht="14.25" customHeight="1" x14ac:dyDescent="0.25">
      <c r="A586" s="15"/>
      <c r="B586" s="16"/>
    </row>
    <row r="587" spans="1:2" ht="14.25" customHeight="1" x14ac:dyDescent="0.25">
      <c r="A587" s="15"/>
      <c r="B587" s="16"/>
    </row>
    <row r="588" spans="1:2" ht="14.25" customHeight="1" x14ac:dyDescent="0.25">
      <c r="A588" s="15"/>
      <c r="B588" s="16"/>
    </row>
    <row r="589" spans="1:2" ht="14.25" customHeight="1" x14ac:dyDescent="0.25">
      <c r="A589" s="15"/>
      <c r="B589" s="16"/>
    </row>
    <row r="590" spans="1:2" ht="14.25" customHeight="1" x14ac:dyDescent="0.25">
      <c r="A590" s="15"/>
      <c r="B590" s="16"/>
    </row>
    <row r="591" spans="1:2" ht="14.25" customHeight="1" x14ac:dyDescent="0.25">
      <c r="A591" s="15"/>
      <c r="B591" s="16"/>
    </row>
    <row r="592" spans="1:2" ht="14.25" customHeight="1" x14ac:dyDescent="0.25">
      <c r="A592" s="15"/>
      <c r="B592" s="16"/>
    </row>
    <row r="593" spans="1:2" ht="14.25" customHeight="1" x14ac:dyDescent="0.25">
      <c r="A593" s="15"/>
      <c r="B593" s="16"/>
    </row>
    <row r="594" spans="1:2" ht="14.25" customHeight="1" x14ac:dyDescent="0.25">
      <c r="A594" s="15"/>
      <c r="B594" s="16"/>
    </row>
    <row r="595" spans="1:2" ht="14.25" customHeight="1" x14ac:dyDescent="0.25">
      <c r="A595" s="15"/>
      <c r="B595" s="16"/>
    </row>
    <row r="596" spans="1:2" ht="14.25" customHeight="1" x14ac:dyDescent="0.25">
      <c r="A596" s="15"/>
      <c r="B596" s="16"/>
    </row>
    <row r="597" spans="1:2" ht="14.25" customHeight="1" x14ac:dyDescent="0.25">
      <c r="A597" s="15"/>
      <c r="B597" s="16"/>
    </row>
    <row r="598" spans="1:2" ht="14.25" customHeight="1" x14ac:dyDescent="0.25">
      <c r="A598" s="15"/>
      <c r="B598" s="16"/>
    </row>
    <row r="599" spans="1:2" ht="14.25" customHeight="1" x14ac:dyDescent="0.25">
      <c r="A599" s="15"/>
      <c r="B599" s="16"/>
    </row>
    <row r="600" spans="1:2" ht="14.25" customHeight="1" x14ac:dyDescent="0.25">
      <c r="A600" s="15"/>
      <c r="B600" s="16"/>
    </row>
    <row r="601" spans="1:2" ht="14.25" customHeight="1" x14ac:dyDescent="0.25">
      <c r="A601" s="15"/>
      <c r="B601" s="16"/>
    </row>
    <row r="602" spans="1:2" ht="14.25" customHeight="1" x14ac:dyDescent="0.25">
      <c r="A602" s="15"/>
      <c r="B602" s="16"/>
    </row>
    <row r="603" spans="1:2" ht="14.25" customHeight="1" x14ac:dyDescent="0.25">
      <c r="A603" s="15"/>
      <c r="B603" s="16"/>
    </row>
    <row r="604" spans="1:2" ht="14.25" customHeight="1" x14ac:dyDescent="0.25">
      <c r="A604" s="15"/>
      <c r="B604" s="16"/>
    </row>
    <row r="605" spans="1:2" ht="14.25" customHeight="1" x14ac:dyDescent="0.25">
      <c r="A605" s="15"/>
      <c r="B605" s="16"/>
    </row>
    <row r="606" spans="1:2" ht="14.25" customHeight="1" x14ac:dyDescent="0.25">
      <c r="A606" s="15"/>
      <c r="B606" s="16"/>
    </row>
    <row r="607" spans="1:2" ht="14.25" customHeight="1" x14ac:dyDescent="0.25">
      <c r="A607" s="15"/>
      <c r="B607" s="16"/>
    </row>
    <row r="608" spans="1:2" ht="14.25" customHeight="1" x14ac:dyDescent="0.25">
      <c r="A608" s="15"/>
      <c r="B608" s="16"/>
    </row>
    <row r="609" spans="1:2" ht="14.25" customHeight="1" x14ac:dyDescent="0.25">
      <c r="A609" s="15"/>
      <c r="B609" s="16"/>
    </row>
    <row r="610" spans="1:2" ht="14.25" customHeight="1" x14ac:dyDescent="0.25">
      <c r="A610" s="15"/>
      <c r="B610" s="16"/>
    </row>
    <row r="611" spans="1:2" ht="14.25" customHeight="1" x14ac:dyDescent="0.25">
      <c r="A611" s="15"/>
      <c r="B611" s="16"/>
    </row>
    <row r="612" spans="1:2" ht="14.25" customHeight="1" x14ac:dyDescent="0.25">
      <c r="A612" s="15"/>
      <c r="B612" s="16"/>
    </row>
    <row r="613" spans="1:2" ht="14.25" customHeight="1" x14ac:dyDescent="0.25">
      <c r="A613" s="15"/>
      <c r="B613" s="16"/>
    </row>
    <row r="614" spans="1:2" ht="14.25" customHeight="1" x14ac:dyDescent="0.25">
      <c r="A614" s="15"/>
      <c r="B614" s="16"/>
    </row>
    <row r="615" spans="1:2" ht="14.25" customHeight="1" x14ac:dyDescent="0.25">
      <c r="A615" s="15"/>
      <c r="B615" s="16"/>
    </row>
    <row r="616" spans="1:2" ht="14.25" customHeight="1" x14ac:dyDescent="0.25">
      <c r="A616" s="15"/>
      <c r="B616" s="16"/>
    </row>
    <row r="617" spans="1:2" ht="14.25" customHeight="1" x14ac:dyDescent="0.25">
      <c r="A617" s="15"/>
      <c r="B617" s="16"/>
    </row>
    <row r="618" spans="1:2" ht="14.25" customHeight="1" x14ac:dyDescent="0.25">
      <c r="A618" s="15"/>
      <c r="B618" s="16"/>
    </row>
    <row r="619" spans="1:2" ht="14.25" customHeight="1" x14ac:dyDescent="0.25">
      <c r="A619" s="15"/>
      <c r="B619" s="16"/>
    </row>
    <row r="620" spans="1:2" ht="14.25" customHeight="1" x14ac:dyDescent="0.25">
      <c r="A620" s="15"/>
      <c r="B620" s="16"/>
    </row>
    <row r="621" spans="1:2" ht="14.25" customHeight="1" x14ac:dyDescent="0.25">
      <c r="A621" s="15"/>
      <c r="B621" s="16"/>
    </row>
    <row r="622" spans="1:2" ht="14.25" customHeight="1" x14ac:dyDescent="0.25">
      <c r="A622" s="15"/>
      <c r="B622" s="16"/>
    </row>
    <row r="623" spans="1:2" ht="14.25" customHeight="1" x14ac:dyDescent="0.25">
      <c r="A623" s="15"/>
      <c r="B623" s="16"/>
    </row>
    <row r="624" spans="1:2" ht="14.25" customHeight="1" x14ac:dyDescent="0.25">
      <c r="A624" s="15"/>
      <c r="B624" s="16"/>
    </row>
    <row r="625" spans="1:2" ht="14.25" customHeight="1" x14ac:dyDescent="0.25">
      <c r="A625" s="15"/>
      <c r="B625" s="16"/>
    </row>
    <row r="626" spans="1:2" ht="14.25" customHeight="1" x14ac:dyDescent="0.25">
      <c r="A626" s="15"/>
      <c r="B626" s="16"/>
    </row>
    <row r="627" spans="1:2" ht="14.25" customHeight="1" x14ac:dyDescent="0.25">
      <c r="A627" s="15"/>
      <c r="B627" s="16"/>
    </row>
    <row r="628" spans="1:2" ht="14.25" customHeight="1" x14ac:dyDescent="0.25">
      <c r="A628" s="15"/>
      <c r="B628" s="16"/>
    </row>
    <row r="629" spans="1:2" ht="14.25" customHeight="1" x14ac:dyDescent="0.25">
      <c r="A629" s="15"/>
      <c r="B629" s="16"/>
    </row>
    <row r="630" spans="1:2" ht="14.25" customHeight="1" x14ac:dyDescent="0.25">
      <c r="A630" s="15"/>
      <c r="B630" s="16"/>
    </row>
    <row r="631" spans="1:2" ht="14.25" customHeight="1" x14ac:dyDescent="0.25">
      <c r="A631" s="15"/>
      <c r="B631" s="16"/>
    </row>
    <row r="632" spans="1:2" ht="14.25" customHeight="1" x14ac:dyDescent="0.25">
      <c r="A632" s="15"/>
      <c r="B632" s="16"/>
    </row>
    <row r="633" spans="1:2" ht="14.25" customHeight="1" x14ac:dyDescent="0.25">
      <c r="A633" s="15"/>
      <c r="B633" s="16"/>
    </row>
    <row r="634" spans="1:2" ht="14.25" customHeight="1" x14ac:dyDescent="0.25">
      <c r="A634" s="15"/>
      <c r="B634" s="16"/>
    </row>
    <row r="635" spans="1:2" ht="14.25" customHeight="1" x14ac:dyDescent="0.25">
      <c r="A635" s="15"/>
      <c r="B635" s="16"/>
    </row>
    <row r="636" spans="1:2" ht="14.25" customHeight="1" x14ac:dyDescent="0.25">
      <c r="A636" s="15"/>
      <c r="B636" s="16"/>
    </row>
    <row r="637" spans="1:2" ht="14.25" customHeight="1" x14ac:dyDescent="0.25">
      <c r="A637" s="15"/>
      <c r="B637" s="16"/>
    </row>
    <row r="638" spans="1:2" ht="14.25" customHeight="1" x14ac:dyDescent="0.25">
      <c r="A638" s="15"/>
      <c r="B638" s="16"/>
    </row>
    <row r="639" spans="1:2" ht="14.25" customHeight="1" x14ac:dyDescent="0.25">
      <c r="A639" s="15"/>
      <c r="B639" s="16"/>
    </row>
    <row r="640" spans="1:2" ht="14.25" customHeight="1" x14ac:dyDescent="0.25">
      <c r="A640" s="15"/>
      <c r="B640" s="16"/>
    </row>
    <row r="641" spans="1:2" ht="14.25" customHeight="1" x14ac:dyDescent="0.25">
      <c r="A641" s="15"/>
      <c r="B641" s="16"/>
    </row>
    <row r="642" spans="1:2" ht="14.25" customHeight="1" x14ac:dyDescent="0.25">
      <c r="A642" s="15"/>
      <c r="B642" s="16"/>
    </row>
    <row r="643" spans="1:2" ht="14.25" customHeight="1" x14ac:dyDescent="0.25">
      <c r="A643" s="15"/>
      <c r="B643" s="16"/>
    </row>
    <row r="644" spans="1:2" ht="14.25" customHeight="1" x14ac:dyDescent="0.25">
      <c r="A644" s="15"/>
      <c r="B644" s="16"/>
    </row>
    <row r="645" spans="1:2" ht="14.25" customHeight="1" x14ac:dyDescent="0.25">
      <c r="A645" s="15"/>
      <c r="B645" s="16"/>
    </row>
    <row r="646" spans="1:2" ht="14.25" customHeight="1" x14ac:dyDescent="0.25">
      <c r="A646" s="15"/>
      <c r="B646" s="16"/>
    </row>
    <row r="647" spans="1:2" ht="14.25" customHeight="1" x14ac:dyDescent="0.25">
      <c r="A647" s="15"/>
      <c r="B647" s="16"/>
    </row>
    <row r="648" spans="1:2" ht="14.25" customHeight="1" x14ac:dyDescent="0.25">
      <c r="A648" s="15"/>
      <c r="B648" s="16"/>
    </row>
    <row r="649" spans="1:2" ht="14.25" customHeight="1" x14ac:dyDescent="0.25">
      <c r="A649" s="15"/>
      <c r="B649" s="16"/>
    </row>
    <row r="650" spans="1:2" ht="14.25" customHeight="1" x14ac:dyDescent="0.25">
      <c r="A650" s="15"/>
      <c r="B650" s="16"/>
    </row>
    <row r="651" spans="1:2" ht="14.25" customHeight="1" x14ac:dyDescent="0.25">
      <c r="A651" s="15"/>
      <c r="B651" s="16"/>
    </row>
    <row r="652" spans="1:2" ht="14.25" customHeight="1" x14ac:dyDescent="0.25">
      <c r="A652" s="15"/>
      <c r="B652" s="16"/>
    </row>
    <row r="653" spans="1:2" ht="14.25" customHeight="1" x14ac:dyDescent="0.25">
      <c r="A653" s="15"/>
      <c r="B653" s="16"/>
    </row>
    <row r="654" spans="1:2" ht="14.25" customHeight="1" x14ac:dyDescent="0.25">
      <c r="A654" s="15"/>
      <c r="B654" s="16"/>
    </row>
    <row r="655" spans="1:2" ht="14.25" customHeight="1" x14ac:dyDescent="0.25">
      <c r="A655" s="15"/>
      <c r="B655" s="16"/>
    </row>
    <row r="656" spans="1:2" ht="14.25" customHeight="1" x14ac:dyDescent="0.25">
      <c r="A656" s="15"/>
      <c r="B656" s="16"/>
    </row>
    <row r="657" spans="1:2" ht="14.25" customHeight="1" x14ac:dyDescent="0.25">
      <c r="A657" s="15"/>
      <c r="B657" s="16"/>
    </row>
    <row r="658" spans="1:2" ht="14.25" customHeight="1" x14ac:dyDescent="0.25">
      <c r="A658" s="15"/>
      <c r="B658" s="16"/>
    </row>
    <row r="659" spans="1:2" ht="14.25" customHeight="1" x14ac:dyDescent="0.25">
      <c r="A659" s="15"/>
      <c r="B659" s="16"/>
    </row>
    <row r="660" spans="1:2" ht="14.25" customHeight="1" x14ac:dyDescent="0.25">
      <c r="A660" s="15"/>
      <c r="B660" s="16"/>
    </row>
    <row r="661" spans="1:2" ht="14.25" customHeight="1" x14ac:dyDescent="0.25">
      <c r="A661" s="15"/>
      <c r="B661" s="16"/>
    </row>
    <row r="662" spans="1:2" ht="14.25" customHeight="1" x14ac:dyDescent="0.25">
      <c r="A662" s="15"/>
      <c r="B662" s="16"/>
    </row>
    <row r="663" spans="1:2" ht="14.25" customHeight="1" x14ac:dyDescent="0.25">
      <c r="A663" s="15"/>
      <c r="B663" s="16"/>
    </row>
    <row r="664" spans="1:2" ht="14.25" customHeight="1" x14ac:dyDescent="0.25">
      <c r="A664" s="15"/>
      <c r="B664" s="16"/>
    </row>
    <row r="665" spans="1:2" ht="14.25" customHeight="1" x14ac:dyDescent="0.25">
      <c r="A665" s="15"/>
      <c r="B665" s="16"/>
    </row>
    <row r="666" spans="1:2" ht="14.25" customHeight="1" x14ac:dyDescent="0.25">
      <c r="A666" s="15"/>
      <c r="B666" s="16"/>
    </row>
    <row r="667" spans="1:2" ht="14.25" customHeight="1" x14ac:dyDescent="0.25">
      <c r="A667" s="15"/>
      <c r="B667" s="16"/>
    </row>
    <row r="668" spans="1:2" ht="14.25" customHeight="1" x14ac:dyDescent="0.25">
      <c r="A668" s="15"/>
      <c r="B668" s="16"/>
    </row>
    <row r="669" spans="1:2" ht="14.25" customHeight="1" x14ac:dyDescent="0.25">
      <c r="A669" s="15"/>
      <c r="B669" s="16"/>
    </row>
    <row r="670" spans="1:2" ht="14.25" customHeight="1" x14ac:dyDescent="0.25">
      <c r="A670" s="15"/>
      <c r="B670" s="16"/>
    </row>
    <row r="671" spans="1:2" ht="14.25" customHeight="1" x14ac:dyDescent="0.25">
      <c r="A671" s="15"/>
      <c r="B671" s="16"/>
    </row>
    <row r="672" spans="1:2" ht="14.25" customHeight="1" x14ac:dyDescent="0.25">
      <c r="A672" s="15"/>
      <c r="B672" s="16"/>
    </row>
    <row r="673" spans="1:2" ht="14.25" customHeight="1" x14ac:dyDescent="0.25">
      <c r="A673" s="15"/>
      <c r="B673" s="16"/>
    </row>
    <row r="674" spans="1:2" ht="14.25" customHeight="1" x14ac:dyDescent="0.25">
      <c r="A674" s="15"/>
      <c r="B674" s="16"/>
    </row>
    <row r="675" spans="1:2" ht="14.25" customHeight="1" x14ac:dyDescent="0.25">
      <c r="A675" s="15"/>
      <c r="B675" s="16"/>
    </row>
    <row r="676" spans="1:2" ht="14.25" customHeight="1" x14ac:dyDescent="0.25">
      <c r="A676" s="15"/>
      <c r="B676" s="16"/>
    </row>
    <row r="677" spans="1:2" ht="14.25" customHeight="1" x14ac:dyDescent="0.25">
      <c r="A677" s="15"/>
      <c r="B677" s="16"/>
    </row>
    <row r="678" spans="1:2" ht="14.25" customHeight="1" x14ac:dyDescent="0.25">
      <c r="A678" s="15"/>
      <c r="B678" s="16"/>
    </row>
    <row r="679" spans="1:2" ht="14.25" customHeight="1" x14ac:dyDescent="0.25">
      <c r="A679" s="15"/>
      <c r="B679" s="16"/>
    </row>
    <row r="680" spans="1:2" ht="14.25" customHeight="1" x14ac:dyDescent="0.25">
      <c r="A680" s="15"/>
      <c r="B680" s="16"/>
    </row>
    <row r="681" spans="1:2" ht="14.25" customHeight="1" x14ac:dyDescent="0.25">
      <c r="A681" s="15"/>
      <c r="B681" s="16"/>
    </row>
    <row r="682" spans="1:2" ht="14.25" customHeight="1" x14ac:dyDescent="0.25">
      <c r="A682" s="15"/>
      <c r="B682" s="16"/>
    </row>
    <row r="683" spans="1:2" ht="14.25" customHeight="1" x14ac:dyDescent="0.25">
      <c r="A683" s="15"/>
      <c r="B683" s="16"/>
    </row>
    <row r="684" spans="1:2" ht="14.25" customHeight="1" x14ac:dyDescent="0.25">
      <c r="A684" s="15"/>
      <c r="B684" s="16"/>
    </row>
    <row r="685" spans="1:2" ht="14.25" customHeight="1" x14ac:dyDescent="0.25">
      <c r="A685" s="15"/>
      <c r="B685" s="16"/>
    </row>
    <row r="686" spans="1:2" ht="14.25" customHeight="1" x14ac:dyDescent="0.25">
      <c r="A686" s="15"/>
      <c r="B686" s="16"/>
    </row>
    <row r="687" spans="1:2" ht="14.25" customHeight="1" x14ac:dyDescent="0.25">
      <c r="A687" s="15"/>
      <c r="B687" s="16"/>
    </row>
    <row r="688" spans="1:2" ht="14.25" customHeight="1" x14ac:dyDescent="0.25">
      <c r="A688" s="15"/>
      <c r="B688" s="16"/>
    </row>
    <row r="689" spans="1:2" ht="14.25" customHeight="1" x14ac:dyDescent="0.25">
      <c r="A689" s="15"/>
      <c r="B689" s="16"/>
    </row>
    <row r="690" spans="1:2" ht="14.25" customHeight="1" x14ac:dyDescent="0.25">
      <c r="A690" s="15"/>
      <c r="B690" s="16"/>
    </row>
    <row r="691" spans="1:2" ht="14.25" customHeight="1" x14ac:dyDescent="0.25">
      <c r="A691" s="15"/>
      <c r="B691" s="16"/>
    </row>
    <row r="692" spans="1:2" ht="14.25" customHeight="1" x14ac:dyDescent="0.25">
      <c r="A692" s="15"/>
      <c r="B692" s="16"/>
    </row>
    <row r="693" spans="1:2" ht="14.25" customHeight="1" x14ac:dyDescent="0.25">
      <c r="A693" s="15"/>
      <c r="B693" s="16"/>
    </row>
    <row r="694" spans="1:2" ht="14.25" customHeight="1" x14ac:dyDescent="0.25">
      <c r="A694" s="15"/>
      <c r="B694" s="16"/>
    </row>
    <row r="695" spans="1:2" ht="14.25" customHeight="1" x14ac:dyDescent="0.25">
      <c r="A695" s="15"/>
      <c r="B695" s="16"/>
    </row>
    <row r="696" spans="1:2" ht="14.25" customHeight="1" x14ac:dyDescent="0.25">
      <c r="A696" s="15"/>
      <c r="B696" s="16"/>
    </row>
    <row r="697" spans="1:2" ht="14.25" customHeight="1" x14ac:dyDescent="0.25">
      <c r="A697" s="15"/>
      <c r="B697" s="16"/>
    </row>
    <row r="698" spans="1:2" ht="14.25" customHeight="1" x14ac:dyDescent="0.25">
      <c r="A698" s="15"/>
      <c r="B698" s="16"/>
    </row>
    <row r="699" spans="1:2" ht="14.25" customHeight="1" x14ac:dyDescent="0.25">
      <c r="A699" s="15"/>
      <c r="B699" s="16"/>
    </row>
    <row r="700" spans="1:2" ht="14.25" customHeight="1" x14ac:dyDescent="0.25">
      <c r="A700" s="15"/>
      <c r="B700" s="16"/>
    </row>
    <row r="701" spans="1:2" ht="14.25" customHeight="1" x14ac:dyDescent="0.25">
      <c r="A701" s="15"/>
      <c r="B701" s="16"/>
    </row>
    <row r="702" spans="1:2" ht="14.25" customHeight="1" x14ac:dyDescent="0.25">
      <c r="A702" s="15"/>
      <c r="B702" s="16"/>
    </row>
    <row r="703" spans="1:2" ht="14.25" customHeight="1" x14ac:dyDescent="0.25">
      <c r="A703" s="15"/>
      <c r="B703" s="16"/>
    </row>
    <row r="704" spans="1:2" ht="14.25" customHeight="1" x14ac:dyDescent="0.25">
      <c r="A704" s="15"/>
      <c r="B704" s="16"/>
    </row>
    <row r="705" spans="1:2" ht="14.25" customHeight="1" x14ac:dyDescent="0.25">
      <c r="A705" s="15"/>
      <c r="B705" s="16"/>
    </row>
    <row r="706" spans="1:2" ht="14.25" customHeight="1" x14ac:dyDescent="0.25">
      <c r="A706" s="15"/>
      <c r="B706" s="16"/>
    </row>
    <row r="707" spans="1:2" ht="14.25" customHeight="1" x14ac:dyDescent="0.25">
      <c r="A707" s="15"/>
      <c r="B707" s="16"/>
    </row>
    <row r="708" spans="1:2" ht="14.25" customHeight="1" x14ac:dyDescent="0.25">
      <c r="A708" s="15"/>
      <c r="B708" s="16"/>
    </row>
    <row r="709" spans="1:2" ht="14.25" customHeight="1" x14ac:dyDescent="0.25">
      <c r="A709" s="15"/>
      <c r="B709" s="16"/>
    </row>
    <row r="710" spans="1:2" ht="14.25" customHeight="1" x14ac:dyDescent="0.25">
      <c r="A710" s="15"/>
      <c r="B710" s="16"/>
    </row>
    <row r="711" spans="1:2" ht="14.25" customHeight="1" x14ac:dyDescent="0.25">
      <c r="A711" s="15"/>
      <c r="B711" s="16"/>
    </row>
    <row r="712" spans="1:2" ht="14.25" customHeight="1" x14ac:dyDescent="0.25">
      <c r="A712" s="15"/>
      <c r="B712" s="16"/>
    </row>
    <row r="713" spans="1:2" ht="14.25" customHeight="1" x14ac:dyDescent="0.25">
      <c r="A713" s="15"/>
      <c r="B713" s="16"/>
    </row>
    <row r="714" spans="1:2" ht="14.25" customHeight="1" x14ac:dyDescent="0.25">
      <c r="A714" s="15"/>
      <c r="B714" s="16"/>
    </row>
    <row r="715" spans="1:2" ht="14.25" customHeight="1" x14ac:dyDescent="0.25">
      <c r="A715" s="15"/>
      <c r="B715" s="16"/>
    </row>
    <row r="716" spans="1:2" ht="14.25" customHeight="1" x14ac:dyDescent="0.25">
      <c r="A716" s="15"/>
      <c r="B716" s="16"/>
    </row>
    <row r="717" spans="1:2" ht="14.25" customHeight="1" x14ac:dyDescent="0.25">
      <c r="A717" s="15"/>
      <c r="B717" s="16"/>
    </row>
    <row r="718" spans="1:2" ht="14.25" customHeight="1" x14ac:dyDescent="0.25">
      <c r="A718" s="15"/>
      <c r="B718" s="16"/>
    </row>
    <row r="719" spans="1:2" ht="14.25" customHeight="1" x14ac:dyDescent="0.25">
      <c r="A719" s="15"/>
      <c r="B719" s="16"/>
    </row>
    <row r="720" spans="1:2" ht="14.25" customHeight="1" x14ac:dyDescent="0.25">
      <c r="A720" s="15"/>
      <c r="B720" s="16"/>
    </row>
    <row r="721" spans="1:2" ht="14.25" customHeight="1" x14ac:dyDescent="0.25">
      <c r="A721" s="15"/>
      <c r="B721" s="16"/>
    </row>
    <row r="722" spans="1:2" ht="14.25" customHeight="1" x14ac:dyDescent="0.25">
      <c r="A722" s="15"/>
      <c r="B722" s="16"/>
    </row>
    <row r="723" spans="1:2" ht="14.25" customHeight="1" x14ac:dyDescent="0.25">
      <c r="A723" s="15"/>
      <c r="B723" s="16"/>
    </row>
    <row r="724" spans="1:2" ht="14.25" customHeight="1" x14ac:dyDescent="0.25">
      <c r="A724" s="15"/>
      <c r="B724" s="16"/>
    </row>
    <row r="725" spans="1:2" ht="14.25" customHeight="1" x14ac:dyDescent="0.25">
      <c r="A725" s="15"/>
      <c r="B725" s="16"/>
    </row>
    <row r="726" spans="1:2" ht="14.25" customHeight="1" x14ac:dyDescent="0.25">
      <c r="A726" s="15"/>
      <c r="B726" s="16"/>
    </row>
    <row r="727" spans="1:2" ht="14.25" customHeight="1" x14ac:dyDescent="0.25">
      <c r="A727" s="15"/>
      <c r="B727" s="16"/>
    </row>
    <row r="728" spans="1:2" ht="14.25" customHeight="1" x14ac:dyDescent="0.25">
      <c r="A728" s="15"/>
      <c r="B728" s="16"/>
    </row>
    <row r="729" spans="1:2" ht="14.25" customHeight="1" x14ac:dyDescent="0.25">
      <c r="A729" s="15"/>
      <c r="B729" s="16"/>
    </row>
    <row r="730" spans="1:2" ht="14.25" customHeight="1" x14ac:dyDescent="0.25">
      <c r="A730" s="15"/>
      <c r="B730" s="16"/>
    </row>
    <row r="731" spans="1:2" ht="14.25" customHeight="1" x14ac:dyDescent="0.25">
      <c r="A731" s="15"/>
      <c r="B731" s="16"/>
    </row>
    <row r="732" spans="1:2" ht="14.25" customHeight="1" x14ac:dyDescent="0.25">
      <c r="A732" s="15"/>
      <c r="B732" s="16"/>
    </row>
    <row r="733" spans="1:2" ht="14.25" customHeight="1" x14ac:dyDescent="0.25">
      <c r="A733" s="15"/>
      <c r="B733" s="16"/>
    </row>
    <row r="734" spans="1:2" ht="14.25" customHeight="1" x14ac:dyDescent="0.25">
      <c r="A734" s="15"/>
      <c r="B734" s="16"/>
    </row>
    <row r="735" spans="1:2" ht="14.25" customHeight="1" x14ac:dyDescent="0.25">
      <c r="A735" s="15"/>
      <c r="B735" s="16"/>
    </row>
    <row r="736" spans="1:2" ht="14.25" customHeight="1" x14ac:dyDescent="0.25">
      <c r="A736" s="15"/>
      <c r="B736" s="16"/>
    </row>
    <row r="737" spans="1:2" ht="14.25" customHeight="1" x14ac:dyDescent="0.25">
      <c r="A737" s="15"/>
      <c r="B737" s="16"/>
    </row>
    <row r="738" spans="1:2" ht="14.25" customHeight="1" x14ac:dyDescent="0.25">
      <c r="A738" s="15"/>
      <c r="B738" s="16"/>
    </row>
    <row r="739" spans="1:2" ht="14.25" customHeight="1" x14ac:dyDescent="0.25">
      <c r="A739" s="15"/>
      <c r="B739" s="16"/>
    </row>
    <row r="740" spans="1:2" ht="14.25" customHeight="1" x14ac:dyDescent="0.25">
      <c r="A740" s="15"/>
      <c r="B740" s="16"/>
    </row>
    <row r="741" spans="1:2" ht="14.25" customHeight="1" x14ac:dyDescent="0.25">
      <c r="A741" s="15"/>
      <c r="B741" s="16"/>
    </row>
    <row r="742" spans="1:2" ht="14.25" customHeight="1" x14ac:dyDescent="0.25">
      <c r="A742" s="15"/>
      <c r="B742" s="16"/>
    </row>
    <row r="743" spans="1:2" ht="14.25" customHeight="1" x14ac:dyDescent="0.25">
      <c r="A743" s="15"/>
      <c r="B743" s="16"/>
    </row>
    <row r="744" spans="1:2" ht="14.25" customHeight="1" x14ac:dyDescent="0.25">
      <c r="A744" s="15"/>
      <c r="B744" s="16"/>
    </row>
    <row r="745" spans="1:2" ht="14.25" customHeight="1" x14ac:dyDescent="0.25">
      <c r="A745" s="15"/>
      <c r="B745" s="16"/>
    </row>
    <row r="746" spans="1:2" ht="14.25" customHeight="1" x14ac:dyDescent="0.25">
      <c r="A746" s="15"/>
      <c r="B746" s="16"/>
    </row>
    <row r="747" spans="1:2" ht="14.25" customHeight="1" x14ac:dyDescent="0.25">
      <c r="A747" s="15"/>
      <c r="B747" s="16"/>
    </row>
    <row r="748" spans="1:2" ht="14.25" customHeight="1" x14ac:dyDescent="0.25">
      <c r="A748" s="15"/>
      <c r="B748" s="16"/>
    </row>
    <row r="749" spans="1:2" ht="14.25" customHeight="1" x14ac:dyDescent="0.25">
      <c r="A749" s="15"/>
      <c r="B749" s="16"/>
    </row>
    <row r="750" spans="1:2" ht="14.25" customHeight="1" x14ac:dyDescent="0.25">
      <c r="A750" s="15"/>
      <c r="B750" s="16"/>
    </row>
    <row r="751" spans="1:2" ht="14.25" customHeight="1" x14ac:dyDescent="0.25">
      <c r="A751" s="15"/>
      <c r="B751" s="16"/>
    </row>
    <row r="752" spans="1:2" ht="14.25" customHeight="1" x14ac:dyDescent="0.25">
      <c r="A752" s="15"/>
      <c r="B752" s="16"/>
    </row>
    <row r="753" spans="1:2" ht="14.25" customHeight="1" x14ac:dyDescent="0.25">
      <c r="A753" s="15"/>
      <c r="B753" s="16"/>
    </row>
    <row r="754" spans="1:2" ht="14.25" customHeight="1" x14ac:dyDescent="0.25">
      <c r="A754" s="15"/>
      <c r="B754" s="16"/>
    </row>
    <row r="755" spans="1:2" ht="14.25" customHeight="1" x14ac:dyDescent="0.25">
      <c r="A755" s="15"/>
      <c r="B755" s="16"/>
    </row>
    <row r="756" spans="1:2" ht="14.25" customHeight="1" x14ac:dyDescent="0.25">
      <c r="A756" s="15"/>
      <c r="B756" s="16"/>
    </row>
    <row r="757" spans="1:2" ht="14.25" customHeight="1" x14ac:dyDescent="0.25">
      <c r="A757" s="15"/>
      <c r="B757" s="16"/>
    </row>
    <row r="758" spans="1:2" ht="14.25" customHeight="1" x14ac:dyDescent="0.25">
      <c r="A758" s="15"/>
      <c r="B758" s="16"/>
    </row>
    <row r="759" spans="1:2" ht="14.25" customHeight="1" x14ac:dyDescent="0.25">
      <c r="A759" s="15"/>
      <c r="B759" s="16"/>
    </row>
    <row r="760" spans="1:2" ht="14.25" customHeight="1" x14ac:dyDescent="0.25">
      <c r="A760" s="15"/>
      <c r="B760" s="16"/>
    </row>
    <row r="761" spans="1:2" ht="14.25" customHeight="1" x14ac:dyDescent="0.25">
      <c r="A761" s="15"/>
      <c r="B761" s="16"/>
    </row>
    <row r="762" spans="1:2" ht="14.25" customHeight="1" x14ac:dyDescent="0.25">
      <c r="A762" s="15"/>
      <c r="B762" s="16"/>
    </row>
    <row r="763" spans="1:2" ht="14.25" customHeight="1" x14ac:dyDescent="0.25">
      <c r="A763" s="15"/>
      <c r="B763" s="16"/>
    </row>
    <row r="764" spans="1:2" ht="14.25" customHeight="1" x14ac:dyDescent="0.25">
      <c r="A764" s="15"/>
      <c r="B764" s="16"/>
    </row>
    <row r="765" spans="1:2" ht="14.25" customHeight="1" x14ac:dyDescent="0.25">
      <c r="A765" s="15"/>
      <c r="B765" s="16"/>
    </row>
    <row r="766" spans="1:2" ht="14.25" customHeight="1" x14ac:dyDescent="0.25">
      <c r="A766" s="15"/>
      <c r="B766" s="16"/>
    </row>
    <row r="767" spans="1:2" ht="14.25" customHeight="1" x14ac:dyDescent="0.25">
      <c r="A767" s="15"/>
      <c r="B767" s="16"/>
    </row>
    <row r="768" spans="1:2" ht="14.25" customHeight="1" x14ac:dyDescent="0.25">
      <c r="A768" s="15"/>
      <c r="B768" s="16"/>
    </row>
    <row r="769" spans="1:2" ht="14.25" customHeight="1" x14ac:dyDescent="0.25">
      <c r="A769" s="15"/>
      <c r="B769" s="16"/>
    </row>
    <row r="770" spans="1:2" ht="14.25" customHeight="1" x14ac:dyDescent="0.25">
      <c r="A770" s="15"/>
      <c r="B770" s="16"/>
    </row>
    <row r="771" spans="1:2" ht="14.25" customHeight="1" x14ac:dyDescent="0.25">
      <c r="A771" s="15"/>
      <c r="B771" s="16"/>
    </row>
    <row r="772" spans="1:2" ht="14.25" customHeight="1" x14ac:dyDescent="0.25">
      <c r="A772" s="15"/>
      <c r="B772" s="16"/>
    </row>
    <row r="773" spans="1:2" ht="14.25" customHeight="1" x14ac:dyDescent="0.25">
      <c r="A773" s="15"/>
      <c r="B773" s="16"/>
    </row>
    <row r="774" spans="1:2" ht="14.25" customHeight="1" x14ac:dyDescent="0.25">
      <c r="A774" s="15"/>
      <c r="B774" s="16"/>
    </row>
    <row r="775" spans="1:2" ht="14.25" customHeight="1" x14ac:dyDescent="0.25">
      <c r="A775" s="15"/>
      <c r="B775" s="16"/>
    </row>
    <row r="776" spans="1:2" ht="14.25" customHeight="1" x14ac:dyDescent="0.25">
      <c r="A776" s="15"/>
      <c r="B776" s="16"/>
    </row>
    <row r="777" spans="1:2" ht="14.25" customHeight="1" x14ac:dyDescent="0.25">
      <c r="A777" s="15"/>
      <c r="B777" s="16"/>
    </row>
    <row r="778" spans="1:2" ht="14.25" customHeight="1" x14ac:dyDescent="0.25">
      <c r="A778" s="15"/>
      <c r="B778" s="16"/>
    </row>
    <row r="779" spans="1:2" ht="14.25" customHeight="1" x14ac:dyDescent="0.25">
      <c r="A779" s="15"/>
      <c r="B779" s="16"/>
    </row>
    <row r="780" spans="1:2" ht="14.25" customHeight="1" x14ac:dyDescent="0.25">
      <c r="A780" s="15"/>
      <c r="B780" s="16"/>
    </row>
    <row r="781" spans="1:2" ht="14.25" customHeight="1" x14ac:dyDescent="0.25">
      <c r="A781" s="15"/>
      <c r="B781" s="16"/>
    </row>
    <row r="782" spans="1:2" ht="14.25" customHeight="1" x14ac:dyDescent="0.25">
      <c r="A782" s="15"/>
      <c r="B782" s="16"/>
    </row>
    <row r="783" spans="1:2" ht="14.25" customHeight="1" x14ac:dyDescent="0.25">
      <c r="A783" s="15"/>
      <c r="B783" s="16"/>
    </row>
    <row r="784" spans="1:2" ht="14.25" customHeight="1" x14ac:dyDescent="0.25">
      <c r="A784" s="15"/>
      <c r="B784" s="16"/>
    </row>
    <row r="785" spans="1:2" ht="14.25" customHeight="1" x14ac:dyDescent="0.25">
      <c r="A785" s="15"/>
      <c r="B785" s="16"/>
    </row>
    <row r="786" spans="1:2" ht="14.25" customHeight="1" x14ac:dyDescent="0.25">
      <c r="A786" s="15"/>
      <c r="B786" s="16"/>
    </row>
    <row r="787" spans="1:2" ht="14.25" customHeight="1" x14ac:dyDescent="0.25">
      <c r="A787" s="15"/>
      <c r="B787" s="16"/>
    </row>
    <row r="788" spans="1:2" ht="14.25" customHeight="1" x14ac:dyDescent="0.25">
      <c r="A788" s="15"/>
      <c r="B788" s="16"/>
    </row>
    <row r="789" spans="1:2" ht="14.25" customHeight="1" x14ac:dyDescent="0.25">
      <c r="A789" s="15"/>
      <c r="B789" s="16"/>
    </row>
    <row r="790" spans="1:2" ht="14.25" customHeight="1" x14ac:dyDescent="0.25">
      <c r="A790" s="15"/>
      <c r="B790" s="16"/>
    </row>
    <row r="791" spans="1:2" ht="14.25" customHeight="1" x14ac:dyDescent="0.25">
      <c r="A791" s="15"/>
      <c r="B791" s="16"/>
    </row>
    <row r="792" spans="1:2" ht="14.25" customHeight="1" x14ac:dyDescent="0.25">
      <c r="A792" s="15"/>
      <c r="B792" s="16"/>
    </row>
    <row r="793" spans="1:2" ht="14.25" customHeight="1" x14ac:dyDescent="0.25">
      <c r="A793" s="15"/>
      <c r="B793" s="16"/>
    </row>
    <row r="794" spans="1:2" ht="14.25" customHeight="1" x14ac:dyDescent="0.25">
      <c r="A794" s="15"/>
      <c r="B794" s="16"/>
    </row>
    <row r="795" spans="1:2" ht="14.25" customHeight="1" x14ac:dyDescent="0.25">
      <c r="A795" s="15"/>
      <c r="B795" s="16"/>
    </row>
    <row r="796" spans="1:2" ht="14.25" customHeight="1" x14ac:dyDescent="0.25">
      <c r="A796" s="15"/>
      <c r="B796" s="16"/>
    </row>
    <row r="797" spans="1:2" ht="14.25" customHeight="1" x14ac:dyDescent="0.25">
      <c r="A797" s="15"/>
      <c r="B797" s="16"/>
    </row>
    <row r="798" spans="1:2" ht="14.25" customHeight="1" x14ac:dyDescent="0.25">
      <c r="A798" s="15"/>
      <c r="B798" s="16"/>
    </row>
    <row r="799" spans="1:2" ht="14.25" customHeight="1" x14ac:dyDescent="0.25">
      <c r="A799" s="15"/>
      <c r="B799" s="16"/>
    </row>
    <row r="800" spans="1:2" ht="14.25" customHeight="1" x14ac:dyDescent="0.25">
      <c r="A800" s="15"/>
      <c r="B800" s="16"/>
    </row>
    <row r="801" spans="1:2" ht="14.25" customHeight="1" x14ac:dyDescent="0.25">
      <c r="A801" s="15"/>
      <c r="B801" s="16"/>
    </row>
    <row r="802" spans="1:2" ht="14.25" customHeight="1" x14ac:dyDescent="0.25">
      <c r="A802" s="15"/>
      <c r="B802" s="16"/>
    </row>
    <row r="803" spans="1:2" ht="14.25" customHeight="1" x14ac:dyDescent="0.25">
      <c r="A803" s="15"/>
      <c r="B803" s="16"/>
    </row>
    <row r="804" spans="1:2" ht="14.25" customHeight="1" x14ac:dyDescent="0.25">
      <c r="A804" s="15"/>
      <c r="B804" s="16"/>
    </row>
    <row r="805" spans="1:2" ht="14.25" customHeight="1" x14ac:dyDescent="0.25">
      <c r="A805" s="15"/>
      <c r="B805" s="16"/>
    </row>
    <row r="806" spans="1:2" ht="14.25" customHeight="1" x14ac:dyDescent="0.25">
      <c r="A806" s="15"/>
      <c r="B806" s="16"/>
    </row>
    <row r="807" spans="1:2" ht="14.25" customHeight="1" x14ac:dyDescent="0.25">
      <c r="A807" s="15"/>
      <c r="B807" s="16"/>
    </row>
    <row r="808" spans="1:2" ht="14.25" customHeight="1" x14ac:dyDescent="0.25">
      <c r="A808" s="15"/>
      <c r="B808" s="16"/>
    </row>
    <row r="809" spans="1:2" ht="14.25" customHeight="1" x14ac:dyDescent="0.25">
      <c r="A809" s="15"/>
      <c r="B809" s="16"/>
    </row>
    <row r="810" spans="1:2" ht="14.25" customHeight="1" x14ac:dyDescent="0.25">
      <c r="A810" s="15"/>
      <c r="B810" s="16"/>
    </row>
    <row r="811" spans="1:2" ht="14.25" customHeight="1" x14ac:dyDescent="0.25">
      <c r="A811" s="15"/>
      <c r="B811" s="16"/>
    </row>
    <row r="812" spans="1:2" ht="14.25" customHeight="1" x14ac:dyDescent="0.25">
      <c r="A812" s="15"/>
      <c r="B812" s="16"/>
    </row>
    <row r="813" spans="1:2" ht="14.25" customHeight="1" x14ac:dyDescent="0.25">
      <c r="A813" s="15"/>
      <c r="B813" s="16"/>
    </row>
    <row r="814" spans="1:2" ht="14.25" customHeight="1" x14ac:dyDescent="0.25">
      <c r="A814" s="15"/>
      <c r="B814" s="16"/>
    </row>
    <row r="815" spans="1:2" ht="14.25" customHeight="1" x14ac:dyDescent="0.25">
      <c r="A815" s="15"/>
      <c r="B815" s="16"/>
    </row>
    <row r="816" spans="1:2" ht="14.25" customHeight="1" x14ac:dyDescent="0.25">
      <c r="A816" s="15"/>
      <c r="B816" s="16"/>
    </row>
    <row r="817" spans="1:2" ht="14.25" customHeight="1" x14ac:dyDescent="0.25">
      <c r="A817" s="15"/>
      <c r="B817" s="16"/>
    </row>
    <row r="818" spans="1:2" ht="14.25" customHeight="1" x14ac:dyDescent="0.25">
      <c r="A818" s="15"/>
      <c r="B818" s="16"/>
    </row>
    <row r="819" spans="1:2" ht="14.25" customHeight="1" x14ac:dyDescent="0.25">
      <c r="A819" s="15"/>
      <c r="B819" s="16"/>
    </row>
    <row r="820" spans="1:2" ht="14.25" customHeight="1" x14ac:dyDescent="0.25">
      <c r="A820" s="15"/>
      <c r="B820" s="16"/>
    </row>
    <row r="821" spans="1:2" ht="14.25" customHeight="1" x14ac:dyDescent="0.25">
      <c r="A821" s="15"/>
      <c r="B821" s="16"/>
    </row>
    <row r="822" spans="1:2" ht="14.25" customHeight="1" x14ac:dyDescent="0.25">
      <c r="A822" s="15"/>
      <c r="B822" s="16"/>
    </row>
    <row r="823" spans="1:2" ht="14.25" customHeight="1" x14ac:dyDescent="0.25">
      <c r="A823" s="15"/>
      <c r="B823" s="16"/>
    </row>
    <row r="824" spans="1:2" ht="14.25" customHeight="1" x14ac:dyDescent="0.25">
      <c r="A824" s="15"/>
      <c r="B824" s="16"/>
    </row>
    <row r="825" spans="1:2" ht="14.25" customHeight="1" x14ac:dyDescent="0.25">
      <c r="A825" s="15"/>
      <c r="B825" s="16"/>
    </row>
    <row r="826" spans="1:2" ht="14.25" customHeight="1" x14ac:dyDescent="0.25">
      <c r="A826" s="15"/>
      <c r="B826" s="16"/>
    </row>
    <row r="827" spans="1:2" ht="14.25" customHeight="1" x14ac:dyDescent="0.25">
      <c r="A827" s="15"/>
      <c r="B827" s="16"/>
    </row>
    <row r="828" spans="1:2" ht="14.25" customHeight="1" x14ac:dyDescent="0.25">
      <c r="A828" s="15"/>
      <c r="B828" s="16"/>
    </row>
    <row r="829" spans="1:2" ht="14.25" customHeight="1" x14ac:dyDescent="0.25">
      <c r="A829" s="15"/>
      <c r="B829" s="16"/>
    </row>
    <row r="830" spans="1:2" ht="14.25" customHeight="1" x14ac:dyDescent="0.25">
      <c r="A830" s="15"/>
      <c r="B830" s="16"/>
    </row>
    <row r="831" spans="1:2" ht="14.25" customHeight="1" x14ac:dyDescent="0.25">
      <c r="A831" s="15"/>
      <c r="B831" s="16"/>
    </row>
    <row r="832" spans="1:2" ht="14.25" customHeight="1" x14ac:dyDescent="0.25">
      <c r="A832" s="15"/>
      <c r="B832" s="16"/>
    </row>
    <row r="833" spans="1:2" ht="14.25" customHeight="1" x14ac:dyDescent="0.25">
      <c r="A833" s="15"/>
      <c r="B833" s="16"/>
    </row>
    <row r="834" spans="1:2" ht="14.25" customHeight="1" x14ac:dyDescent="0.25">
      <c r="A834" s="15"/>
      <c r="B834" s="16"/>
    </row>
    <row r="835" spans="1:2" ht="14.25" customHeight="1" x14ac:dyDescent="0.25">
      <c r="A835" s="15"/>
      <c r="B835" s="16"/>
    </row>
    <row r="836" spans="1:2" ht="14.25" customHeight="1" x14ac:dyDescent="0.25">
      <c r="A836" s="15"/>
      <c r="B836" s="16"/>
    </row>
    <row r="837" spans="1:2" ht="14.25" customHeight="1" x14ac:dyDescent="0.25">
      <c r="A837" s="15"/>
      <c r="B837" s="16"/>
    </row>
    <row r="838" spans="1:2" ht="14.25" customHeight="1" x14ac:dyDescent="0.25">
      <c r="A838" s="15"/>
      <c r="B838" s="16"/>
    </row>
    <row r="839" spans="1:2" ht="14.25" customHeight="1" x14ac:dyDescent="0.25">
      <c r="A839" s="15"/>
      <c r="B839" s="16"/>
    </row>
    <row r="840" spans="1:2" ht="14.25" customHeight="1" x14ac:dyDescent="0.25">
      <c r="A840" s="15"/>
      <c r="B840" s="16"/>
    </row>
    <row r="841" spans="1:2" ht="14.25" customHeight="1" x14ac:dyDescent="0.25">
      <c r="A841" s="15"/>
      <c r="B841" s="16"/>
    </row>
    <row r="842" spans="1:2" ht="14.25" customHeight="1" x14ac:dyDescent="0.25">
      <c r="A842" s="15"/>
      <c r="B842" s="16"/>
    </row>
    <row r="843" spans="1:2" ht="14.25" customHeight="1" x14ac:dyDescent="0.25">
      <c r="A843" s="15"/>
      <c r="B843" s="16"/>
    </row>
    <row r="844" spans="1:2" ht="14.25" customHeight="1" x14ac:dyDescent="0.25">
      <c r="A844" s="15"/>
      <c r="B844" s="16"/>
    </row>
    <row r="845" spans="1:2" ht="14.25" customHeight="1" x14ac:dyDescent="0.25">
      <c r="A845" s="15"/>
      <c r="B845" s="16"/>
    </row>
    <row r="846" spans="1:2" ht="14.25" customHeight="1" x14ac:dyDescent="0.25">
      <c r="A846" s="15"/>
      <c r="B846" s="16"/>
    </row>
    <row r="847" spans="1:2" ht="14.25" customHeight="1" x14ac:dyDescent="0.25">
      <c r="A847" s="15"/>
      <c r="B847" s="16"/>
    </row>
    <row r="848" spans="1:2" ht="14.25" customHeight="1" x14ac:dyDescent="0.25">
      <c r="A848" s="15"/>
      <c r="B848" s="16"/>
    </row>
    <row r="849" spans="1:2" ht="14.25" customHeight="1" x14ac:dyDescent="0.25">
      <c r="A849" s="15"/>
      <c r="B849" s="16"/>
    </row>
    <row r="850" spans="1:2" ht="14.25" customHeight="1" x14ac:dyDescent="0.25">
      <c r="A850" s="15"/>
      <c r="B850" s="16"/>
    </row>
    <row r="851" spans="1:2" ht="14.25" customHeight="1" x14ac:dyDescent="0.25">
      <c r="A851" s="15"/>
      <c r="B851" s="16"/>
    </row>
    <row r="852" spans="1:2" ht="14.25" customHeight="1" x14ac:dyDescent="0.25">
      <c r="A852" s="15"/>
      <c r="B852" s="16"/>
    </row>
    <row r="853" spans="1:2" ht="14.25" customHeight="1" x14ac:dyDescent="0.25">
      <c r="A853" s="15"/>
      <c r="B853" s="16"/>
    </row>
    <row r="854" spans="1:2" ht="14.25" customHeight="1" x14ac:dyDescent="0.25">
      <c r="A854" s="15"/>
      <c r="B854" s="16"/>
    </row>
    <row r="855" spans="1:2" ht="14.25" customHeight="1" x14ac:dyDescent="0.25">
      <c r="A855" s="15"/>
      <c r="B855" s="16"/>
    </row>
    <row r="856" spans="1:2" ht="14.25" customHeight="1" x14ac:dyDescent="0.25">
      <c r="A856" s="15"/>
      <c r="B856" s="16"/>
    </row>
    <row r="857" spans="1:2" ht="14.25" customHeight="1" x14ac:dyDescent="0.25">
      <c r="A857" s="15"/>
      <c r="B857" s="16"/>
    </row>
    <row r="858" spans="1:2" ht="14.25" customHeight="1" x14ac:dyDescent="0.25">
      <c r="A858" s="15"/>
      <c r="B858" s="16"/>
    </row>
    <row r="859" spans="1:2" ht="14.25" customHeight="1" x14ac:dyDescent="0.25">
      <c r="A859" s="15"/>
      <c r="B859" s="16"/>
    </row>
    <row r="860" spans="1:2" ht="14.25" customHeight="1" x14ac:dyDescent="0.25">
      <c r="A860" s="15"/>
      <c r="B860" s="16"/>
    </row>
    <row r="861" spans="1:2" ht="14.25" customHeight="1" x14ac:dyDescent="0.25">
      <c r="A861" s="15"/>
      <c r="B861" s="16"/>
    </row>
    <row r="862" spans="1:2" ht="14.25" customHeight="1" x14ac:dyDescent="0.25">
      <c r="A862" s="15"/>
      <c r="B862" s="16"/>
    </row>
    <row r="863" spans="1:2" ht="14.25" customHeight="1" x14ac:dyDescent="0.25">
      <c r="A863" s="15"/>
      <c r="B863" s="16"/>
    </row>
    <row r="864" spans="1:2" ht="14.25" customHeight="1" x14ac:dyDescent="0.25">
      <c r="A864" s="15"/>
      <c r="B864" s="16"/>
    </row>
    <row r="865" spans="1:2" ht="14.25" customHeight="1" x14ac:dyDescent="0.25">
      <c r="A865" s="15"/>
      <c r="B865" s="16"/>
    </row>
    <row r="866" spans="1:2" ht="14.25" customHeight="1" x14ac:dyDescent="0.25">
      <c r="A866" s="15"/>
      <c r="B866" s="16"/>
    </row>
    <row r="867" spans="1:2" ht="14.25" customHeight="1" x14ac:dyDescent="0.25">
      <c r="A867" s="15"/>
      <c r="B867" s="16"/>
    </row>
    <row r="868" spans="1:2" ht="14.25" customHeight="1" x14ac:dyDescent="0.25">
      <c r="A868" s="15"/>
      <c r="B868" s="16"/>
    </row>
    <row r="869" spans="1:2" ht="14.25" customHeight="1" x14ac:dyDescent="0.25">
      <c r="A869" s="15"/>
      <c r="B869" s="16"/>
    </row>
    <row r="870" spans="1:2" ht="14.25" customHeight="1" x14ac:dyDescent="0.25">
      <c r="A870" s="15"/>
      <c r="B870" s="16"/>
    </row>
    <row r="871" spans="1:2" ht="14.25" customHeight="1" x14ac:dyDescent="0.25">
      <c r="A871" s="15"/>
      <c r="B871" s="16"/>
    </row>
    <row r="872" spans="1:2" ht="14.25" customHeight="1" x14ac:dyDescent="0.25">
      <c r="A872" s="15"/>
      <c r="B872" s="16"/>
    </row>
    <row r="873" spans="1:2" ht="14.25" customHeight="1" x14ac:dyDescent="0.25">
      <c r="A873" s="15"/>
      <c r="B873" s="16"/>
    </row>
    <row r="874" spans="1:2" ht="14.25" customHeight="1" x14ac:dyDescent="0.25">
      <c r="A874" s="15"/>
      <c r="B874" s="16"/>
    </row>
    <row r="875" spans="1:2" ht="14.25" customHeight="1" x14ac:dyDescent="0.25">
      <c r="A875" s="15"/>
      <c r="B875" s="16"/>
    </row>
    <row r="876" spans="1:2" ht="14.25" customHeight="1" x14ac:dyDescent="0.25">
      <c r="A876" s="15"/>
      <c r="B876" s="16"/>
    </row>
    <row r="877" spans="1:2" ht="14.25" customHeight="1" x14ac:dyDescent="0.25">
      <c r="A877" s="15"/>
      <c r="B877" s="16"/>
    </row>
    <row r="878" spans="1:2" ht="14.25" customHeight="1" x14ac:dyDescent="0.25">
      <c r="A878" s="15"/>
      <c r="B878" s="16"/>
    </row>
    <row r="879" spans="1:2" ht="14.25" customHeight="1" x14ac:dyDescent="0.25">
      <c r="A879" s="15"/>
      <c r="B879" s="16"/>
    </row>
    <row r="880" spans="1:2" ht="14.25" customHeight="1" x14ac:dyDescent="0.25">
      <c r="A880" s="15"/>
      <c r="B880" s="16"/>
    </row>
    <row r="881" spans="1:2" ht="14.25" customHeight="1" x14ac:dyDescent="0.25">
      <c r="A881" s="15"/>
      <c r="B881" s="16"/>
    </row>
    <row r="882" spans="1:2" ht="14.25" customHeight="1" x14ac:dyDescent="0.25">
      <c r="A882" s="15"/>
      <c r="B882" s="16"/>
    </row>
    <row r="883" spans="1:2" ht="14.25" customHeight="1" x14ac:dyDescent="0.25">
      <c r="A883" s="15"/>
      <c r="B883" s="16"/>
    </row>
    <row r="884" spans="1:2" ht="14.25" customHeight="1" x14ac:dyDescent="0.25">
      <c r="A884" s="15"/>
      <c r="B884" s="16"/>
    </row>
    <row r="885" spans="1:2" ht="14.25" customHeight="1" x14ac:dyDescent="0.25">
      <c r="A885" s="15"/>
      <c r="B885" s="16"/>
    </row>
    <row r="886" spans="1:2" ht="14.25" customHeight="1" x14ac:dyDescent="0.25">
      <c r="A886" s="15"/>
      <c r="B886" s="16"/>
    </row>
    <row r="887" spans="1:2" ht="14.25" customHeight="1" x14ac:dyDescent="0.25">
      <c r="A887" s="15"/>
      <c r="B887" s="16"/>
    </row>
    <row r="888" spans="1:2" ht="14.25" customHeight="1" x14ac:dyDescent="0.25">
      <c r="A888" s="15"/>
      <c r="B888" s="16"/>
    </row>
    <row r="889" spans="1:2" ht="14.25" customHeight="1" x14ac:dyDescent="0.25">
      <c r="A889" s="15"/>
      <c r="B889" s="16"/>
    </row>
    <row r="890" spans="1:2" ht="14.25" customHeight="1" x14ac:dyDescent="0.25">
      <c r="A890" s="15"/>
      <c r="B890" s="16"/>
    </row>
    <row r="891" spans="1:2" ht="14.25" customHeight="1" x14ac:dyDescent="0.25">
      <c r="A891" s="15"/>
      <c r="B891" s="16"/>
    </row>
    <row r="892" spans="1:2" ht="14.25" customHeight="1" x14ac:dyDescent="0.25">
      <c r="A892" s="15"/>
      <c r="B892" s="16"/>
    </row>
    <row r="893" spans="1:2" ht="14.25" customHeight="1" x14ac:dyDescent="0.25">
      <c r="A893" s="15"/>
      <c r="B893" s="16"/>
    </row>
    <row r="894" spans="1:2" ht="14.25" customHeight="1" x14ac:dyDescent="0.25">
      <c r="A894" s="15"/>
      <c r="B894" s="16"/>
    </row>
    <row r="895" spans="1:2" ht="14.25" customHeight="1" x14ac:dyDescent="0.25">
      <c r="A895" s="15"/>
      <c r="B895" s="16"/>
    </row>
    <row r="896" spans="1:2" ht="14.25" customHeight="1" x14ac:dyDescent="0.25">
      <c r="A896" s="15"/>
      <c r="B896" s="16"/>
    </row>
    <row r="897" spans="1:2" ht="14.25" customHeight="1" x14ac:dyDescent="0.25">
      <c r="A897" s="15"/>
      <c r="B897" s="16"/>
    </row>
    <row r="898" spans="1:2" ht="14.25" customHeight="1" x14ac:dyDescent="0.25">
      <c r="A898" s="15"/>
      <c r="B898" s="16"/>
    </row>
    <row r="899" spans="1:2" ht="14.25" customHeight="1" x14ac:dyDescent="0.25">
      <c r="A899" s="15"/>
      <c r="B899" s="16"/>
    </row>
    <row r="900" spans="1:2" ht="14.25" customHeight="1" x14ac:dyDescent="0.25">
      <c r="A900" s="15"/>
      <c r="B900" s="16"/>
    </row>
    <row r="901" spans="1:2" ht="14.25" customHeight="1" x14ac:dyDescent="0.25">
      <c r="A901" s="15"/>
      <c r="B901" s="16"/>
    </row>
    <row r="902" spans="1:2" ht="14.25" customHeight="1" x14ac:dyDescent="0.25">
      <c r="A902" s="15"/>
      <c r="B902" s="16"/>
    </row>
    <row r="903" spans="1:2" ht="14.25" customHeight="1" x14ac:dyDescent="0.25">
      <c r="A903" s="15"/>
      <c r="B903" s="16"/>
    </row>
    <row r="904" spans="1:2" ht="14.25" customHeight="1" x14ac:dyDescent="0.25">
      <c r="A904" s="15"/>
      <c r="B904" s="16"/>
    </row>
    <row r="905" spans="1:2" ht="14.25" customHeight="1" x14ac:dyDescent="0.25">
      <c r="A905" s="15"/>
      <c r="B905" s="16"/>
    </row>
    <row r="906" spans="1:2" ht="14.25" customHeight="1" x14ac:dyDescent="0.25">
      <c r="A906" s="15"/>
      <c r="B906" s="16"/>
    </row>
    <row r="907" spans="1:2" ht="14.25" customHeight="1" x14ac:dyDescent="0.25">
      <c r="A907" s="15"/>
      <c r="B907" s="16"/>
    </row>
    <row r="908" spans="1:2" ht="14.25" customHeight="1" x14ac:dyDescent="0.25">
      <c r="A908" s="15"/>
      <c r="B908" s="16"/>
    </row>
    <row r="909" spans="1:2" ht="14.25" customHeight="1" x14ac:dyDescent="0.25">
      <c r="A909" s="15"/>
      <c r="B909" s="16"/>
    </row>
    <row r="910" spans="1:2" ht="14.25" customHeight="1" x14ac:dyDescent="0.25">
      <c r="A910" s="15"/>
      <c r="B910" s="16"/>
    </row>
    <row r="911" spans="1:2" ht="14.25" customHeight="1" x14ac:dyDescent="0.25">
      <c r="A911" s="15"/>
      <c r="B911" s="16"/>
    </row>
    <row r="912" spans="1:2" ht="14.25" customHeight="1" x14ac:dyDescent="0.25">
      <c r="A912" s="15"/>
      <c r="B912" s="16"/>
    </row>
    <row r="913" spans="1:2" ht="14.25" customHeight="1" x14ac:dyDescent="0.25">
      <c r="A913" s="15"/>
      <c r="B913" s="16"/>
    </row>
    <row r="914" spans="1:2" ht="14.25" customHeight="1" x14ac:dyDescent="0.25">
      <c r="A914" s="15"/>
      <c r="B914" s="16"/>
    </row>
    <row r="915" spans="1:2" ht="14.25" customHeight="1" x14ac:dyDescent="0.25">
      <c r="A915" s="15"/>
      <c r="B915" s="16"/>
    </row>
    <row r="916" spans="1:2" ht="14.25" customHeight="1" x14ac:dyDescent="0.25">
      <c r="A916" s="15"/>
      <c r="B916" s="16"/>
    </row>
    <row r="917" spans="1:2" ht="14.25" customHeight="1" x14ac:dyDescent="0.25">
      <c r="A917" s="15"/>
      <c r="B917" s="16"/>
    </row>
    <row r="918" spans="1:2" ht="14.25" customHeight="1" x14ac:dyDescent="0.25">
      <c r="A918" s="15"/>
      <c r="B918" s="16"/>
    </row>
    <row r="919" spans="1:2" ht="14.25" customHeight="1" x14ac:dyDescent="0.25">
      <c r="A919" s="15"/>
      <c r="B919" s="16"/>
    </row>
    <row r="920" spans="1:2" ht="14.25" customHeight="1" x14ac:dyDescent="0.25">
      <c r="A920" s="15"/>
      <c r="B920" s="16"/>
    </row>
    <row r="921" spans="1:2" ht="14.25" customHeight="1" x14ac:dyDescent="0.25">
      <c r="A921" s="15"/>
      <c r="B921" s="16"/>
    </row>
    <row r="922" spans="1:2" ht="14.25" customHeight="1" x14ac:dyDescent="0.25">
      <c r="A922" s="15"/>
      <c r="B922" s="16"/>
    </row>
    <row r="923" spans="1:2" ht="14.25" customHeight="1" x14ac:dyDescent="0.25">
      <c r="A923" s="15"/>
      <c r="B923" s="16"/>
    </row>
    <row r="924" spans="1:2" ht="14.25" customHeight="1" x14ac:dyDescent="0.25">
      <c r="A924" s="15"/>
      <c r="B924" s="16"/>
    </row>
    <row r="925" spans="1:2" ht="14.25" customHeight="1" x14ac:dyDescent="0.25">
      <c r="A925" s="15"/>
      <c r="B925" s="16"/>
    </row>
    <row r="926" spans="1:2" ht="14.25" customHeight="1" x14ac:dyDescent="0.25">
      <c r="A926" s="15"/>
      <c r="B926" s="16"/>
    </row>
    <row r="927" spans="1:2" ht="14.25" customHeight="1" x14ac:dyDescent="0.25">
      <c r="A927" s="15"/>
      <c r="B927" s="16"/>
    </row>
    <row r="928" spans="1:2" ht="14.25" customHeight="1" x14ac:dyDescent="0.25">
      <c r="A928" s="15"/>
      <c r="B928" s="16"/>
    </row>
    <row r="929" spans="1:2" ht="14.25" customHeight="1" x14ac:dyDescent="0.25">
      <c r="A929" s="15"/>
      <c r="B929" s="16"/>
    </row>
    <row r="930" spans="1:2" ht="14.25" customHeight="1" x14ac:dyDescent="0.25">
      <c r="A930" s="15"/>
      <c r="B930" s="16"/>
    </row>
    <row r="931" spans="1:2" ht="14.25" customHeight="1" x14ac:dyDescent="0.25">
      <c r="A931" s="15"/>
      <c r="B931" s="16"/>
    </row>
    <row r="932" spans="1:2" ht="14.25" customHeight="1" x14ac:dyDescent="0.25">
      <c r="A932" s="15"/>
      <c r="B932" s="16"/>
    </row>
    <row r="933" spans="1:2" ht="14.25" customHeight="1" x14ac:dyDescent="0.25">
      <c r="A933" s="15"/>
      <c r="B933" s="16"/>
    </row>
    <row r="934" spans="1:2" ht="14.25" customHeight="1" x14ac:dyDescent="0.25">
      <c r="A934" s="15"/>
      <c r="B934" s="16"/>
    </row>
    <row r="935" spans="1:2" ht="14.25" customHeight="1" x14ac:dyDescent="0.25">
      <c r="A935" s="15"/>
      <c r="B935" s="16"/>
    </row>
    <row r="936" spans="1:2" ht="14.25" customHeight="1" x14ac:dyDescent="0.25">
      <c r="A936" s="15"/>
      <c r="B936" s="16"/>
    </row>
    <row r="937" spans="1:2" ht="14.25" customHeight="1" x14ac:dyDescent="0.25">
      <c r="A937" s="15"/>
      <c r="B937" s="16"/>
    </row>
    <row r="938" spans="1:2" ht="14.25" customHeight="1" x14ac:dyDescent="0.25">
      <c r="A938" s="15"/>
      <c r="B938" s="16"/>
    </row>
    <row r="939" spans="1:2" ht="14.25" customHeight="1" x14ac:dyDescent="0.25">
      <c r="A939" s="15"/>
      <c r="B939" s="16"/>
    </row>
    <row r="940" spans="1:2" ht="14.25" customHeight="1" x14ac:dyDescent="0.25">
      <c r="A940" s="15"/>
      <c r="B940" s="16"/>
    </row>
    <row r="941" spans="1:2" ht="14.25" customHeight="1" x14ac:dyDescent="0.25">
      <c r="A941" s="15"/>
      <c r="B941" s="16"/>
    </row>
    <row r="942" spans="1:2" ht="14.25" customHeight="1" x14ac:dyDescent="0.25">
      <c r="A942" s="15"/>
      <c r="B942" s="16"/>
    </row>
    <row r="943" spans="1:2" ht="14.25" customHeight="1" x14ac:dyDescent="0.25">
      <c r="A943" s="15"/>
      <c r="B943" s="16"/>
    </row>
    <row r="944" spans="1:2" ht="14.25" customHeight="1" x14ac:dyDescent="0.25">
      <c r="A944" s="15"/>
      <c r="B944" s="16"/>
    </row>
    <row r="945" spans="1:2" ht="14.25" customHeight="1" x14ac:dyDescent="0.25">
      <c r="A945" s="15"/>
      <c r="B945" s="16"/>
    </row>
    <row r="946" spans="1:2" ht="14.25" customHeight="1" x14ac:dyDescent="0.25">
      <c r="A946" s="15"/>
      <c r="B946" s="16"/>
    </row>
    <row r="947" spans="1:2" ht="14.25" customHeight="1" x14ac:dyDescent="0.25">
      <c r="A947" s="15"/>
      <c r="B947" s="16"/>
    </row>
    <row r="948" spans="1:2" ht="14.25" customHeight="1" x14ac:dyDescent="0.25">
      <c r="A948" s="15"/>
      <c r="B948" s="16"/>
    </row>
    <row r="949" spans="1:2" ht="14.25" customHeight="1" x14ac:dyDescent="0.25">
      <c r="A949" s="15"/>
      <c r="B949" s="16"/>
    </row>
    <row r="950" spans="1:2" ht="14.25" customHeight="1" x14ac:dyDescent="0.25">
      <c r="A950" s="15"/>
      <c r="B950" s="16"/>
    </row>
    <row r="951" spans="1:2" ht="14.25" customHeight="1" x14ac:dyDescent="0.25">
      <c r="A951" s="15"/>
      <c r="B951" s="16"/>
    </row>
    <row r="952" spans="1:2" ht="14.25" customHeight="1" x14ac:dyDescent="0.25">
      <c r="A952" s="15"/>
      <c r="B952" s="16"/>
    </row>
    <row r="953" spans="1:2" ht="14.25" customHeight="1" x14ac:dyDescent="0.25">
      <c r="A953" s="15"/>
      <c r="B953" s="16"/>
    </row>
    <row r="954" spans="1:2" ht="14.25" customHeight="1" x14ac:dyDescent="0.25">
      <c r="A954" s="15"/>
      <c r="B954" s="16"/>
    </row>
    <row r="955" spans="1:2" ht="14.25" customHeight="1" x14ac:dyDescent="0.25">
      <c r="A955" s="15"/>
      <c r="B955" s="16"/>
    </row>
    <row r="956" spans="1:2" ht="14.25" customHeight="1" x14ac:dyDescent="0.25">
      <c r="A956" s="15"/>
      <c r="B956" s="16"/>
    </row>
    <row r="957" spans="1:2" ht="14.25" customHeight="1" x14ac:dyDescent="0.25">
      <c r="A957" s="15"/>
      <c r="B957" s="16"/>
    </row>
    <row r="958" spans="1:2" ht="14.25" customHeight="1" x14ac:dyDescent="0.25">
      <c r="A958" s="15"/>
      <c r="B958" s="16"/>
    </row>
    <row r="959" spans="1:2" ht="14.25" customHeight="1" x14ac:dyDescent="0.25">
      <c r="A959" s="15"/>
      <c r="B959" s="16"/>
    </row>
    <row r="960" spans="1:2" ht="14.25" customHeight="1" x14ac:dyDescent="0.25">
      <c r="A960" s="15"/>
      <c r="B960" s="16"/>
    </row>
    <row r="961" spans="1:2" ht="14.25" customHeight="1" x14ac:dyDescent="0.25">
      <c r="A961" s="15"/>
      <c r="B961" s="16"/>
    </row>
    <row r="962" spans="1:2" ht="14.25" customHeight="1" x14ac:dyDescent="0.25">
      <c r="A962" s="15"/>
      <c r="B962" s="16"/>
    </row>
    <row r="963" spans="1:2" ht="14.25" customHeight="1" x14ac:dyDescent="0.25">
      <c r="A963" s="15"/>
      <c r="B963" s="16"/>
    </row>
    <row r="964" spans="1:2" ht="14.25" customHeight="1" x14ac:dyDescent="0.25">
      <c r="A964" s="15"/>
      <c r="B964" s="16"/>
    </row>
    <row r="965" spans="1:2" ht="14.25" customHeight="1" x14ac:dyDescent="0.25">
      <c r="A965" s="15"/>
      <c r="B965" s="16"/>
    </row>
    <row r="966" spans="1:2" ht="14.25" customHeight="1" x14ac:dyDescent="0.25">
      <c r="A966" s="15"/>
      <c r="B966" s="16"/>
    </row>
    <row r="967" spans="1:2" ht="14.25" customHeight="1" x14ac:dyDescent="0.25">
      <c r="A967" s="15"/>
      <c r="B967" s="16"/>
    </row>
    <row r="968" spans="1:2" ht="14.25" customHeight="1" x14ac:dyDescent="0.25">
      <c r="A968" s="15"/>
      <c r="B968" s="16"/>
    </row>
    <row r="969" spans="1:2" ht="14.25" customHeight="1" x14ac:dyDescent="0.25">
      <c r="A969" s="15"/>
      <c r="B969" s="16"/>
    </row>
    <row r="970" spans="1:2" ht="14.25" customHeight="1" x14ac:dyDescent="0.25">
      <c r="A970" s="15"/>
      <c r="B970" s="16"/>
    </row>
    <row r="971" spans="1:2" ht="14.25" customHeight="1" x14ac:dyDescent="0.25">
      <c r="A971" s="15"/>
      <c r="B971" s="16"/>
    </row>
    <row r="972" spans="1:2" ht="14.25" customHeight="1" x14ac:dyDescent="0.25">
      <c r="A972" s="15"/>
      <c r="B972" s="16"/>
    </row>
    <row r="973" spans="1:2" ht="14.25" customHeight="1" x14ac:dyDescent="0.25">
      <c r="A973" s="15"/>
      <c r="B973" s="16"/>
    </row>
    <row r="974" spans="1:2" ht="14.25" customHeight="1" x14ac:dyDescent="0.25">
      <c r="A974" s="15"/>
      <c r="B974" s="16"/>
    </row>
    <row r="975" spans="1:2" ht="14.25" customHeight="1" x14ac:dyDescent="0.25">
      <c r="A975" s="15"/>
      <c r="B975" s="16"/>
    </row>
    <row r="976" spans="1:2" ht="14.25" customHeight="1" x14ac:dyDescent="0.25">
      <c r="A976" s="15"/>
      <c r="B976" s="16"/>
    </row>
    <row r="977" spans="1:2" ht="14.25" customHeight="1" x14ac:dyDescent="0.25">
      <c r="A977" s="15"/>
      <c r="B977" s="16"/>
    </row>
    <row r="978" spans="1:2" ht="14.25" customHeight="1" x14ac:dyDescent="0.25">
      <c r="A978" s="15"/>
      <c r="B978" s="16"/>
    </row>
    <row r="979" spans="1:2" ht="14.25" customHeight="1" x14ac:dyDescent="0.25">
      <c r="A979" s="15"/>
      <c r="B979" s="16"/>
    </row>
    <row r="980" spans="1:2" ht="14.25" customHeight="1" x14ac:dyDescent="0.25">
      <c r="A980" s="15"/>
      <c r="B980" s="16"/>
    </row>
    <row r="981" spans="1:2" ht="14.25" customHeight="1" x14ac:dyDescent="0.25">
      <c r="A981" s="15"/>
      <c r="B981" s="16"/>
    </row>
    <row r="982" spans="1:2" ht="14.25" customHeight="1" x14ac:dyDescent="0.25">
      <c r="A982" s="15"/>
      <c r="B982" s="16"/>
    </row>
    <row r="983" spans="1:2" ht="14.25" customHeight="1" x14ac:dyDescent="0.25">
      <c r="A983" s="15"/>
      <c r="B983" s="16"/>
    </row>
    <row r="984" spans="1:2" ht="14.25" customHeight="1" x14ac:dyDescent="0.25">
      <c r="A984" s="15"/>
      <c r="B984" s="16"/>
    </row>
    <row r="985" spans="1:2" ht="14.25" customHeight="1" x14ac:dyDescent="0.25">
      <c r="A985" s="15"/>
      <c r="B985" s="16"/>
    </row>
    <row r="986" spans="1:2" ht="14.25" customHeight="1" x14ac:dyDescent="0.25">
      <c r="A986" s="15"/>
      <c r="B986" s="16"/>
    </row>
    <row r="987" spans="1:2" ht="14.25" customHeight="1" x14ac:dyDescent="0.25">
      <c r="A987" s="15"/>
      <c r="B987" s="16"/>
    </row>
    <row r="988" spans="1:2" ht="14.25" customHeight="1" x14ac:dyDescent="0.25">
      <c r="A988" s="15"/>
      <c r="B988" s="16"/>
    </row>
    <row r="989" spans="1:2" ht="14.25" customHeight="1" x14ac:dyDescent="0.25">
      <c r="A989" s="15"/>
      <c r="B989" s="16"/>
    </row>
    <row r="990" spans="1:2" ht="14.25" customHeight="1" x14ac:dyDescent="0.25">
      <c r="A990" s="15"/>
      <c r="B990" s="16"/>
    </row>
    <row r="991" spans="1:2" ht="14.25" customHeight="1" x14ac:dyDescent="0.25">
      <c r="A991" s="15"/>
      <c r="B991" s="16"/>
    </row>
    <row r="992" spans="1:2" ht="14.25" customHeight="1" x14ac:dyDescent="0.25">
      <c r="A992" s="15"/>
      <c r="B992" s="16"/>
    </row>
    <row r="993" spans="1:2" ht="14.25" customHeight="1" x14ac:dyDescent="0.25">
      <c r="A993" s="15"/>
      <c r="B993" s="16"/>
    </row>
    <row r="994" spans="1:2" ht="14.25" customHeight="1" x14ac:dyDescent="0.25">
      <c r="A994" s="15"/>
      <c r="B994" s="16"/>
    </row>
    <row r="995" spans="1:2" ht="14.25" customHeight="1" x14ac:dyDescent="0.25">
      <c r="A995" s="15"/>
      <c r="B995" s="16"/>
    </row>
    <row r="996" spans="1:2" ht="14.25" customHeight="1" x14ac:dyDescent="0.25">
      <c r="A996" s="15"/>
      <c r="B996" s="16"/>
    </row>
    <row r="997" spans="1:2" ht="14.25" customHeight="1" x14ac:dyDescent="0.25">
      <c r="A997" s="15"/>
      <c r="B997" s="16"/>
    </row>
    <row r="998" spans="1:2" ht="14.25" customHeight="1" x14ac:dyDescent="0.25">
      <c r="A998" s="15"/>
      <c r="B998" s="16"/>
    </row>
    <row r="999" spans="1:2" ht="14.25" customHeight="1" x14ac:dyDescent="0.25">
      <c r="A999" s="15"/>
      <c r="B999" s="16"/>
    </row>
  </sheetData>
  <mergeCells count="6">
    <mergeCell ref="E2:E5"/>
    <mergeCell ref="F2:F5"/>
    <mergeCell ref="E6:E9"/>
    <mergeCell ref="F6:F9"/>
    <mergeCell ref="E10:E27"/>
    <mergeCell ref="F10:F27"/>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D7D31"/>
  </sheetPr>
  <dimension ref="A1:BB1000"/>
  <sheetViews>
    <sheetView showGridLines="0" tabSelected="1" topLeftCell="A3" zoomScale="102" zoomScaleNormal="210" workbookViewId="0">
      <selection activeCell="P21" sqref="P21"/>
    </sheetView>
  </sheetViews>
  <sheetFormatPr defaultColWidth="14.42578125" defaultRowHeight="15" customHeight="1" x14ac:dyDescent="0.25"/>
  <cols>
    <col min="1" max="19" width="12.42578125" customWidth="1"/>
    <col min="20" max="20" width="18.5703125" customWidth="1"/>
    <col min="21" max="35" width="12.42578125" customWidth="1"/>
    <col min="36" max="36" width="12.28515625" customWidth="1"/>
    <col min="37" max="38" width="22.5703125" customWidth="1"/>
    <col min="39" max="39" width="12.42578125" customWidth="1"/>
    <col min="40" max="54" width="12.28515625" customWidth="1"/>
  </cols>
  <sheetData>
    <row r="1" spans="1:54" ht="14.25" customHeight="1" x14ac:dyDescent="0.25">
      <c r="AO1" s="17"/>
    </row>
    <row r="2" spans="1:54" ht="14.25" customHeight="1" x14ac:dyDescent="0.25">
      <c r="B2" s="140" t="s">
        <v>20</v>
      </c>
      <c r="C2" s="139"/>
      <c r="D2" s="139"/>
      <c r="E2" s="139"/>
      <c r="F2" s="139"/>
      <c r="G2" s="139"/>
      <c r="I2" s="140" t="s">
        <v>21</v>
      </c>
      <c r="J2" s="139"/>
      <c r="K2" s="139"/>
      <c r="L2" s="139"/>
      <c r="M2" s="139"/>
      <c r="N2" s="139"/>
      <c r="S2" s="140" t="s">
        <v>20</v>
      </c>
      <c r="T2" s="139"/>
      <c r="U2" s="17"/>
      <c r="V2" s="140" t="s">
        <v>20</v>
      </c>
      <c r="W2" s="139"/>
      <c r="X2" s="17"/>
      <c r="Y2" s="140" t="s">
        <v>20</v>
      </c>
      <c r="Z2" s="139"/>
      <c r="AA2" s="17"/>
      <c r="AB2" s="140" t="s">
        <v>20</v>
      </c>
      <c r="AC2" s="139"/>
      <c r="AD2" s="139"/>
      <c r="AE2" s="139"/>
      <c r="AF2" s="139"/>
      <c r="AG2" s="17"/>
      <c r="AH2" s="17"/>
      <c r="AI2" s="17"/>
      <c r="AK2" s="140" t="s">
        <v>20</v>
      </c>
      <c r="AL2" s="139"/>
      <c r="AN2" s="140" t="s">
        <v>20</v>
      </c>
      <c r="AO2" s="139"/>
      <c r="AP2" s="17"/>
      <c r="AQ2" s="17"/>
      <c r="AR2" s="17"/>
      <c r="AT2" s="140" t="s">
        <v>20</v>
      </c>
      <c r="AU2" s="139"/>
      <c r="AV2" s="139"/>
      <c r="AW2" s="139"/>
      <c r="AX2" s="139"/>
      <c r="AY2" s="139"/>
      <c r="AZ2" s="139"/>
      <c r="BA2" s="139"/>
      <c r="BB2" s="139"/>
    </row>
    <row r="3" spans="1:54" ht="32.25" customHeight="1" x14ac:dyDescent="0.25">
      <c r="A3" s="16"/>
      <c r="B3" s="131" t="s">
        <v>22</v>
      </c>
      <c r="C3" s="132"/>
      <c r="D3" s="132"/>
      <c r="E3" s="132"/>
      <c r="F3" s="132"/>
      <c r="G3" s="132"/>
      <c r="H3" s="16"/>
      <c r="I3" s="141" t="s">
        <v>22</v>
      </c>
      <c r="J3" s="132"/>
      <c r="K3" s="132"/>
      <c r="L3" s="132"/>
      <c r="M3" s="132"/>
      <c r="N3" s="132"/>
      <c r="O3" s="16"/>
      <c r="P3" s="16"/>
      <c r="Q3" s="16"/>
      <c r="R3" s="16"/>
      <c r="S3" s="131" t="s">
        <v>23</v>
      </c>
      <c r="T3" s="132"/>
      <c r="U3" s="18"/>
      <c r="V3" s="131" t="s">
        <v>24</v>
      </c>
      <c r="W3" s="132"/>
      <c r="X3" s="18"/>
      <c r="Y3" s="131" t="s">
        <v>25</v>
      </c>
      <c r="Z3" s="132"/>
      <c r="AA3" s="18"/>
      <c r="AB3" s="131" t="s">
        <v>26</v>
      </c>
      <c r="AC3" s="132"/>
      <c r="AD3" s="132"/>
      <c r="AE3" s="132"/>
      <c r="AF3" s="132"/>
      <c r="AG3" s="18"/>
      <c r="AH3" s="18"/>
      <c r="AI3" s="18"/>
      <c r="AJ3" s="16"/>
      <c r="AK3" s="131" t="s">
        <v>251</v>
      </c>
      <c r="AL3" s="132"/>
      <c r="AM3" s="16"/>
      <c r="AN3" s="131" t="s">
        <v>27</v>
      </c>
      <c r="AO3" s="132"/>
      <c r="AP3" s="18"/>
      <c r="AQ3" s="18"/>
      <c r="AR3" s="18"/>
      <c r="AS3" s="16"/>
      <c r="AT3" s="131" t="s">
        <v>28</v>
      </c>
      <c r="AU3" s="132"/>
      <c r="AV3" s="132"/>
      <c r="AW3" s="132"/>
      <c r="AX3" s="132"/>
      <c r="AY3" s="132"/>
      <c r="AZ3" s="132"/>
      <c r="BA3" s="132"/>
      <c r="BB3" s="132"/>
    </row>
    <row r="4" spans="1:54" ht="14.25" customHeight="1" x14ac:dyDescent="0.25">
      <c r="B4" s="19" t="s">
        <v>29</v>
      </c>
      <c r="C4" s="138" t="s">
        <v>30</v>
      </c>
      <c r="D4" s="139"/>
      <c r="E4" s="139"/>
      <c r="F4" s="139"/>
      <c r="G4" s="139"/>
      <c r="H4" s="14"/>
      <c r="I4" s="19" t="s">
        <v>29</v>
      </c>
      <c r="J4" s="138" t="s">
        <v>30</v>
      </c>
      <c r="K4" s="139"/>
      <c r="L4" s="139"/>
      <c r="M4" s="139"/>
      <c r="N4" s="139"/>
      <c r="P4" s="133" t="s">
        <v>31</v>
      </c>
      <c r="Q4" s="134"/>
      <c r="R4" s="18"/>
      <c r="S4" s="19" t="s">
        <v>29</v>
      </c>
      <c r="T4" s="19" t="s">
        <v>30</v>
      </c>
      <c r="U4" s="18"/>
      <c r="V4" s="19" t="s">
        <v>29</v>
      </c>
      <c r="W4" s="19" t="s">
        <v>32</v>
      </c>
      <c r="X4" s="18"/>
      <c r="Y4" s="19" t="s">
        <v>29</v>
      </c>
      <c r="Z4" s="19" t="s">
        <v>33</v>
      </c>
      <c r="AA4" s="18"/>
      <c r="AB4" s="19" t="s">
        <v>29</v>
      </c>
      <c r="AC4" s="20" t="s">
        <v>34</v>
      </c>
      <c r="AD4" s="138" t="s">
        <v>30</v>
      </c>
      <c r="AE4" s="139"/>
      <c r="AF4" s="139"/>
      <c r="AG4" s="18"/>
      <c r="AH4" s="133" t="s">
        <v>35</v>
      </c>
      <c r="AI4" s="134"/>
      <c r="AK4" s="19" t="s">
        <v>29</v>
      </c>
      <c r="AL4" s="19" t="s">
        <v>36</v>
      </c>
      <c r="AN4" s="19" t="s">
        <v>29</v>
      </c>
      <c r="AO4" s="19" t="s">
        <v>30</v>
      </c>
      <c r="AP4" s="18"/>
      <c r="AQ4" s="133" t="s">
        <v>37</v>
      </c>
      <c r="AR4" s="134"/>
      <c r="AT4" s="19" t="s">
        <v>29</v>
      </c>
      <c r="AU4" s="135" t="s">
        <v>38</v>
      </c>
      <c r="AV4" s="136"/>
      <c r="AW4" s="136"/>
      <c r="AX4" s="137"/>
      <c r="AY4" s="135" t="s">
        <v>39</v>
      </c>
      <c r="AZ4" s="136"/>
      <c r="BA4" s="136"/>
      <c r="BB4" s="136"/>
    </row>
    <row r="5" spans="1:54" ht="14.25" customHeight="1" x14ac:dyDescent="0.25">
      <c r="B5" s="160">
        <v>1</v>
      </c>
      <c r="C5" s="161">
        <v>9.9760000000000009</v>
      </c>
      <c r="D5" s="161">
        <v>10.694000000000001</v>
      </c>
      <c r="E5" s="161">
        <v>10.368</v>
      </c>
      <c r="F5" s="161">
        <v>10.503</v>
      </c>
      <c r="G5" s="161">
        <v>10.323</v>
      </c>
      <c r="H5" s="61"/>
      <c r="I5" s="160">
        <v>26</v>
      </c>
      <c r="J5" s="161">
        <v>10.477</v>
      </c>
      <c r="K5" s="161">
        <v>10.499000000000001</v>
      </c>
      <c r="L5" s="161">
        <v>10.577</v>
      </c>
      <c r="M5" s="161">
        <v>10.654</v>
      </c>
      <c r="N5" s="161">
        <v>10.455</v>
      </c>
      <c r="O5" s="161"/>
      <c r="P5" s="21" t="s">
        <v>40</v>
      </c>
      <c r="Q5" s="22">
        <v>12</v>
      </c>
      <c r="R5" s="23"/>
      <c r="S5" s="17">
        <v>1</v>
      </c>
      <c r="T5" s="161">
        <v>3.7664857600000001</v>
      </c>
      <c r="V5" s="17">
        <v>1</v>
      </c>
      <c r="W5" s="24">
        <v>5</v>
      </c>
      <c r="X5" s="23"/>
      <c r="Y5" s="17">
        <v>1</v>
      </c>
      <c r="Z5" s="24">
        <v>7</v>
      </c>
      <c r="AA5" s="23"/>
      <c r="AB5" s="102">
        <v>1</v>
      </c>
      <c r="AC5" s="23" t="s">
        <v>41</v>
      </c>
      <c r="AD5">
        <v>2.637</v>
      </c>
      <c r="AE5">
        <v>2.641</v>
      </c>
      <c r="AF5">
        <v>2.6390000000000002</v>
      </c>
      <c r="AG5" s="23"/>
      <c r="AH5" s="21" t="s">
        <v>41</v>
      </c>
      <c r="AI5" s="22">
        <v>264</v>
      </c>
      <c r="AK5" s="160">
        <v>1</v>
      </c>
      <c r="AL5" s="159">
        <v>12</v>
      </c>
      <c r="AN5" s="17">
        <v>1</v>
      </c>
      <c r="AO5" s="24">
        <v>8</v>
      </c>
      <c r="AP5" s="25"/>
      <c r="AQ5" s="21" t="s">
        <v>42</v>
      </c>
      <c r="AR5" s="22" t="s">
        <v>43</v>
      </c>
      <c r="AT5" s="160">
        <v>1</v>
      </c>
      <c r="AU5" s="161">
        <v>10.036</v>
      </c>
      <c r="AV5" s="161">
        <v>10.068</v>
      </c>
      <c r="AW5" s="161">
        <v>10.013999999999999</v>
      </c>
      <c r="AX5" s="161">
        <v>9.963000000000001</v>
      </c>
      <c r="AY5" s="161">
        <v>11.998000000000001</v>
      </c>
      <c r="AZ5" s="161">
        <v>11.885</v>
      </c>
      <c r="BA5" s="161">
        <v>12.011000000000001</v>
      </c>
      <c r="BB5" s="161">
        <v>11.914</v>
      </c>
    </row>
    <row r="6" spans="1:54" ht="14.25" customHeight="1" x14ac:dyDescent="0.25">
      <c r="B6" s="160">
        <v>2</v>
      </c>
      <c r="C6" s="161">
        <v>10.625999999999999</v>
      </c>
      <c r="D6" s="161">
        <v>10.423999999999999</v>
      </c>
      <c r="E6" s="161">
        <v>11.109</v>
      </c>
      <c r="F6" s="161">
        <v>1.0569999999999999</v>
      </c>
      <c r="G6" s="161">
        <v>10.132999999999999</v>
      </c>
      <c r="H6" s="61"/>
      <c r="I6" s="160">
        <v>27</v>
      </c>
      <c r="J6" s="161">
        <v>10.298999999999999</v>
      </c>
      <c r="K6" s="161">
        <v>10.321</v>
      </c>
      <c r="L6" s="161">
        <v>10.343</v>
      </c>
      <c r="M6" s="161">
        <v>10.266</v>
      </c>
      <c r="N6" s="161">
        <v>10.542999999999999</v>
      </c>
      <c r="O6" s="161"/>
      <c r="P6" s="21" t="s">
        <v>44</v>
      </c>
      <c r="Q6" s="22">
        <v>10</v>
      </c>
      <c r="R6" s="23"/>
      <c r="S6" s="17">
        <v>2</v>
      </c>
      <c r="T6" s="161">
        <v>3.6069998080000003</v>
      </c>
      <c r="V6" s="17">
        <v>2</v>
      </c>
      <c r="W6" s="24">
        <v>6</v>
      </c>
      <c r="X6" s="23"/>
      <c r="Y6" s="17">
        <v>2</v>
      </c>
      <c r="Z6" s="24">
        <v>15</v>
      </c>
      <c r="AA6" s="23"/>
      <c r="AB6" s="102">
        <v>2</v>
      </c>
      <c r="AC6" s="23" t="s">
        <v>41</v>
      </c>
      <c r="AD6">
        <v>2.6390000000000002</v>
      </c>
      <c r="AE6">
        <v>2.6390000000000002</v>
      </c>
      <c r="AF6">
        <v>2.641</v>
      </c>
      <c r="AG6" s="23"/>
      <c r="AH6" s="21" t="s">
        <v>45</v>
      </c>
      <c r="AI6" s="22">
        <v>284</v>
      </c>
      <c r="AK6" s="160">
        <v>2</v>
      </c>
      <c r="AL6" s="159">
        <v>7</v>
      </c>
      <c r="AN6" s="17">
        <v>2</v>
      </c>
      <c r="AO6" s="24">
        <v>9</v>
      </c>
      <c r="AP6" s="25"/>
      <c r="AQ6" s="21" t="s">
        <v>46</v>
      </c>
      <c r="AR6" s="22" t="s">
        <v>47</v>
      </c>
      <c r="AT6" s="160">
        <v>2</v>
      </c>
      <c r="AU6" s="161">
        <v>10.045</v>
      </c>
      <c r="AV6" s="161">
        <v>10.202999999999999</v>
      </c>
      <c r="AW6" s="161">
        <v>10.149000000000001</v>
      </c>
      <c r="AX6" s="161">
        <v>10.199</v>
      </c>
      <c r="AY6" s="161">
        <v>1.1910000000000001</v>
      </c>
      <c r="AZ6" s="161">
        <v>11.784000000000001</v>
      </c>
      <c r="BA6" s="161">
        <v>11.923999999999999</v>
      </c>
      <c r="BB6" s="161">
        <v>11.838000000000001</v>
      </c>
    </row>
    <row r="7" spans="1:54" ht="14.25" customHeight="1" x14ac:dyDescent="0.25">
      <c r="B7" s="160">
        <v>3</v>
      </c>
      <c r="C7" s="161">
        <v>10.458</v>
      </c>
      <c r="D7" s="161">
        <v>10.548</v>
      </c>
      <c r="E7" s="161">
        <v>10.760999999999999</v>
      </c>
      <c r="F7" s="161">
        <v>10.301</v>
      </c>
      <c r="G7" s="161">
        <v>10.042999999999999</v>
      </c>
      <c r="H7" s="61"/>
      <c r="I7" s="160">
        <v>28</v>
      </c>
      <c r="J7" s="161">
        <v>10.532</v>
      </c>
      <c r="K7" s="161">
        <v>10.643000000000001</v>
      </c>
      <c r="L7" s="161">
        <v>10.221</v>
      </c>
      <c r="M7" s="161">
        <v>1.0209999999999999</v>
      </c>
      <c r="N7" s="161">
        <v>1.0409999999999999</v>
      </c>
      <c r="O7" s="161"/>
      <c r="R7" s="23"/>
      <c r="S7" s="17">
        <v>3</v>
      </c>
      <c r="T7" s="161">
        <v>3.1533437440000003</v>
      </c>
      <c r="V7" s="17">
        <v>3</v>
      </c>
      <c r="W7" s="24">
        <v>10</v>
      </c>
      <c r="X7" s="23"/>
      <c r="Y7" s="17">
        <v>3</v>
      </c>
      <c r="Z7" s="24">
        <v>7</v>
      </c>
      <c r="AA7" s="23"/>
      <c r="AB7" s="102">
        <v>3</v>
      </c>
      <c r="AC7" s="23" t="s">
        <v>41</v>
      </c>
      <c r="AD7">
        <v>2.6379999999999999</v>
      </c>
      <c r="AE7">
        <v>2.6390000000000002</v>
      </c>
      <c r="AF7">
        <v>2.641</v>
      </c>
      <c r="AG7" s="23"/>
      <c r="AH7" s="21" t="s">
        <v>48</v>
      </c>
      <c r="AI7" s="22">
        <v>304</v>
      </c>
      <c r="AK7" s="160">
        <v>3</v>
      </c>
      <c r="AL7" s="159">
        <v>5</v>
      </c>
      <c r="AN7" s="17">
        <v>3</v>
      </c>
      <c r="AO7" s="24">
        <v>1</v>
      </c>
      <c r="AP7" s="25"/>
      <c r="AQ7" s="21" t="s">
        <v>49</v>
      </c>
      <c r="AR7" s="26">
        <v>0.01</v>
      </c>
      <c r="AT7" s="160">
        <v>3</v>
      </c>
      <c r="AU7" s="161">
        <v>9.8640000000000008</v>
      </c>
      <c r="AV7" s="161">
        <v>10.257</v>
      </c>
      <c r="AW7" s="161">
        <v>10.085000000000001</v>
      </c>
      <c r="AX7" s="161">
        <v>10.157999999999999</v>
      </c>
      <c r="AY7" s="161">
        <v>11.866</v>
      </c>
      <c r="AZ7" s="161">
        <v>12.068</v>
      </c>
      <c r="BA7" s="161">
        <v>12.063000000000001</v>
      </c>
      <c r="BB7" s="161">
        <v>11.968999999999999</v>
      </c>
    </row>
    <row r="8" spans="1:54" ht="14.25" customHeight="1" x14ac:dyDescent="0.25">
      <c r="B8" s="160">
        <v>4</v>
      </c>
      <c r="C8" s="161">
        <v>10.648999999999999</v>
      </c>
      <c r="D8" s="161">
        <v>10.727</v>
      </c>
      <c r="E8" s="161">
        <v>10.423999999999999</v>
      </c>
      <c r="F8" s="161">
        <v>10.603999999999999</v>
      </c>
      <c r="G8" s="161">
        <v>10.603999999999999</v>
      </c>
      <c r="H8" s="61"/>
      <c r="I8" s="160">
        <v>29</v>
      </c>
      <c r="J8" s="161">
        <v>10.465999999999999</v>
      </c>
      <c r="K8" s="161">
        <v>10.266</v>
      </c>
      <c r="L8" s="161">
        <v>10.243</v>
      </c>
      <c r="M8" s="161">
        <v>10.366</v>
      </c>
      <c r="N8" s="161">
        <v>1.0409999999999999</v>
      </c>
      <c r="O8" s="161"/>
      <c r="R8" s="23"/>
      <c r="S8" s="17">
        <v>4</v>
      </c>
      <c r="T8" s="161">
        <v>3.8022471680000001</v>
      </c>
      <c r="V8" s="17">
        <v>4</v>
      </c>
      <c r="W8" s="24">
        <v>8</v>
      </c>
      <c r="X8" s="23"/>
      <c r="Y8" s="17">
        <v>4</v>
      </c>
      <c r="Z8" s="24">
        <v>8</v>
      </c>
      <c r="AA8" s="23"/>
      <c r="AB8" s="102">
        <v>4</v>
      </c>
      <c r="AC8" s="23" t="s">
        <v>41</v>
      </c>
      <c r="AD8">
        <v>2.641</v>
      </c>
      <c r="AE8">
        <v>2.6390000000000002</v>
      </c>
      <c r="AF8">
        <v>2.641</v>
      </c>
      <c r="AG8" s="23"/>
      <c r="AH8" s="21" t="s">
        <v>50</v>
      </c>
      <c r="AI8" s="22">
        <v>324</v>
      </c>
      <c r="AK8" s="160">
        <v>4</v>
      </c>
      <c r="AL8" s="159">
        <v>12</v>
      </c>
      <c r="AN8" s="17">
        <v>4</v>
      </c>
      <c r="AO8" s="24">
        <v>9</v>
      </c>
      <c r="AP8" s="25"/>
      <c r="AQ8" s="21" t="s">
        <v>51</v>
      </c>
      <c r="AR8" s="27">
        <v>2.7</v>
      </c>
      <c r="AT8" s="160">
        <v>4</v>
      </c>
      <c r="AU8" s="161">
        <v>10.085000000000001</v>
      </c>
      <c r="AV8" s="161">
        <v>10.022</v>
      </c>
      <c r="AW8" s="161">
        <v>10.063000000000001</v>
      </c>
      <c r="AX8" s="161">
        <v>10.238</v>
      </c>
      <c r="AY8" s="161">
        <v>11.875</v>
      </c>
      <c r="AZ8" s="161">
        <v>11.984999999999999</v>
      </c>
      <c r="BA8" s="161">
        <v>12.043000000000001</v>
      </c>
      <c r="BB8" s="161">
        <v>11.688000000000001</v>
      </c>
    </row>
    <row r="9" spans="1:54" ht="14.25" customHeight="1" x14ac:dyDescent="0.25">
      <c r="B9" s="160">
        <v>5</v>
      </c>
      <c r="C9" s="161">
        <v>10.581</v>
      </c>
      <c r="D9" s="161">
        <v>10.917999999999999</v>
      </c>
      <c r="E9" s="161">
        <v>10.401999999999999</v>
      </c>
      <c r="F9" s="161">
        <v>10.481</v>
      </c>
      <c r="G9" s="161">
        <v>10.795</v>
      </c>
      <c r="H9" s="61"/>
      <c r="I9" s="160">
        <v>30</v>
      </c>
      <c r="J9" s="161">
        <v>10.666</v>
      </c>
      <c r="K9" s="161">
        <v>10.532</v>
      </c>
      <c r="L9" s="161">
        <v>10.398999999999999</v>
      </c>
      <c r="M9" s="161">
        <v>10.477</v>
      </c>
      <c r="N9" s="161">
        <v>10.388</v>
      </c>
      <c r="O9" s="161"/>
      <c r="R9" s="23"/>
      <c r="S9" s="17">
        <v>5</v>
      </c>
      <c r="T9" s="161">
        <v>3.8057884160000004</v>
      </c>
      <c r="V9" s="17">
        <v>5</v>
      </c>
      <c r="W9" s="24">
        <v>8</v>
      </c>
      <c r="X9" s="23"/>
      <c r="Y9" s="17">
        <v>5</v>
      </c>
      <c r="Z9" s="24">
        <v>15</v>
      </c>
      <c r="AA9" s="23"/>
      <c r="AB9" s="102">
        <v>5</v>
      </c>
      <c r="AC9" s="23" t="s">
        <v>41</v>
      </c>
      <c r="AD9">
        <f>0.264*10</f>
        <v>2.64</v>
      </c>
      <c r="AE9">
        <v>2.6390000000000002</v>
      </c>
      <c r="AF9">
        <f>0.264*10</f>
        <v>2.64</v>
      </c>
      <c r="AG9" s="23"/>
      <c r="AH9" s="23"/>
      <c r="AI9" s="23"/>
      <c r="AK9" s="160">
        <v>5</v>
      </c>
      <c r="AL9" s="159">
        <v>4</v>
      </c>
      <c r="AN9" s="17">
        <v>5</v>
      </c>
      <c r="AO9" s="24">
        <v>12</v>
      </c>
      <c r="AP9" s="25"/>
      <c r="AQ9" s="21" t="s">
        <v>52</v>
      </c>
      <c r="AR9" s="26">
        <v>1</v>
      </c>
      <c r="AT9" s="160">
        <v>5</v>
      </c>
      <c r="AU9" s="161">
        <v>10.445</v>
      </c>
      <c r="AV9" s="161">
        <v>0.10200000000000001</v>
      </c>
      <c r="AW9" s="161">
        <v>10.153</v>
      </c>
      <c r="AX9" s="161">
        <v>10.097</v>
      </c>
      <c r="AY9" s="161">
        <v>11.754</v>
      </c>
      <c r="AZ9" s="161">
        <v>11.888</v>
      </c>
      <c r="BA9" s="161">
        <v>11.817</v>
      </c>
      <c r="BB9" s="161">
        <v>12.243</v>
      </c>
    </row>
    <row r="10" spans="1:54" ht="14.25" customHeight="1" x14ac:dyDescent="0.25">
      <c r="B10" s="160">
        <v>6</v>
      </c>
      <c r="C10" s="161">
        <v>10.436</v>
      </c>
      <c r="D10" s="161">
        <v>10.503</v>
      </c>
      <c r="E10" s="161">
        <v>10.907</v>
      </c>
      <c r="F10" s="161">
        <v>10.458</v>
      </c>
      <c r="G10" s="161">
        <v>9.8070000000000004</v>
      </c>
      <c r="H10" s="161"/>
      <c r="I10" s="160">
        <v>31</v>
      </c>
      <c r="J10" s="161">
        <v>10.343</v>
      </c>
      <c r="K10" s="161">
        <v>10.587999999999999</v>
      </c>
      <c r="L10" s="161">
        <v>10.276999999999999</v>
      </c>
      <c r="M10" s="161">
        <v>10.388</v>
      </c>
      <c r="N10" s="161">
        <v>10.398999999999999</v>
      </c>
      <c r="O10" s="161"/>
      <c r="R10" s="23"/>
      <c r="S10" s="17">
        <v>6</v>
      </c>
      <c r="T10" s="161">
        <v>3.0967303680000002</v>
      </c>
      <c r="V10" s="17">
        <v>6</v>
      </c>
      <c r="W10" s="24">
        <v>5</v>
      </c>
      <c r="X10" s="23"/>
      <c r="Y10" s="17">
        <v>6</v>
      </c>
      <c r="Z10" s="24">
        <v>9</v>
      </c>
      <c r="AA10" s="23"/>
      <c r="AB10" s="102">
        <v>6</v>
      </c>
      <c r="AC10" s="23" t="s">
        <v>45</v>
      </c>
      <c r="AD10">
        <v>0.28400000000000003</v>
      </c>
      <c r="AE10">
        <v>0.28400000000000003</v>
      </c>
      <c r="AF10">
        <v>2.8410000000000002</v>
      </c>
      <c r="AG10" s="23"/>
      <c r="AH10" s="23"/>
      <c r="AI10" s="23"/>
      <c r="AK10" s="160">
        <v>6</v>
      </c>
      <c r="AL10" s="159">
        <v>3</v>
      </c>
      <c r="AN10" s="17">
        <v>6</v>
      </c>
      <c r="AO10" s="24">
        <v>8</v>
      </c>
      <c r="AP10" s="25"/>
      <c r="AQ10" s="21" t="s">
        <v>53</v>
      </c>
      <c r="AR10" s="27">
        <v>0.1</v>
      </c>
      <c r="AT10" s="160">
        <v>6</v>
      </c>
      <c r="AU10" s="161">
        <v>9.9930000000000003</v>
      </c>
      <c r="AV10" s="161">
        <v>9.9740000000000002</v>
      </c>
      <c r="AW10" s="161">
        <v>10.051</v>
      </c>
      <c r="AX10" s="161">
        <v>10.433999999999999</v>
      </c>
      <c r="AY10" s="161">
        <v>11.843999999999999</v>
      </c>
      <c r="AZ10" s="161">
        <v>11.979000000000001</v>
      </c>
      <c r="BA10" s="161">
        <v>12.063000000000001</v>
      </c>
      <c r="BB10" s="161">
        <v>11.893000000000001</v>
      </c>
    </row>
    <row r="11" spans="1:54" ht="14.25" customHeight="1" x14ac:dyDescent="0.25">
      <c r="B11" s="160">
        <v>7</v>
      </c>
      <c r="C11" s="161">
        <v>10.682</v>
      </c>
      <c r="D11" s="161">
        <v>10.446999999999999</v>
      </c>
      <c r="E11" s="161">
        <v>10.323</v>
      </c>
      <c r="F11" s="161">
        <v>10.311999999999999</v>
      </c>
      <c r="G11" s="161">
        <v>10.805999999999999</v>
      </c>
      <c r="H11" s="161"/>
      <c r="I11" s="160">
        <v>32</v>
      </c>
      <c r="J11" s="161">
        <v>1.0509999999999999</v>
      </c>
      <c r="K11" s="161">
        <v>10.420999999999999</v>
      </c>
      <c r="L11" s="161">
        <v>10.221</v>
      </c>
      <c r="M11" s="161">
        <v>10.555</v>
      </c>
      <c r="N11" s="161">
        <v>10.555</v>
      </c>
      <c r="O11" s="161"/>
      <c r="R11" s="23"/>
      <c r="S11" s="17">
        <v>7</v>
      </c>
      <c r="T11" s="161">
        <v>3.3090723840000003</v>
      </c>
      <c r="V11" s="17">
        <v>7</v>
      </c>
      <c r="W11" s="24">
        <v>7</v>
      </c>
      <c r="X11" s="23"/>
      <c r="Y11" s="17">
        <v>7</v>
      </c>
      <c r="Z11" s="24">
        <v>9</v>
      </c>
      <c r="AA11" s="23"/>
      <c r="AB11" s="102">
        <v>7</v>
      </c>
      <c r="AC11" s="23" t="s">
        <v>45</v>
      </c>
      <c r="AD11">
        <v>0.28400000000000003</v>
      </c>
      <c r="AE11">
        <v>2.8410000000000002</v>
      </c>
      <c r="AF11">
        <v>0.28400000000000003</v>
      </c>
      <c r="AG11" s="23"/>
      <c r="AH11" s="23"/>
      <c r="AI11" s="23"/>
      <c r="AK11" s="160">
        <v>7</v>
      </c>
      <c r="AL11" s="159">
        <v>12</v>
      </c>
      <c r="AN11" s="17">
        <v>7</v>
      </c>
      <c r="AO11" s="24">
        <v>12</v>
      </c>
      <c r="AP11" s="25"/>
      <c r="AQ11" s="25"/>
      <c r="AR11" s="25"/>
      <c r="AT11" s="160">
        <v>7</v>
      </c>
      <c r="AU11" s="161">
        <v>1.024</v>
      </c>
      <c r="AV11" s="161">
        <v>10.021000000000001</v>
      </c>
      <c r="AW11" s="161">
        <v>10.297000000000001</v>
      </c>
      <c r="AX11" s="161">
        <v>9.8010000000000002</v>
      </c>
      <c r="AY11" s="161">
        <v>11.750999999999999</v>
      </c>
      <c r="AZ11" s="161">
        <v>11.963000000000001</v>
      </c>
      <c r="BA11" s="161">
        <v>11.902000000000001</v>
      </c>
      <c r="BB11" s="161">
        <v>11.883000000000001</v>
      </c>
    </row>
    <row r="12" spans="1:54" ht="14.25" customHeight="1" x14ac:dyDescent="0.25">
      <c r="B12" s="160">
        <v>8</v>
      </c>
      <c r="C12" s="161">
        <v>10.356999999999999</v>
      </c>
      <c r="D12" s="161">
        <v>10.481</v>
      </c>
      <c r="E12" s="161">
        <v>10.446999999999999</v>
      </c>
      <c r="F12" s="161">
        <v>10.468999999999999</v>
      </c>
      <c r="G12" s="161">
        <v>10.638</v>
      </c>
      <c r="H12" s="161"/>
      <c r="I12" s="160">
        <v>33</v>
      </c>
      <c r="J12" s="161">
        <v>10.231999999999999</v>
      </c>
      <c r="K12" s="161">
        <v>10.477</v>
      </c>
      <c r="L12" s="161">
        <v>1.0409999999999999</v>
      </c>
      <c r="M12" s="161">
        <v>10.542999999999999</v>
      </c>
      <c r="N12" s="161">
        <v>10.532</v>
      </c>
      <c r="O12" s="161"/>
      <c r="R12" s="23"/>
      <c r="S12" s="17">
        <v>8</v>
      </c>
      <c r="T12" s="161">
        <v>3.7744092800000004</v>
      </c>
      <c r="V12" s="17">
        <v>8</v>
      </c>
      <c r="W12" s="24">
        <v>12</v>
      </c>
      <c r="X12" s="23"/>
      <c r="Y12" s="17">
        <v>8</v>
      </c>
      <c r="Z12" s="24">
        <v>5</v>
      </c>
      <c r="AA12" s="23"/>
      <c r="AB12" s="102">
        <v>8</v>
      </c>
      <c r="AC12" s="23" t="s">
        <v>45</v>
      </c>
      <c r="AD12">
        <v>2.839</v>
      </c>
      <c r="AE12">
        <v>0.28400000000000003</v>
      </c>
      <c r="AF12">
        <v>2.839</v>
      </c>
      <c r="AG12" s="23"/>
      <c r="AH12" s="23"/>
      <c r="AI12" s="23"/>
      <c r="AK12" s="160">
        <v>8</v>
      </c>
      <c r="AL12" s="159">
        <v>12</v>
      </c>
      <c r="AN12" s="17">
        <v>8</v>
      </c>
      <c r="AO12" s="24">
        <v>12</v>
      </c>
      <c r="AP12" s="25"/>
      <c r="AQ12" s="25"/>
      <c r="AR12" s="25"/>
      <c r="AT12" s="160">
        <v>8</v>
      </c>
      <c r="AU12" s="161">
        <v>10.256</v>
      </c>
      <c r="AV12" s="161">
        <v>10.138999999999999</v>
      </c>
      <c r="AW12" s="161">
        <v>10.089</v>
      </c>
      <c r="AX12" s="161">
        <v>10.072000000000001</v>
      </c>
      <c r="AY12" s="161">
        <v>11.962</v>
      </c>
      <c r="AZ12" s="161">
        <v>11.657999999999999</v>
      </c>
      <c r="BA12" s="161">
        <v>11.757</v>
      </c>
      <c r="BB12" s="161">
        <v>11.932</v>
      </c>
    </row>
    <row r="13" spans="1:54" ht="14.25" customHeight="1" x14ac:dyDescent="0.25">
      <c r="B13" s="160">
        <v>9</v>
      </c>
      <c r="C13" s="161">
        <v>10.682</v>
      </c>
      <c r="D13" s="161">
        <v>10.907</v>
      </c>
      <c r="E13" s="161">
        <v>10.401999999999999</v>
      </c>
      <c r="F13" s="161">
        <v>1.0289999999999999</v>
      </c>
      <c r="G13" s="161">
        <v>10.581</v>
      </c>
      <c r="H13" s="161"/>
      <c r="I13" s="160">
        <v>34</v>
      </c>
      <c r="J13" s="161">
        <v>10.566000000000001</v>
      </c>
      <c r="K13" s="161">
        <v>10.332000000000001</v>
      </c>
      <c r="L13" s="161">
        <v>10.332000000000001</v>
      </c>
      <c r="M13" s="161">
        <v>10.332000000000001</v>
      </c>
      <c r="N13" s="161">
        <v>10.632</v>
      </c>
      <c r="O13" s="161"/>
      <c r="R13" s="23"/>
      <c r="S13" s="17">
        <v>9</v>
      </c>
      <c r="T13" s="161">
        <v>3.6511426560000002</v>
      </c>
      <c r="V13" s="17">
        <v>9</v>
      </c>
      <c r="W13" s="24">
        <v>8</v>
      </c>
      <c r="X13" s="23"/>
      <c r="Y13" s="17">
        <v>9</v>
      </c>
      <c r="Z13" s="24">
        <v>6</v>
      </c>
      <c r="AA13" s="23"/>
      <c r="AB13" s="102">
        <v>9</v>
      </c>
      <c r="AC13" s="23" t="s">
        <v>45</v>
      </c>
      <c r="AD13">
        <v>2.839</v>
      </c>
      <c r="AE13">
        <v>2.8410000000000002</v>
      </c>
      <c r="AF13">
        <v>2.8410000000000002</v>
      </c>
      <c r="AG13" s="23"/>
      <c r="AH13" s="23"/>
      <c r="AI13" s="23"/>
      <c r="AK13" s="160">
        <v>9</v>
      </c>
      <c r="AL13" s="159">
        <v>12</v>
      </c>
      <c r="AN13" s="17">
        <v>9</v>
      </c>
      <c r="AO13" s="24">
        <v>9</v>
      </c>
      <c r="AP13" s="25"/>
      <c r="AR13" s="25"/>
      <c r="AT13" s="160">
        <v>9</v>
      </c>
      <c r="AU13" s="161">
        <v>9.9830000000000005</v>
      </c>
      <c r="AV13" s="161">
        <v>10.128</v>
      </c>
      <c r="AW13" s="161">
        <v>10.221</v>
      </c>
      <c r="AX13" s="161">
        <v>10.043000000000001</v>
      </c>
      <c r="AY13" s="161">
        <v>11.691000000000001</v>
      </c>
      <c r="AZ13" s="161">
        <v>0.121</v>
      </c>
      <c r="BA13" s="161">
        <v>12.004</v>
      </c>
      <c r="BB13" s="161">
        <v>0.11800000000000001</v>
      </c>
    </row>
    <row r="14" spans="1:54" ht="14.25" customHeight="1" x14ac:dyDescent="0.25">
      <c r="B14" s="160">
        <v>10</v>
      </c>
      <c r="C14" s="161">
        <v>10.525</v>
      </c>
      <c r="D14" s="161">
        <v>10.682</v>
      </c>
      <c r="E14" s="161">
        <v>10.581</v>
      </c>
      <c r="F14" s="161">
        <v>1.0660000000000001</v>
      </c>
      <c r="G14" s="161">
        <v>10.817</v>
      </c>
      <c r="H14" s="161"/>
      <c r="I14" s="160">
        <v>35</v>
      </c>
      <c r="J14" s="161">
        <v>10.343</v>
      </c>
      <c r="K14" s="161">
        <v>10.455</v>
      </c>
      <c r="L14" s="161">
        <v>10.587999999999999</v>
      </c>
      <c r="M14" s="161">
        <v>1.0409999999999999</v>
      </c>
      <c r="N14" s="161">
        <v>1.0209999999999999</v>
      </c>
      <c r="O14" s="161"/>
      <c r="R14" s="23"/>
      <c r="S14" s="17">
        <v>10</v>
      </c>
      <c r="T14" s="161">
        <v>3.1736181760000002</v>
      </c>
      <c r="V14" s="17">
        <v>10</v>
      </c>
      <c r="W14" s="24">
        <v>7</v>
      </c>
      <c r="X14" s="23"/>
      <c r="Y14" s="17">
        <v>10</v>
      </c>
      <c r="Z14" s="24">
        <v>11</v>
      </c>
      <c r="AA14" s="23"/>
      <c r="AB14" s="102">
        <v>10</v>
      </c>
      <c r="AC14" s="23" t="s">
        <v>45</v>
      </c>
      <c r="AD14">
        <v>2.839</v>
      </c>
      <c r="AE14">
        <v>2.8420000000000001</v>
      </c>
      <c r="AF14">
        <v>0.28400000000000003</v>
      </c>
      <c r="AG14" s="23"/>
      <c r="AH14" s="23"/>
      <c r="AI14" s="23"/>
      <c r="AK14" s="160">
        <v>10</v>
      </c>
      <c r="AL14" s="159">
        <v>5</v>
      </c>
      <c r="AN14" s="17">
        <v>10</v>
      </c>
      <c r="AO14" s="24">
        <v>8</v>
      </c>
      <c r="AP14" s="25"/>
      <c r="AR14" s="25"/>
      <c r="AT14" s="160">
        <v>10</v>
      </c>
      <c r="AU14" s="161">
        <v>10.093</v>
      </c>
      <c r="AV14" s="161">
        <v>10.125</v>
      </c>
      <c r="AW14" s="161">
        <v>10.116</v>
      </c>
      <c r="AX14" s="161">
        <v>10.071</v>
      </c>
      <c r="AY14" s="161">
        <v>11.875999999999999</v>
      </c>
      <c r="AZ14" s="161">
        <v>12.006</v>
      </c>
      <c r="BA14" s="161">
        <v>12.065</v>
      </c>
      <c r="BB14" s="161">
        <v>11.847</v>
      </c>
    </row>
    <row r="15" spans="1:54" ht="14.25" customHeight="1" x14ac:dyDescent="0.25">
      <c r="B15" s="160">
        <v>11</v>
      </c>
      <c r="C15" s="161">
        <v>10.795</v>
      </c>
      <c r="D15" s="161">
        <v>10.423999999999999</v>
      </c>
      <c r="E15" s="161">
        <v>10.638</v>
      </c>
      <c r="F15" s="161">
        <v>11.109</v>
      </c>
      <c r="G15" s="161">
        <v>11.109</v>
      </c>
      <c r="H15" s="161"/>
      <c r="I15" s="160">
        <v>36</v>
      </c>
      <c r="J15" s="161">
        <v>10.432</v>
      </c>
      <c r="K15" s="161">
        <v>10.577</v>
      </c>
      <c r="L15" s="161">
        <v>10.255000000000001</v>
      </c>
      <c r="M15" s="161">
        <v>10.420999999999999</v>
      </c>
      <c r="N15" s="161">
        <v>10.477</v>
      </c>
      <c r="O15" s="161"/>
      <c r="R15" s="23"/>
      <c r="S15" s="17">
        <v>11</v>
      </c>
      <c r="T15" s="161">
        <v>3.37522944</v>
      </c>
      <c r="V15" s="17">
        <v>11</v>
      </c>
      <c r="W15" s="24">
        <v>5</v>
      </c>
      <c r="X15" s="23"/>
      <c r="Y15" s="17">
        <v>11</v>
      </c>
      <c r="Z15" s="24">
        <v>6</v>
      </c>
      <c r="AA15" s="23"/>
      <c r="AB15" s="102">
        <v>11</v>
      </c>
      <c r="AC15" s="23" t="s">
        <v>48</v>
      </c>
      <c r="AD15">
        <v>3.0409999999999999</v>
      </c>
      <c r="AE15">
        <v>3.0409999999999999</v>
      </c>
      <c r="AF15">
        <v>3.0390000000000001</v>
      </c>
      <c r="AG15" s="23"/>
      <c r="AH15" s="23"/>
      <c r="AI15" s="23"/>
      <c r="AK15" s="160">
        <v>11</v>
      </c>
      <c r="AL15" s="159">
        <v>4</v>
      </c>
      <c r="AN15" s="17">
        <v>11</v>
      </c>
      <c r="AO15" s="24">
        <v>8</v>
      </c>
      <c r="AP15" s="25"/>
      <c r="AR15" s="25"/>
      <c r="AT15" s="160">
        <v>11</v>
      </c>
      <c r="AU15" s="161">
        <v>10.194000000000001</v>
      </c>
      <c r="AV15" s="161">
        <v>10.329000000000001</v>
      </c>
      <c r="AW15" s="161">
        <v>10.041</v>
      </c>
      <c r="AX15" s="161">
        <v>10.362</v>
      </c>
      <c r="AY15" s="161">
        <v>12.067</v>
      </c>
      <c r="AZ15" s="161">
        <v>11.922000000000001</v>
      </c>
      <c r="BA15" s="161">
        <v>12.123000000000001</v>
      </c>
      <c r="BB15" s="161">
        <v>11.791</v>
      </c>
    </row>
    <row r="16" spans="1:54" ht="14.25" customHeight="1" x14ac:dyDescent="0.25">
      <c r="B16" s="160">
        <v>12</v>
      </c>
      <c r="C16" s="161">
        <v>10.581</v>
      </c>
      <c r="D16" s="161">
        <v>10.503</v>
      </c>
      <c r="E16" s="161">
        <v>10.436</v>
      </c>
      <c r="F16" s="161">
        <v>1.038</v>
      </c>
      <c r="G16" s="161">
        <v>10.952</v>
      </c>
      <c r="H16" s="161"/>
      <c r="I16" s="160">
        <v>37</v>
      </c>
      <c r="J16" s="161">
        <v>10.455</v>
      </c>
      <c r="K16" s="161">
        <v>1.0609999999999999</v>
      </c>
      <c r="L16" s="161">
        <v>10.654</v>
      </c>
      <c r="M16" s="161">
        <v>10.477</v>
      </c>
      <c r="N16" s="161">
        <v>10.398999999999999</v>
      </c>
      <c r="O16" s="161"/>
      <c r="R16" s="23"/>
      <c r="S16" s="17">
        <v>12</v>
      </c>
      <c r="T16" s="161">
        <v>3.7174376960000002</v>
      </c>
      <c r="V16" s="17">
        <v>12</v>
      </c>
      <c r="W16" s="24">
        <v>15</v>
      </c>
      <c r="X16" s="23"/>
      <c r="Y16" s="17">
        <v>12</v>
      </c>
      <c r="Z16" s="24">
        <v>8</v>
      </c>
      <c r="AA16" s="23"/>
      <c r="AB16" s="102">
        <v>12</v>
      </c>
      <c r="AC16" s="23" t="s">
        <v>48</v>
      </c>
      <c r="AD16">
        <v>3.0390000000000001</v>
      </c>
      <c r="AE16">
        <v>3.0409999999999999</v>
      </c>
      <c r="AF16">
        <v>0.30399999999999999</v>
      </c>
      <c r="AG16" s="23"/>
      <c r="AH16" s="23"/>
      <c r="AI16" s="23"/>
      <c r="AK16" s="160">
        <v>12</v>
      </c>
      <c r="AL16" s="159">
        <v>7</v>
      </c>
      <c r="AN16" s="17">
        <v>12</v>
      </c>
      <c r="AO16" s="24">
        <v>1</v>
      </c>
      <c r="AP16" s="25"/>
      <c r="AR16" s="25"/>
      <c r="AT16" s="160">
        <v>12</v>
      </c>
      <c r="AU16" s="161">
        <v>10.195</v>
      </c>
      <c r="AV16" s="161">
        <v>9.918000000000001</v>
      </c>
      <c r="AW16" s="161">
        <v>10.229000000000001</v>
      </c>
      <c r="AX16" s="161">
        <v>10.141</v>
      </c>
      <c r="AY16" s="161">
        <v>12.045</v>
      </c>
      <c r="AZ16" s="161">
        <v>11.984999999999999</v>
      </c>
      <c r="BA16" s="161">
        <v>12.015000000000001</v>
      </c>
      <c r="BB16" s="161">
        <v>11.845000000000001</v>
      </c>
    </row>
    <row r="17" spans="2:54" ht="14.25" customHeight="1" x14ac:dyDescent="0.25">
      <c r="B17" s="160">
        <v>13</v>
      </c>
      <c r="C17" s="161">
        <v>10.705</v>
      </c>
      <c r="D17" s="161">
        <v>10.356999999999999</v>
      </c>
      <c r="E17" s="161">
        <v>10.356999999999999</v>
      </c>
      <c r="F17" s="161">
        <v>10.537000000000001</v>
      </c>
      <c r="G17" s="161">
        <v>10.513999999999999</v>
      </c>
      <c r="H17" s="161"/>
      <c r="I17" s="160">
        <v>38</v>
      </c>
      <c r="J17" s="161">
        <v>10.455</v>
      </c>
      <c r="K17" s="161">
        <v>10.455</v>
      </c>
      <c r="L17" s="161">
        <v>10.432</v>
      </c>
      <c r="M17" s="161">
        <v>10.298999999999999</v>
      </c>
      <c r="N17" s="161">
        <v>10.231999999999999</v>
      </c>
      <c r="O17" s="161"/>
      <c r="R17" s="23"/>
      <c r="S17" s="17">
        <v>13</v>
      </c>
      <c r="T17" s="161">
        <v>3.5066224640000003</v>
      </c>
      <c r="V17" s="17">
        <v>13</v>
      </c>
      <c r="W17" s="24">
        <v>5</v>
      </c>
      <c r="X17" s="23"/>
      <c r="Y17" s="17">
        <v>13</v>
      </c>
      <c r="Z17" s="24">
        <v>5</v>
      </c>
      <c r="AA17" s="23"/>
      <c r="AB17" s="102">
        <v>13</v>
      </c>
      <c r="AC17" s="23" t="s">
        <v>48</v>
      </c>
      <c r="AD17">
        <v>0.30399999999999999</v>
      </c>
      <c r="AE17">
        <v>0.30399999999999999</v>
      </c>
      <c r="AF17">
        <v>3.0420000000000003</v>
      </c>
      <c r="AG17" s="23"/>
      <c r="AH17" s="23"/>
      <c r="AI17" s="23"/>
      <c r="AK17" s="160">
        <v>13</v>
      </c>
      <c r="AL17" s="159">
        <v>9</v>
      </c>
      <c r="AN17" s="17">
        <v>13</v>
      </c>
      <c r="AO17" s="24">
        <v>13</v>
      </c>
      <c r="AP17" s="25"/>
      <c r="AR17" s="25"/>
      <c r="AT17" s="160">
        <v>13</v>
      </c>
      <c r="AU17" s="161">
        <v>10.131</v>
      </c>
      <c r="AV17" s="161">
        <v>0.995</v>
      </c>
      <c r="AW17" s="161">
        <v>9.8149999999999995</v>
      </c>
      <c r="AX17" s="161">
        <v>10.229000000000001</v>
      </c>
      <c r="AY17" s="161">
        <v>11.873000000000001</v>
      </c>
      <c r="AZ17" s="161">
        <v>12.047000000000001</v>
      </c>
      <c r="BA17" s="161">
        <v>11.648</v>
      </c>
      <c r="BB17" s="161">
        <v>12.032999999999999</v>
      </c>
    </row>
    <row r="18" spans="2:54" ht="14.25" customHeight="1" x14ac:dyDescent="0.25">
      <c r="B18" s="160">
        <v>14</v>
      </c>
      <c r="C18" s="161">
        <v>10.413</v>
      </c>
      <c r="D18" s="161">
        <v>10.335000000000001</v>
      </c>
      <c r="E18" s="161">
        <v>10.468999999999999</v>
      </c>
      <c r="F18" s="161">
        <v>10.423999999999999</v>
      </c>
      <c r="G18" s="161">
        <v>10.558999999999999</v>
      </c>
      <c r="H18" s="161"/>
      <c r="I18" s="160">
        <v>39</v>
      </c>
      <c r="J18" s="161">
        <v>10.587999999999999</v>
      </c>
      <c r="K18" s="161">
        <v>10.677</v>
      </c>
      <c r="L18" s="161">
        <v>10.231999999999999</v>
      </c>
      <c r="M18" s="161">
        <v>1.0509999999999999</v>
      </c>
      <c r="N18" s="161">
        <v>10.632</v>
      </c>
      <c r="O18" s="161"/>
      <c r="R18" s="23"/>
      <c r="S18" s="17">
        <v>14</v>
      </c>
      <c r="T18" s="161">
        <v>3.7445360000000001</v>
      </c>
      <c r="V18" s="17">
        <v>14</v>
      </c>
      <c r="W18" s="24">
        <v>14</v>
      </c>
      <c r="X18" s="23"/>
      <c r="Y18" s="17">
        <v>14</v>
      </c>
      <c r="Z18" s="24">
        <v>5</v>
      </c>
      <c r="AA18" s="23"/>
      <c r="AB18" s="102">
        <v>14</v>
      </c>
      <c r="AC18" s="23" t="s">
        <v>48</v>
      </c>
      <c r="AD18">
        <v>3.0409999999999999</v>
      </c>
      <c r="AE18">
        <v>0.30399999999999999</v>
      </c>
      <c r="AF18">
        <v>3.0390000000000001</v>
      </c>
      <c r="AG18" s="23"/>
      <c r="AH18" s="23"/>
      <c r="AI18" s="23"/>
      <c r="AK18" s="160">
        <v>14</v>
      </c>
      <c r="AL18" s="159">
        <v>12</v>
      </c>
      <c r="AN18" s="17">
        <v>14</v>
      </c>
      <c r="AO18" s="24">
        <v>12</v>
      </c>
      <c r="AP18" s="25"/>
      <c r="AR18" s="25"/>
      <c r="AT18" s="160">
        <v>14</v>
      </c>
      <c r="AU18" s="161">
        <v>10.168000000000001</v>
      </c>
      <c r="AV18" s="161">
        <v>9.7569999999999997</v>
      </c>
      <c r="AW18" s="161">
        <v>9.9689999999999994</v>
      </c>
      <c r="AX18" s="161">
        <v>10.198</v>
      </c>
      <c r="AY18" s="161">
        <v>1.1879999999999999</v>
      </c>
      <c r="AZ18" s="161">
        <v>11.909000000000001</v>
      </c>
      <c r="BA18" s="161">
        <v>11.923</v>
      </c>
      <c r="BB18" s="161">
        <v>11.895</v>
      </c>
    </row>
    <row r="19" spans="2:54" ht="14.25" customHeight="1" x14ac:dyDescent="0.25">
      <c r="B19" s="160">
        <v>15</v>
      </c>
      <c r="C19" s="161">
        <v>1.0109999999999999</v>
      </c>
      <c r="D19" s="161">
        <v>10.603999999999999</v>
      </c>
      <c r="E19" s="161">
        <v>10.513999999999999</v>
      </c>
      <c r="F19" s="161">
        <v>1.0569999999999999</v>
      </c>
      <c r="G19" s="161">
        <v>10.503</v>
      </c>
      <c r="H19" s="161"/>
      <c r="I19" s="160">
        <v>40</v>
      </c>
      <c r="J19" s="161">
        <v>10.398999999999999</v>
      </c>
      <c r="K19" s="161">
        <v>10.443</v>
      </c>
      <c r="L19" s="161">
        <v>10.532</v>
      </c>
      <c r="M19" s="161">
        <v>1.0609999999999999</v>
      </c>
      <c r="N19" s="161">
        <v>10.266</v>
      </c>
      <c r="O19" s="161"/>
      <c r="R19" s="23"/>
      <c r="S19" s="17">
        <v>15</v>
      </c>
      <c r="T19" s="161">
        <v>3.084029696</v>
      </c>
      <c r="V19" s="17">
        <v>15</v>
      </c>
      <c r="W19" s="24">
        <v>11</v>
      </c>
      <c r="X19" s="23"/>
      <c r="Y19" s="17">
        <v>15</v>
      </c>
      <c r="Z19" s="24">
        <v>12</v>
      </c>
      <c r="AA19" s="23"/>
      <c r="AB19" s="102">
        <v>15</v>
      </c>
      <c r="AC19" s="23" t="s">
        <v>48</v>
      </c>
      <c r="AD19">
        <v>3.0390000000000001</v>
      </c>
      <c r="AE19">
        <v>3.0380000000000003</v>
      </c>
      <c r="AF19">
        <v>0.30399999999999999</v>
      </c>
      <c r="AG19" s="23"/>
      <c r="AH19" s="23"/>
      <c r="AI19" s="23"/>
      <c r="AK19" s="160">
        <v>15</v>
      </c>
      <c r="AL19" s="159">
        <v>7</v>
      </c>
      <c r="AN19" s="17">
        <v>15</v>
      </c>
      <c r="AO19" s="24">
        <v>8</v>
      </c>
      <c r="AP19" s="25"/>
      <c r="AR19" s="25"/>
      <c r="AT19" s="160">
        <v>15</v>
      </c>
      <c r="AU19" s="161">
        <v>10.278</v>
      </c>
      <c r="AV19" s="161">
        <v>1.0329999999999999</v>
      </c>
      <c r="AW19" s="161">
        <v>9.9440000000000008</v>
      </c>
      <c r="AX19" s="161">
        <v>10.301</v>
      </c>
      <c r="AY19" s="161">
        <v>12.037000000000001</v>
      </c>
      <c r="AZ19" s="161">
        <v>11.786</v>
      </c>
      <c r="BA19" s="161">
        <v>12.061999999999999</v>
      </c>
      <c r="BB19" s="161">
        <v>11.968999999999999</v>
      </c>
    </row>
    <row r="20" spans="2:54" ht="14.25" customHeight="1" x14ac:dyDescent="0.25">
      <c r="B20" s="160">
        <v>16</v>
      </c>
      <c r="C20" s="161">
        <v>1.0569999999999999</v>
      </c>
      <c r="D20" s="161">
        <v>10.625999999999999</v>
      </c>
      <c r="E20" s="161">
        <v>10.368</v>
      </c>
      <c r="F20" s="161">
        <v>10.670999999999999</v>
      </c>
      <c r="G20" s="161">
        <v>10.705</v>
      </c>
      <c r="H20" s="161"/>
      <c r="I20" s="160">
        <v>41</v>
      </c>
      <c r="J20" s="161">
        <v>10.666</v>
      </c>
      <c r="K20" s="161">
        <v>10.599</v>
      </c>
      <c r="L20" s="161">
        <v>10.465999999999999</v>
      </c>
      <c r="M20" s="161">
        <v>10.321</v>
      </c>
      <c r="N20" s="161">
        <v>10.465999999999999</v>
      </c>
      <c r="O20" s="161"/>
      <c r="R20" s="23"/>
      <c r="S20" s="17">
        <v>16</v>
      </c>
      <c r="T20" s="161">
        <v>3.6532833280000001</v>
      </c>
      <c r="V20" s="17">
        <v>16</v>
      </c>
      <c r="W20" s="24">
        <v>11</v>
      </c>
      <c r="X20" s="23"/>
      <c r="Y20" s="17">
        <v>16</v>
      </c>
      <c r="Z20" s="24">
        <v>6</v>
      </c>
      <c r="AA20" s="23"/>
      <c r="AB20" s="102">
        <v>16</v>
      </c>
      <c r="AC20" s="23" t="s">
        <v>50</v>
      </c>
      <c r="AD20">
        <v>3.2389999999999999</v>
      </c>
      <c r="AE20">
        <v>3.2389999999999999</v>
      </c>
      <c r="AF20">
        <v>3.2410000000000001</v>
      </c>
      <c r="AG20" s="23"/>
      <c r="AH20" s="23"/>
      <c r="AI20" s="23"/>
      <c r="AK20" s="160">
        <v>16</v>
      </c>
      <c r="AL20" s="159">
        <v>11</v>
      </c>
      <c r="AN20" s="17">
        <v>16</v>
      </c>
      <c r="AO20" s="24">
        <v>11</v>
      </c>
      <c r="AP20" s="25"/>
      <c r="AR20" s="25"/>
      <c r="AT20" s="160">
        <v>16</v>
      </c>
      <c r="AU20" s="161">
        <v>10.025</v>
      </c>
      <c r="AV20" s="161">
        <v>1.018</v>
      </c>
      <c r="AW20" s="161">
        <v>10.218</v>
      </c>
      <c r="AX20" s="161">
        <v>1.004</v>
      </c>
      <c r="AY20" s="161">
        <v>12.091000000000001</v>
      </c>
      <c r="AZ20" s="161">
        <v>11.915000000000001</v>
      </c>
      <c r="BA20" s="161">
        <v>12.005000000000001</v>
      </c>
      <c r="BB20" s="161">
        <v>11.861000000000001</v>
      </c>
    </row>
    <row r="21" spans="2:54" ht="14.25" customHeight="1" x14ac:dyDescent="0.25">
      <c r="B21" s="160">
        <v>17</v>
      </c>
      <c r="C21" s="161">
        <v>10.727</v>
      </c>
      <c r="D21" s="161">
        <v>10.458</v>
      </c>
      <c r="E21" s="161">
        <v>9.7059999999999995</v>
      </c>
      <c r="F21" s="161">
        <v>10.346</v>
      </c>
      <c r="G21" s="161">
        <v>10.603999999999999</v>
      </c>
      <c r="H21" s="161"/>
      <c r="I21" s="160">
        <v>42</v>
      </c>
      <c r="J21" s="161">
        <v>10.555</v>
      </c>
      <c r="K21" s="161">
        <v>10.288</v>
      </c>
      <c r="L21" s="161">
        <v>10.465999999999999</v>
      </c>
      <c r="M21" s="161">
        <v>10.420999999999999</v>
      </c>
      <c r="N21" s="161">
        <v>10.266</v>
      </c>
      <c r="O21" s="161"/>
      <c r="R21" s="23"/>
      <c r="S21" s="17">
        <v>17</v>
      </c>
      <c r="T21" s="161">
        <v>3.3985717760000003</v>
      </c>
      <c r="V21" s="17">
        <v>17</v>
      </c>
      <c r="W21" s="24">
        <v>5</v>
      </c>
      <c r="X21" s="23"/>
      <c r="Y21" s="17">
        <v>17</v>
      </c>
      <c r="Z21" s="24">
        <v>13</v>
      </c>
      <c r="AA21" s="23"/>
      <c r="AB21" s="102">
        <v>17</v>
      </c>
      <c r="AC21" s="23" t="s">
        <v>50</v>
      </c>
      <c r="AD21">
        <v>3.2410000000000001</v>
      </c>
      <c r="AE21">
        <v>3.242</v>
      </c>
      <c r="AF21">
        <v>3.2410000000000001</v>
      </c>
      <c r="AG21" s="23"/>
      <c r="AH21" s="23"/>
      <c r="AI21" s="23"/>
      <c r="AK21" s="160">
        <v>17</v>
      </c>
      <c r="AL21" s="159">
        <v>8</v>
      </c>
      <c r="AN21" s="17">
        <v>17</v>
      </c>
      <c r="AO21" s="24">
        <v>7</v>
      </c>
      <c r="AP21" s="25"/>
      <c r="AR21" s="25"/>
      <c r="AT21" s="160">
        <v>17</v>
      </c>
      <c r="AU21" s="161">
        <v>10.082000000000001</v>
      </c>
      <c r="AV21" s="161">
        <v>10.245000000000001</v>
      </c>
      <c r="AW21" s="161">
        <v>9.9649999999999999</v>
      </c>
      <c r="AX21" s="161">
        <v>10.063000000000001</v>
      </c>
      <c r="AY21" s="161">
        <v>11.618</v>
      </c>
      <c r="AZ21" s="161">
        <v>12.058</v>
      </c>
      <c r="BA21" s="161">
        <v>11.795</v>
      </c>
      <c r="BB21" s="161">
        <v>0.12</v>
      </c>
    </row>
    <row r="22" spans="2:54" ht="14.25" customHeight="1" x14ac:dyDescent="0.25">
      <c r="B22" s="160">
        <v>18</v>
      </c>
      <c r="C22" s="161">
        <v>10.705</v>
      </c>
      <c r="D22" s="161">
        <v>11.053000000000001</v>
      </c>
      <c r="E22" s="161">
        <v>10.548</v>
      </c>
      <c r="F22" s="161">
        <v>10.346</v>
      </c>
      <c r="G22" s="161">
        <v>9.886000000000001</v>
      </c>
      <c r="H22" s="161"/>
      <c r="I22" s="160">
        <v>43</v>
      </c>
      <c r="J22" s="161">
        <v>10.231999999999999</v>
      </c>
      <c r="K22" s="161">
        <v>10.332000000000001</v>
      </c>
      <c r="L22" s="161">
        <v>10.377000000000001</v>
      </c>
      <c r="M22" s="161">
        <v>10.420999999999999</v>
      </c>
      <c r="N22" s="161">
        <v>10.266</v>
      </c>
      <c r="O22" s="161"/>
      <c r="R22" s="23"/>
      <c r="S22" s="17">
        <v>18</v>
      </c>
      <c r="T22" s="161">
        <v>3.4784714240000003</v>
      </c>
      <c r="V22" s="17">
        <v>18</v>
      </c>
      <c r="W22" s="24">
        <v>7</v>
      </c>
      <c r="X22" s="23"/>
      <c r="Y22" s="17">
        <v>18</v>
      </c>
      <c r="Z22" s="24">
        <v>5</v>
      </c>
      <c r="AA22" s="23"/>
      <c r="AB22" s="102">
        <v>18</v>
      </c>
      <c r="AC22" s="23" t="s">
        <v>50</v>
      </c>
      <c r="AD22">
        <v>3.238</v>
      </c>
      <c r="AE22">
        <v>3.2389999999999999</v>
      </c>
      <c r="AF22">
        <v>0.32400000000000001</v>
      </c>
      <c r="AG22" s="23"/>
      <c r="AH22" s="23"/>
      <c r="AI22" s="23"/>
      <c r="AK22" s="160">
        <v>18</v>
      </c>
      <c r="AL22" s="159">
        <v>5</v>
      </c>
      <c r="AN22" s="17">
        <v>18</v>
      </c>
      <c r="AO22" s="24">
        <v>9</v>
      </c>
      <c r="AP22" s="25"/>
      <c r="AR22" s="25"/>
      <c r="AT22" s="160">
        <v>18</v>
      </c>
      <c r="AU22" s="161">
        <v>10.304</v>
      </c>
      <c r="AV22" s="161">
        <v>9.798</v>
      </c>
      <c r="AW22" s="161">
        <v>10.145</v>
      </c>
      <c r="AX22" s="161">
        <v>10.342000000000001</v>
      </c>
      <c r="AY22" s="161">
        <v>0.121</v>
      </c>
      <c r="AZ22" s="161">
        <v>11.853</v>
      </c>
      <c r="BA22" s="161">
        <v>1.2210000000000001</v>
      </c>
      <c r="BB22" s="161">
        <v>11.761000000000001</v>
      </c>
    </row>
    <row r="23" spans="2:54" ht="14.25" customHeight="1" x14ac:dyDescent="0.25">
      <c r="B23" s="160">
        <v>19</v>
      </c>
      <c r="C23" s="161">
        <v>10.525</v>
      </c>
      <c r="D23" s="161">
        <v>10.705</v>
      </c>
      <c r="E23" s="161">
        <v>10.468999999999999</v>
      </c>
      <c r="F23" s="161">
        <v>10.323</v>
      </c>
      <c r="G23" s="161">
        <v>10.760999999999999</v>
      </c>
      <c r="H23" s="161"/>
      <c r="I23" s="160">
        <v>44</v>
      </c>
      <c r="J23" s="161">
        <v>10.688000000000001</v>
      </c>
      <c r="K23" s="161">
        <v>1.0409999999999999</v>
      </c>
      <c r="L23" s="161">
        <v>10.566000000000001</v>
      </c>
      <c r="M23" s="161">
        <v>10.566000000000001</v>
      </c>
      <c r="N23" s="161">
        <v>10.566000000000001</v>
      </c>
      <c r="O23" s="161"/>
      <c r="R23" s="23"/>
      <c r="S23" s="17">
        <v>19</v>
      </c>
      <c r="T23" s="161">
        <v>3.4743633920000003</v>
      </c>
      <c r="V23" s="17">
        <v>19</v>
      </c>
      <c r="W23" s="24">
        <v>15</v>
      </c>
      <c r="X23" s="23"/>
      <c r="Y23" s="17">
        <v>19</v>
      </c>
      <c r="Z23" s="24">
        <v>7</v>
      </c>
      <c r="AA23" s="23"/>
      <c r="AB23" s="102">
        <v>19</v>
      </c>
      <c r="AC23" s="23" t="s">
        <v>50</v>
      </c>
      <c r="AD23">
        <v>3.2389999999999999</v>
      </c>
      <c r="AE23">
        <v>0.32400000000000001</v>
      </c>
      <c r="AF23">
        <v>3.2410000000000001</v>
      </c>
      <c r="AG23" s="23"/>
      <c r="AH23" s="23"/>
      <c r="AI23" s="23"/>
      <c r="AK23" s="160">
        <v>19</v>
      </c>
      <c r="AL23" s="159">
        <v>12</v>
      </c>
      <c r="AN23" s="17">
        <v>19</v>
      </c>
      <c r="AO23" s="24">
        <v>12</v>
      </c>
      <c r="AP23" s="25"/>
      <c r="AR23" s="25"/>
      <c r="AT23" s="160">
        <v>19</v>
      </c>
      <c r="AU23" s="161">
        <v>10.189</v>
      </c>
      <c r="AV23" s="161">
        <v>10.103</v>
      </c>
      <c r="AW23" s="161">
        <v>10.241</v>
      </c>
      <c r="AX23" s="161">
        <v>10.066000000000001</v>
      </c>
      <c r="AY23" s="161">
        <v>11.706</v>
      </c>
      <c r="AZ23" s="161">
        <v>11.863</v>
      </c>
      <c r="BA23" s="161">
        <v>12.051</v>
      </c>
      <c r="BB23" s="161">
        <v>12.122</v>
      </c>
    </row>
    <row r="24" spans="2:54" ht="14.25" customHeight="1" x14ac:dyDescent="0.25">
      <c r="B24" s="160">
        <v>20</v>
      </c>
      <c r="C24" s="161">
        <v>10.805999999999999</v>
      </c>
      <c r="D24" s="161">
        <v>10.772</v>
      </c>
      <c r="E24" s="161">
        <v>1.075</v>
      </c>
      <c r="F24" s="161">
        <v>10.503</v>
      </c>
      <c r="G24" s="161">
        <v>10.896000000000001</v>
      </c>
      <c r="H24" s="161"/>
      <c r="I24" s="160">
        <v>45</v>
      </c>
      <c r="J24" s="161">
        <v>10.388</v>
      </c>
      <c r="K24" s="161">
        <v>10.420999999999999</v>
      </c>
      <c r="L24" s="161">
        <v>1.0609999999999999</v>
      </c>
      <c r="M24" s="161">
        <v>10.221</v>
      </c>
      <c r="N24" s="161">
        <v>10.288</v>
      </c>
      <c r="O24" s="161"/>
      <c r="R24" s="23"/>
      <c r="S24" s="17">
        <v>20</v>
      </c>
      <c r="T24" s="161">
        <v>3.4005050880000001</v>
      </c>
      <c r="V24" s="17">
        <v>20</v>
      </c>
      <c r="W24" s="24">
        <v>5</v>
      </c>
      <c r="X24" s="23"/>
      <c r="Y24" s="17">
        <v>20</v>
      </c>
      <c r="Z24" s="24">
        <v>10</v>
      </c>
      <c r="AA24" s="23"/>
      <c r="AB24" s="102">
        <v>20</v>
      </c>
      <c r="AC24" s="23" t="s">
        <v>50</v>
      </c>
      <c r="AD24">
        <v>0.32400000000000001</v>
      </c>
      <c r="AE24">
        <v>0.32400000000000001</v>
      </c>
      <c r="AF24">
        <v>3.2410000000000001</v>
      </c>
      <c r="AG24" s="23"/>
      <c r="AH24" s="23"/>
      <c r="AI24" s="23"/>
      <c r="AK24" s="160">
        <v>20</v>
      </c>
      <c r="AL24" s="159">
        <v>11</v>
      </c>
      <c r="AN24" s="17">
        <v>20</v>
      </c>
      <c r="AO24" s="24">
        <v>1</v>
      </c>
      <c r="AP24" s="25"/>
      <c r="AR24" s="25"/>
      <c r="AT24" s="160">
        <v>20</v>
      </c>
      <c r="AU24" s="161">
        <v>10.013</v>
      </c>
      <c r="AV24" s="161">
        <v>10.293000000000001</v>
      </c>
      <c r="AW24" s="161">
        <v>10.101000000000001</v>
      </c>
      <c r="AX24" s="161">
        <v>9.9770000000000003</v>
      </c>
      <c r="AY24" s="161">
        <v>12.006</v>
      </c>
      <c r="AZ24" s="161">
        <v>11.744</v>
      </c>
      <c r="BA24" s="161">
        <v>11.583</v>
      </c>
      <c r="BB24" s="161">
        <v>12.022</v>
      </c>
    </row>
    <row r="25" spans="2:54" ht="14.25" customHeight="1" x14ac:dyDescent="0.25">
      <c r="B25" s="160">
        <v>21</v>
      </c>
      <c r="C25" s="161">
        <v>10.279</v>
      </c>
      <c r="D25" s="161">
        <v>10.715999999999999</v>
      </c>
      <c r="E25" s="161">
        <v>1.0569999999999999</v>
      </c>
      <c r="F25" s="161">
        <v>10.705</v>
      </c>
      <c r="G25" s="161">
        <v>10.335000000000001</v>
      </c>
      <c r="H25" s="161"/>
      <c r="I25" s="160">
        <v>46</v>
      </c>
      <c r="J25" s="161">
        <v>10.621</v>
      </c>
      <c r="K25" s="161">
        <v>10.288</v>
      </c>
      <c r="L25" s="161">
        <v>10.398999999999999</v>
      </c>
      <c r="M25" s="161">
        <v>10.465999999999999</v>
      </c>
      <c r="N25" s="161">
        <v>10.343</v>
      </c>
      <c r="O25" s="161"/>
      <c r="R25" s="23"/>
      <c r="S25" s="17">
        <v>21</v>
      </c>
      <c r="T25" s="161">
        <v>3.4304235520000002</v>
      </c>
      <c r="V25" s="17">
        <v>21</v>
      </c>
      <c r="W25" s="24">
        <v>6</v>
      </c>
      <c r="X25" s="23"/>
      <c r="Y25" s="17">
        <v>21</v>
      </c>
      <c r="Z25" s="24">
        <v>7</v>
      </c>
      <c r="AA25" s="23"/>
      <c r="AK25" s="160">
        <v>21</v>
      </c>
      <c r="AL25" s="159">
        <v>7</v>
      </c>
      <c r="AN25" s="17">
        <v>21</v>
      </c>
      <c r="AO25" s="24">
        <v>11</v>
      </c>
      <c r="AP25" s="25"/>
      <c r="AR25" s="25"/>
      <c r="AT25" s="161"/>
      <c r="AU25" s="161"/>
      <c r="AV25" s="161"/>
      <c r="AW25" s="161"/>
      <c r="AX25" s="161"/>
      <c r="AY25" s="161"/>
      <c r="AZ25" s="161"/>
      <c r="BA25" s="161"/>
      <c r="BB25" s="161"/>
    </row>
    <row r="26" spans="2:54" ht="14.25" customHeight="1" x14ac:dyDescent="0.25">
      <c r="B26" s="160">
        <v>22</v>
      </c>
      <c r="C26" s="161">
        <v>1.075</v>
      </c>
      <c r="D26" s="161">
        <v>10.593</v>
      </c>
      <c r="E26" s="161">
        <v>10.401999999999999</v>
      </c>
      <c r="F26" s="161">
        <v>1.038</v>
      </c>
      <c r="G26" s="161">
        <v>9.886000000000001</v>
      </c>
      <c r="H26" s="161"/>
      <c r="I26" s="160">
        <v>47</v>
      </c>
      <c r="J26" s="161">
        <v>10.677</v>
      </c>
      <c r="K26" s="161">
        <v>10.443</v>
      </c>
      <c r="L26" s="161">
        <v>10.587999999999999</v>
      </c>
      <c r="M26" s="161">
        <v>10.366</v>
      </c>
      <c r="N26" s="161">
        <v>10.420999999999999</v>
      </c>
      <c r="O26" s="161"/>
      <c r="R26" s="23"/>
      <c r="S26" s="17">
        <v>22</v>
      </c>
      <c r="T26" s="161">
        <v>3.5846108160000001</v>
      </c>
      <c r="V26" s="17">
        <v>22</v>
      </c>
      <c r="W26" s="24">
        <v>15</v>
      </c>
      <c r="X26" s="23"/>
      <c r="Y26" s="17">
        <v>22</v>
      </c>
      <c r="Z26" s="24">
        <v>8</v>
      </c>
      <c r="AA26" s="23"/>
      <c r="AK26" s="160">
        <v>22</v>
      </c>
      <c r="AL26" s="159">
        <v>14</v>
      </c>
      <c r="AN26" s="17">
        <v>22</v>
      </c>
      <c r="AO26" s="24">
        <v>7</v>
      </c>
      <c r="AP26" s="25"/>
      <c r="AR26" s="25"/>
    </row>
    <row r="27" spans="2:54" ht="14.25" customHeight="1" x14ac:dyDescent="0.25">
      <c r="B27" s="160">
        <v>23</v>
      </c>
      <c r="C27" s="161">
        <v>11.776</v>
      </c>
      <c r="D27" s="161">
        <v>10.468999999999999</v>
      </c>
      <c r="E27" s="161">
        <v>1095618.176</v>
      </c>
      <c r="F27" s="161">
        <v>1076273.6640000001</v>
      </c>
      <c r="G27" s="161">
        <v>1079305.9839999999</v>
      </c>
      <c r="H27" s="161"/>
      <c r="I27" s="160">
        <v>48</v>
      </c>
      <c r="J27" s="161">
        <v>10.666</v>
      </c>
      <c r="K27" s="161">
        <v>10.366</v>
      </c>
      <c r="L27" s="161">
        <v>10.343</v>
      </c>
      <c r="M27" s="161">
        <v>1.0209999999999999</v>
      </c>
      <c r="N27" s="161">
        <v>10.566000000000001</v>
      </c>
      <c r="O27" s="161"/>
      <c r="R27" s="23"/>
      <c r="S27" s="17">
        <v>23</v>
      </c>
      <c r="T27" s="161">
        <v>3.6765189120000001</v>
      </c>
      <c r="V27" s="17">
        <v>23</v>
      </c>
      <c r="W27" s="24">
        <v>6</v>
      </c>
      <c r="X27" s="23"/>
      <c r="Y27" s="17">
        <v>23</v>
      </c>
      <c r="Z27" s="24">
        <v>14</v>
      </c>
      <c r="AA27" s="23"/>
      <c r="AK27" s="160">
        <v>23</v>
      </c>
      <c r="AL27" s="159">
        <v>8</v>
      </c>
      <c r="AN27" s="17">
        <v>23</v>
      </c>
      <c r="AO27" s="24">
        <v>11</v>
      </c>
      <c r="AP27" s="25"/>
      <c r="AR27" s="25"/>
    </row>
    <row r="28" spans="2:54" ht="14.25" customHeight="1" x14ac:dyDescent="0.25">
      <c r="B28" s="160">
        <v>24</v>
      </c>
      <c r="C28" s="161">
        <v>10.705</v>
      </c>
      <c r="D28" s="161">
        <v>10.760999999999999</v>
      </c>
      <c r="E28" s="161">
        <v>10.436</v>
      </c>
      <c r="F28" s="161">
        <v>10.548</v>
      </c>
      <c r="G28" s="161">
        <v>9.8970000000000002</v>
      </c>
      <c r="H28" s="161"/>
      <c r="I28" s="160">
        <v>49</v>
      </c>
      <c r="J28" s="161">
        <v>1.0409999999999999</v>
      </c>
      <c r="K28" s="161">
        <v>10.677</v>
      </c>
      <c r="L28" s="161">
        <v>10.321</v>
      </c>
      <c r="M28" s="161">
        <v>10.587999999999999</v>
      </c>
      <c r="N28" s="161">
        <v>10.499000000000001</v>
      </c>
      <c r="O28" s="161"/>
      <c r="R28" s="23"/>
      <c r="S28" s="17">
        <v>24</v>
      </c>
      <c r="T28" s="161">
        <v>3.5462192000000003</v>
      </c>
      <c r="V28" s="17">
        <v>24</v>
      </c>
      <c r="W28" s="24">
        <v>12</v>
      </c>
      <c r="X28" s="23"/>
      <c r="Y28" s="17">
        <v>24</v>
      </c>
      <c r="Z28" s="24">
        <v>7</v>
      </c>
      <c r="AA28" s="23"/>
      <c r="AK28" s="160">
        <v>24</v>
      </c>
      <c r="AL28" s="159">
        <v>12</v>
      </c>
      <c r="AN28" s="17">
        <v>24</v>
      </c>
      <c r="AO28" s="24">
        <v>1</v>
      </c>
      <c r="AP28" s="25"/>
      <c r="AR28" s="25"/>
      <c r="AY28" s="82"/>
    </row>
    <row r="29" spans="2:54" ht="14.25" customHeight="1" x14ac:dyDescent="0.25">
      <c r="B29" s="160">
        <v>25</v>
      </c>
      <c r="C29" s="161">
        <v>10.244999999999999</v>
      </c>
      <c r="D29" s="161">
        <v>10.525</v>
      </c>
      <c r="E29" s="161">
        <v>10.436</v>
      </c>
      <c r="F29" s="161">
        <v>10.525</v>
      </c>
      <c r="G29" s="161">
        <v>10.346</v>
      </c>
      <c r="H29" s="161"/>
      <c r="I29" s="160">
        <v>50</v>
      </c>
      <c r="J29" s="161">
        <v>10.443</v>
      </c>
      <c r="K29" s="161">
        <v>1.0309999999999999</v>
      </c>
      <c r="L29" s="161">
        <v>10.377000000000001</v>
      </c>
      <c r="M29" s="161">
        <v>10.688000000000001</v>
      </c>
      <c r="N29" s="161">
        <v>10.477</v>
      </c>
      <c r="O29" s="161"/>
      <c r="R29" s="23"/>
      <c r="S29" s="17">
        <v>25</v>
      </c>
      <c r="T29" s="161">
        <v>3.213360384</v>
      </c>
      <c r="V29" s="17">
        <v>25</v>
      </c>
      <c r="W29" s="24">
        <v>8</v>
      </c>
      <c r="X29" s="23"/>
      <c r="Y29" s="17">
        <v>25</v>
      </c>
      <c r="Z29" s="24">
        <v>10</v>
      </c>
      <c r="AA29" s="23"/>
      <c r="AK29" s="160">
        <v>25</v>
      </c>
      <c r="AL29" s="159">
        <v>15</v>
      </c>
      <c r="AN29" s="17">
        <v>25</v>
      </c>
      <c r="AO29" s="24">
        <v>9</v>
      </c>
      <c r="AP29" s="25"/>
      <c r="AR29" s="25"/>
      <c r="AU29" s="82"/>
      <c r="AY29" s="82"/>
    </row>
    <row r="30" spans="2:54" ht="14.25" customHeight="1" x14ac:dyDescent="0.25">
      <c r="B30" s="161"/>
      <c r="C30" s="161"/>
      <c r="D30" s="161"/>
      <c r="E30" s="161"/>
      <c r="F30" s="161"/>
      <c r="G30" s="161"/>
      <c r="H30" s="161"/>
      <c r="I30" s="161"/>
      <c r="J30" s="161"/>
      <c r="K30" s="161"/>
      <c r="L30" s="161"/>
      <c r="M30" s="161"/>
      <c r="N30" s="161"/>
      <c r="O30" s="161"/>
      <c r="AN30" s="17">
        <v>26</v>
      </c>
      <c r="AO30" s="24">
        <v>9</v>
      </c>
      <c r="AP30" s="25"/>
      <c r="AR30" s="25"/>
      <c r="AU30" s="82"/>
    </row>
    <row r="31" spans="2:54" ht="14.25" customHeight="1" x14ac:dyDescent="0.25">
      <c r="AN31" s="17">
        <v>27</v>
      </c>
      <c r="AO31" s="24">
        <v>7</v>
      </c>
      <c r="AP31" s="25"/>
      <c r="AR31" s="25"/>
    </row>
    <row r="32" spans="2:54" ht="14.25" customHeight="1" x14ac:dyDescent="0.25">
      <c r="AN32" s="17">
        <v>28</v>
      </c>
      <c r="AO32" s="24">
        <v>6</v>
      </c>
      <c r="AP32" s="25"/>
      <c r="AR32" s="25"/>
    </row>
    <row r="33" spans="3:44" ht="14.25" customHeight="1" x14ac:dyDescent="0.25">
      <c r="C33" s="82"/>
      <c r="D33" s="82"/>
      <c r="AN33" s="17">
        <v>29</v>
      </c>
      <c r="AO33" s="24">
        <v>9</v>
      </c>
      <c r="AP33" s="25"/>
      <c r="AR33" s="25"/>
    </row>
    <row r="34" spans="3:44" ht="14.25" customHeight="1" x14ac:dyDescent="0.25">
      <c r="AN34" s="17">
        <v>30</v>
      </c>
      <c r="AO34" s="24">
        <v>7</v>
      </c>
      <c r="AP34" s="25"/>
      <c r="AR34" s="25"/>
    </row>
    <row r="35" spans="3:44" ht="14.25" customHeight="1" x14ac:dyDescent="0.25">
      <c r="AO35" s="17"/>
    </row>
    <row r="36" spans="3:44" ht="14.25" customHeight="1" x14ac:dyDescent="0.25">
      <c r="AO36" s="17"/>
    </row>
    <row r="37" spans="3:44" ht="14.25" customHeight="1" x14ac:dyDescent="0.25">
      <c r="AO37" s="17"/>
    </row>
    <row r="38" spans="3:44" ht="14.25" customHeight="1" x14ac:dyDescent="0.25">
      <c r="AO38" s="17"/>
    </row>
    <row r="39" spans="3:44" ht="14.25" customHeight="1" x14ac:dyDescent="0.25">
      <c r="AO39" s="17"/>
    </row>
    <row r="40" spans="3:44" ht="14.25" customHeight="1" x14ac:dyDescent="0.25">
      <c r="AO40" s="17"/>
    </row>
    <row r="41" spans="3:44" ht="14.25" customHeight="1" x14ac:dyDescent="0.25">
      <c r="AO41" s="17"/>
    </row>
    <row r="42" spans="3:44" ht="14.25" customHeight="1" x14ac:dyDescent="0.25">
      <c r="AO42" s="17"/>
    </row>
    <row r="43" spans="3:44" ht="14.25" customHeight="1" x14ac:dyDescent="0.25">
      <c r="AO43" s="17"/>
    </row>
    <row r="44" spans="3:44" ht="14.25" customHeight="1" x14ac:dyDescent="0.25">
      <c r="AO44" s="17"/>
    </row>
    <row r="45" spans="3:44" ht="14.25" customHeight="1" x14ac:dyDescent="0.25">
      <c r="AO45" s="17"/>
    </row>
    <row r="46" spans="3:44" ht="14.25" customHeight="1" x14ac:dyDescent="0.25">
      <c r="AO46" s="17"/>
    </row>
    <row r="47" spans="3:44" ht="14.25" customHeight="1" x14ac:dyDescent="0.25">
      <c r="AO47" s="17"/>
    </row>
    <row r="48" spans="3:44" ht="14.25" customHeight="1" x14ac:dyDescent="0.25">
      <c r="AO48" s="17"/>
    </row>
    <row r="49" spans="41:41" ht="14.25" customHeight="1" x14ac:dyDescent="0.25">
      <c r="AO49" s="17"/>
    </row>
    <row r="50" spans="41:41" ht="14.25" customHeight="1" x14ac:dyDescent="0.25">
      <c r="AO50" s="17"/>
    </row>
    <row r="51" spans="41:41" ht="14.25" customHeight="1" x14ac:dyDescent="0.25">
      <c r="AO51" s="17"/>
    </row>
    <row r="52" spans="41:41" ht="14.25" customHeight="1" x14ac:dyDescent="0.25">
      <c r="AO52" s="17"/>
    </row>
    <row r="53" spans="41:41" ht="14.25" customHeight="1" x14ac:dyDescent="0.25">
      <c r="AO53" s="17"/>
    </row>
    <row r="54" spans="41:41" ht="14.25" customHeight="1" x14ac:dyDescent="0.25">
      <c r="AO54" s="17"/>
    </row>
    <row r="55" spans="41:41" ht="14.25" customHeight="1" x14ac:dyDescent="0.25">
      <c r="AO55" s="17"/>
    </row>
    <row r="56" spans="41:41" ht="14.25" customHeight="1" x14ac:dyDescent="0.25">
      <c r="AO56" s="17"/>
    </row>
    <row r="57" spans="41:41" ht="14.25" customHeight="1" x14ac:dyDescent="0.25">
      <c r="AO57" s="17"/>
    </row>
    <row r="58" spans="41:41" ht="14.25" customHeight="1" x14ac:dyDescent="0.25">
      <c r="AO58" s="17"/>
    </row>
    <row r="59" spans="41:41" ht="14.25" customHeight="1" x14ac:dyDescent="0.25">
      <c r="AO59" s="17"/>
    </row>
    <row r="60" spans="41:41" ht="14.25" customHeight="1" x14ac:dyDescent="0.25">
      <c r="AO60" s="17"/>
    </row>
    <row r="61" spans="41:41" ht="14.25" customHeight="1" x14ac:dyDescent="0.25">
      <c r="AO61" s="17"/>
    </row>
    <row r="62" spans="41:41" ht="14.25" customHeight="1" x14ac:dyDescent="0.25">
      <c r="AO62" s="17"/>
    </row>
    <row r="63" spans="41:41" ht="14.25" customHeight="1" x14ac:dyDescent="0.25">
      <c r="AO63" s="17"/>
    </row>
    <row r="64" spans="41:41" ht="14.25" customHeight="1" x14ac:dyDescent="0.25">
      <c r="AO64" s="17"/>
    </row>
    <row r="65" spans="41:41" ht="14.25" customHeight="1" x14ac:dyDescent="0.25">
      <c r="AO65" s="17"/>
    </row>
    <row r="66" spans="41:41" ht="14.25" customHeight="1" x14ac:dyDescent="0.25">
      <c r="AO66" s="17"/>
    </row>
    <row r="67" spans="41:41" ht="14.25" customHeight="1" x14ac:dyDescent="0.25">
      <c r="AO67" s="17"/>
    </row>
    <row r="68" spans="41:41" ht="14.25" customHeight="1" x14ac:dyDescent="0.25">
      <c r="AO68" s="17"/>
    </row>
    <row r="69" spans="41:41" ht="14.25" customHeight="1" x14ac:dyDescent="0.25">
      <c r="AO69" s="17"/>
    </row>
    <row r="70" spans="41:41" ht="14.25" customHeight="1" x14ac:dyDescent="0.25">
      <c r="AO70" s="17"/>
    </row>
    <row r="71" spans="41:41" ht="14.25" customHeight="1" x14ac:dyDescent="0.25">
      <c r="AO71" s="17"/>
    </row>
    <row r="72" spans="41:41" ht="14.25" customHeight="1" x14ac:dyDescent="0.25">
      <c r="AO72" s="17"/>
    </row>
    <row r="73" spans="41:41" ht="14.25" customHeight="1" x14ac:dyDescent="0.25">
      <c r="AO73" s="17"/>
    </row>
    <row r="74" spans="41:41" ht="14.25" customHeight="1" x14ac:dyDescent="0.25">
      <c r="AO74" s="17"/>
    </row>
    <row r="75" spans="41:41" ht="14.25" customHeight="1" x14ac:dyDescent="0.25">
      <c r="AO75" s="17"/>
    </row>
    <row r="76" spans="41:41" ht="14.25" customHeight="1" x14ac:dyDescent="0.25">
      <c r="AO76" s="17"/>
    </row>
    <row r="77" spans="41:41" ht="14.25" customHeight="1" x14ac:dyDescent="0.25">
      <c r="AO77" s="17"/>
    </row>
    <row r="78" spans="41:41" ht="14.25" customHeight="1" x14ac:dyDescent="0.25">
      <c r="AO78" s="17"/>
    </row>
    <row r="79" spans="41:41" ht="14.25" customHeight="1" x14ac:dyDescent="0.25">
      <c r="AO79" s="17"/>
    </row>
    <row r="80" spans="41:41" ht="14.25" customHeight="1" x14ac:dyDescent="0.25">
      <c r="AO80" s="17"/>
    </row>
    <row r="81" spans="41:41" ht="14.25" customHeight="1" x14ac:dyDescent="0.25">
      <c r="AO81" s="17"/>
    </row>
    <row r="82" spans="41:41" ht="14.25" customHeight="1" x14ac:dyDescent="0.25">
      <c r="AO82" s="17"/>
    </row>
    <row r="83" spans="41:41" ht="14.25" customHeight="1" x14ac:dyDescent="0.25">
      <c r="AO83" s="17"/>
    </row>
    <row r="84" spans="41:41" ht="14.25" customHeight="1" x14ac:dyDescent="0.25">
      <c r="AO84" s="17"/>
    </row>
    <row r="85" spans="41:41" ht="14.25" customHeight="1" x14ac:dyDescent="0.25">
      <c r="AO85" s="17"/>
    </row>
    <row r="86" spans="41:41" ht="14.25" customHeight="1" x14ac:dyDescent="0.25">
      <c r="AO86" s="17"/>
    </row>
    <row r="87" spans="41:41" ht="14.25" customHeight="1" x14ac:dyDescent="0.25">
      <c r="AO87" s="17"/>
    </row>
    <row r="88" spans="41:41" ht="14.25" customHeight="1" x14ac:dyDescent="0.25">
      <c r="AO88" s="17"/>
    </row>
    <row r="89" spans="41:41" ht="14.25" customHeight="1" x14ac:dyDescent="0.25">
      <c r="AO89" s="17"/>
    </row>
    <row r="90" spans="41:41" ht="14.25" customHeight="1" x14ac:dyDescent="0.25">
      <c r="AO90" s="17"/>
    </row>
    <row r="91" spans="41:41" ht="14.25" customHeight="1" x14ac:dyDescent="0.25">
      <c r="AO91" s="17"/>
    </row>
    <row r="92" spans="41:41" ht="14.25" customHeight="1" x14ac:dyDescent="0.25">
      <c r="AO92" s="17"/>
    </row>
    <row r="93" spans="41:41" ht="14.25" customHeight="1" x14ac:dyDescent="0.25">
      <c r="AO93" s="17"/>
    </row>
    <row r="94" spans="41:41" ht="14.25" customHeight="1" x14ac:dyDescent="0.25">
      <c r="AO94" s="17"/>
    </row>
    <row r="95" spans="41:41" ht="14.25" customHeight="1" x14ac:dyDescent="0.25">
      <c r="AO95" s="17"/>
    </row>
    <row r="96" spans="41:41" ht="14.25" customHeight="1" x14ac:dyDescent="0.25">
      <c r="AO96" s="17"/>
    </row>
    <row r="97" spans="41:41" ht="14.25" customHeight="1" x14ac:dyDescent="0.25">
      <c r="AO97" s="17"/>
    </row>
    <row r="98" spans="41:41" ht="14.25" customHeight="1" x14ac:dyDescent="0.25">
      <c r="AO98" s="17"/>
    </row>
    <row r="99" spans="41:41" ht="14.25" customHeight="1" x14ac:dyDescent="0.25">
      <c r="AO99" s="17"/>
    </row>
    <row r="100" spans="41:41" ht="14.25" customHeight="1" x14ac:dyDescent="0.25">
      <c r="AO100" s="17"/>
    </row>
    <row r="101" spans="41:41" ht="14.25" customHeight="1" x14ac:dyDescent="0.25">
      <c r="AO101" s="17"/>
    </row>
    <row r="102" spans="41:41" ht="14.25" customHeight="1" x14ac:dyDescent="0.25">
      <c r="AO102" s="17"/>
    </row>
    <row r="103" spans="41:41" ht="14.25" customHeight="1" x14ac:dyDescent="0.25">
      <c r="AO103" s="17"/>
    </row>
    <row r="104" spans="41:41" ht="14.25" customHeight="1" x14ac:dyDescent="0.25">
      <c r="AO104" s="17"/>
    </row>
    <row r="105" spans="41:41" ht="14.25" customHeight="1" x14ac:dyDescent="0.25">
      <c r="AO105" s="17"/>
    </row>
    <row r="106" spans="41:41" ht="14.25" customHeight="1" x14ac:dyDescent="0.25">
      <c r="AO106" s="17"/>
    </row>
    <row r="107" spans="41:41" ht="14.25" customHeight="1" x14ac:dyDescent="0.25">
      <c r="AO107" s="17"/>
    </row>
    <row r="108" spans="41:41" ht="14.25" customHeight="1" x14ac:dyDescent="0.25">
      <c r="AO108" s="17"/>
    </row>
    <row r="109" spans="41:41" ht="14.25" customHeight="1" x14ac:dyDescent="0.25">
      <c r="AO109" s="17"/>
    </row>
    <row r="110" spans="41:41" ht="14.25" customHeight="1" x14ac:dyDescent="0.25">
      <c r="AO110" s="17"/>
    </row>
    <row r="111" spans="41:41" ht="14.25" customHeight="1" x14ac:dyDescent="0.25">
      <c r="AO111" s="17"/>
    </row>
    <row r="112" spans="41:41" ht="14.25" customHeight="1" x14ac:dyDescent="0.25">
      <c r="AO112" s="17"/>
    </row>
    <row r="113" spans="41:41" ht="14.25" customHeight="1" x14ac:dyDescent="0.25">
      <c r="AO113" s="17"/>
    </row>
    <row r="114" spans="41:41" ht="14.25" customHeight="1" x14ac:dyDescent="0.25">
      <c r="AO114" s="17"/>
    </row>
    <row r="115" spans="41:41" ht="14.25" customHeight="1" x14ac:dyDescent="0.25">
      <c r="AO115" s="17"/>
    </row>
    <row r="116" spans="41:41" ht="14.25" customHeight="1" x14ac:dyDescent="0.25">
      <c r="AO116" s="17"/>
    </row>
    <row r="117" spans="41:41" ht="14.25" customHeight="1" x14ac:dyDescent="0.25">
      <c r="AO117" s="17"/>
    </row>
    <row r="118" spans="41:41" ht="14.25" customHeight="1" x14ac:dyDescent="0.25">
      <c r="AO118" s="17"/>
    </row>
    <row r="119" spans="41:41" ht="14.25" customHeight="1" x14ac:dyDescent="0.25">
      <c r="AO119" s="17"/>
    </row>
    <row r="120" spans="41:41" ht="14.25" customHeight="1" x14ac:dyDescent="0.25">
      <c r="AO120" s="17"/>
    </row>
    <row r="121" spans="41:41" ht="14.25" customHeight="1" x14ac:dyDescent="0.25">
      <c r="AO121" s="17"/>
    </row>
    <row r="122" spans="41:41" ht="14.25" customHeight="1" x14ac:dyDescent="0.25">
      <c r="AO122" s="17"/>
    </row>
    <row r="123" spans="41:41" ht="14.25" customHeight="1" x14ac:dyDescent="0.25">
      <c r="AO123" s="17"/>
    </row>
    <row r="124" spans="41:41" ht="14.25" customHeight="1" x14ac:dyDescent="0.25">
      <c r="AO124" s="17"/>
    </row>
    <row r="125" spans="41:41" ht="14.25" customHeight="1" x14ac:dyDescent="0.25">
      <c r="AO125" s="17"/>
    </row>
    <row r="126" spans="41:41" ht="14.25" customHeight="1" x14ac:dyDescent="0.25">
      <c r="AO126" s="17"/>
    </row>
    <row r="127" spans="41:41" ht="14.25" customHeight="1" x14ac:dyDescent="0.25">
      <c r="AO127" s="17"/>
    </row>
    <row r="128" spans="41:41" ht="14.25" customHeight="1" x14ac:dyDescent="0.25">
      <c r="AO128" s="17"/>
    </row>
    <row r="129" spans="41:41" ht="14.25" customHeight="1" x14ac:dyDescent="0.25">
      <c r="AO129" s="17"/>
    </row>
    <row r="130" spans="41:41" ht="14.25" customHeight="1" x14ac:dyDescent="0.25">
      <c r="AO130" s="17"/>
    </row>
    <row r="131" spans="41:41" ht="14.25" customHeight="1" x14ac:dyDescent="0.25">
      <c r="AO131" s="17"/>
    </row>
    <row r="132" spans="41:41" ht="14.25" customHeight="1" x14ac:dyDescent="0.25">
      <c r="AO132" s="17"/>
    </row>
    <row r="133" spans="41:41" ht="14.25" customHeight="1" x14ac:dyDescent="0.25">
      <c r="AO133" s="17"/>
    </row>
    <row r="134" spans="41:41" ht="14.25" customHeight="1" x14ac:dyDescent="0.25">
      <c r="AO134" s="17"/>
    </row>
    <row r="135" spans="41:41" ht="14.25" customHeight="1" x14ac:dyDescent="0.25">
      <c r="AO135" s="17"/>
    </row>
    <row r="136" spans="41:41" ht="14.25" customHeight="1" x14ac:dyDescent="0.25">
      <c r="AO136" s="17"/>
    </row>
    <row r="137" spans="41:41" ht="14.25" customHeight="1" x14ac:dyDescent="0.25">
      <c r="AO137" s="17"/>
    </row>
    <row r="138" spans="41:41" ht="14.25" customHeight="1" x14ac:dyDescent="0.25">
      <c r="AO138" s="17"/>
    </row>
    <row r="139" spans="41:41" ht="14.25" customHeight="1" x14ac:dyDescent="0.25">
      <c r="AO139" s="17"/>
    </row>
    <row r="140" spans="41:41" ht="14.25" customHeight="1" x14ac:dyDescent="0.25">
      <c r="AO140" s="17"/>
    </row>
    <row r="141" spans="41:41" ht="14.25" customHeight="1" x14ac:dyDescent="0.25">
      <c r="AO141" s="17"/>
    </row>
    <row r="142" spans="41:41" ht="14.25" customHeight="1" x14ac:dyDescent="0.25">
      <c r="AO142" s="17"/>
    </row>
    <row r="143" spans="41:41" ht="14.25" customHeight="1" x14ac:dyDescent="0.25">
      <c r="AO143" s="17"/>
    </row>
    <row r="144" spans="41:41" ht="14.25" customHeight="1" x14ac:dyDescent="0.25">
      <c r="AO144" s="17"/>
    </row>
    <row r="145" spans="41:41" ht="14.25" customHeight="1" x14ac:dyDescent="0.25">
      <c r="AO145" s="17"/>
    </row>
    <row r="146" spans="41:41" ht="14.25" customHeight="1" x14ac:dyDescent="0.25">
      <c r="AO146" s="17"/>
    </row>
    <row r="147" spans="41:41" ht="14.25" customHeight="1" x14ac:dyDescent="0.25">
      <c r="AO147" s="17"/>
    </row>
    <row r="148" spans="41:41" ht="14.25" customHeight="1" x14ac:dyDescent="0.25">
      <c r="AO148" s="17"/>
    </row>
    <row r="149" spans="41:41" ht="14.25" customHeight="1" x14ac:dyDescent="0.25">
      <c r="AO149" s="17"/>
    </row>
    <row r="150" spans="41:41" ht="14.25" customHeight="1" x14ac:dyDescent="0.25">
      <c r="AO150" s="17"/>
    </row>
    <row r="151" spans="41:41" ht="14.25" customHeight="1" x14ac:dyDescent="0.25">
      <c r="AO151" s="17"/>
    </row>
    <row r="152" spans="41:41" ht="14.25" customHeight="1" x14ac:dyDescent="0.25">
      <c r="AO152" s="17"/>
    </row>
    <row r="153" spans="41:41" ht="14.25" customHeight="1" x14ac:dyDescent="0.25">
      <c r="AO153" s="17"/>
    </row>
    <row r="154" spans="41:41" ht="14.25" customHeight="1" x14ac:dyDescent="0.25">
      <c r="AO154" s="17"/>
    </row>
    <row r="155" spans="41:41" ht="14.25" customHeight="1" x14ac:dyDescent="0.25">
      <c r="AO155" s="17"/>
    </row>
    <row r="156" spans="41:41" ht="14.25" customHeight="1" x14ac:dyDescent="0.25">
      <c r="AO156" s="17"/>
    </row>
    <row r="157" spans="41:41" ht="14.25" customHeight="1" x14ac:dyDescent="0.25">
      <c r="AO157" s="17"/>
    </row>
    <row r="158" spans="41:41" ht="14.25" customHeight="1" x14ac:dyDescent="0.25">
      <c r="AO158" s="17"/>
    </row>
    <row r="159" spans="41:41" ht="14.25" customHeight="1" x14ac:dyDescent="0.25">
      <c r="AO159" s="17"/>
    </row>
    <row r="160" spans="41:41" ht="14.25" customHeight="1" x14ac:dyDescent="0.25">
      <c r="AO160" s="17"/>
    </row>
    <row r="161" spans="41:41" ht="14.25" customHeight="1" x14ac:dyDescent="0.25">
      <c r="AO161" s="17"/>
    </row>
    <row r="162" spans="41:41" ht="14.25" customHeight="1" x14ac:dyDescent="0.25">
      <c r="AO162" s="17"/>
    </row>
    <row r="163" spans="41:41" ht="14.25" customHeight="1" x14ac:dyDescent="0.25">
      <c r="AO163" s="17"/>
    </row>
    <row r="164" spans="41:41" ht="14.25" customHeight="1" x14ac:dyDescent="0.25">
      <c r="AO164" s="17"/>
    </row>
    <row r="165" spans="41:41" ht="14.25" customHeight="1" x14ac:dyDescent="0.25">
      <c r="AO165" s="17"/>
    </row>
    <row r="166" spans="41:41" ht="14.25" customHeight="1" x14ac:dyDescent="0.25">
      <c r="AO166" s="17"/>
    </row>
    <row r="167" spans="41:41" ht="14.25" customHeight="1" x14ac:dyDescent="0.25">
      <c r="AO167" s="17"/>
    </row>
    <row r="168" spans="41:41" ht="14.25" customHeight="1" x14ac:dyDescent="0.25">
      <c r="AO168" s="17"/>
    </row>
    <row r="169" spans="41:41" ht="14.25" customHeight="1" x14ac:dyDescent="0.25">
      <c r="AO169" s="17"/>
    </row>
    <row r="170" spans="41:41" ht="14.25" customHeight="1" x14ac:dyDescent="0.25">
      <c r="AO170" s="17"/>
    </row>
    <row r="171" spans="41:41" ht="14.25" customHeight="1" x14ac:dyDescent="0.25">
      <c r="AO171" s="17"/>
    </row>
    <row r="172" spans="41:41" ht="14.25" customHeight="1" x14ac:dyDescent="0.25">
      <c r="AO172" s="17"/>
    </row>
    <row r="173" spans="41:41" ht="14.25" customHeight="1" x14ac:dyDescent="0.25">
      <c r="AO173" s="17"/>
    </row>
    <row r="174" spans="41:41" ht="14.25" customHeight="1" x14ac:dyDescent="0.25">
      <c r="AO174" s="17"/>
    </row>
    <row r="175" spans="41:41" ht="14.25" customHeight="1" x14ac:dyDescent="0.25">
      <c r="AO175" s="17"/>
    </row>
    <row r="176" spans="41:41" ht="14.25" customHeight="1" x14ac:dyDescent="0.25">
      <c r="AO176" s="17"/>
    </row>
    <row r="177" spans="41:41" ht="14.25" customHeight="1" x14ac:dyDescent="0.25">
      <c r="AO177" s="17"/>
    </row>
    <row r="178" spans="41:41" ht="14.25" customHeight="1" x14ac:dyDescent="0.25">
      <c r="AO178" s="17"/>
    </row>
    <row r="179" spans="41:41" ht="14.25" customHeight="1" x14ac:dyDescent="0.25">
      <c r="AO179" s="17"/>
    </row>
    <row r="180" spans="41:41" ht="14.25" customHeight="1" x14ac:dyDescent="0.25">
      <c r="AO180" s="17"/>
    </row>
    <row r="181" spans="41:41" ht="14.25" customHeight="1" x14ac:dyDescent="0.25">
      <c r="AO181" s="17"/>
    </row>
    <row r="182" spans="41:41" ht="14.25" customHeight="1" x14ac:dyDescent="0.25">
      <c r="AO182" s="17"/>
    </row>
    <row r="183" spans="41:41" ht="14.25" customHeight="1" x14ac:dyDescent="0.25">
      <c r="AO183" s="17"/>
    </row>
    <row r="184" spans="41:41" ht="14.25" customHeight="1" x14ac:dyDescent="0.25">
      <c r="AO184" s="17"/>
    </row>
    <row r="185" spans="41:41" ht="14.25" customHeight="1" x14ac:dyDescent="0.25">
      <c r="AO185" s="17"/>
    </row>
    <row r="186" spans="41:41" ht="14.25" customHeight="1" x14ac:dyDescent="0.25">
      <c r="AO186" s="17"/>
    </row>
    <row r="187" spans="41:41" ht="14.25" customHeight="1" x14ac:dyDescent="0.25">
      <c r="AO187" s="17"/>
    </row>
    <row r="188" spans="41:41" ht="14.25" customHeight="1" x14ac:dyDescent="0.25">
      <c r="AO188" s="17"/>
    </row>
    <row r="189" spans="41:41" ht="14.25" customHeight="1" x14ac:dyDescent="0.25">
      <c r="AO189" s="17"/>
    </row>
    <row r="190" spans="41:41" ht="14.25" customHeight="1" x14ac:dyDescent="0.25">
      <c r="AO190" s="17"/>
    </row>
    <row r="191" spans="41:41" ht="14.25" customHeight="1" x14ac:dyDescent="0.25">
      <c r="AO191" s="17"/>
    </row>
    <row r="192" spans="41:41" ht="14.25" customHeight="1" x14ac:dyDescent="0.25">
      <c r="AO192" s="17"/>
    </row>
    <row r="193" spans="41:41" ht="14.25" customHeight="1" x14ac:dyDescent="0.25">
      <c r="AO193" s="17"/>
    </row>
    <row r="194" spans="41:41" ht="14.25" customHeight="1" x14ac:dyDescent="0.25">
      <c r="AO194" s="17"/>
    </row>
    <row r="195" spans="41:41" ht="14.25" customHeight="1" x14ac:dyDescent="0.25">
      <c r="AO195" s="17"/>
    </row>
    <row r="196" spans="41:41" ht="14.25" customHeight="1" x14ac:dyDescent="0.25">
      <c r="AO196" s="17"/>
    </row>
    <row r="197" spans="41:41" ht="14.25" customHeight="1" x14ac:dyDescent="0.25">
      <c r="AO197" s="17"/>
    </row>
    <row r="198" spans="41:41" ht="14.25" customHeight="1" x14ac:dyDescent="0.25">
      <c r="AO198" s="17"/>
    </row>
    <row r="199" spans="41:41" ht="14.25" customHeight="1" x14ac:dyDescent="0.25">
      <c r="AO199" s="17"/>
    </row>
    <row r="200" spans="41:41" ht="14.25" customHeight="1" x14ac:dyDescent="0.25">
      <c r="AO200" s="17"/>
    </row>
    <row r="201" spans="41:41" ht="14.25" customHeight="1" x14ac:dyDescent="0.25">
      <c r="AO201" s="17"/>
    </row>
    <row r="202" spans="41:41" ht="14.25" customHeight="1" x14ac:dyDescent="0.25">
      <c r="AO202" s="17"/>
    </row>
    <row r="203" spans="41:41" ht="14.25" customHeight="1" x14ac:dyDescent="0.25">
      <c r="AO203" s="17"/>
    </row>
    <row r="204" spans="41:41" ht="14.25" customHeight="1" x14ac:dyDescent="0.25">
      <c r="AO204" s="17"/>
    </row>
    <row r="205" spans="41:41" ht="14.25" customHeight="1" x14ac:dyDescent="0.25">
      <c r="AO205" s="17"/>
    </row>
    <row r="206" spans="41:41" ht="14.25" customHeight="1" x14ac:dyDescent="0.25">
      <c r="AO206" s="17"/>
    </row>
    <row r="207" spans="41:41" ht="14.25" customHeight="1" x14ac:dyDescent="0.25">
      <c r="AO207" s="17"/>
    </row>
    <row r="208" spans="41:41" ht="14.25" customHeight="1" x14ac:dyDescent="0.25">
      <c r="AO208" s="17"/>
    </row>
    <row r="209" spans="41:41" ht="14.25" customHeight="1" x14ac:dyDescent="0.25">
      <c r="AO209" s="17"/>
    </row>
    <row r="210" spans="41:41" ht="14.25" customHeight="1" x14ac:dyDescent="0.25">
      <c r="AO210" s="17"/>
    </row>
    <row r="211" spans="41:41" ht="14.25" customHeight="1" x14ac:dyDescent="0.25">
      <c r="AO211" s="17"/>
    </row>
    <row r="212" spans="41:41" ht="14.25" customHeight="1" x14ac:dyDescent="0.25">
      <c r="AO212" s="17"/>
    </row>
    <row r="213" spans="41:41" ht="14.25" customHeight="1" x14ac:dyDescent="0.25">
      <c r="AO213" s="17"/>
    </row>
    <row r="214" spans="41:41" ht="14.25" customHeight="1" x14ac:dyDescent="0.25">
      <c r="AO214" s="17"/>
    </row>
    <row r="215" spans="41:41" ht="14.25" customHeight="1" x14ac:dyDescent="0.25">
      <c r="AO215" s="17"/>
    </row>
    <row r="216" spans="41:41" ht="14.25" customHeight="1" x14ac:dyDescent="0.25">
      <c r="AO216" s="17"/>
    </row>
    <row r="217" spans="41:41" ht="14.25" customHeight="1" x14ac:dyDescent="0.25">
      <c r="AO217" s="17"/>
    </row>
    <row r="218" spans="41:41" ht="14.25" customHeight="1" x14ac:dyDescent="0.25">
      <c r="AO218" s="17"/>
    </row>
    <row r="219" spans="41:41" ht="14.25" customHeight="1" x14ac:dyDescent="0.25">
      <c r="AO219" s="17"/>
    </row>
    <row r="220" spans="41:41" ht="14.25" customHeight="1" x14ac:dyDescent="0.25">
      <c r="AO220" s="17"/>
    </row>
    <row r="221" spans="41:41" ht="14.25" customHeight="1" x14ac:dyDescent="0.25">
      <c r="AO221" s="17"/>
    </row>
    <row r="222" spans="41:41" ht="14.25" customHeight="1" x14ac:dyDescent="0.25">
      <c r="AO222" s="17"/>
    </row>
    <row r="223" spans="41:41" ht="14.25" customHeight="1" x14ac:dyDescent="0.25">
      <c r="AO223" s="17"/>
    </row>
    <row r="224" spans="41:41" ht="14.25" customHeight="1" x14ac:dyDescent="0.25">
      <c r="AO224" s="17"/>
    </row>
    <row r="225" spans="41:41" ht="14.25" customHeight="1" x14ac:dyDescent="0.25">
      <c r="AO225" s="17"/>
    </row>
    <row r="226" spans="41:41" ht="14.25" customHeight="1" x14ac:dyDescent="0.25">
      <c r="AO226" s="17"/>
    </row>
    <row r="227" spans="41:41" ht="14.25" customHeight="1" x14ac:dyDescent="0.25">
      <c r="AO227" s="17"/>
    </row>
    <row r="228" spans="41:41" ht="14.25" customHeight="1" x14ac:dyDescent="0.25">
      <c r="AO228" s="17"/>
    </row>
    <row r="229" spans="41:41" ht="14.25" customHeight="1" x14ac:dyDescent="0.25">
      <c r="AO229" s="17"/>
    </row>
    <row r="230" spans="41:41" ht="14.25" customHeight="1" x14ac:dyDescent="0.25">
      <c r="AO230" s="17"/>
    </row>
    <row r="231" spans="41:41" ht="14.25" customHeight="1" x14ac:dyDescent="0.25">
      <c r="AO231" s="17"/>
    </row>
    <row r="232" spans="41:41" ht="14.25" customHeight="1" x14ac:dyDescent="0.25">
      <c r="AO232" s="17"/>
    </row>
    <row r="233" spans="41:41" ht="14.25" customHeight="1" x14ac:dyDescent="0.25">
      <c r="AO233" s="17"/>
    </row>
    <row r="234" spans="41:41" ht="14.25" customHeight="1" x14ac:dyDescent="0.25">
      <c r="AO234" s="17"/>
    </row>
    <row r="235" spans="41:41" ht="14.25" customHeight="1" x14ac:dyDescent="0.25">
      <c r="AO235" s="17"/>
    </row>
    <row r="236" spans="41:41" ht="14.25" customHeight="1" x14ac:dyDescent="0.25">
      <c r="AO236" s="17"/>
    </row>
    <row r="237" spans="41:41" ht="14.25" customHeight="1" x14ac:dyDescent="0.25">
      <c r="AO237" s="17"/>
    </row>
    <row r="238" spans="41:41" ht="14.25" customHeight="1" x14ac:dyDescent="0.25">
      <c r="AO238" s="17"/>
    </row>
    <row r="239" spans="41:41" ht="14.25" customHeight="1" x14ac:dyDescent="0.25">
      <c r="AO239" s="17"/>
    </row>
    <row r="240" spans="41:41" ht="14.25" customHeight="1" x14ac:dyDescent="0.25">
      <c r="AO240" s="17"/>
    </row>
    <row r="241" spans="41:41" ht="14.25" customHeight="1" x14ac:dyDescent="0.25">
      <c r="AO241" s="17"/>
    </row>
    <row r="242" spans="41:41" ht="14.25" customHeight="1" x14ac:dyDescent="0.25">
      <c r="AO242" s="17"/>
    </row>
    <row r="243" spans="41:41" ht="14.25" customHeight="1" x14ac:dyDescent="0.25">
      <c r="AO243" s="17"/>
    </row>
    <row r="244" spans="41:41" ht="14.25" customHeight="1" x14ac:dyDescent="0.25">
      <c r="AO244" s="17"/>
    </row>
    <row r="245" spans="41:41" ht="14.25" customHeight="1" x14ac:dyDescent="0.25">
      <c r="AO245" s="17"/>
    </row>
    <row r="246" spans="41:41" ht="14.25" customHeight="1" x14ac:dyDescent="0.25">
      <c r="AO246" s="17"/>
    </row>
    <row r="247" spans="41:41" ht="14.25" customHeight="1" x14ac:dyDescent="0.25">
      <c r="AO247" s="17"/>
    </row>
    <row r="248" spans="41:41" ht="14.25" customHeight="1" x14ac:dyDescent="0.25">
      <c r="AO248" s="17"/>
    </row>
    <row r="249" spans="41:41" ht="14.25" customHeight="1" x14ac:dyDescent="0.25">
      <c r="AO249" s="17"/>
    </row>
    <row r="250" spans="41:41" ht="14.25" customHeight="1" x14ac:dyDescent="0.25">
      <c r="AO250" s="17"/>
    </row>
    <row r="251" spans="41:41" ht="14.25" customHeight="1" x14ac:dyDescent="0.25">
      <c r="AO251" s="17"/>
    </row>
    <row r="252" spans="41:41" ht="14.25" customHeight="1" x14ac:dyDescent="0.25">
      <c r="AO252" s="17"/>
    </row>
    <row r="253" spans="41:41" ht="14.25" customHeight="1" x14ac:dyDescent="0.25">
      <c r="AO253" s="17"/>
    </row>
    <row r="254" spans="41:41" ht="14.25" customHeight="1" x14ac:dyDescent="0.25">
      <c r="AO254" s="17"/>
    </row>
    <row r="255" spans="41:41" ht="14.25" customHeight="1" x14ac:dyDescent="0.25">
      <c r="AO255" s="17"/>
    </row>
    <row r="256" spans="41:41" ht="14.25" customHeight="1" x14ac:dyDescent="0.25">
      <c r="AO256" s="17"/>
    </row>
    <row r="257" spans="41:41" ht="14.25" customHeight="1" x14ac:dyDescent="0.25">
      <c r="AO257" s="17"/>
    </row>
    <row r="258" spans="41:41" ht="14.25" customHeight="1" x14ac:dyDescent="0.25">
      <c r="AO258" s="17"/>
    </row>
    <row r="259" spans="41:41" ht="14.25" customHeight="1" x14ac:dyDescent="0.25">
      <c r="AO259" s="17"/>
    </row>
    <row r="260" spans="41:41" ht="14.25" customHeight="1" x14ac:dyDescent="0.25">
      <c r="AO260" s="17"/>
    </row>
    <row r="261" spans="41:41" ht="14.25" customHeight="1" x14ac:dyDescent="0.25">
      <c r="AO261" s="17"/>
    </row>
    <row r="262" spans="41:41" ht="14.25" customHeight="1" x14ac:dyDescent="0.25">
      <c r="AO262" s="17"/>
    </row>
    <row r="263" spans="41:41" ht="14.25" customHeight="1" x14ac:dyDescent="0.25">
      <c r="AO263" s="17"/>
    </row>
    <row r="264" spans="41:41" ht="14.25" customHeight="1" x14ac:dyDescent="0.25">
      <c r="AO264" s="17"/>
    </row>
    <row r="265" spans="41:41" ht="14.25" customHeight="1" x14ac:dyDescent="0.25">
      <c r="AO265" s="17"/>
    </row>
    <row r="266" spans="41:41" ht="14.25" customHeight="1" x14ac:dyDescent="0.25">
      <c r="AO266" s="17"/>
    </row>
    <row r="267" spans="41:41" ht="14.25" customHeight="1" x14ac:dyDescent="0.25">
      <c r="AO267" s="17"/>
    </row>
    <row r="268" spans="41:41" ht="14.25" customHeight="1" x14ac:dyDescent="0.25">
      <c r="AO268" s="17"/>
    </row>
    <row r="269" spans="41:41" ht="14.25" customHeight="1" x14ac:dyDescent="0.25">
      <c r="AO269" s="17"/>
    </row>
    <row r="270" spans="41:41" ht="14.25" customHeight="1" x14ac:dyDescent="0.25">
      <c r="AO270" s="17"/>
    </row>
    <row r="271" spans="41:41" ht="14.25" customHeight="1" x14ac:dyDescent="0.25">
      <c r="AO271" s="17"/>
    </row>
    <row r="272" spans="41:41" ht="14.25" customHeight="1" x14ac:dyDescent="0.25">
      <c r="AO272" s="17"/>
    </row>
    <row r="273" spans="41:41" ht="14.25" customHeight="1" x14ac:dyDescent="0.25">
      <c r="AO273" s="17"/>
    </row>
    <row r="274" spans="41:41" ht="14.25" customHeight="1" x14ac:dyDescent="0.25">
      <c r="AO274" s="17"/>
    </row>
    <row r="275" spans="41:41" ht="14.25" customHeight="1" x14ac:dyDescent="0.25">
      <c r="AO275" s="17"/>
    </row>
    <row r="276" spans="41:41" ht="14.25" customHeight="1" x14ac:dyDescent="0.25">
      <c r="AO276" s="17"/>
    </row>
    <row r="277" spans="41:41" ht="14.25" customHeight="1" x14ac:dyDescent="0.25">
      <c r="AO277" s="17"/>
    </row>
    <row r="278" spans="41:41" ht="14.25" customHeight="1" x14ac:dyDescent="0.25">
      <c r="AO278" s="17"/>
    </row>
    <row r="279" spans="41:41" ht="14.25" customHeight="1" x14ac:dyDescent="0.25">
      <c r="AO279" s="17"/>
    </row>
    <row r="280" spans="41:41" ht="14.25" customHeight="1" x14ac:dyDescent="0.25">
      <c r="AO280" s="17"/>
    </row>
    <row r="281" spans="41:41" ht="14.25" customHeight="1" x14ac:dyDescent="0.25">
      <c r="AO281" s="17"/>
    </row>
    <row r="282" spans="41:41" ht="14.25" customHeight="1" x14ac:dyDescent="0.25">
      <c r="AO282" s="17"/>
    </row>
    <row r="283" spans="41:41" ht="14.25" customHeight="1" x14ac:dyDescent="0.25">
      <c r="AO283" s="17"/>
    </row>
    <row r="284" spans="41:41" ht="14.25" customHeight="1" x14ac:dyDescent="0.25">
      <c r="AO284" s="17"/>
    </row>
    <row r="285" spans="41:41" ht="14.25" customHeight="1" x14ac:dyDescent="0.25">
      <c r="AO285" s="17"/>
    </row>
    <row r="286" spans="41:41" ht="14.25" customHeight="1" x14ac:dyDescent="0.25">
      <c r="AO286" s="17"/>
    </row>
    <row r="287" spans="41:41" ht="14.25" customHeight="1" x14ac:dyDescent="0.25">
      <c r="AO287" s="17"/>
    </row>
    <row r="288" spans="41:41" ht="14.25" customHeight="1" x14ac:dyDescent="0.25">
      <c r="AO288" s="17"/>
    </row>
    <row r="289" spans="41:41" ht="14.25" customHeight="1" x14ac:dyDescent="0.25">
      <c r="AO289" s="17"/>
    </row>
    <row r="290" spans="41:41" ht="14.25" customHeight="1" x14ac:dyDescent="0.25">
      <c r="AO290" s="17"/>
    </row>
    <row r="291" spans="41:41" ht="14.25" customHeight="1" x14ac:dyDescent="0.25">
      <c r="AO291" s="17"/>
    </row>
    <row r="292" spans="41:41" ht="14.25" customHeight="1" x14ac:dyDescent="0.25">
      <c r="AO292" s="17"/>
    </row>
    <row r="293" spans="41:41" ht="14.25" customHeight="1" x14ac:dyDescent="0.25">
      <c r="AO293" s="17"/>
    </row>
    <row r="294" spans="41:41" ht="14.25" customHeight="1" x14ac:dyDescent="0.25">
      <c r="AO294" s="17"/>
    </row>
    <row r="295" spans="41:41" ht="14.25" customHeight="1" x14ac:dyDescent="0.25">
      <c r="AO295" s="17"/>
    </row>
    <row r="296" spans="41:41" ht="14.25" customHeight="1" x14ac:dyDescent="0.25">
      <c r="AO296" s="17"/>
    </row>
    <row r="297" spans="41:41" ht="14.25" customHeight="1" x14ac:dyDescent="0.25">
      <c r="AO297" s="17"/>
    </row>
    <row r="298" spans="41:41" ht="14.25" customHeight="1" x14ac:dyDescent="0.25">
      <c r="AO298" s="17"/>
    </row>
    <row r="299" spans="41:41" ht="14.25" customHeight="1" x14ac:dyDescent="0.25">
      <c r="AO299" s="17"/>
    </row>
    <row r="300" spans="41:41" ht="14.25" customHeight="1" x14ac:dyDescent="0.25">
      <c r="AO300" s="17"/>
    </row>
    <row r="301" spans="41:41" ht="14.25" customHeight="1" x14ac:dyDescent="0.25">
      <c r="AO301" s="17"/>
    </row>
    <row r="302" spans="41:41" ht="14.25" customHeight="1" x14ac:dyDescent="0.25">
      <c r="AO302" s="17"/>
    </row>
    <row r="303" spans="41:41" ht="14.25" customHeight="1" x14ac:dyDescent="0.25">
      <c r="AO303" s="17"/>
    </row>
    <row r="304" spans="41:41" ht="14.25" customHeight="1" x14ac:dyDescent="0.25">
      <c r="AO304" s="17"/>
    </row>
    <row r="305" spans="41:41" ht="14.25" customHeight="1" x14ac:dyDescent="0.25">
      <c r="AO305" s="17"/>
    </row>
    <row r="306" spans="41:41" ht="14.25" customHeight="1" x14ac:dyDescent="0.25">
      <c r="AO306" s="17"/>
    </row>
    <row r="307" spans="41:41" ht="14.25" customHeight="1" x14ac:dyDescent="0.25">
      <c r="AO307" s="17"/>
    </row>
    <row r="308" spans="41:41" ht="14.25" customHeight="1" x14ac:dyDescent="0.25">
      <c r="AO308" s="17"/>
    </row>
    <row r="309" spans="41:41" ht="14.25" customHeight="1" x14ac:dyDescent="0.25">
      <c r="AO309" s="17"/>
    </row>
    <row r="310" spans="41:41" ht="14.25" customHeight="1" x14ac:dyDescent="0.25">
      <c r="AO310" s="17"/>
    </row>
    <row r="311" spans="41:41" ht="14.25" customHeight="1" x14ac:dyDescent="0.25">
      <c r="AO311" s="17"/>
    </row>
    <row r="312" spans="41:41" ht="14.25" customHeight="1" x14ac:dyDescent="0.25">
      <c r="AO312" s="17"/>
    </row>
    <row r="313" spans="41:41" ht="14.25" customHeight="1" x14ac:dyDescent="0.25">
      <c r="AO313" s="17"/>
    </row>
    <row r="314" spans="41:41" ht="14.25" customHeight="1" x14ac:dyDescent="0.25">
      <c r="AO314" s="17"/>
    </row>
    <row r="315" spans="41:41" ht="14.25" customHeight="1" x14ac:dyDescent="0.25">
      <c r="AO315" s="17"/>
    </row>
    <row r="316" spans="41:41" ht="14.25" customHeight="1" x14ac:dyDescent="0.25">
      <c r="AO316" s="17"/>
    </row>
    <row r="317" spans="41:41" ht="14.25" customHeight="1" x14ac:dyDescent="0.25">
      <c r="AO317" s="17"/>
    </row>
    <row r="318" spans="41:41" ht="14.25" customHeight="1" x14ac:dyDescent="0.25">
      <c r="AO318" s="17"/>
    </row>
    <row r="319" spans="41:41" ht="14.25" customHeight="1" x14ac:dyDescent="0.25">
      <c r="AO319" s="17"/>
    </row>
    <row r="320" spans="41:41" ht="14.25" customHeight="1" x14ac:dyDescent="0.25">
      <c r="AO320" s="17"/>
    </row>
    <row r="321" spans="41:41" ht="14.25" customHeight="1" x14ac:dyDescent="0.25">
      <c r="AO321" s="17"/>
    </row>
    <row r="322" spans="41:41" ht="14.25" customHeight="1" x14ac:dyDescent="0.25">
      <c r="AO322" s="17"/>
    </row>
    <row r="323" spans="41:41" ht="14.25" customHeight="1" x14ac:dyDescent="0.25">
      <c r="AO323" s="17"/>
    </row>
    <row r="324" spans="41:41" ht="14.25" customHeight="1" x14ac:dyDescent="0.25">
      <c r="AO324" s="17"/>
    </row>
    <row r="325" spans="41:41" ht="14.25" customHeight="1" x14ac:dyDescent="0.25">
      <c r="AO325" s="17"/>
    </row>
    <row r="326" spans="41:41" ht="14.25" customHeight="1" x14ac:dyDescent="0.25">
      <c r="AO326" s="17"/>
    </row>
    <row r="327" spans="41:41" ht="14.25" customHeight="1" x14ac:dyDescent="0.25">
      <c r="AO327" s="17"/>
    </row>
    <row r="328" spans="41:41" ht="14.25" customHeight="1" x14ac:dyDescent="0.25">
      <c r="AO328" s="17"/>
    </row>
    <row r="329" spans="41:41" ht="14.25" customHeight="1" x14ac:dyDescent="0.25">
      <c r="AO329" s="17"/>
    </row>
    <row r="330" spans="41:41" ht="14.25" customHeight="1" x14ac:dyDescent="0.25">
      <c r="AO330" s="17"/>
    </row>
    <row r="331" spans="41:41" ht="14.25" customHeight="1" x14ac:dyDescent="0.25">
      <c r="AO331" s="17"/>
    </row>
    <row r="332" spans="41:41" ht="14.25" customHeight="1" x14ac:dyDescent="0.25">
      <c r="AO332" s="17"/>
    </row>
    <row r="333" spans="41:41" ht="14.25" customHeight="1" x14ac:dyDescent="0.25">
      <c r="AO333" s="17"/>
    </row>
    <row r="334" spans="41:41" ht="14.25" customHeight="1" x14ac:dyDescent="0.25">
      <c r="AO334" s="17"/>
    </row>
    <row r="335" spans="41:41" ht="14.25" customHeight="1" x14ac:dyDescent="0.25">
      <c r="AO335" s="17"/>
    </row>
    <row r="336" spans="41:41" ht="14.25" customHeight="1" x14ac:dyDescent="0.25">
      <c r="AO336" s="17"/>
    </row>
    <row r="337" spans="41:41" ht="14.25" customHeight="1" x14ac:dyDescent="0.25">
      <c r="AO337" s="17"/>
    </row>
    <row r="338" spans="41:41" ht="14.25" customHeight="1" x14ac:dyDescent="0.25">
      <c r="AO338" s="17"/>
    </row>
    <row r="339" spans="41:41" ht="14.25" customHeight="1" x14ac:dyDescent="0.25">
      <c r="AO339" s="17"/>
    </row>
    <row r="340" spans="41:41" ht="14.25" customHeight="1" x14ac:dyDescent="0.25">
      <c r="AO340" s="17"/>
    </row>
    <row r="341" spans="41:41" ht="14.25" customHeight="1" x14ac:dyDescent="0.25">
      <c r="AO341" s="17"/>
    </row>
    <row r="342" spans="41:41" ht="14.25" customHeight="1" x14ac:dyDescent="0.25">
      <c r="AO342" s="17"/>
    </row>
    <row r="343" spans="41:41" ht="14.25" customHeight="1" x14ac:dyDescent="0.25">
      <c r="AO343" s="17"/>
    </row>
    <row r="344" spans="41:41" ht="14.25" customHeight="1" x14ac:dyDescent="0.25">
      <c r="AO344" s="17"/>
    </row>
    <row r="345" spans="41:41" ht="14.25" customHeight="1" x14ac:dyDescent="0.25">
      <c r="AO345" s="17"/>
    </row>
    <row r="346" spans="41:41" ht="14.25" customHeight="1" x14ac:dyDescent="0.25">
      <c r="AO346" s="17"/>
    </row>
    <row r="347" spans="41:41" ht="14.25" customHeight="1" x14ac:dyDescent="0.25">
      <c r="AO347" s="17"/>
    </row>
    <row r="348" spans="41:41" ht="14.25" customHeight="1" x14ac:dyDescent="0.25">
      <c r="AO348" s="17"/>
    </row>
    <row r="349" spans="41:41" ht="14.25" customHeight="1" x14ac:dyDescent="0.25">
      <c r="AO349" s="17"/>
    </row>
    <row r="350" spans="41:41" ht="14.25" customHeight="1" x14ac:dyDescent="0.25">
      <c r="AO350" s="17"/>
    </row>
    <row r="351" spans="41:41" ht="14.25" customHeight="1" x14ac:dyDescent="0.25">
      <c r="AO351" s="17"/>
    </row>
    <row r="352" spans="41:41" ht="14.25" customHeight="1" x14ac:dyDescent="0.25">
      <c r="AO352" s="17"/>
    </row>
    <row r="353" spans="41:41" ht="14.25" customHeight="1" x14ac:dyDescent="0.25">
      <c r="AO353" s="17"/>
    </row>
    <row r="354" spans="41:41" ht="14.25" customHeight="1" x14ac:dyDescent="0.25">
      <c r="AO354" s="17"/>
    </row>
    <row r="355" spans="41:41" ht="14.25" customHeight="1" x14ac:dyDescent="0.25">
      <c r="AO355" s="17"/>
    </row>
    <row r="356" spans="41:41" ht="14.25" customHeight="1" x14ac:dyDescent="0.25">
      <c r="AO356" s="17"/>
    </row>
    <row r="357" spans="41:41" ht="14.25" customHeight="1" x14ac:dyDescent="0.25">
      <c r="AO357" s="17"/>
    </row>
    <row r="358" spans="41:41" ht="14.25" customHeight="1" x14ac:dyDescent="0.25">
      <c r="AO358" s="17"/>
    </row>
    <row r="359" spans="41:41" ht="14.25" customHeight="1" x14ac:dyDescent="0.25">
      <c r="AO359" s="17"/>
    </row>
    <row r="360" spans="41:41" ht="14.25" customHeight="1" x14ac:dyDescent="0.25">
      <c r="AO360" s="17"/>
    </row>
    <row r="361" spans="41:41" ht="14.25" customHeight="1" x14ac:dyDescent="0.25">
      <c r="AO361" s="17"/>
    </row>
    <row r="362" spans="41:41" ht="14.25" customHeight="1" x14ac:dyDescent="0.25">
      <c r="AO362" s="17"/>
    </row>
    <row r="363" spans="41:41" ht="14.25" customHeight="1" x14ac:dyDescent="0.25">
      <c r="AO363" s="17"/>
    </row>
    <row r="364" spans="41:41" ht="14.25" customHeight="1" x14ac:dyDescent="0.25">
      <c r="AO364" s="17"/>
    </row>
    <row r="365" spans="41:41" ht="14.25" customHeight="1" x14ac:dyDescent="0.25">
      <c r="AO365" s="17"/>
    </row>
    <row r="366" spans="41:41" ht="14.25" customHeight="1" x14ac:dyDescent="0.25">
      <c r="AO366" s="17"/>
    </row>
    <row r="367" spans="41:41" ht="14.25" customHeight="1" x14ac:dyDescent="0.25">
      <c r="AO367" s="17"/>
    </row>
    <row r="368" spans="41:41" ht="14.25" customHeight="1" x14ac:dyDescent="0.25">
      <c r="AO368" s="17"/>
    </row>
    <row r="369" spans="41:41" ht="14.25" customHeight="1" x14ac:dyDescent="0.25">
      <c r="AO369" s="17"/>
    </row>
    <row r="370" spans="41:41" ht="14.25" customHeight="1" x14ac:dyDescent="0.25">
      <c r="AO370" s="17"/>
    </row>
    <row r="371" spans="41:41" ht="14.25" customHeight="1" x14ac:dyDescent="0.25">
      <c r="AO371" s="17"/>
    </row>
    <row r="372" spans="41:41" ht="14.25" customHeight="1" x14ac:dyDescent="0.25">
      <c r="AO372" s="17"/>
    </row>
    <row r="373" spans="41:41" ht="14.25" customHeight="1" x14ac:dyDescent="0.25">
      <c r="AO373" s="17"/>
    </row>
    <row r="374" spans="41:41" ht="14.25" customHeight="1" x14ac:dyDescent="0.25">
      <c r="AO374" s="17"/>
    </row>
    <row r="375" spans="41:41" ht="14.25" customHeight="1" x14ac:dyDescent="0.25">
      <c r="AO375" s="17"/>
    </row>
    <row r="376" spans="41:41" ht="14.25" customHeight="1" x14ac:dyDescent="0.25">
      <c r="AO376" s="17"/>
    </row>
    <row r="377" spans="41:41" ht="14.25" customHeight="1" x14ac:dyDescent="0.25">
      <c r="AO377" s="17"/>
    </row>
    <row r="378" spans="41:41" ht="14.25" customHeight="1" x14ac:dyDescent="0.25">
      <c r="AO378" s="17"/>
    </row>
    <row r="379" spans="41:41" ht="14.25" customHeight="1" x14ac:dyDescent="0.25">
      <c r="AO379" s="17"/>
    </row>
    <row r="380" spans="41:41" ht="14.25" customHeight="1" x14ac:dyDescent="0.25">
      <c r="AO380" s="17"/>
    </row>
    <row r="381" spans="41:41" ht="14.25" customHeight="1" x14ac:dyDescent="0.25">
      <c r="AO381" s="17"/>
    </row>
    <row r="382" spans="41:41" ht="14.25" customHeight="1" x14ac:dyDescent="0.25">
      <c r="AO382" s="17"/>
    </row>
    <row r="383" spans="41:41" ht="14.25" customHeight="1" x14ac:dyDescent="0.25">
      <c r="AO383" s="17"/>
    </row>
    <row r="384" spans="41:41" ht="14.25" customHeight="1" x14ac:dyDescent="0.25">
      <c r="AO384" s="17"/>
    </row>
    <row r="385" spans="41:41" ht="14.25" customHeight="1" x14ac:dyDescent="0.25">
      <c r="AO385" s="17"/>
    </row>
    <row r="386" spans="41:41" ht="14.25" customHeight="1" x14ac:dyDescent="0.25">
      <c r="AO386" s="17"/>
    </row>
    <row r="387" spans="41:41" ht="14.25" customHeight="1" x14ac:dyDescent="0.25">
      <c r="AO387" s="17"/>
    </row>
    <row r="388" spans="41:41" ht="14.25" customHeight="1" x14ac:dyDescent="0.25">
      <c r="AO388" s="17"/>
    </row>
    <row r="389" spans="41:41" ht="14.25" customHeight="1" x14ac:dyDescent="0.25">
      <c r="AO389" s="17"/>
    </row>
    <row r="390" spans="41:41" ht="14.25" customHeight="1" x14ac:dyDescent="0.25">
      <c r="AO390" s="17"/>
    </row>
    <row r="391" spans="41:41" ht="14.25" customHeight="1" x14ac:dyDescent="0.25">
      <c r="AO391" s="17"/>
    </row>
    <row r="392" spans="41:41" ht="14.25" customHeight="1" x14ac:dyDescent="0.25">
      <c r="AO392" s="17"/>
    </row>
    <row r="393" spans="41:41" ht="14.25" customHeight="1" x14ac:dyDescent="0.25">
      <c r="AO393" s="17"/>
    </row>
    <row r="394" spans="41:41" ht="14.25" customHeight="1" x14ac:dyDescent="0.25">
      <c r="AO394" s="17"/>
    </row>
    <row r="395" spans="41:41" ht="14.25" customHeight="1" x14ac:dyDescent="0.25">
      <c r="AO395" s="17"/>
    </row>
    <row r="396" spans="41:41" ht="14.25" customHeight="1" x14ac:dyDescent="0.25">
      <c r="AO396" s="17"/>
    </row>
    <row r="397" spans="41:41" ht="14.25" customHeight="1" x14ac:dyDescent="0.25">
      <c r="AO397" s="17"/>
    </row>
    <row r="398" spans="41:41" ht="14.25" customHeight="1" x14ac:dyDescent="0.25">
      <c r="AO398" s="17"/>
    </row>
    <row r="399" spans="41:41" ht="14.25" customHeight="1" x14ac:dyDescent="0.25">
      <c r="AO399" s="17"/>
    </row>
    <row r="400" spans="41:41" ht="14.25" customHeight="1" x14ac:dyDescent="0.25">
      <c r="AO400" s="17"/>
    </row>
    <row r="401" spans="41:41" ht="14.25" customHeight="1" x14ac:dyDescent="0.25">
      <c r="AO401" s="17"/>
    </row>
    <row r="402" spans="41:41" ht="14.25" customHeight="1" x14ac:dyDescent="0.25">
      <c r="AO402" s="17"/>
    </row>
    <row r="403" spans="41:41" ht="14.25" customHeight="1" x14ac:dyDescent="0.25">
      <c r="AO403" s="17"/>
    </row>
    <row r="404" spans="41:41" ht="14.25" customHeight="1" x14ac:dyDescent="0.25">
      <c r="AO404" s="17"/>
    </row>
    <row r="405" spans="41:41" ht="14.25" customHeight="1" x14ac:dyDescent="0.25">
      <c r="AO405" s="17"/>
    </row>
    <row r="406" spans="41:41" ht="14.25" customHeight="1" x14ac:dyDescent="0.25">
      <c r="AO406" s="17"/>
    </row>
    <row r="407" spans="41:41" ht="14.25" customHeight="1" x14ac:dyDescent="0.25">
      <c r="AO407" s="17"/>
    </row>
    <row r="408" spans="41:41" ht="14.25" customHeight="1" x14ac:dyDescent="0.25">
      <c r="AO408" s="17"/>
    </row>
    <row r="409" spans="41:41" ht="14.25" customHeight="1" x14ac:dyDescent="0.25">
      <c r="AO409" s="17"/>
    </row>
    <row r="410" spans="41:41" ht="14.25" customHeight="1" x14ac:dyDescent="0.25">
      <c r="AO410" s="17"/>
    </row>
    <row r="411" spans="41:41" ht="14.25" customHeight="1" x14ac:dyDescent="0.25">
      <c r="AO411" s="17"/>
    </row>
    <row r="412" spans="41:41" ht="14.25" customHeight="1" x14ac:dyDescent="0.25">
      <c r="AO412" s="17"/>
    </row>
    <row r="413" spans="41:41" ht="14.25" customHeight="1" x14ac:dyDescent="0.25">
      <c r="AO413" s="17"/>
    </row>
    <row r="414" spans="41:41" ht="14.25" customHeight="1" x14ac:dyDescent="0.25">
      <c r="AO414" s="17"/>
    </row>
    <row r="415" spans="41:41" ht="14.25" customHeight="1" x14ac:dyDescent="0.25">
      <c r="AO415" s="17"/>
    </row>
    <row r="416" spans="41:41" ht="14.25" customHeight="1" x14ac:dyDescent="0.25">
      <c r="AO416" s="17"/>
    </row>
    <row r="417" spans="41:41" ht="14.25" customHeight="1" x14ac:dyDescent="0.25">
      <c r="AO417" s="17"/>
    </row>
    <row r="418" spans="41:41" ht="14.25" customHeight="1" x14ac:dyDescent="0.25">
      <c r="AO418" s="17"/>
    </row>
    <row r="419" spans="41:41" ht="14.25" customHeight="1" x14ac:dyDescent="0.25">
      <c r="AO419" s="17"/>
    </row>
    <row r="420" spans="41:41" ht="14.25" customHeight="1" x14ac:dyDescent="0.25">
      <c r="AO420" s="17"/>
    </row>
    <row r="421" spans="41:41" ht="14.25" customHeight="1" x14ac:dyDescent="0.25">
      <c r="AO421" s="17"/>
    </row>
    <row r="422" spans="41:41" ht="14.25" customHeight="1" x14ac:dyDescent="0.25">
      <c r="AO422" s="17"/>
    </row>
    <row r="423" spans="41:41" ht="14.25" customHeight="1" x14ac:dyDescent="0.25">
      <c r="AO423" s="17"/>
    </row>
    <row r="424" spans="41:41" ht="14.25" customHeight="1" x14ac:dyDescent="0.25">
      <c r="AO424" s="17"/>
    </row>
    <row r="425" spans="41:41" ht="14.25" customHeight="1" x14ac:dyDescent="0.25">
      <c r="AO425" s="17"/>
    </row>
    <row r="426" spans="41:41" ht="14.25" customHeight="1" x14ac:dyDescent="0.25">
      <c r="AO426" s="17"/>
    </row>
    <row r="427" spans="41:41" ht="14.25" customHeight="1" x14ac:dyDescent="0.25">
      <c r="AO427" s="17"/>
    </row>
    <row r="428" spans="41:41" ht="14.25" customHeight="1" x14ac:dyDescent="0.25">
      <c r="AO428" s="17"/>
    </row>
    <row r="429" spans="41:41" ht="14.25" customHeight="1" x14ac:dyDescent="0.25">
      <c r="AO429" s="17"/>
    </row>
    <row r="430" spans="41:41" ht="14.25" customHeight="1" x14ac:dyDescent="0.25">
      <c r="AO430" s="17"/>
    </row>
    <row r="431" spans="41:41" ht="14.25" customHeight="1" x14ac:dyDescent="0.25">
      <c r="AO431" s="17"/>
    </row>
    <row r="432" spans="41:41" ht="14.25" customHeight="1" x14ac:dyDescent="0.25">
      <c r="AO432" s="17"/>
    </row>
    <row r="433" spans="41:41" ht="14.25" customHeight="1" x14ac:dyDescent="0.25">
      <c r="AO433" s="17"/>
    </row>
    <row r="434" spans="41:41" ht="14.25" customHeight="1" x14ac:dyDescent="0.25">
      <c r="AO434" s="17"/>
    </row>
    <row r="435" spans="41:41" ht="14.25" customHeight="1" x14ac:dyDescent="0.25">
      <c r="AO435" s="17"/>
    </row>
    <row r="436" spans="41:41" ht="14.25" customHeight="1" x14ac:dyDescent="0.25">
      <c r="AO436" s="17"/>
    </row>
    <row r="437" spans="41:41" ht="14.25" customHeight="1" x14ac:dyDescent="0.25">
      <c r="AO437" s="17"/>
    </row>
    <row r="438" spans="41:41" ht="14.25" customHeight="1" x14ac:dyDescent="0.25">
      <c r="AO438" s="17"/>
    </row>
    <row r="439" spans="41:41" ht="14.25" customHeight="1" x14ac:dyDescent="0.25">
      <c r="AO439" s="17"/>
    </row>
    <row r="440" spans="41:41" ht="14.25" customHeight="1" x14ac:dyDescent="0.25">
      <c r="AO440" s="17"/>
    </row>
    <row r="441" spans="41:41" ht="14.25" customHeight="1" x14ac:dyDescent="0.25">
      <c r="AO441" s="17"/>
    </row>
    <row r="442" spans="41:41" ht="14.25" customHeight="1" x14ac:dyDescent="0.25">
      <c r="AO442" s="17"/>
    </row>
    <row r="443" spans="41:41" ht="14.25" customHeight="1" x14ac:dyDescent="0.25">
      <c r="AO443" s="17"/>
    </row>
    <row r="444" spans="41:41" ht="14.25" customHeight="1" x14ac:dyDescent="0.25">
      <c r="AO444" s="17"/>
    </row>
    <row r="445" spans="41:41" ht="14.25" customHeight="1" x14ac:dyDescent="0.25">
      <c r="AO445" s="17"/>
    </row>
    <row r="446" spans="41:41" ht="14.25" customHeight="1" x14ac:dyDescent="0.25">
      <c r="AO446" s="17"/>
    </row>
    <row r="447" spans="41:41" ht="14.25" customHeight="1" x14ac:dyDescent="0.25">
      <c r="AO447" s="17"/>
    </row>
    <row r="448" spans="41:41" ht="14.25" customHeight="1" x14ac:dyDescent="0.25">
      <c r="AO448" s="17"/>
    </row>
    <row r="449" spans="41:41" ht="14.25" customHeight="1" x14ac:dyDescent="0.25">
      <c r="AO449" s="17"/>
    </row>
    <row r="450" spans="41:41" ht="14.25" customHeight="1" x14ac:dyDescent="0.25">
      <c r="AO450" s="17"/>
    </row>
    <row r="451" spans="41:41" ht="14.25" customHeight="1" x14ac:dyDescent="0.25">
      <c r="AO451" s="17"/>
    </row>
    <row r="452" spans="41:41" ht="14.25" customHeight="1" x14ac:dyDescent="0.25">
      <c r="AO452" s="17"/>
    </row>
    <row r="453" spans="41:41" ht="14.25" customHeight="1" x14ac:dyDescent="0.25">
      <c r="AO453" s="17"/>
    </row>
    <row r="454" spans="41:41" ht="14.25" customHeight="1" x14ac:dyDescent="0.25">
      <c r="AO454" s="17"/>
    </row>
    <row r="455" spans="41:41" ht="14.25" customHeight="1" x14ac:dyDescent="0.25">
      <c r="AO455" s="17"/>
    </row>
    <row r="456" spans="41:41" ht="14.25" customHeight="1" x14ac:dyDescent="0.25">
      <c r="AO456" s="17"/>
    </row>
    <row r="457" spans="41:41" ht="14.25" customHeight="1" x14ac:dyDescent="0.25">
      <c r="AO457" s="17"/>
    </row>
    <row r="458" spans="41:41" ht="14.25" customHeight="1" x14ac:dyDescent="0.25">
      <c r="AO458" s="17"/>
    </row>
    <row r="459" spans="41:41" ht="14.25" customHeight="1" x14ac:dyDescent="0.25">
      <c r="AO459" s="17"/>
    </row>
    <row r="460" spans="41:41" ht="14.25" customHeight="1" x14ac:dyDescent="0.25">
      <c r="AO460" s="17"/>
    </row>
    <row r="461" spans="41:41" ht="14.25" customHeight="1" x14ac:dyDescent="0.25">
      <c r="AO461" s="17"/>
    </row>
    <row r="462" spans="41:41" ht="14.25" customHeight="1" x14ac:dyDescent="0.25">
      <c r="AO462" s="17"/>
    </row>
    <row r="463" spans="41:41" ht="14.25" customHeight="1" x14ac:dyDescent="0.25">
      <c r="AO463" s="17"/>
    </row>
    <row r="464" spans="41:41" ht="14.25" customHeight="1" x14ac:dyDescent="0.25">
      <c r="AO464" s="17"/>
    </row>
    <row r="465" spans="41:41" ht="14.25" customHeight="1" x14ac:dyDescent="0.25">
      <c r="AO465" s="17"/>
    </row>
    <row r="466" spans="41:41" ht="14.25" customHeight="1" x14ac:dyDescent="0.25">
      <c r="AO466" s="17"/>
    </row>
    <row r="467" spans="41:41" ht="14.25" customHeight="1" x14ac:dyDescent="0.25">
      <c r="AO467" s="17"/>
    </row>
    <row r="468" spans="41:41" ht="14.25" customHeight="1" x14ac:dyDescent="0.25">
      <c r="AO468" s="17"/>
    </row>
    <row r="469" spans="41:41" ht="14.25" customHeight="1" x14ac:dyDescent="0.25">
      <c r="AO469" s="17"/>
    </row>
    <row r="470" spans="41:41" ht="14.25" customHeight="1" x14ac:dyDescent="0.25">
      <c r="AO470" s="17"/>
    </row>
    <row r="471" spans="41:41" ht="14.25" customHeight="1" x14ac:dyDescent="0.25">
      <c r="AO471" s="17"/>
    </row>
    <row r="472" spans="41:41" ht="14.25" customHeight="1" x14ac:dyDescent="0.25">
      <c r="AO472" s="17"/>
    </row>
    <row r="473" spans="41:41" ht="14.25" customHeight="1" x14ac:dyDescent="0.25">
      <c r="AO473" s="17"/>
    </row>
    <row r="474" spans="41:41" ht="14.25" customHeight="1" x14ac:dyDescent="0.25">
      <c r="AO474" s="17"/>
    </row>
    <row r="475" spans="41:41" ht="14.25" customHeight="1" x14ac:dyDescent="0.25">
      <c r="AO475" s="17"/>
    </row>
    <row r="476" spans="41:41" ht="14.25" customHeight="1" x14ac:dyDescent="0.25">
      <c r="AO476" s="17"/>
    </row>
    <row r="477" spans="41:41" ht="14.25" customHeight="1" x14ac:dyDescent="0.25">
      <c r="AO477" s="17"/>
    </row>
    <row r="478" spans="41:41" ht="14.25" customHeight="1" x14ac:dyDescent="0.25">
      <c r="AO478" s="17"/>
    </row>
    <row r="479" spans="41:41" ht="14.25" customHeight="1" x14ac:dyDescent="0.25">
      <c r="AO479" s="17"/>
    </row>
    <row r="480" spans="41:41" ht="14.25" customHeight="1" x14ac:dyDescent="0.25">
      <c r="AO480" s="17"/>
    </row>
    <row r="481" spans="41:41" ht="14.25" customHeight="1" x14ac:dyDescent="0.25">
      <c r="AO481" s="17"/>
    </row>
    <row r="482" spans="41:41" ht="14.25" customHeight="1" x14ac:dyDescent="0.25">
      <c r="AO482" s="17"/>
    </row>
    <row r="483" spans="41:41" ht="14.25" customHeight="1" x14ac:dyDescent="0.25">
      <c r="AO483" s="17"/>
    </row>
    <row r="484" spans="41:41" ht="14.25" customHeight="1" x14ac:dyDescent="0.25">
      <c r="AO484" s="17"/>
    </row>
    <row r="485" spans="41:41" ht="14.25" customHeight="1" x14ac:dyDescent="0.25">
      <c r="AO485" s="17"/>
    </row>
    <row r="486" spans="41:41" ht="14.25" customHeight="1" x14ac:dyDescent="0.25">
      <c r="AO486" s="17"/>
    </row>
    <row r="487" spans="41:41" ht="14.25" customHeight="1" x14ac:dyDescent="0.25">
      <c r="AO487" s="17"/>
    </row>
    <row r="488" spans="41:41" ht="14.25" customHeight="1" x14ac:dyDescent="0.25">
      <c r="AO488" s="17"/>
    </row>
    <row r="489" spans="41:41" ht="14.25" customHeight="1" x14ac:dyDescent="0.25">
      <c r="AO489" s="17"/>
    </row>
    <row r="490" spans="41:41" ht="14.25" customHeight="1" x14ac:dyDescent="0.25">
      <c r="AO490" s="17"/>
    </row>
    <row r="491" spans="41:41" ht="14.25" customHeight="1" x14ac:dyDescent="0.25">
      <c r="AO491" s="17"/>
    </row>
    <row r="492" spans="41:41" ht="14.25" customHeight="1" x14ac:dyDescent="0.25">
      <c r="AO492" s="17"/>
    </row>
    <row r="493" spans="41:41" ht="14.25" customHeight="1" x14ac:dyDescent="0.25">
      <c r="AO493" s="17"/>
    </row>
    <row r="494" spans="41:41" ht="14.25" customHeight="1" x14ac:dyDescent="0.25">
      <c r="AO494" s="17"/>
    </row>
    <row r="495" spans="41:41" ht="14.25" customHeight="1" x14ac:dyDescent="0.25">
      <c r="AO495" s="17"/>
    </row>
    <row r="496" spans="41:41" ht="14.25" customHeight="1" x14ac:dyDescent="0.25">
      <c r="AO496" s="17"/>
    </row>
    <row r="497" spans="41:41" ht="14.25" customHeight="1" x14ac:dyDescent="0.25">
      <c r="AO497" s="17"/>
    </row>
    <row r="498" spans="41:41" ht="14.25" customHeight="1" x14ac:dyDescent="0.25">
      <c r="AO498" s="17"/>
    </row>
    <row r="499" spans="41:41" ht="14.25" customHeight="1" x14ac:dyDescent="0.25">
      <c r="AO499" s="17"/>
    </row>
    <row r="500" spans="41:41" ht="14.25" customHeight="1" x14ac:dyDescent="0.25">
      <c r="AO500" s="17"/>
    </row>
    <row r="501" spans="41:41" ht="14.25" customHeight="1" x14ac:dyDescent="0.25">
      <c r="AO501" s="17"/>
    </row>
    <row r="502" spans="41:41" ht="14.25" customHeight="1" x14ac:dyDescent="0.25">
      <c r="AO502" s="17"/>
    </row>
    <row r="503" spans="41:41" ht="14.25" customHeight="1" x14ac:dyDescent="0.25">
      <c r="AO503" s="17"/>
    </row>
    <row r="504" spans="41:41" ht="14.25" customHeight="1" x14ac:dyDescent="0.25">
      <c r="AO504" s="17"/>
    </row>
    <row r="505" spans="41:41" ht="14.25" customHeight="1" x14ac:dyDescent="0.25">
      <c r="AO505" s="17"/>
    </row>
    <row r="506" spans="41:41" ht="14.25" customHeight="1" x14ac:dyDescent="0.25">
      <c r="AO506" s="17"/>
    </row>
    <row r="507" spans="41:41" ht="14.25" customHeight="1" x14ac:dyDescent="0.25">
      <c r="AO507" s="17"/>
    </row>
    <row r="508" spans="41:41" ht="14.25" customHeight="1" x14ac:dyDescent="0.25">
      <c r="AO508" s="17"/>
    </row>
    <row r="509" spans="41:41" ht="14.25" customHeight="1" x14ac:dyDescent="0.25">
      <c r="AO509" s="17"/>
    </row>
    <row r="510" spans="41:41" ht="14.25" customHeight="1" x14ac:dyDescent="0.25">
      <c r="AO510" s="17"/>
    </row>
    <row r="511" spans="41:41" ht="14.25" customHeight="1" x14ac:dyDescent="0.25">
      <c r="AO511" s="17"/>
    </row>
    <row r="512" spans="41:41" ht="14.25" customHeight="1" x14ac:dyDescent="0.25">
      <c r="AO512" s="17"/>
    </row>
    <row r="513" spans="41:41" ht="14.25" customHeight="1" x14ac:dyDescent="0.25">
      <c r="AO513" s="17"/>
    </row>
    <row r="514" spans="41:41" ht="14.25" customHeight="1" x14ac:dyDescent="0.25">
      <c r="AO514" s="17"/>
    </row>
    <row r="515" spans="41:41" ht="14.25" customHeight="1" x14ac:dyDescent="0.25">
      <c r="AO515" s="17"/>
    </row>
    <row r="516" spans="41:41" ht="14.25" customHeight="1" x14ac:dyDescent="0.25">
      <c r="AO516" s="17"/>
    </row>
    <row r="517" spans="41:41" ht="14.25" customHeight="1" x14ac:dyDescent="0.25">
      <c r="AO517" s="17"/>
    </row>
    <row r="518" spans="41:41" ht="14.25" customHeight="1" x14ac:dyDescent="0.25">
      <c r="AO518" s="17"/>
    </row>
    <row r="519" spans="41:41" ht="14.25" customHeight="1" x14ac:dyDescent="0.25">
      <c r="AO519" s="17"/>
    </row>
    <row r="520" spans="41:41" ht="14.25" customHeight="1" x14ac:dyDescent="0.25">
      <c r="AO520" s="17"/>
    </row>
    <row r="521" spans="41:41" ht="14.25" customHeight="1" x14ac:dyDescent="0.25">
      <c r="AO521" s="17"/>
    </row>
    <row r="522" spans="41:41" ht="14.25" customHeight="1" x14ac:dyDescent="0.25">
      <c r="AO522" s="17"/>
    </row>
    <row r="523" spans="41:41" ht="14.25" customHeight="1" x14ac:dyDescent="0.25">
      <c r="AO523" s="17"/>
    </row>
    <row r="524" spans="41:41" ht="14.25" customHeight="1" x14ac:dyDescent="0.25">
      <c r="AO524" s="17"/>
    </row>
    <row r="525" spans="41:41" ht="14.25" customHeight="1" x14ac:dyDescent="0.25">
      <c r="AO525" s="17"/>
    </row>
    <row r="526" spans="41:41" ht="14.25" customHeight="1" x14ac:dyDescent="0.25">
      <c r="AO526" s="17"/>
    </row>
    <row r="527" spans="41:41" ht="14.25" customHeight="1" x14ac:dyDescent="0.25">
      <c r="AO527" s="17"/>
    </row>
    <row r="528" spans="41:41" ht="14.25" customHeight="1" x14ac:dyDescent="0.25">
      <c r="AO528" s="17"/>
    </row>
    <row r="529" spans="41:41" ht="14.25" customHeight="1" x14ac:dyDescent="0.25">
      <c r="AO529" s="17"/>
    </row>
    <row r="530" spans="41:41" ht="14.25" customHeight="1" x14ac:dyDescent="0.25">
      <c r="AO530" s="17"/>
    </row>
    <row r="531" spans="41:41" ht="14.25" customHeight="1" x14ac:dyDescent="0.25">
      <c r="AO531" s="17"/>
    </row>
    <row r="532" spans="41:41" ht="14.25" customHeight="1" x14ac:dyDescent="0.25">
      <c r="AO532" s="17"/>
    </row>
    <row r="533" spans="41:41" ht="14.25" customHeight="1" x14ac:dyDescent="0.25">
      <c r="AO533" s="17"/>
    </row>
    <row r="534" spans="41:41" ht="14.25" customHeight="1" x14ac:dyDescent="0.25">
      <c r="AO534" s="17"/>
    </row>
    <row r="535" spans="41:41" ht="14.25" customHeight="1" x14ac:dyDescent="0.25">
      <c r="AO535" s="17"/>
    </row>
    <row r="536" spans="41:41" ht="14.25" customHeight="1" x14ac:dyDescent="0.25">
      <c r="AO536" s="17"/>
    </row>
    <row r="537" spans="41:41" ht="14.25" customHeight="1" x14ac:dyDescent="0.25">
      <c r="AO537" s="17"/>
    </row>
    <row r="538" spans="41:41" ht="14.25" customHeight="1" x14ac:dyDescent="0.25">
      <c r="AO538" s="17"/>
    </row>
    <row r="539" spans="41:41" ht="14.25" customHeight="1" x14ac:dyDescent="0.25">
      <c r="AO539" s="17"/>
    </row>
    <row r="540" spans="41:41" ht="14.25" customHeight="1" x14ac:dyDescent="0.25">
      <c r="AO540" s="17"/>
    </row>
    <row r="541" spans="41:41" ht="14.25" customHeight="1" x14ac:dyDescent="0.25">
      <c r="AO541" s="17"/>
    </row>
    <row r="542" spans="41:41" ht="14.25" customHeight="1" x14ac:dyDescent="0.25">
      <c r="AO542" s="17"/>
    </row>
    <row r="543" spans="41:41" ht="14.25" customHeight="1" x14ac:dyDescent="0.25">
      <c r="AO543" s="17"/>
    </row>
    <row r="544" spans="41:41" ht="14.25" customHeight="1" x14ac:dyDescent="0.25">
      <c r="AO544" s="17"/>
    </row>
    <row r="545" spans="41:41" ht="14.25" customHeight="1" x14ac:dyDescent="0.25">
      <c r="AO545" s="17"/>
    </row>
    <row r="546" spans="41:41" ht="14.25" customHeight="1" x14ac:dyDescent="0.25">
      <c r="AO546" s="17"/>
    </row>
    <row r="547" spans="41:41" ht="14.25" customHeight="1" x14ac:dyDescent="0.25">
      <c r="AO547" s="17"/>
    </row>
    <row r="548" spans="41:41" ht="14.25" customHeight="1" x14ac:dyDescent="0.25">
      <c r="AO548" s="17"/>
    </row>
    <row r="549" spans="41:41" ht="14.25" customHeight="1" x14ac:dyDescent="0.25">
      <c r="AO549" s="17"/>
    </row>
    <row r="550" spans="41:41" ht="14.25" customHeight="1" x14ac:dyDescent="0.25">
      <c r="AO550" s="17"/>
    </row>
    <row r="551" spans="41:41" ht="14.25" customHeight="1" x14ac:dyDescent="0.25">
      <c r="AO551" s="17"/>
    </row>
    <row r="552" spans="41:41" ht="14.25" customHeight="1" x14ac:dyDescent="0.25">
      <c r="AO552" s="17"/>
    </row>
    <row r="553" spans="41:41" ht="14.25" customHeight="1" x14ac:dyDescent="0.25">
      <c r="AO553" s="17"/>
    </row>
    <row r="554" spans="41:41" ht="14.25" customHeight="1" x14ac:dyDescent="0.25">
      <c r="AO554" s="17"/>
    </row>
    <row r="555" spans="41:41" ht="14.25" customHeight="1" x14ac:dyDescent="0.25">
      <c r="AO555" s="17"/>
    </row>
    <row r="556" spans="41:41" ht="14.25" customHeight="1" x14ac:dyDescent="0.25">
      <c r="AO556" s="17"/>
    </row>
    <row r="557" spans="41:41" ht="14.25" customHeight="1" x14ac:dyDescent="0.25">
      <c r="AO557" s="17"/>
    </row>
    <row r="558" spans="41:41" ht="14.25" customHeight="1" x14ac:dyDescent="0.25">
      <c r="AO558" s="17"/>
    </row>
    <row r="559" spans="41:41" ht="14.25" customHeight="1" x14ac:dyDescent="0.25">
      <c r="AO559" s="17"/>
    </row>
    <row r="560" spans="41:41" ht="14.25" customHeight="1" x14ac:dyDescent="0.25">
      <c r="AO560" s="17"/>
    </row>
    <row r="561" spans="41:41" ht="14.25" customHeight="1" x14ac:dyDescent="0.25">
      <c r="AO561" s="17"/>
    </row>
    <row r="562" spans="41:41" ht="14.25" customHeight="1" x14ac:dyDescent="0.25">
      <c r="AO562" s="17"/>
    </row>
    <row r="563" spans="41:41" ht="14.25" customHeight="1" x14ac:dyDescent="0.25">
      <c r="AO563" s="17"/>
    </row>
    <row r="564" spans="41:41" ht="14.25" customHeight="1" x14ac:dyDescent="0.25">
      <c r="AO564" s="17"/>
    </row>
    <row r="565" spans="41:41" ht="14.25" customHeight="1" x14ac:dyDescent="0.25">
      <c r="AO565" s="17"/>
    </row>
    <row r="566" spans="41:41" ht="14.25" customHeight="1" x14ac:dyDescent="0.25">
      <c r="AO566" s="17"/>
    </row>
    <row r="567" spans="41:41" ht="14.25" customHeight="1" x14ac:dyDescent="0.25">
      <c r="AO567" s="17"/>
    </row>
    <row r="568" spans="41:41" ht="14.25" customHeight="1" x14ac:dyDescent="0.25">
      <c r="AO568" s="17"/>
    </row>
    <row r="569" spans="41:41" ht="14.25" customHeight="1" x14ac:dyDescent="0.25">
      <c r="AO569" s="17"/>
    </row>
    <row r="570" spans="41:41" ht="14.25" customHeight="1" x14ac:dyDescent="0.25">
      <c r="AO570" s="17"/>
    </row>
    <row r="571" spans="41:41" ht="14.25" customHeight="1" x14ac:dyDescent="0.25">
      <c r="AO571" s="17"/>
    </row>
    <row r="572" spans="41:41" ht="14.25" customHeight="1" x14ac:dyDescent="0.25">
      <c r="AO572" s="17"/>
    </row>
    <row r="573" spans="41:41" ht="14.25" customHeight="1" x14ac:dyDescent="0.25">
      <c r="AO573" s="17"/>
    </row>
    <row r="574" spans="41:41" ht="14.25" customHeight="1" x14ac:dyDescent="0.25">
      <c r="AO574" s="17"/>
    </row>
    <row r="575" spans="41:41" ht="14.25" customHeight="1" x14ac:dyDescent="0.25">
      <c r="AO575" s="17"/>
    </row>
    <row r="576" spans="41:41" ht="14.25" customHeight="1" x14ac:dyDescent="0.25">
      <c r="AO576" s="17"/>
    </row>
    <row r="577" spans="41:41" ht="14.25" customHeight="1" x14ac:dyDescent="0.25">
      <c r="AO577" s="17"/>
    </row>
    <row r="578" spans="41:41" ht="14.25" customHeight="1" x14ac:dyDescent="0.25">
      <c r="AO578" s="17"/>
    </row>
    <row r="579" spans="41:41" ht="14.25" customHeight="1" x14ac:dyDescent="0.25">
      <c r="AO579" s="17"/>
    </row>
    <row r="580" spans="41:41" ht="14.25" customHeight="1" x14ac:dyDescent="0.25">
      <c r="AO580" s="17"/>
    </row>
    <row r="581" spans="41:41" ht="14.25" customHeight="1" x14ac:dyDescent="0.25">
      <c r="AO581" s="17"/>
    </row>
    <row r="582" spans="41:41" ht="14.25" customHeight="1" x14ac:dyDescent="0.25">
      <c r="AO582" s="17"/>
    </row>
    <row r="583" spans="41:41" ht="14.25" customHeight="1" x14ac:dyDescent="0.25">
      <c r="AO583" s="17"/>
    </row>
    <row r="584" spans="41:41" ht="14.25" customHeight="1" x14ac:dyDescent="0.25">
      <c r="AO584" s="17"/>
    </row>
    <row r="585" spans="41:41" ht="14.25" customHeight="1" x14ac:dyDescent="0.25">
      <c r="AO585" s="17"/>
    </row>
    <row r="586" spans="41:41" ht="14.25" customHeight="1" x14ac:dyDescent="0.25">
      <c r="AO586" s="17"/>
    </row>
    <row r="587" spans="41:41" ht="14.25" customHeight="1" x14ac:dyDescent="0.25">
      <c r="AO587" s="17"/>
    </row>
    <row r="588" spans="41:41" ht="14.25" customHeight="1" x14ac:dyDescent="0.25">
      <c r="AO588" s="17"/>
    </row>
    <row r="589" spans="41:41" ht="14.25" customHeight="1" x14ac:dyDescent="0.25">
      <c r="AO589" s="17"/>
    </row>
    <row r="590" spans="41:41" ht="14.25" customHeight="1" x14ac:dyDescent="0.25">
      <c r="AO590" s="17"/>
    </row>
    <row r="591" spans="41:41" ht="14.25" customHeight="1" x14ac:dyDescent="0.25">
      <c r="AO591" s="17"/>
    </row>
    <row r="592" spans="41:41" ht="14.25" customHeight="1" x14ac:dyDescent="0.25">
      <c r="AO592" s="17"/>
    </row>
    <row r="593" spans="41:41" ht="14.25" customHeight="1" x14ac:dyDescent="0.25">
      <c r="AO593" s="17"/>
    </row>
    <row r="594" spans="41:41" ht="14.25" customHeight="1" x14ac:dyDescent="0.25">
      <c r="AO594" s="17"/>
    </row>
    <row r="595" spans="41:41" ht="14.25" customHeight="1" x14ac:dyDescent="0.25">
      <c r="AO595" s="17"/>
    </row>
    <row r="596" spans="41:41" ht="14.25" customHeight="1" x14ac:dyDescent="0.25">
      <c r="AO596" s="17"/>
    </row>
    <row r="597" spans="41:41" ht="14.25" customHeight="1" x14ac:dyDescent="0.25">
      <c r="AO597" s="17"/>
    </row>
    <row r="598" spans="41:41" ht="14.25" customHeight="1" x14ac:dyDescent="0.25">
      <c r="AO598" s="17"/>
    </row>
    <row r="599" spans="41:41" ht="14.25" customHeight="1" x14ac:dyDescent="0.25">
      <c r="AO599" s="17"/>
    </row>
    <row r="600" spans="41:41" ht="14.25" customHeight="1" x14ac:dyDescent="0.25">
      <c r="AO600" s="17"/>
    </row>
    <row r="601" spans="41:41" ht="14.25" customHeight="1" x14ac:dyDescent="0.25">
      <c r="AO601" s="17"/>
    </row>
    <row r="602" spans="41:41" ht="14.25" customHeight="1" x14ac:dyDescent="0.25">
      <c r="AO602" s="17"/>
    </row>
    <row r="603" spans="41:41" ht="14.25" customHeight="1" x14ac:dyDescent="0.25">
      <c r="AO603" s="17"/>
    </row>
    <row r="604" spans="41:41" ht="14.25" customHeight="1" x14ac:dyDescent="0.25">
      <c r="AO604" s="17"/>
    </row>
    <row r="605" spans="41:41" ht="14.25" customHeight="1" x14ac:dyDescent="0.25">
      <c r="AO605" s="17"/>
    </row>
    <row r="606" spans="41:41" ht="14.25" customHeight="1" x14ac:dyDescent="0.25">
      <c r="AO606" s="17"/>
    </row>
    <row r="607" spans="41:41" ht="14.25" customHeight="1" x14ac:dyDescent="0.25">
      <c r="AO607" s="17"/>
    </row>
    <row r="608" spans="41:41" ht="14.25" customHeight="1" x14ac:dyDescent="0.25">
      <c r="AO608" s="17"/>
    </row>
    <row r="609" spans="41:41" ht="14.25" customHeight="1" x14ac:dyDescent="0.25">
      <c r="AO609" s="17"/>
    </row>
    <row r="610" spans="41:41" ht="14.25" customHeight="1" x14ac:dyDescent="0.25">
      <c r="AO610" s="17"/>
    </row>
    <row r="611" spans="41:41" ht="14.25" customHeight="1" x14ac:dyDescent="0.25">
      <c r="AO611" s="17"/>
    </row>
    <row r="612" spans="41:41" ht="14.25" customHeight="1" x14ac:dyDescent="0.25">
      <c r="AO612" s="17"/>
    </row>
    <row r="613" spans="41:41" ht="14.25" customHeight="1" x14ac:dyDescent="0.25">
      <c r="AO613" s="17"/>
    </row>
    <row r="614" spans="41:41" ht="14.25" customHeight="1" x14ac:dyDescent="0.25">
      <c r="AO614" s="17"/>
    </row>
    <row r="615" spans="41:41" ht="14.25" customHeight="1" x14ac:dyDescent="0.25">
      <c r="AO615" s="17"/>
    </row>
    <row r="616" spans="41:41" ht="14.25" customHeight="1" x14ac:dyDescent="0.25">
      <c r="AO616" s="17"/>
    </row>
    <row r="617" spans="41:41" ht="14.25" customHeight="1" x14ac:dyDescent="0.25">
      <c r="AO617" s="17"/>
    </row>
    <row r="618" spans="41:41" ht="14.25" customHeight="1" x14ac:dyDescent="0.25">
      <c r="AO618" s="17"/>
    </row>
    <row r="619" spans="41:41" ht="14.25" customHeight="1" x14ac:dyDescent="0.25">
      <c r="AO619" s="17"/>
    </row>
    <row r="620" spans="41:41" ht="14.25" customHeight="1" x14ac:dyDescent="0.25">
      <c r="AO620" s="17"/>
    </row>
    <row r="621" spans="41:41" ht="14.25" customHeight="1" x14ac:dyDescent="0.25">
      <c r="AO621" s="17"/>
    </row>
    <row r="622" spans="41:41" ht="14.25" customHeight="1" x14ac:dyDescent="0.25">
      <c r="AO622" s="17"/>
    </row>
    <row r="623" spans="41:41" ht="14.25" customHeight="1" x14ac:dyDescent="0.25">
      <c r="AO623" s="17"/>
    </row>
    <row r="624" spans="41:41" ht="14.25" customHeight="1" x14ac:dyDescent="0.25">
      <c r="AO624" s="17"/>
    </row>
    <row r="625" spans="41:41" ht="14.25" customHeight="1" x14ac:dyDescent="0.25">
      <c r="AO625" s="17"/>
    </row>
    <row r="626" spans="41:41" ht="14.25" customHeight="1" x14ac:dyDescent="0.25">
      <c r="AO626" s="17"/>
    </row>
    <row r="627" spans="41:41" ht="14.25" customHeight="1" x14ac:dyDescent="0.25">
      <c r="AO627" s="17"/>
    </row>
    <row r="628" spans="41:41" ht="14.25" customHeight="1" x14ac:dyDescent="0.25">
      <c r="AO628" s="17"/>
    </row>
    <row r="629" spans="41:41" ht="14.25" customHeight="1" x14ac:dyDescent="0.25">
      <c r="AO629" s="17"/>
    </row>
    <row r="630" spans="41:41" ht="14.25" customHeight="1" x14ac:dyDescent="0.25">
      <c r="AO630" s="17"/>
    </row>
    <row r="631" spans="41:41" ht="14.25" customHeight="1" x14ac:dyDescent="0.25">
      <c r="AO631" s="17"/>
    </row>
    <row r="632" spans="41:41" ht="14.25" customHeight="1" x14ac:dyDescent="0.25">
      <c r="AO632" s="17"/>
    </row>
    <row r="633" spans="41:41" ht="14.25" customHeight="1" x14ac:dyDescent="0.25">
      <c r="AO633" s="17"/>
    </row>
    <row r="634" spans="41:41" ht="14.25" customHeight="1" x14ac:dyDescent="0.25">
      <c r="AO634" s="17"/>
    </row>
    <row r="635" spans="41:41" ht="14.25" customHeight="1" x14ac:dyDescent="0.25">
      <c r="AO635" s="17"/>
    </row>
    <row r="636" spans="41:41" ht="14.25" customHeight="1" x14ac:dyDescent="0.25">
      <c r="AO636" s="17"/>
    </row>
    <row r="637" spans="41:41" ht="14.25" customHeight="1" x14ac:dyDescent="0.25">
      <c r="AO637" s="17"/>
    </row>
    <row r="638" spans="41:41" ht="14.25" customHeight="1" x14ac:dyDescent="0.25">
      <c r="AO638" s="17"/>
    </row>
    <row r="639" spans="41:41" ht="14.25" customHeight="1" x14ac:dyDescent="0.25">
      <c r="AO639" s="17"/>
    </row>
    <row r="640" spans="41:41" ht="14.25" customHeight="1" x14ac:dyDescent="0.25">
      <c r="AO640" s="17"/>
    </row>
    <row r="641" spans="41:41" ht="14.25" customHeight="1" x14ac:dyDescent="0.25">
      <c r="AO641" s="17"/>
    </row>
    <row r="642" spans="41:41" ht="14.25" customHeight="1" x14ac:dyDescent="0.25">
      <c r="AO642" s="17"/>
    </row>
    <row r="643" spans="41:41" ht="14.25" customHeight="1" x14ac:dyDescent="0.25">
      <c r="AO643" s="17"/>
    </row>
    <row r="644" spans="41:41" ht="14.25" customHeight="1" x14ac:dyDescent="0.25">
      <c r="AO644" s="17"/>
    </row>
    <row r="645" spans="41:41" ht="14.25" customHeight="1" x14ac:dyDescent="0.25">
      <c r="AO645" s="17"/>
    </row>
    <row r="646" spans="41:41" ht="14.25" customHeight="1" x14ac:dyDescent="0.25">
      <c r="AO646" s="17"/>
    </row>
    <row r="647" spans="41:41" ht="14.25" customHeight="1" x14ac:dyDescent="0.25">
      <c r="AO647" s="17"/>
    </row>
    <row r="648" spans="41:41" ht="14.25" customHeight="1" x14ac:dyDescent="0.25">
      <c r="AO648" s="17"/>
    </row>
    <row r="649" spans="41:41" ht="14.25" customHeight="1" x14ac:dyDescent="0.25">
      <c r="AO649" s="17"/>
    </row>
    <row r="650" spans="41:41" ht="14.25" customHeight="1" x14ac:dyDescent="0.25">
      <c r="AO650" s="17"/>
    </row>
    <row r="651" spans="41:41" ht="14.25" customHeight="1" x14ac:dyDescent="0.25">
      <c r="AO651" s="17"/>
    </row>
    <row r="652" spans="41:41" ht="14.25" customHeight="1" x14ac:dyDescent="0.25">
      <c r="AO652" s="17"/>
    </row>
    <row r="653" spans="41:41" ht="14.25" customHeight="1" x14ac:dyDescent="0.25">
      <c r="AO653" s="17"/>
    </row>
    <row r="654" spans="41:41" ht="14.25" customHeight="1" x14ac:dyDescent="0.25">
      <c r="AO654" s="17"/>
    </row>
    <row r="655" spans="41:41" ht="14.25" customHeight="1" x14ac:dyDescent="0.25">
      <c r="AO655" s="17"/>
    </row>
    <row r="656" spans="41:41" ht="14.25" customHeight="1" x14ac:dyDescent="0.25">
      <c r="AO656" s="17"/>
    </row>
    <row r="657" spans="41:41" ht="14.25" customHeight="1" x14ac:dyDescent="0.25">
      <c r="AO657" s="17"/>
    </row>
    <row r="658" spans="41:41" ht="14.25" customHeight="1" x14ac:dyDescent="0.25">
      <c r="AO658" s="17"/>
    </row>
    <row r="659" spans="41:41" ht="14.25" customHeight="1" x14ac:dyDescent="0.25">
      <c r="AO659" s="17"/>
    </row>
    <row r="660" spans="41:41" ht="14.25" customHeight="1" x14ac:dyDescent="0.25">
      <c r="AO660" s="17"/>
    </row>
    <row r="661" spans="41:41" ht="14.25" customHeight="1" x14ac:dyDescent="0.25">
      <c r="AO661" s="17"/>
    </row>
    <row r="662" spans="41:41" ht="14.25" customHeight="1" x14ac:dyDescent="0.25">
      <c r="AO662" s="17"/>
    </row>
    <row r="663" spans="41:41" ht="14.25" customHeight="1" x14ac:dyDescent="0.25">
      <c r="AO663" s="17"/>
    </row>
    <row r="664" spans="41:41" ht="14.25" customHeight="1" x14ac:dyDescent="0.25">
      <c r="AO664" s="17"/>
    </row>
    <row r="665" spans="41:41" ht="14.25" customHeight="1" x14ac:dyDescent="0.25">
      <c r="AO665" s="17"/>
    </row>
    <row r="666" spans="41:41" ht="14.25" customHeight="1" x14ac:dyDescent="0.25">
      <c r="AO666" s="17"/>
    </row>
    <row r="667" spans="41:41" ht="14.25" customHeight="1" x14ac:dyDescent="0.25">
      <c r="AO667" s="17"/>
    </row>
    <row r="668" spans="41:41" ht="14.25" customHeight="1" x14ac:dyDescent="0.25">
      <c r="AO668" s="17"/>
    </row>
    <row r="669" spans="41:41" ht="14.25" customHeight="1" x14ac:dyDescent="0.25">
      <c r="AO669" s="17"/>
    </row>
    <row r="670" spans="41:41" ht="14.25" customHeight="1" x14ac:dyDescent="0.25">
      <c r="AO670" s="17"/>
    </row>
    <row r="671" spans="41:41" ht="14.25" customHeight="1" x14ac:dyDescent="0.25">
      <c r="AO671" s="17"/>
    </row>
    <row r="672" spans="41:41" ht="14.25" customHeight="1" x14ac:dyDescent="0.25">
      <c r="AO672" s="17"/>
    </row>
    <row r="673" spans="41:41" ht="14.25" customHeight="1" x14ac:dyDescent="0.25">
      <c r="AO673" s="17"/>
    </row>
    <row r="674" spans="41:41" ht="14.25" customHeight="1" x14ac:dyDescent="0.25">
      <c r="AO674" s="17"/>
    </row>
    <row r="675" spans="41:41" ht="14.25" customHeight="1" x14ac:dyDescent="0.25">
      <c r="AO675" s="17"/>
    </row>
    <row r="676" spans="41:41" ht="14.25" customHeight="1" x14ac:dyDescent="0.25">
      <c r="AO676" s="17"/>
    </row>
    <row r="677" spans="41:41" ht="14.25" customHeight="1" x14ac:dyDescent="0.25">
      <c r="AO677" s="17"/>
    </row>
    <row r="678" spans="41:41" ht="14.25" customHeight="1" x14ac:dyDescent="0.25">
      <c r="AO678" s="17"/>
    </row>
    <row r="679" spans="41:41" ht="14.25" customHeight="1" x14ac:dyDescent="0.25">
      <c r="AO679" s="17"/>
    </row>
    <row r="680" spans="41:41" ht="14.25" customHeight="1" x14ac:dyDescent="0.25">
      <c r="AO680" s="17"/>
    </row>
    <row r="681" spans="41:41" ht="14.25" customHeight="1" x14ac:dyDescent="0.25">
      <c r="AO681" s="17"/>
    </row>
    <row r="682" spans="41:41" ht="14.25" customHeight="1" x14ac:dyDescent="0.25">
      <c r="AO682" s="17"/>
    </row>
    <row r="683" spans="41:41" ht="14.25" customHeight="1" x14ac:dyDescent="0.25">
      <c r="AO683" s="17"/>
    </row>
    <row r="684" spans="41:41" ht="14.25" customHeight="1" x14ac:dyDescent="0.25">
      <c r="AO684" s="17"/>
    </row>
    <row r="685" spans="41:41" ht="14.25" customHeight="1" x14ac:dyDescent="0.25">
      <c r="AO685" s="17"/>
    </row>
    <row r="686" spans="41:41" ht="14.25" customHeight="1" x14ac:dyDescent="0.25">
      <c r="AO686" s="17"/>
    </row>
    <row r="687" spans="41:41" ht="14.25" customHeight="1" x14ac:dyDescent="0.25">
      <c r="AO687" s="17"/>
    </row>
    <row r="688" spans="41:41" ht="14.25" customHeight="1" x14ac:dyDescent="0.25">
      <c r="AO688" s="17"/>
    </row>
    <row r="689" spans="41:41" ht="14.25" customHeight="1" x14ac:dyDescent="0.25">
      <c r="AO689" s="17"/>
    </row>
    <row r="690" spans="41:41" ht="14.25" customHeight="1" x14ac:dyDescent="0.25">
      <c r="AO690" s="17"/>
    </row>
    <row r="691" spans="41:41" ht="14.25" customHeight="1" x14ac:dyDescent="0.25">
      <c r="AO691" s="17"/>
    </row>
    <row r="692" spans="41:41" ht="14.25" customHeight="1" x14ac:dyDescent="0.25">
      <c r="AO692" s="17"/>
    </row>
    <row r="693" spans="41:41" ht="14.25" customHeight="1" x14ac:dyDescent="0.25">
      <c r="AO693" s="17"/>
    </row>
    <row r="694" spans="41:41" ht="14.25" customHeight="1" x14ac:dyDescent="0.25">
      <c r="AO694" s="17"/>
    </row>
    <row r="695" spans="41:41" ht="14.25" customHeight="1" x14ac:dyDescent="0.25">
      <c r="AO695" s="17"/>
    </row>
    <row r="696" spans="41:41" ht="14.25" customHeight="1" x14ac:dyDescent="0.25">
      <c r="AO696" s="17"/>
    </row>
    <row r="697" spans="41:41" ht="14.25" customHeight="1" x14ac:dyDescent="0.25">
      <c r="AO697" s="17"/>
    </row>
    <row r="698" spans="41:41" ht="14.25" customHeight="1" x14ac:dyDescent="0.25">
      <c r="AO698" s="17"/>
    </row>
    <row r="699" spans="41:41" ht="14.25" customHeight="1" x14ac:dyDescent="0.25">
      <c r="AO699" s="17"/>
    </row>
    <row r="700" spans="41:41" ht="14.25" customHeight="1" x14ac:dyDescent="0.25">
      <c r="AO700" s="17"/>
    </row>
    <row r="701" spans="41:41" ht="14.25" customHeight="1" x14ac:dyDescent="0.25">
      <c r="AO701" s="17"/>
    </row>
    <row r="702" spans="41:41" ht="14.25" customHeight="1" x14ac:dyDescent="0.25">
      <c r="AO702" s="17"/>
    </row>
    <row r="703" spans="41:41" ht="14.25" customHeight="1" x14ac:dyDescent="0.25">
      <c r="AO703" s="17"/>
    </row>
    <row r="704" spans="41:41" ht="14.25" customHeight="1" x14ac:dyDescent="0.25">
      <c r="AO704" s="17"/>
    </row>
    <row r="705" spans="41:41" ht="14.25" customHeight="1" x14ac:dyDescent="0.25">
      <c r="AO705" s="17"/>
    </row>
    <row r="706" spans="41:41" ht="14.25" customHeight="1" x14ac:dyDescent="0.25">
      <c r="AO706" s="17"/>
    </row>
    <row r="707" spans="41:41" ht="14.25" customHeight="1" x14ac:dyDescent="0.25">
      <c r="AO707" s="17"/>
    </row>
    <row r="708" spans="41:41" ht="14.25" customHeight="1" x14ac:dyDescent="0.25">
      <c r="AO708" s="17"/>
    </row>
    <row r="709" spans="41:41" ht="14.25" customHeight="1" x14ac:dyDescent="0.25">
      <c r="AO709" s="17"/>
    </row>
    <row r="710" spans="41:41" ht="14.25" customHeight="1" x14ac:dyDescent="0.25">
      <c r="AO710" s="17"/>
    </row>
    <row r="711" spans="41:41" ht="14.25" customHeight="1" x14ac:dyDescent="0.25">
      <c r="AO711" s="17"/>
    </row>
    <row r="712" spans="41:41" ht="14.25" customHeight="1" x14ac:dyDescent="0.25">
      <c r="AO712" s="17"/>
    </row>
    <row r="713" spans="41:41" ht="14.25" customHeight="1" x14ac:dyDescent="0.25">
      <c r="AO713" s="17"/>
    </row>
    <row r="714" spans="41:41" ht="14.25" customHeight="1" x14ac:dyDescent="0.25">
      <c r="AO714" s="17"/>
    </row>
    <row r="715" spans="41:41" ht="14.25" customHeight="1" x14ac:dyDescent="0.25">
      <c r="AO715" s="17"/>
    </row>
    <row r="716" spans="41:41" ht="14.25" customHeight="1" x14ac:dyDescent="0.25">
      <c r="AO716" s="17"/>
    </row>
    <row r="717" spans="41:41" ht="14.25" customHeight="1" x14ac:dyDescent="0.25">
      <c r="AO717" s="17"/>
    </row>
    <row r="718" spans="41:41" ht="14.25" customHeight="1" x14ac:dyDescent="0.25">
      <c r="AO718" s="17"/>
    </row>
    <row r="719" spans="41:41" ht="14.25" customHeight="1" x14ac:dyDescent="0.25">
      <c r="AO719" s="17"/>
    </row>
    <row r="720" spans="41:41" ht="14.25" customHeight="1" x14ac:dyDescent="0.25">
      <c r="AO720" s="17"/>
    </row>
    <row r="721" spans="41:41" ht="14.25" customHeight="1" x14ac:dyDescent="0.25">
      <c r="AO721" s="17"/>
    </row>
    <row r="722" spans="41:41" ht="14.25" customHeight="1" x14ac:dyDescent="0.25">
      <c r="AO722" s="17"/>
    </row>
    <row r="723" spans="41:41" ht="14.25" customHeight="1" x14ac:dyDescent="0.25">
      <c r="AO723" s="17"/>
    </row>
    <row r="724" spans="41:41" ht="14.25" customHeight="1" x14ac:dyDescent="0.25">
      <c r="AO724" s="17"/>
    </row>
    <row r="725" spans="41:41" ht="14.25" customHeight="1" x14ac:dyDescent="0.25">
      <c r="AO725" s="17"/>
    </row>
    <row r="726" spans="41:41" ht="14.25" customHeight="1" x14ac:dyDescent="0.25">
      <c r="AO726" s="17"/>
    </row>
    <row r="727" spans="41:41" ht="14.25" customHeight="1" x14ac:dyDescent="0.25">
      <c r="AO727" s="17"/>
    </row>
    <row r="728" spans="41:41" ht="14.25" customHeight="1" x14ac:dyDescent="0.25">
      <c r="AO728" s="17"/>
    </row>
    <row r="729" spans="41:41" ht="14.25" customHeight="1" x14ac:dyDescent="0.25">
      <c r="AO729" s="17"/>
    </row>
    <row r="730" spans="41:41" ht="14.25" customHeight="1" x14ac:dyDescent="0.25">
      <c r="AO730" s="17"/>
    </row>
    <row r="731" spans="41:41" ht="14.25" customHeight="1" x14ac:dyDescent="0.25">
      <c r="AO731" s="17"/>
    </row>
    <row r="732" spans="41:41" ht="14.25" customHeight="1" x14ac:dyDescent="0.25">
      <c r="AO732" s="17"/>
    </row>
    <row r="733" spans="41:41" ht="14.25" customHeight="1" x14ac:dyDescent="0.25">
      <c r="AO733" s="17"/>
    </row>
    <row r="734" spans="41:41" ht="14.25" customHeight="1" x14ac:dyDescent="0.25">
      <c r="AO734" s="17"/>
    </row>
    <row r="735" spans="41:41" ht="14.25" customHeight="1" x14ac:dyDescent="0.25">
      <c r="AO735" s="17"/>
    </row>
    <row r="736" spans="41:41" ht="14.25" customHeight="1" x14ac:dyDescent="0.25">
      <c r="AO736" s="17"/>
    </row>
    <row r="737" spans="41:41" ht="14.25" customHeight="1" x14ac:dyDescent="0.25">
      <c r="AO737" s="17"/>
    </row>
    <row r="738" spans="41:41" ht="14.25" customHeight="1" x14ac:dyDescent="0.25">
      <c r="AO738" s="17"/>
    </row>
    <row r="739" spans="41:41" ht="14.25" customHeight="1" x14ac:dyDescent="0.25">
      <c r="AO739" s="17"/>
    </row>
    <row r="740" spans="41:41" ht="14.25" customHeight="1" x14ac:dyDescent="0.25">
      <c r="AO740" s="17"/>
    </row>
    <row r="741" spans="41:41" ht="14.25" customHeight="1" x14ac:dyDescent="0.25">
      <c r="AO741" s="17"/>
    </row>
    <row r="742" spans="41:41" ht="14.25" customHeight="1" x14ac:dyDescent="0.25">
      <c r="AO742" s="17"/>
    </row>
    <row r="743" spans="41:41" ht="14.25" customHeight="1" x14ac:dyDescent="0.25">
      <c r="AO743" s="17"/>
    </row>
    <row r="744" spans="41:41" ht="14.25" customHeight="1" x14ac:dyDescent="0.25">
      <c r="AO744" s="17"/>
    </row>
    <row r="745" spans="41:41" ht="14.25" customHeight="1" x14ac:dyDescent="0.25">
      <c r="AO745" s="17"/>
    </row>
    <row r="746" spans="41:41" ht="14.25" customHeight="1" x14ac:dyDescent="0.25">
      <c r="AO746" s="17"/>
    </row>
    <row r="747" spans="41:41" ht="14.25" customHeight="1" x14ac:dyDescent="0.25">
      <c r="AO747" s="17"/>
    </row>
    <row r="748" spans="41:41" ht="14.25" customHeight="1" x14ac:dyDescent="0.25">
      <c r="AO748" s="17"/>
    </row>
    <row r="749" spans="41:41" ht="14.25" customHeight="1" x14ac:dyDescent="0.25">
      <c r="AO749" s="17"/>
    </row>
    <row r="750" spans="41:41" ht="14.25" customHeight="1" x14ac:dyDescent="0.25">
      <c r="AO750" s="17"/>
    </row>
    <row r="751" spans="41:41" ht="14.25" customHeight="1" x14ac:dyDescent="0.25">
      <c r="AO751" s="17"/>
    </row>
    <row r="752" spans="41:41" ht="14.25" customHeight="1" x14ac:dyDescent="0.25">
      <c r="AO752" s="17"/>
    </row>
    <row r="753" spans="41:41" ht="14.25" customHeight="1" x14ac:dyDescent="0.25">
      <c r="AO753" s="17"/>
    </row>
    <row r="754" spans="41:41" ht="14.25" customHeight="1" x14ac:dyDescent="0.25">
      <c r="AO754" s="17"/>
    </row>
    <row r="755" spans="41:41" ht="14.25" customHeight="1" x14ac:dyDescent="0.25">
      <c r="AO755" s="17"/>
    </row>
    <row r="756" spans="41:41" ht="14.25" customHeight="1" x14ac:dyDescent="0.25">
      <c r="AO756" s="17"/>
    </row>
    <row r="757" spans="41:41" ht="14.25" customHeight="1" x14ac:dyDescent="0.25">
      <c r="AO757" s="17"/>
    </row>
    <row r="758" spans="41:41" ht="14.25" customHeight="1" x14ac:dyDescent="0.25">
      <c r="AO758" s="17"/>
    </row>
    <row r="759" spans="41:41" ht="14.25" customHeight="1" x14ac:dyDescent="0.25">
      <c r="AO759" s="17"/>
    </row>
    <row r="760" spans="41:41" ht="14.25" customHeight="1" x14ac:dyDescent="0.25">
      <c r="AO760" s="17"/>
    </row>
    <row r="761" spans="41:41" ht="14.25" customHeight="1" x14ac:dyDescent="0.25">
      <c r="AO761" s="17"/>
    </row>
    <row r="762" spans="41:41" ht="14.25" customHeight="1" x14ac:dyDescent="0.25">
      <c r="AO762" s="17"/>
    </row>
    <row r="763" spans="41:41" ht="14.25" customHeight="1" x14ac:dyDescent="0.25">
      <c r="AO763" s="17"/>
    </row>
    <row r="764" spans="41:41" ht="14.25" customHeight="1" x14ac:dyDescent="0.25">
      <c r="AO764" s="17"/>
    </row>
    <row r="765" spans="41:41" ht="14.25" customHeight="1" x14ac:dyDescent="0.25">
      <c r="AO765" s="17"/>
    </row>
    <row r="766" spans="41:41" ht="14.25" customHeight="1" x14ac:dyDescent="0.25">
      <c r="AO766" s="17"/>
    </row>
    <row r="767" spans="41:41" ht="14.25" customHeight="1" x14ac:dyDescent="0.25">
      <c r="AO767" s="17"/>
    </row>
    <row r="768" spans="41:41" ht="14.25" customHeight="1" x14ac:dyDescent="0.25">
      <c r="AO768" s="17"/>
    </row>
    <row r="769" spans="41:41" ht="14.25" customHeight="1" x14ac:dyDescent="0.25">
      <c r="AO769" s="17"/>
    </row>
    <row r="770" spans="41:41" ht="14.25" customHeight="1" x14ac:dyDescent="0.25">
      <c r="AO770" s="17"/>
    </row>
    <row r="771" spans="41:41" ht="14.25" customHeight="1" x14ac:dyDescent="0.25">
      <c r="AO771" s="17"/>
    </row>
    <row r="772" spans="41:41" ht="14.25" customHeight="1" x14ac:dyDescent="0.25">
      <c r="AO772" s="17"/>
    </row>
    <row r="773" spans="41:41" ht="14.25" customHeight="1" x14ac:dyDescent="0.25">
      <c r="AO773" s="17"/>
    </row>
    <row r="774" spans="41:41" ht="14.25" customHeight="1" x14ac:dyDescent="0.25">
      <c r="AO774" s="17"/>
    </row>
    <row r="775" spans="41:41" ht="14.25" customHeight="1" x14ac:dyDescent="0.25">
      <c r="AO775" s="17"/>
    </row>
    <row r="776" spans="41:41" ht="14.25" customHeight="1" x14ac:dyDescent="0.25">
      <c r="AO776" s="17"/>
    </row>
    <row r="777" spans="41:41" ht="14.25" customHeight="1" x14ac:dyDescent="0.25">
      <c r="AO777" s="17"/>
    </row>
    <row r="778" spans="41:41" ht="14.25" customHeight="1" x14ac:dyDescent="0.25">
      <c r="AO778" s="17"/>
    </row>
    <row r="779" spans="41:41" ht="14.25" customHeight="1" x14ac:dyDescent="0.25">
      <c r="AO779" s="17"/>
    </row>
    <row r="780" spans="41:41" ht="14.25" customHeight="1" x14ac:dyDescent="0.25">
      <c r="AO780" s="17"/>
    </row>
    <row r="781" spans="41:41" ht="14.25" customHeight="1" x14ac:dyDescent="0.25">
      <c r="AO781" s="17"/>
    </row>
    <row r="782" spans="41:41" ht="14.25" customHeight="1" x14ac:dyDescent="0.25">
      <c r="AO782" s="17"/>
    </row>
    <row r="783" spans="41:41" ht="14.25" customHeight="1" x14ac:dyDescent="0.25">
      <c r="AO783" s="17"/>
    </row>
    <row r="784" spans="41:41" ht="14.25" customHeight="1" x14ac:dyDescent="0.25">
      <c r="AO784" s="17"/>
    </row>
    <row r="785" spans="41:41" ht="14.25" customHeight="1" x14ac:dyDescent="0.25">
      <c r="AO785" s="17"/>
    </row>
    <row r="786" spans="41:41" ht="14.25" customHeight="1" x14ac:dyDescent="0.25">
      <c r="AO786" s="17"/>
    </row>
    <row r="787" spans="41:41" ht="14.25" customHeight="1" x14ac:dyDescent="0.25">
      <c r="AO787" s="17"/>
    </row>
    <row r="788" spans="41:41" ht="14.25" customHeight="1" x14ac:dyDescent="0.25">
      <c r="AO788" s="17"/>
    </row>
    <row r="789" spans="41:41" ht="14.25" customHeight="1" x14ac:dyDescent="0.25">
      <c r="AO789" s="17"/>
    </row>
    <row r="790" spans="41:41" ht="14.25" customHeight="1" x14ac:dyDescent="0.25">
      <c r="AO790" s="17"/>
    </row>
    <row r="791" spans="41:41" ht="14.25" customHeight="1" x14ac:dyDescent="0.25">
      <c r="AO791" s="17"/>
    </row>
    <row r="792" spans="41:41" ht="14.25" customHeight="1" x14ac:dyDescent="0.25">
      <c r="AO792" s="17"/>
    </row>
    <row r="793" spans="41:41" ht="14.25" customHeight="1" x14ac:dyDescent="0.25">
      <c r="AO793" s="17"/>
    </row>
    <row r="794" spans="41:41" ht="14.25" customHeight="1" x14ac:dyDescent="0.25">
      <c r="AO794" s="17"/>
    </row>
    <row r="795" spans="41:41" ht="14.25" customHeight="1" x14ac:dyDescent="0.25">
      <c r="AO795" s="17"/>
    </row>
    <row r="796" spans="41:41" ht="14.25" customHeight="1" x14ac:dyDescent="0.25">
      <c r="AO796" s="17"/>
    </row>
    <row r="797" spans="41:41" ht="14.25" customHeight="1" x14ac:dyDescent="0.25">
      <c r="AO797" s="17"/>
    </row>
    <row r="798" spans="41:41" ht="14.25" customHeight="1" x14ac:dyDescent="0.25">
      <c r="AO798" s="17"/>
    </row>
    <row r="799" spans="41:41" ht="14.25" customHeight="1" x14ac:dyDescent="0.25">
      <c r="AO799" s="17"/>
    </row>
    <row r="800" spans="41:41" ht="14.25" customHeight="1" x14ac:dyDescent="0.25">
      <c r="AO800" s="17"/>
    </row>
    <row r="801" spans="41:41" ht="14.25" customHeight="1" x14ac:dyDescent="0.25">
      <c r="AO801" s="17"/>
    </row>
    <row r="802" spans="41:41" ht="14.25" customHeight="1" x14ac:dyDescent="0.25">
      <c r="AO802" s="17"/>
    </row>
    <row r="803" spans="41:41" ht="14.25" customHeight="1" x14ac:dyDescent="0.25">
      <c r="AO803" s="17"/>
    </row>
    <row r="804" spans="41:41" ht="14.25" customHeight="1" x14ac:dyDescent="0.25">
      <c r="AO804" s="17"/>
    </row>
    <row r="805" spans="41:41" ht="14.25" customHeight="1" x14ac:dyDescent="0.25">
      <c r="AO805" s="17"/>
    </row>
    <row r="806" spans="41:41" ht="14.25" customHeight="1" x14ac:dyDescent="0.25">
      <c r="AO806" s="17"/>
    </row>
    <row r="807" spans="41:41" ht="14.25" customHeight="1" x14ac:dyDescent="0.25">
      <c r="AO807" s="17"/>
    </row>
    <row r="808" spans="41:41" ht="14.25" customHeight="1" x14ac:dyDescent="0.25">
      <c r="AO808" s="17"/>
    </row>
    <row r="809" spans="41:41" ht="14.25" customHeight="1" x14ac:dyDescent="0.25">
      <c r="AO809" s="17"/>
    </row>
    <row r="810" spans="41:41" ht="14.25" customHeight="1" x14ac:dyDescent="0.25">
      <c r="AO810" s="17"/>
    </row>
    <row r="811" spans="41:41" ht="14.25" customHeight="1" x14ac:dyDescent="0.25">
      <c r="AO811" s="17"/>
    </row>
    <row r="812" spans="41:41" ht="14.25" customHeight="1" x14ac:dyDescent="0.25">
      <c r="AO812" s="17"/>
    </row>
    <row r="813" spans="41:41" ht="14.25" customHeight="1" x14ac:dyDescent="0.25">
      <c r="AO813" s="17"/>
    </row>
    <row r="814" spans="41:41" ht="14.25" customHeight="1" x14ac:dyDescent="0.25">
      <c r="AO814" s="17"/>
    </row>
    <row r="815" spans="41:41" ht="14.25" customHeight="1" x14ac:dyDescent="0.25">
      <c r="AO815" s="17"/>
    </row>
    <row r="816" spans="41:41" ht="14.25" customHeight="1" x14ac:dyDescent="0.25">
      <c r="AO816" s="17"/>
    </row>
    <row r="817" spans="41:41" ht="14.25" customHeight="1" x14ac:dyDescent="0.25">
      <c r="AO817" s="17"/>
    </row>
    <row r="818" spans="41:41" ht="14.25" customHeight="1" x14ac:dyDescent="0.25">
      <c r="AO818" s="17"/>
    </row>
    <row r="819" spans="41:41" ht="14.25" customHeight="1" x14ac:dyDescent="0.25">
      <c r="AO819" s="17"/>
    </row>
    <row r="820" spans="41:41" ht="14.25" customHeight="1" x14ac:dyDescent="0.25">
      <c r="AO820" s="17"/>
    </row>
    <row r="821" spans="41:41" ht="14.25" customHeight="1" x14ac:dyDescent="0.25">
      <c r="AO821" s="17"/>
    </row>
    <row r="822" spans="41:41" ht="14.25" customHeight="1" x14ac:dyDescent="0.25">
      <c r="AO822" s="17"/>
    </row>
    <row r="823" spans="41:41" ht="14.25" customHeight="1" x14ac:dyDescent="0.25">
      <c r="AO823" s="17"/>
    </row>
    <row r="824" spans="41:41" ht="14.25" customHeight="1" x14ac:dyDescent="0.25">
      <c r="AO824" s="17"/>
    </row>
    <row r="825" spans="41:41" ht="14.25" customHeight="1" x14ac:dyDescent="0.25">
      <c r="AO825" s="17"/>
    </row>
    <row r="826" spans="41:41" ht="14.25" customHeight="1" x14ac:dyDescent="0.25">
      <c r="AO826" s="17"/>
    </row>
    <row r="827" spans="41:41" ht="14.25" customHeight="1" x14ac:dyDescent="0.25">
      <c r="AO827" s="17"/>
    </row>
    <row r="828" spans="41:41" ht="14.25" customHeight="1" x14ac:dyDescent="0.25">
      <c r="AO828" s="17"/>
    </row>
    <row r="829" spans="41:41" ht="14.25" customHeight="1" x14ac:dyDescent="0.25">
      <c r="AO829" s="17"/>
    </row>
    <row r="830" spans="41:41" ht="14.25" customHeight="1" x14ac:dyDescent="0.25">
      <c r="AO830" s="17"/>
    </row>
    <row r="831" spans="41:41" ht="14.25" customHeight="1" x14ac:dyDescent="0.25">
      <c r="AO831" s="17"/>
    </row>
    <row r="832" spans="41:41" ht="14.25" customHeight="1" x14ac:dyDescent="0.25">
      <c r="AO832" s="17"/>
    </row>
    <row r="833" spans="41:41" ht="14.25" customHeight="1" x14ac:dyDescent="0.25">
      <c r="AO833" s="17"/>
    </row>
    <row r="834" spans="41:41" ht="14.25" customHeight="1" x14ac:dyDescent="0.25">
      <c r="AO834" s="17"/>
    </row>
    <row r="835" spans="41:41" ht="14.25" customHeight="1" x14ac:dyDescent="0.25">
      <c r="AO835" s="17"/>
    </row>
    <row r="836" spans="41:41" ht="14.25" customHeight="1" x14ac:dyDescent="0.25">
      <c r="AO836" s="17"/>
    </row>
    <row r="837" spans="41:41" ht="14.25" customHeight="1" x14ac:dyDescent="0.25">
      <c r="AO837" s="17"/>
    </row>
    <row r="838" spans="41:41" ht="14.25" customHeight="1" x14ac:dyDescent="0.25">
      <c r="AO838" s="17"/>
    </row>
    <row r="839" spans="41:41" ht="14.25" customHeight="1" x14ac:dyDescent="0.25">
      <c r="AO839" s="17"/>
    </row>
    <row r="840" spans="41:41" ht="14.25" customHeight="1" x14ac:dyDescent="0.25">
      <c r="AO840" s="17"/>
    </row>
    <row r="841" spans="41:41" ht="14.25" customHeight="1" x14ac:dyDescent="0.25">
      <c r="AO841" s="17"/>
    </row>
    <row r="842" spans="41:41" ht="14.25" customHeight="1" x14ac:dyDescent="0.25">
      <c r="AO842" s="17"/>
    </row>
    <row r="843" spans="41:41" ht="14.25" customHeight="1" x14ac:dyDescent="0.25">
      <c r="AO843" s="17"/>
    </row>
    <row r="844" spans="41:41" ht="14.25" customHeight="1" x14ac:dyDescent="0.25">
      <c r="AO844" s="17"/>
    </row>
    <row r="845" spans="41:41" ht="14.25" customHeight="1" x14ac:dyDescent="0.25">
      <c r="AO845" s="17"/>
    </row>
    <row r="846" spans="41:41" ht="14.25" customHeight="1" x14ac:dyDescent="0.25">
      <c r="AO846" s="17"/>
    </row>
    <row r="847" spans="41:41" ht="14.25" customHeight="1" x14ac:dyDescent="0.25">
      <c r="AO847" s="17"/>
    </row>
    <row r="848" spans="41:41" ht="14.25" customHeight="1" x14ac:dyDescent="0.25">
      <c r="AO848" s="17"/>
    </row>
    <row r="849" spans="41:41" ht="14.25" customHeight="1" x14ac:dyDescent="0.25">
      <c r="AO849" s="17"/>
    </row>
    <row r="850" spans="41:41" ht="14.25" customHeight="1" x14ac:dyDescent="0.25">
      <c r="AO850" s="17"/>
    </row>
    <row r="851" spans="41:41" ht="14.25" customHeight="1" x14ac:dyDescent="0.25">
      <c r="AO851" s="17"/>
    </row>
    <row r="852" spans="41:41" ht="14.25" customHeight="1" x14ac:dyDescent="0.25">
      <c r="AO852" s="17"/>
    </row>
    <row r="853" spans="41:41" ht="14.25" customHeight="1" x14ac:dyDescent="0.25">
      <c r="AO853" s="17"/>
    </row>
    <row r="854" spans="41:41" ht="14.25" customHeight="1" x14ac:dyDescent="0.25">
      <c r="AO854" s="17"/>
    </row>
    <row r="855" spans="41:41" ht="14.25" customHeight="1" x14ac:dyDescent="0.25">
      <c r="AO855" s="17"/>
    </row>
    <row r="856" spans="41:41" ht="14.25" customHeight="1" x14ac:dyDescent="0.25">
      <c r="AO856" s="17"/>
    </row>
    <row r="857" spans="41:41" ht="14.25" customHeight="1" x14ac:dyDescent="0.25">
      <c r="AO857" s="17"/>
    </row>
    <row r="858" spans="41:41" ht="14.25" customHeight="1" x14ac:dyDescent="0.25">
      <c r="AO858" s="17"/>
    </row>
    <row r="859" spans="41:41" ht="14.25" customHeight="1" x14ac:dyDescent="0.25">
      <c r="AO859" s="17"/>
    </row>
    <row r="860" spans="41:41" ht="14.25" customHeight="1" x14ac:dyDescent="0.25">
      <c r="AO860" s="17"/>
    </row>
    <row r="861" spans="41:41" ht="14.25" customHeight="1" x14ac:dyDescent="0.25">
      <c r="AO861" s="17"/>
    </row>
    <row r="862" spans="41:41" ht="14.25" customHeight="1" x14ac:dyDescent="0.25">
      <c r="AO862" s="17"/>
    </row>
    <row r="863" spans="41:41" ht="14.25" customHeight="1" x14ac:dyDescent="0.25">
      <c r="AO863" s="17"/>
    </row>
    <row r="864" spans="41:41" ht="14.25" customHeight="1" x14ac:dyDescent="0.25">
      <c r="AO864" s="17"/>
    </row>
    <row r="865" spans="41:41" ht="14.25" customHeight="1" x14ac:dyDescent="0.25">
      <c r="AO865" s="17"/>
    </row>
    <row r="866" spans="41:41" ht="14.25" customHeight="1" x14ac:dyDescent="0.25">
      <c r="AO866" s="17"/>
    </row>
    <row r="867" spans="41:41" ht="14.25" customHeight="1" x14ac:dyDescent="0.25">
      <c r="AO867" s="17"/>
    </row>
    <row r="868" spans="41:41" ht="14.25" customHeight="1" x14ac:dyDescent="0.25">
      <c r="AO868" s="17"/>
    </row>
    <row r="869" spans="41:41" ht="14.25" customHeight="1" x14ac:dyDescent="0.25">
      <c r="AO869" s="17"/>
    </row>
    <row r="870" spans="41:41" ht="14.25" customHeight="1" x14ac:dyDescent="0.25">
      <c r="AO870" s="17"/>
    </row>
    <row r="871" spans="41:41" ht="14.25" customHeight="1" x14ac:dyDescent="0.25">
      <c r="AO871" s="17"/>
    </row>
    <row r="872" spans="41:41" ht="14.25" customHeight="1" x14ac:dyDescent="0.25">
      <c r="AO872" s="17"/>
    </row>
    <row r="873" spans="41:41" ht="14.25" customHeight="1" x14ac:dyDescent="0.25">
      <c r="AO873" s="17"/>
    </row>
    <row r="874" spans="41:41" ht="14.25" customHeight="1" x14ac:dyDescent="0.25">
      <c r="AO874" s="17"/>
    </row>
    <row r="875" spans="41:41" ht="14.25" customHeight="1" x14ac:dyDescent="0.25">
      <c r="AO875" s="17"/>
    </row>
    <row r="876" spans="41:41" ht="14.25" customHeight="1" x14ac:dyDescent="0.25">
      <c r="AO876" s="17"/>
    </row>
    <row r="877" spans="41:41" ht="14.25" customHeight="1" x14ac:dyDescent="0.25">
      <c r="AO877" s="17"/>
    </row>
    <row r="878" spans="41:41" ht="14.25" customHeight="1" x14ac:dyDescent="0.25">
      <c r="AO878" s="17"/>
    </row>
    <row r="879" spans="41:41" ht="14.25" customHeight="1" x14ac:dyDescent="0.25">
      <c r="AO879" s="17"/>
    </row>
    <row r="880" spans="41:41" ht="14.25" customHeight="1" x14ac:dyDescent="0.25">
      <c r="AO880" s="17"/>
    </row>
    <row r="881" spans="41:41" ht="14.25" customHeight="1" x14ac:dyDescent="0.25">
      <c r="AO881" s="17"/>
    </row>
    <row r="882" spans="41:41" ht="14.25" customHeight="1" x14ac:dyDescent="0.25">
      <c r="AO882" s="17"/>
    </row>
    <row r="883" spans="41:41" ht="14.25" customHeight="1" x14ac:dyDescent="0.25">
      <c r="AO883" s="17"/>
    </row>
    <row r="884" spans="41:41" ht="14.25" customHeight="1" x14ac:dyDescent="0.25">
      <c r="AO884" s="17"/>
    </row>
    <row r="885" spans="41:41" ht="14.25" customHeight="1" x14ac:dyDescent="0.25">
      <c r="AO885" s="17"/>
    </row>
    <row r="886" spans="41:41" ht="14.25" customHeight="1" x14ac:dyDescent="0.25">
      <c r="AO886" s="17"/>
    </row>
    <row r="887" spans="41:41" ht="14.25" customHeight="1" x14ac:dyDescent="0.25">
      <c r="AO887" s="17"/>
    </row>
    <row r="888" spans="41:41" ht="14.25" customHeight="1" x14ac:dyDescent="0.25">
      <c r="AO888" s="17"/>
    </row>
    <row r="889" spans="41:41" ht="14.25" customHeight="1" x14ac:dyDescent="0.25">
      <c r="AO889" s="17"/>
    </row>
    <row r="890" spans="41:41" ht="14.25" customHeight="1" x14ac:dyDescent="0.25">
      <c r="AO890" s="17"/>
    </row>
    <row r="891" spans="41:41" ht="14.25" customHeight="1" x14ac:dyDescent="0.25">
      <c r="AO891" s="17"/>
    </row>
    <row r="892" spans="41:41" ht="14.25" customHeight="1" x14ac:dyDescent="0.25">
      <c r="AO892" s="17"/>
    </row>
    <row r="893" spans="41:41" ht="14.25" customHeight="1" x14ac:dyDescent="0.25">
      <c r="AO893" s="17"/>
    </row>
    <row r="894" spans="41:41" ht="14.25" customHeight="1" x14ac:dyDescent="0.25">
      <c r="AO894" s="17"/>
    </row>
    <row r="895" spans="41:41" ht="14.25" customHeight="1" x14ac:dyDescent="0.25">
      <c r="AO895" s="17"/>
    </row>
    <row r="896" spans="41:41" ht="14.25" customHeight="1" x14ac:dyDescent="0.25">
      <c r="AO896" s="17"/>
    </row>
    <row r="897" spans="41:41" ht="14.25" customHeight="1" x14ac:dyDescent="0.25">
      <c r="AO897" s="17"/>
    </row>
    <row r="898" spans="41:41" ht="14.25" customHeight="1" x14ac:dyDescent="0.25">
      <c r="AO898" s="17"/>
    </row>
    <row r="899" spans="41:41" ht="14.25" customHeight="1" x14ac:dyDescent="0.25">
      <c r="AO899" s="17"/>
    </row>
    <row r="900" spans="41:41" ht="14.25" customHeight="1" x14ac:dyDescent="0.25">
      <c r="AO900" s="17"/>
    </row>
    <row r="901" spans="41:41" ht="14.25" customHeight="1" x14ac:dyDescent="0.25">
      <c r="AO901" s="17"/>
    </row>
    <row r="902" spans="41:41" ht="14.25" customHeight="1" x14ac:dyDescent="0.25">
      <c r="AO902" s="17"/>
    </row>
    <row r="903" spans="41:41" ht="14.25" customHeight="1" x14ac:dyDescent="0.25">
      <c r="AO903" s="17"/>
    </row>
    <row r="904" spans="41:41" ht="14.25" customHeight="1" x14ac:dyDescent="0.25">
      <c r="AO904" s="17"/>
    </row>
    <row r="905" spans="41:41" ht="14.25" customHeight="1" x14ac:dyDescent="0.25">
      <c r="AO905" s="17"/>
    </row>
    <row r="906" spans="41:41" ht="14.25" customHeight="1" x14ac:dyDescent="0.25">
      <c r="AO906" s="17"/>
    </row>
    <row r="907" spans="41:41" ht="14.25" customHeight="1" x14ac:dyDescent="0.25">
      <c r="AO907" s="17"/>
    </row>
    <row r="908" spans="41:41" ht="14.25" customHeight="1" x14ac:dyDescent="0.25">
      <c r="AO908" s="17"/>
    </row>
    <row r="909" spans="41:41" ht="14.25" customHeight="1" x14ac:dyDescent="0.25">
      <c r="AO909" s="17"/>
    </row>
    <row r="910" spans="41:41" ht="14.25" customHeight="1" x14ac:dyDescent="0.25">
      <c r="AO910" s="17"/>
    </row>
    <row r="911" spans="41:41" ht="14.25" customHeight="1" x14ac:dyDescent="0.25">
      <c r="AO911" s="17"/>
    </row>
    <row r="912" spans="41:41" ht="14.25" customHeight="1" x14ac:dyDescent="0.25">
      <c r="AO912" s="17"/>
    </row>
    <row r="913" spans="41:41" ht="14.25" customHeight="1" x14ac:dyDescent="0.25">
      <c r="AO913" s="17"/>
    </row>
    <row r="914" spans="41:41" ht="14.25" customHeight="1" x14ac:dyDescent="0.25">
      <c r="AO914" s="17"/>
    </row>
    <row r="915" spans="41:41" ht="14.25" customHeight="1" x14ac:dyDescent="0.25">
      <c r="AO915" s="17"/>
    </row>
    <row r="916" spans="41:41" ht="14.25" customHeight="1" x14ac:dyDescent="0.25">
      <c r="AO916" s="17"/>
    </row>
    <row r="917" spans="41:41" ht="14.25" customHeight="1" x14ac:dyDescent="0.25">
      <c r="AO917" s="17"/>
    </row>
    <row r="918" spans="41:41" ht="14.25" customHeight="1" x14ac:dyDescent="0.25">
      <c r="AO918" s="17"/>
    </row>
    <row r="919" spans="41:41" ht="14.25" customHeight="1" x14ac:dyDescent="0.25">
      <c r="AO919" s="17"/>
    </row>
    <row r="920" spans="41:41" ht="14.25" customHeight="1" x14ac:dyDescent="0.25">
      <c r="AO920" s="17"/>
    </row>
    <row r="921" spans="41:41" ht="14.25" customHeight="1" x14ac:dyDescent="0.25">
      <c r="AO921" s="17"/>
    </row>
    <row r="922" spans="41:41" ht="14.25" customHeight="1" x14ac:dyDescent="0.25">
      <c r="AO922" s="17"/>
    </row>
    <row r="923" spans="41:41" ht="14.25" customHeight="1" x14ac:dyDescent="0.25">
      <c r="AO923" s="17"/>
    </row>
    <row r="924" spans="41:41" ht="14.25" customHeight="1" x14ac:dyDescent="0.25">
      <c r="AO924" s="17"/>
    </row>
    <row r="925" spans="41:41" ht="14.25" customHeight="1" x14ac:dyDescent="0.25">
      <c r="AO925" s="17"/>
    </row>
    <row r="926" spans="41:41" ht="14.25" customHeight="1" x14ac:dyDescent="0.25">
      <c r="AO926" s="17"/>
    </row>
    <row r="927" spans="41:41" ht="14.25" customHeight="1" x14ac:dyDescent="0.25">
      <c r="AO927" s="17"/>
    </row>
    <row r="928" spans="41:41" ht="14.25" customHeight="1" x14ac:dyDescent="0.25">
      <c r="AO928" s="17"/>
    </row>
    <row r="929" spans="41:41" ht="14.25" customHeight="1" x14ac:dyDescent="0.25">
      <c r="AO929" s="17"/>
    </row>
    <row r="930" spans="41:41" ht="14.25" customHeight="1" x14ac:dyDescent="0.25">
      <c r="AO930" s="17"/>
    </row>
    <row r="931" spans="41:41" ht="14.25" customHeight="1" x14ac:dyDescent="0.25">
      <c r="AO931" s="17"/>
    </row>
    <row r="932" spans="41:41" ht="14.25" customHeight="1" x14ac:dyDescent="0.25">
      <c r="AO932" s="17"/>
    </row>
    <row r="933" spans="41:41" ht="14.25" customHeight="1" x14ac:dyDescent="0.25">
      <c r="AO933" s="17"/>
    </row>
    <row r="934" spans="41:41" ht="14.25" customHeight="1" x14ac:dyDescent="0.25">
      <c r="AO934" s="17"/>
    </row>
    <row r="935" spans="41:41" ht="14.25" customHeight="1" x14ac:dyDescent="0.25">
      <c r="AO935" s="17"/>
    </row>
    <row r="936" spans="41:41" ht="14.25" customHeight="1" x14ac:dyDescent="0.25">
      <c r="AO936" s="17"/>
    </row>
    <row r="937" spans="41:41" ht="14.25" customHeight="1" x14ac:dyDescent="0.25">
      <c r="AO937" s="17"/>
    </row>
    <row r="938" spans="41:41" ht="14.25" customHeight="1" x14ac:dyDescent="0.25">
      <c r="AO938" s="17"/>
    </row>
    <row r="939" spans="41:41" ht="14.25" customHeight="1" x14ac:dyDescent="0.25">
      <c r="AO939" s="17"/>
    </row>
    <row r="940" spans="41:41" ht="14.25" customHeight="1" x14ac:dyDescent="0.25">
      <c r="AO940" s="17"/>
    </row>
    <row r="941" spans="41:41" ht="14.25" customHeight="1" x14ac:dyDescent="0.25">
      <c r="AO941" s="17"/>
    </row>
    <row r="942" spans="41:41" ht="14.25" customHeight="1" x14ac:dyDescent="0.25">
      <c r="AO942" s="17"/>
    </row>
    <row r="943" spans="41:41" ht="14.25" customHeight="1" x14ac:dyDescent="0.25">
      <c r="AO943" s="17"/>
    </row>
    <row r="944" spans="41:41" ht="14.25" customHeight="1" x14ac:dyDescent="0.25">
      <c r="AO944" s="17"/>
    </row>
    <row r="945" spans="41:41" ht="14.25" customHeight="1" x14ac:dyDescent="0.25">
      <c r="AO945" s="17"/>
    </row>
    <row r="946" spans="41:41" ht="14.25" customHeight="1" x14ac:dyDescent="0.25">
      <c r="AO946" s="17"/>
    </row>
    <row r="947" spans="41:41" ht="14.25" customHeight="1" x14ac:dyDescent="0.25">
      <c r="AO947" s="17"/>
    </row>
    <row r="948" spans="41:41" ht="14.25" customHeight="1" x14ac:dyDescent="0.25">
      <c r="AO948" s="17"/>
    </row>
    <row r="949" spans="41:41" ht="14.25" customHeight="1" x14ac:dyDescent="0.25">
      <c r="AO949" s="17"/>
    </row>
    <row r="950" spans="41:41" ht="14.25" customHeight="1" x14ac:dyDescent="0.25">
      <c r="AO950" s="17"/>
    </row>
    <row r="951" spans="41:41" ht="14.25" customHeight="1" x14ac:dyDescent="0.25">
      <c r="AO951" s="17"/>
    </row>
    <row r="952" spans="41:41" ht="14.25" customHeight="1" x14ac:dyDescent="0.25">
      <c r="AO952" s="17"/>
    </row>
    <row r="953" spans="41:41" ht="14.25" customHeight="1" x14ac:dyDescent="0.25">
      <c r="AO953" s="17"/>
    </row>
    <row r="954" spans="41:41" ht="14.25" customHeight="1" x14ac:dyDescent="0.25">
      <c r="AO954" s="17"/>
    </row>
    <row r="955" spans="41:41" ht="14.25" customHeight="1" x14ac:dyDescent="0.25">
      <c r="AO955" s="17"/>
    </row>
    <row r="956" spans="41:41" ht="14.25" customHeight="1" x14ac:dyDescent="0.25">
      <c r="AO956" s="17"/>
    </row>
    <row r="957" spans="41:41" ht="14.25" customHeight="1" x14ac:dyDescent="0.25">
      <c r="AO957" s="17"/>
    </row>
    <row r="958" spans="41:41" ht="14.25" customHeight="1" x14ac:dyDescent="0.25">
      <c r="AO958" s="17"/>
    </row>
    <row r="959" spans="41:41" ht="14.25" customHeight="1" x14ac:dyDescent="0.25">
      <c r="AO959" s="17"/>
    </row>
    <row r="960" spans="41:41" ht="14.25" customHeight="1" x14ac:dyDescent="0.25">
      <c r="AO960" s="17"/>
    </row>
    <row r="961" spans="41:41" ht="14.25" customHeight="1" x14ac:dyDescent="0.25">
      <c r="AO961" s="17"/>
    </row>
    <row r="962" spans="41:41" ht="14.25" customHeight="1" x14ac:dyDescent="0.25">
      <c r="AO962" s="17"/>
    </row>
    <row r="963" spans="41:41" ht="14.25" customHeight="1" x14ac:dyDescent="0.25">
      <c r="AO963" s="17"/>
    </row>
    <row r="964" spans="41:41" ht="14.25" customHeight="1" x14ac:dyDescent="0.25">
      <c r="AO964" s="17"/>
    </row>
    <row r="965" spans="41:41" ht="14.25" customHeight="1" x14ac:dyDescent="0.25">
      <c r="AO965" s="17"/>
    </row>
    <row r="966" spans="41:41" ht="14.25" customHeight="1" x14ac:dyDescent="0.25">
      <c r="AO966" s="17"/>
    </row>
    <row r="967" spans="41:41" ht="14.25" customHeight="1" x14ac:dyDescent="0.25">
      <c r="AO967" s="17"/>
    </row>
    <row r="968" spans="41:41" ht="14.25" customHeight="1" x14ac:dyDescent="0.25">
      <c r="AO968" s="17"/>
    </row>
    <row r="969" spans="41:41" ht="14.25" customHeight="1" x14ac:dyDescent="0.25">
      <c r="AO969" s="17"/>
    </row>
    <row r="970" spans="41:41" ht="14.25" customHeight="1" x14ac:dyDescent="0.25">
      <c r="AO970" s="17"/>
    </row>
    <row r="971" spans="41:41" ht="14.25" customHeight="1" x14ac:dyDescent="0.25">
      <c r="AO971" s="17"/>
    </row>
    <row r="972" spans="41:41" ht="14.25" customHeight="1" x14ac:dyDescent="0.25">
      <c r="AO972" s="17"/>
    </row>
    <row r="973" spans="41:41" ht="14.25" customHeight="1" x14ac:dyDescent="0.25">
      <c r="AO973" s="17"/>
    </row>
    <row r="974" spans="41:41" ht="14.25" customHeight="1" x14ac:dyDescent="0.25">
      <c r="AO974" s="17"/>
    </row>
    <row r="975" spans="41:41" ht="14.25" customHeight="1" x14ac:dyDescent="0.25">
      <c r="AO975" s="17"/>
    </row>
    <row r="976" spans="41:41" ht="14.25" customHeight="1" x14ac:dyDescent="0.25">
      <c r="AO976" s="17"/>
    </row>
    <row r="977" spans="41:41" ht="14.25" customHeight="1" x14ac:dyDescent="0.25">
      <c r="AO977" s="17"/>
    </row>
    <row r="978" spans="41:41" ht="14.25" customHeight="1" x14ac:dyDescent="0.25">
      <c r="AO978" s="17"/>
    </row>
    <row r="979" spans="41:41" ht="14.25" customHeight="1" x14ac:dyDescent="0.25">
      <c r="AO979" s="17"/>
    </row>
    <row r="980" spans="41:41" ht="14.25" customHeight="1" x14ac:dyDescent="0.25">
      <c r="AO980" s="17"/>
    </row>
    <row r="981" spans="41:41" ht="14.25" customHeight="1" x14ac:dyDescent="0.25">
      <c r="AO981" s="17"/>
    </row>
    <row r="982" spans="41:41" ht="14.25" customHeight="1" x14ac:dyDescent="0.25">
      <c r="AO982" s="17"/>
    </row>
    <row r="983" spans="41:41" ht="14.25" customHeight="1" x14ac:dyDescent="0.25">
      <c r="AO983" s="17"/>
    </row>
    <row r="984" spans="41:41" ht="14.25" customHeight="1" x14ac:dyDescent="0.25">
      <c r="AO984" s="17"/>
    </row>
    <row r="985" spans="41:41" ht="14.25" customHeight="1" x14ac:dyDescent="0.25">
      <c r="AO985" s="17"/>
    </row>
    <row r="986" spans="41:41" ht="14.25" customHeight="1" x14ac:dyDescent="0.25">
      <c r="AO986" s="17"/>
    </row>
    <row r="987" spans="41:41" ht="14.25" customHeight="1" x14ac:dyDescent="0.25">
      <c r="AO987" s="17"/>
    </row>
    <row r="988" spans="41:41" ht="14.25" customHeight="1" x14ac:dyDescent="0.25">
      <c r="AO988" s="17"/>
    </row>
    <row r="989" spans="41:41" ht="14.25" customHeight="1" x14ac:dyDescent="0.25">
      <c r="AO989" s="17"/>
    </row>
    <row r="990" spans="41:41" ht="14.25" customHeight="1" x14ac:dyDescent="0.25">
      <c r="AO990" s="17"/>
    </row>
    <row r="991" spans="41:41" ht="14.25" customHeight="1" x14ac:dyDescent="0.25">
      <c r="AO991" s="17"/>
    </row>
    <row r="992" spans="41:41" ht="14.25" customHeight="1" x14ac:dyDescent="0.25">
      <c r="AO992" s="17"/>
    </row>
    <row r="993" spans="41:41" ht="14.25" customHeight="1" x14ac:dyDescent="0.25">
      <c r="AO993" s="17"/>
    </row>
    <row r="994" spans="41:41" ht="14.25" customHeight="1" x14ac:dyDescent="0.25">
      <c r="AO994" s="17"/>
    </row>
    <row r="995" spans="41:41" ht="14.25" customHeight="1" x14ac:dyDescent="0.25">
      <c r="AO995" s="17"/>
    </row>
    <row r="996" spans="41:41" ht="14.25" customHeight="1" x14ac:dyDescent="0.25">
      <c r="AO996" s="17"/>
    </row>
    <row r="997" spans="41:41" ht="14.25" customHeight="1" x14ac:dyDescent="0.25">
      <c r="AO997" s="17"/>
    </row>
    <row r="998" spans="41:41" ht="14.25" customHeight="1" x14ac:dyDescent="0.25">
      <c r="AO998" s="17"/>
    </row>
    <row r="999" spans="41:41" ht="14.25" customHeight="1" x14ac:dyDescent="0.25">
      <c r="AO999" s="17"/>
    </row>
    <row r="1000" spans="41:41" ht="14.25" customHeight="1" x14ac:dyDescent="0.25">
      <c r="AO1000" s="17"/>
    </row>
  </sheetData>
  <mergeCells count="26">
    <mergeCell ref="AN2:AO2"/>
    <mergeCell ref="AT2:BB2"/>
    <mergeCell ref="I2:N2"/>
    <mergeCell ref="I3:N3"/>
    <mergeCell ref="C4:G4"/>
    <mergeCell ref="J4:N4"/>
    <mergeCell ref="B2:G2"/>
    <mergeCell ref="S2:T2"/>
    <mergeCell ref="Y2:Z2"/>
    <mergeCell ref="AK2:AL2"/>
    <mergeCell ref="B3:G3"/>
    <mergeCell ref="S3:T3"/>
    <mergeCell ref="Y3:Z3"/>
    <mergeCell ref="V2:W2"/>
    <mergeCell ref="V3:W3"/>
    <mergeCell ref="AB2:AF2"/>
    <mergeCell ref="AT3:BB3"/>
    <mergeCell ref="P4:Q4"/>
    <mergeCell ref="AQ4:AR4"/>
    <mergeCell ref="AU4:AX4"/>
    <mergeCell ref="AY4:BB4"/>
    <mergeCell ref="AB3:AF3"/>
    <mergeCell ref="AD4:AF4"/>
    <mergeCell ref="AH4:AI4"/>
    <mergeCell ref="AK3:AL3"/>
    <mergeCell ref="AN3:AO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Q1000"/>
  <sheetViews>
    <sheetView showGridLines="0" workbookViewId="0"/>
  </sheetViews>
  <sheetFormatPr defaultColWidth="14.42578125" defaultRowHeight="15" customHeight="1" x14ac:dyDescent="0.25"/>
  <cols>
    <col min="1" max="17" width="9.28515625" customWidth="1"/>
    <col min="18" max="26" width="8.7109375" customWidth="1"/>
  </cols>
  <sheetData>
    <row r="1" spans="1:17" ht="14.25" customHeight="1" x14ac:dyDescent="0.25">
      <c r="A1" s="21" t="s">
        <v>54</v>
      </c>
      <c r="B1" s="21" t="s">
        <v>41</v>
      </c>
      <c r="C1" s="21" t="s">
        <v>55</v>
      </c>
      <c r="D1" s="21" t="s">
        <v>56</v>
      </c>
      <c r="E1" s="21" t="s">
        <v>57</v>
      </c>
      <c r="F1" s="21" t="s">
        <v>58</v>
      </c>
      <c r="G1" s="21" t="s">
        <v>59</v>
      </c>
      <c r="H1" s="21" t="s">
        <v>60</v>
      </c>
      <c r="I1" s="21" t="s">
        <v>61</v>
      </c>
      <c r="J1" s="21" t="s">
        <v>62</v>
      </c>
      <c r="K1" s="21" t="s">
        <v>63</v>
      </c>
      <c r="L1" s="21" t="s">
        <v>64</v>
      </c>
      <c r="M1" s="21" t="s">
        <v>65</v>
      </c>
      <c r="N1" s="21" t="s">
        <v>66</v>
      </c>
      <c r="O1" s="21" t="s">
        <v>67</v>
      </c>
      <c r="P1" s="21" t="s">
        <v>68</v>
      </c>
      <c r="Q1" s="21" t="s">
        <v>69</v>
      </c>
    </row>
    <row r="2" spans="1:17" ht="14.25" customHeight="1" x14ac:dyDescent="0.25">
      <c r="A2" s="21">
        <v>2</v>
      </c>
      <c r="B2" s="28">
        <v>2.121</v>
      </c>
      <c r="C2" s="28">
        <v>1.88</v>
      </c>
      <c r="D2" s="28">
        <v>2.6589999999999998</v>
      </c>
      <c r="E2" s="28">
        <v>0.79790000000000005</v>
      </c>
      <c r="F2" s="28">
        <v>1.2533000000000001</v>
      </c>
      <c r="G2" s="28">
        <v>0</v>
      </c>
      <c r="H2" s="28">
        <v>3.2669999999999999</v>
      </c>
      <c r="I2" s="28">
        <v>0</v>
      </c>
      <c r="J2" s="28">
        <v>2.6059999999999999</v>
      </c>
      <c r="K2" s="28">
        <v>1.1279999999999999</v>
      </c>
      <c r="L2" s="28">
        <v>0.88649999999999995</v>
      </c>
      <c r="M2" s="28">
        <v>0.85299999999999998</v>
      </c>
      <c r="N2" s="28">
        <v>0</v>
      </c>
      <c r="O2" s="28">
        <v>3.6859999999999999</v>
      </c>
      <c r="P2" s="28">
        <v>0</v>
      </c>
      <c r="Q2" s="28">
        <v>3.2669999999999999</v>
      </c>
    </row>
    <row r="3" spans="1:17" ht="14.25" customHeight="1" x14ac:dyDescent="0.25">
      <c r="A3" s="21">
        <v>3</v>
      </c>
      <c r="B3" s="28">
        <v>1.732</v>
      </c>
      <c r="C3" s="28">
        <v>1.0229999999999999</v>
      </c>
      <c r="D3" s="28">
        <v>1.954</v>
      </c>
      <c r="E3" s="28">
        <v>0.88619999999999999</v>
      </c>
      <c r="F3" s="28">
        <v>1.1284000000000001</v>
      </c>
      <c r="G3" s="28">
        <v>0</v>
      </c>
      <c r="H3" s="28">
        <v>2.5680000000000001</v>
      </c>
      <c r="I3" s="28">
        <v>0</v>
      </c>
      <c r="J3" s="28">
        <v>2.2759999999999998</v>
      </c>
      <c r="K3" s="28">
        <v>1.6930000000000001</v>
      </c>
      <c r="L3" s="28">
        <v>0.5907</v>
      </c>
      <c r="M3" s="28">
        <v>0.88800000000000001</v>
      </c>
      <c r="N3" s="28">
        <v>0</v>
      </c>
      <c r="O3" s="28">
        <v>4.3579999999999997</v>
      </c>
      <c r="P3" s="28">
        <v>0</v>
      </c>
      <c r="Q3" s="28">
        <v>2.5739999999999998</v>
      </c>
    </row>
    <row r="4" spans="1:17" ht="14.25" customHeight="1" x14ac:dyDescent="0.25">
      <c r="A4" s="21">
        <v>4</v>
      </c>
      <c r="B4" s="28">
        <v>1.5</v>
      </c>
      <c r="C4" s="28">
        <v>0.72899999999999998</v>
      </c>
      <c r="D4" s="28">
        <v>1.6279999999999999</v>
      </c>
      <c r="E4" s="28">
        <v>0.92130000000000001</v>
      </c>
      <c r="F4" s="28">
        <v>1.0853999999999999</v>
      </c>
      <c r="G4" s="28">
        <v>0</v>
      </c>
      <c r="H4" s="28">
        <v>2.266</v>
      </c>
      <c r="I4" s="28">
        <v>0</v>
      </c>
      <c r="J4" s="28">
        <v>2.0880000000000001</v>
      </c>
      <c r="K4" s="28">
        <v>2.0590000000000002</v>
      </c>
      <c r="L4" s="28">
        <v>0.48570000000000002</v>
      </c>
      <c r="M4" s="28">
        <v>0.88</v>
      </c>
      <c r="N4" s="28">
        <v>0</v>
      </c>
      <c r="O4" s="28">
        <v>4.6980000000000004</v>
      </c>
      <c r="P4" s="28">
        <v>0</v>
      </c>
      <c r="Q4" s="28">
        <v>2.282</v>
      </c>
    </row>
    <row r="5" spans="1:17" ht="14.25" customHeight="1" x14ac:dyDescent="0.25">
      <c r="A5" s="21">
        <v>5</v>
      </c>
      <c r="B5" s="28">
        <v>1.3420000000000001</v>
      </c>
      <c r="C5" s="28">
        <v>0.57699999999999996</v>
      </c>
      <c r="D5" s="28">
        <v>1.427</v>
      </c>
      <c r="E5" s="28">
        <v>0.94</v>
      </c>
      <c r="F5" s="28">
        <v>1.0638000000000001</v>
      </c>
      <c r="G5" s="28">
        <v>0</v>
      </c>
      <c r="H5" s="28">
        <v>2.089</v>
      </c>
      <c r="I5" s="28">
        <v>0</v>
      </c>
      <c r="J5" s="28">
        <v>1.964</v>
      </c>
      <c r="K5" s="28">
        <v>2.3260000000000001</v>
      </c>
      <c r="L5" s="28">
        <v>0.4299</v>
      </c>
      <c r="M5" s="28">
        <v>0.86399999999999999</v>
      </c>
      <c r="N5" s="28">
        <v>0</v>
      </c>
      <c r="O5" s="28">
        <v>4.9180000000000001</v>
      </c>
      <c r="P5" s="28">
        <v>0</v>
      </c>
      <c r="Q5" s="28">
        <v>2.1139999999999999</v>
      </c>
    </row>
    <row r="6" spans="1:17" ht="14.25" customHeight="1" x14ac:dyDescent="0.25">
      <c r="A6" s="21">
        <v>6</v>
      </c>
      <c r="B6" s="28">
        <v>1.2250000000000001</v>
      </c>
      <c r="C6" s="28">
        <v>0.48299999999999998</v>
      </c>
      <c r="D6" s="28">
        <v>1.2869999999999999</v>
      </c>
      <c r="E6" s="28">
        <v>0.95150000000000001</v>
      </c>
      <c r="F6" s="28">
        <v>1.0509999999999999</v>
      </c>
      <c r="G6" s="28">
        <v>0.03</v>
      </c>
      <c r="H6" s="28">
        <v>1.97</v>
      </c>
      <c r="I6" s="28">
        <v>2.9000000000000001E-2</v>
      </c>
      <c r="J6" s="28">
        <v>1.8740000000000001</v>
      </c>
      <c r="K6" s="28">
        <v>2.5339999999999998</v>
      </c>
      <c r="L6" s="28">
        <v>0.39460000000000001</v>
      </c>
      <c r="M6" s="28">
        <v>0.84799999999999998</v>
      </c>
      <c r="N6" s="28">
        <v>0</v>
      </c>
      <c r="O6" s="28">
        <v>5.0780000000000003</v>
      </c>
      <c r="P6" s="28">
        <v>0</v>
      </c>
      <c r="Q6" s="28">
        <v>2.004</v>
      </c>
    </row>
    <row r="7" spans="1:17" ht="14.25" customHeight="1" x14ac:dyDescent="0.25">
      <c r="A7" s="21">
        <v>7</v>
      </c>
      <c r="B7" s="28">
        <v>1.1339999999999999</v>
      </c>
      <c r="C7" s="28">
        <v>0.41899999999999998</v>
      </c>
      <c r="D7" s="28">
        <v>1.1819999999999999</v>
      </c>
      <c r="E7" s="28">
        <v>0.95940000000000003</v>
      </c>
      <c r="F7" s="28">
        <v>1.0423</v>
      </c>
      <c r="G7" s="28">
        <v>0.11799999999999999</v>
      </c>
      <c r="H7" s="28">
        <v>1.8819999999999999</v>
      </c>
      <c r="I7" s="28">
        <v>0.113</v>
      </c>
      <c r="J7" s="28">
        <v>1.806</v>
      </c>
      <c r="K7" s="28">
        <v>2.7040000000000002</v>
      </c>
      <c r="L7" s="28">
        <v>0.36980000000000002</v>
      </c>
      <c r="M7" s="28">
        <v>0.83299999999999996</v>
      </c>
      <c r="N7" s="28">
        <v>0.20399999999999999</v>
      </c>
      <c r="O7" s="28">
        <v>5.2039999999999997</v>
      </c>
      <c r="P7" s="28">
        <v>7.5999999999999998E-2</v>
      </c>
      <c r="Q7" s="28">
        <v>1.9239999999999999</v>
      </c>
    </row>
    <row r="8" spans="1:17" ht="14.25" customHeight="1" x14ac:dyDescent="0.25">
      <c r="A8" s="21">
        <v>8</v>
      </c>
      <c r="B8" s="28">
        <v>1.0609999999999999</v>
      </c>
      <c r="C8" s="28">
        <v>0.373</v>
      </c>
      <c r="D8" s="28">
        <v>1.099</v>
      </c>
      <c r="E8" s="28">
        <v>0.96499999999999997</v>
      </c>
      <c r="F8" s="28">
        <v>1.0363</v>
      </c>
      <c r="G8" s="28">
        <v>0.185</v>
      </c>
      <c r="H8" s="28">
        <v>1.8149999999999999</v>
      </c>
      <c r="I8" s="28">
        <v>0.17899999999999999</v>
      </c>
      <c r="J8" s="28">
        <v>1.7509999999999999</v>
      </c>
      <c r="K8" s="28">
        <v>2.847</v>
      </c>
      <c r="L8" s="28">
        <v>0.35120000000000001</v>
      </c>
      <c r="M8" s="28">
        <v>0.82</v>
      </c>
      <c r="N8" s="28">
        <v>0.38800000000000001</v>
      </c>
      <c r="O8" s="28">
        <v>5.306</v>
      </c>
      <c r="P8" s="28">
        <v>0.13600000000000001</v>
      </c>
      <c r="Q8" s="28">
        <v>1.8640000000000001</v>
      </c>
    </row>
    <row r="9" spans="1:17" ht="14.25" customHeight="1" x14ac:dyDescent="0.25">
      <c r="A9" s="21">
        <v>9</v>
      </c>
      <c r="B9" s="28">
        <v>1</v>
      </c>
      <c r="C9" s="28">
        <v>0.33700000000000002</v>
      </c>
      <c r="D9" s="28">
        <v>1.032</v>
      </c>
      <c r="E9" s="28">
        <v>0.96930000000000005</v>
      </c>
      <c r="F9" s="28">
        <v>1.0317000000000001</v>
      </c>
      <c r="G9" s="28">
        <v>0.23899999999999999</v>
      </c>
      <c r="H9" s="28">
        <v>1.7609999999999999</v>
      </c>
      <c r="I9" s="28">
        <v>0.23200000000000001</v>
      </c>
      <c r="J9" s="28">
        <v>1.7070000000000001</v>
      </c>
      <c r="K9" s="28">
        <v>2.97</v>
      </c>
      <c r="L9" s="28">
        <v>0.3367</v>
      </c>
      <c r="M9" s="28">
        <v>0.80800000000000005</v>
      </c>
      <c r="N9" s="28">
        <v>0.54700000000000004</v>
      </c>
      <c r="O9" s="28">
        <v>5.3929999999999998</v>
      </c>
      <c r="P9" s="28">
        <v>0.184</v>
      </c>
      <c r="Q9" s="28">
        <v>1.8160000000000001</v>
      </c>
    </row>
    <row r="10" spans="1:17" ht="14.25" customHeight="1" x14ac:dyDescent="0.25">
      <c r="A10" s="21">
        <v>10</v>
      </c>
      <c r="B10" s="28">
        <v>0.94899999999999995</v>
      </c>
      <c r="C10" s="28">
        <v>0.308</v>
      </c>
      <c r="D10" s="28">
        <v>0.97499999999999998</v>
      </c>
      <c r="E10" s="28">
        <v>0.97270000000000001</v>
      </c>
      <c r="F10" s="28">
        <v>1.0281</v>
      </c>
      <c r="G10" s="28">
        <v>0.28399999999999997</v>
      </c>
      <c r="H10" s="28">
        <v>1.716</v>
      </c>
      <c r="I10" s="28">
        <v>0.27600000000000002</v>
      </c>
      <c r="J10" s="28">
        <v>1.669</v>
      </c>
      <c r="K10" s="28">
        <v>3.0779999999999998</v>
      </c>
      <c r="L10" s="28">
        <v>0.32490000000000002</v>
      </c>
      <c r="M10" s="28">
        <v>0.79700000000000004</v>
      </c>
      <c r="N10" s="28">
        <v>0.68700000000000006</v>
      </c>
      <c r="O10" s="28">
        <v>5.4690000000000003</v>
      </c>
      <c r="P10" s="28">
        <v>0.223</v>
      </c>
      <c r="Q10" s="28">
        <v>1.7769999999999999</v>
      </c>
    </row>
    <row r="11" spans="1:17" ht="14.25" customHeight="1" x14ac:dyDescent="0.25">
      <c r="A11" s="21">
        <v>11</v>
      </c>
      <c r="B11" s="28">
        <v>0.90500000000000003</v>
      </c>
      <c r="C11" s="28">
        <v>0.28499999999999998</v>
      </c>
      <c r="D11" s="28">
        <v>0.92700000000000005</v>
      </c>
      <c r="E11" s="28">
        <v>0.97540000000000004</v>
      </c>
      <c r="F11" s="28">
        <v>1.0251999999999999</v>
      </c>
      <c r="G11" s="28">
        <v>0.32100000000000001</v>
      </c>
      <c r="H11" s="28">
        <v>1.679</v>
      </c>
      <c r="I11" s="28">
        <v>0.313</v>
      </c>
      <c r="J11" s="28">
        <v>1.637</v>
      </c>
      <c r="K11" s="28">
        <v>3.173</v>
      </c>
      <c r="L11" s="28">
        <v>0.31519999999999998</v>
      </c>
      <c r="M11" s="28">
        <v>0.78700000000000003</v>
      </c>
      <c r="N11" s="28">
        <v>0.81100000000000005</v>
      </c>
      <c r="O11" s="28">
        <v>5.5350000000000001</v>
      </c>
      <c r="P11" s="28">
        <v>0.25600000000000001</v>
      </c>
      <c r="Q11" s="28">
        <v>1.744</v>
      </c>
    </row>
    <row r="12" spans="1:17" ht="14.25" customHeight="1" x14ac:dyDescent="0.25">
      <c r="A12" s="21">
        <v>12</v>
      </c>
      <c r="B12" s="28">
        <v>0.86599999999999999</v>
      </c>
      <c r="C12" s="28">
        <v>0.26600000000000001</v>
      </c>
      <c r="D12" s="28">
        <v>0.88600000000000001</v>
      </c>
      <c r="E12" s="28">
        <v>0.97760000000000002</v>
      </c>
      <c r="F12" s="28">
        <v>1.0228999999999999</v>
      </c>
      <c r="G12" s="28">
        <v>0.35399999999999998</v>
      </c>
      <c r="H12" s="28">
        <v>1.6459999999999999</v>
      </c>
      <c r="I12" s="28">
        <v>0.34599999999999997</v>
      </c>
      <c r="J12" s="28">
        <v>1.61</v>
      </c>
      <c r="K12" s="28">
        <v>3.258</v>
      </c>
      <c r="L12" s="28">
        <v>0.30690000000000001</v>
      </c>
      <c r="M12" s="28">
        <v>0.77800000000000002</v>
      </c>
      <c r="N12" s="28">
        <v>0.92200000000000004</v>
      </c>
      <c r="O12" s="28">
        <v>5.5940000000000003</v>
      </c>
      <c r="P12" s="28">
        <v>0.28299999999999997</v>
      </c>
      <c r="Q12" s="28">
        <v>1.7170000000000001</v>
      </c>
    </row>
    <row r="13" spans="1:17" ht="14.25" customHeight="1" x14ac:dyDescent="0.25">
      <c r="A13" s="21">
        <v>13</v>
      </c>
      <c r="B13" s="28">
        <v>0.83199999999999996</v>
      </c>
      <c r="C13" s="28">
        <v>0.249</v>
      </c>
      <c r="D13" s="28">
        <v>0.85</v>
      </c>
      <c r="E13" s="28">
        <v>0.97940000000000005</v>
      </c>
      <c r="F13" s="28">
        <v>1.0209999999999999</v>
      </c>
      <c r="G13" s="28">
        <v>0.38200000000000001</v>
      </c>
      <c r="H13" s="28">
        <v>1.6180000000000001</v>
      </c>
      <c r="I13" s="28">
        <v>0.374</v>
      </c>
      <c r="J13" s="28">
        <v>1.585</v>
      </c>
      <c r="K13" s="28">
        <v>3.3359999999999999</v>
      </c>
      <c r="L13" s="28">
        <v>0.29980000000000001</v>
      </c>
      <c r="M13" s="28">
        <v>0.77</v>
      </c>
      <c r="N13" s="28">
        <v>1.0249999999999999</v>
      </c>
      <c r="O13" s="28">
        <v>5.6470000000000002</v>
      </c>
      <c r="P13" s="28">
        <v>0.307</v>
      </c>
      <c r="Q13" s="28">
        <v>1.6930000000000001</v>
      </c>
    </row>
    <row r="14" spans="1:17" ht="14.25" customHeight="1" x14ac:dyDescent="0.25">
      <c r="A14" s="21">
        <v>14</v>
      </c>
      <c r="B14" s="28">
        <v>0.80200000000000005</v>
      </c>
      <c r="C14" s="28">
        <v>0.23499999999999999</v>
      </c>
      <c r="D14" s="28">
        <v>0.81699999999999995</v>
      </c>
      <c r="E14" s="28">
        <v>0.98099999999999998</v>
      </c>
      <c r="F14" s="28">
        <v>1.0194000000000001</v>
      </c>
      <c r="G14" s="28">
        <v>0.40600000000000003</v>
      </c>
      <c r="H14" s="28">
        <v>1.5940000000000001</v>
      </c>
      <c r="I14" s="28">
        <v>0.39900000000000002</v>
      </c>
      <c r="J14" s="28">
        <v>1.5629999999999999</v>
      </c>
      <c r="K14" s="28">
        <v>3.407</v>
      </c>
      <c r="L14" s="28">
        <v>0.29349999999999998</v>
      </c>
      <c r="M14" s="28">
        <v>0.76300000000000001</v>
      </c>
      <c r="N14" s="28">
        <v>1.1180000000000001</v>
      </c>
      <c r="O14" s="28">
        <v>5.6959999999999997</v>
      </c>
      <c r="P14" s="28">
        <v>0.32800000000000001</v>
      </c>
      <c r="Q14" s="28">
        <v>1.6719999999999999</v>
      </c>
    </row>
    <row r="15" spans="1:17" ht="14.25" customHeight="1" x14ac:dyDescent="0.25">
      <c r="A15" s="21">
        <v>15</v>
      </c>
      <c r="B15" s="28">
        <v>0.77500000000000002</v>
      </c>
      <c r="C15" s="28">
        <v>0.223</v>
      </c>
      <c r="D15" s="28">
        <v>0.78900000000000003</v>
      </c>
      <c r="E15" s="28">
        <v>0.98229999999999995</v>
      </c>
      <c r="F15" s="28">
        <v>1.018</v>
      </c>
      <c r="G15" s="28">
        <v>0.42799999999999999</v>
      </c>
      <c r="H15" s="28">
        <v>1.5720000000000001</v>
      </c>
      <c r="I15" s="28">
        <v>0.42099999999999999</v>
      </c>
      <c r="J15" s="28">
        <v>1.544</v>
      </c>
      <c r="K15" s="28">
        <v>3.472</v>
      </c>
      <c r="L15" s="28">
        <v>0.28799999999999998</v>
      </c>
      <c r="M15" s="28">
        <v>0.75600000000000001</v>
      </c>
      <c r="N15" s="28">
        <v>1.2030000000000001</v>
      </c>
      <c r="O15" s="28">
        <v>5.7409999999999997</v>
      </c>
      <c r="P15" s="28">
        <v>0.34699999999999998</v>
      </c>
      <c r="Q15" s="28">
        <v>1.653</v>
      </c>
    </row>
    <row r="16" spans="1:17" ht="14.25" customHeight="1" x14ac:dyDescent="0.25">
      <c r="A16" s="21">
        <v>16</v>
      </c>
      <c r="B16" s="28">
        <v>0.75</v>
      </c>
      <c r="C16" s="28">
        <v>0.21199999999999999</v>
      </c>
      <c r="D16" s="28">
        <v>0.76300000000000001</v>
      </c>
      <c r="E16" s="28">
        <v>0.98350000000000004</v>
      </c>
      <c r="F16" s="28">
        <v>1.0167999999999999</v>
      </c>
      <c r="G16" s="28">
        <v>0.44800000000000001</v>
      </c>
      <c r="H16" s="28">
        <v>1.552</v>
      </c>
      <c r="I16" s="28">
        <v>0.44</v>
      </c>
      <c r="J16" s="28">
        <v>1.526</v>
      </c>
      <c r="K16" s="28">
        <v>3.532</v>
      </c>
      <c r="L16" s="28">
        <v>0.28310000000000002</v>
      </c>
      <c r="M16" s="28">
        <v>0.75</v>
      </c>
      <c r="N16" s="28">
        <v>1.282</v>
      </c>
      <c r="O16" s="28">
        <v>5.782</v>
      </c>
      <c r="P16" s="28">
        <v>0.36299999999999999</v>
      </c>
      <c r="Q16" s="28">
        <v>1.637</v>
      </c>
    </row>
    <row r="17" spans="1:17" ht="14.25" customHeight="1" x14ac:dyDescent="0.25">
      <c r="A17" s="21">
        <v>17</v>
      </c>
      <c r="B17" s="28">
        <v>0.72799999999999998</v>
      </c>
      <c r="C17" s="28">
        <v>0.20300000000000001</v>
      </c>
      <c r="D17" s="28">
        <v>0.73899999999999999</v>
      </c>
      <c r="E17" s="28">
        <v>0.98450000000000004</v>
      </c>
      <c r="F17" s="28">
        <v>1.0157</v>
      </c>
      <c r="G17" s="28">
        <v>0.46600000000000003</v>
      </c>
      <c r="H17" s="28">
        <v>1.534</v>
      </c>
      <c r="I17" s="28">
        <v>0.45800000000000002</v>
      </c>
      <c r="J17" s="28">
        <v>1.5109999999999999</v>
      </c>
      <c r="K17" s="28">
        <v>3.5880000000000001</v>
      </c>
      <c r="L17" s="28">
        <v>0.2787</v>
      </c>
      <c r="M17" s="28">
        <v>0.74399999999999999</v>
      </c>
      <c r="N17" s="28">
        <v>1.3560000000000001</v>
      </c>
      <c r="O17" s="28">
        <v>5.82</v>
      </c>
      <c r="P17" s="28">
        <v>0.378</v>
      </c>
      <c r="Q17" s="28">
        <v>1.6220000000000001</v>
      </c>
    </row>
    <row r="18" spans="1:17" ht="14.25" customHeight="1" x14ac:dyDescent="0.25">
      <c r="A18" s="21">
        <v>18</v>
      </c>
      <c r="B18" s="28">
        <v>0.70699999999999996</v>
      </c>
      <c r="C18" s="28">
        <v>0.19400000000000001</v>
      </c>
      <c r="D18" s="28">
        <v>0.71799999999999997</v>
      </c>
      <c r="E18" s="28">
        <v>0.98540000000000005</v>
      </c>
      <c r="F18" s="28">
        <v>1.0147999999999999</v>
      </c>
      <c r="G18" s="28">
        <v>0.48199999999999998</v>
      </c>
      <c r="H18" s="28">
        <v>1.518</v>
      </c>
      <c r="I18" s="28">
        <v>0.47499999999999998</v>
      </c>
      <c r="J18" s="28">
        <v>1.496</v>
      </c>
      <c r="K18" s="28">
        <v>3.64</v>
      </c>
      <c r="L18" s="28">
        <v>0.2747</v>
      </c>
      <c r="M18" s="28">
        <v>0.73899999999999999</v>
      </c>
      <c r="N18" s="28">
        <v>1.4239999999999999</v>
      </c>
      <c r="O18" s="28">
        <v>5.8559999999999999</v>
      </c>
      <c r="P18" s="28">
        <v>0.39100000000000001</v>
      </c>
      <c r="Q18" s="28">
        <v>1.6080000000000001</v>
      </c>
    </row>
    <row r="19" spans="1:17" ht="14.25" customHeight="1" x14ac:dyDescent="0.25">
      <c r="A19" s="21">
        <v>19</v>
      </c>
      <c r="B19" s="28">
        <v>0.68799999999999994</v>
      </c>
      <c r="C19" s="28">
        <v>0.187</v>
      </c>
      <c r="D19" s="28">
        <v>0.69799999999999995</v>
      </c>
      <c r="E19" s="28">
        <v>0.98619999999999997</v>
      </c>
      <c r="F19" s="28">
        <v>1.014</v>
      </c>
      <c r="G19" s="28">
        <v>0.497</v>
      </c>
      <c r="H19" s="28">
        <v>1.5029999999999999</v>
      </c>
      <c r="I19" s="28">
        <v>0.49</v>
      </c>
      <c r="J19" s="28">
        <v>1.4830000000000001</v>
      </c>
      <c r="K19" s="28">
        <v>3.6890000000000001</v>
      </c>
      <c r="L19" s="28">
        <v>0.27110000000000001</v>
      </c>
      <c r="M19" s="28">
        <v>0.73399999999999999</v>
      </c>
      <c r="N19" s="28">
        <v>1.4870000000000001</v>
      </c>
      <c r="O19" s="28">
        <v>5.891</v>
      </c>
      <c r="P19" s="28">
        <v>0.40300000000000002</v>
      </c>
      <c r="Q19" s="28">
        <v>1.597</v>
      </c>
    </row>
    <row r="20" spans="1:17" ht="14.25" customHeight="1" x14ac:dyDescent="0.25">
      <c r="A20" s="21">
        <v>20</v>
      </c>
      <c r="B20" s="28">
        <v>0.67100000000000004</v>
      </c>
      <c r="C20" s="28">
        <v>0.18</v>
      </c>
      <c r="D20" s="28">
        <v>0.68</v>
      </c>
      <c r="E20" s="28">
        <v>0.9869</v>
      </c>
      <c r="F20" s="28">
        <v>1.0133000000000001</v>
      </c>
      <c r="G20" s="28">
        <v>0.51</v>
      </c>
      <c r="H20" s="28">
        <v>1.49</v>
      </c>
      <c r="I20" s="28">
        <v>0.504</v>
      </c>
      <c r="J20" s="28">
        <v>1.47</v>
      </c>
      <c r="K20" s="28">
        <v>3.7349999999999999</v>
      </c>
      <c r="L20" s="28">
        <v>0.26769999999999999</v>
      </c>
      <c r="M20" s="28">
        <v>0.72899999999999998</v>
      </c>
      <c r="N20" s="28">
        <v>1.5489999999999999</v>
      </c>
      <c r="O20" s="28">
        <v>5.9210000000000003</v>
      </c>
      <c r="P20" s="28">
        <v>0.41499999999999998</v>
      </c>
      <c r="Q20" s="28">
        <v>1.585</v>
      </c>
    </row>
    <row r="21" spans="1:17" ht="14.25" customHeight="1" x14ac:dyDescent="0.25">
      <c r="A21" s="21">
        <v>21</v>
      </c>
      <c r="B21" s="28">
        <v>0.65500000000000003</v>
      </c>
      <c r="C21" s="28">
        <v>0.17299999999999999</v>
      </c>
      <c r="D21" s="28">
        <v>0.66300000000000003</v>
      </c>
      <c r="E21" s="28">
        <v>0.98760000000000003</v>
      </c>
      <c r="F21" s="28">
        <v>1.0125999999999999</v>
      </c>
      <c r="G21" s="28">
        <v>0.52300000000000002</v>
      </c>
      <c r="H21" s="28">
        <v>1.4770000000000001</v>
      </c>
      <c r="I21" s="28">
        <v>0.51600000000000001</v>
      </c>
      <c r="J21" s="28">
        <v>1.4590000000000001</v>
      </c>
      <c r="K21" s="28">
        <v>3.778</v>
      </c>
      <c r="L21" s="28">
        <v>0.26469999999999999</v>
      </c>
      <c r="M21" s="28">
        <v>0.72399999999999998</v>
      </c>
      <c r="N21" s="28">
        <v>1.605</v>
      </c>
      <c r="O21" s="28">
        <v>5.9509999999999996</v>
      </c>
      <c r="P21" s="28">
        <v>0.42499999999999999</v>
      </c>
      <c r="Q21" s="28">
        <v>1.575</v>
      </c>
    </row>
    <row r="22" spans="1:17" ht="14.25" customHeight="1" x14ac:dyDescent="0.25">
      <c r="A22" s="21">
        <v>22</v>
      </c>
      <c r="B22" s="28">
        <v>0.64</v>
      </c>
      <c r="C22" s="28">
        <v>0.16700000000000001</v>
      </c>
      <c r="D22" s="28">
        <v>0.64700000000000002</v>
      </c>
      <c r="E22" s="28">
        <v>0.98819999999999997</v>
      </c>
      <c r="F22" s="28">
        <v>1.0119</v>
      </c>
      <c r="G22" s="28">
        <v>0.53400000000000003</v>
      </c>
      <c r="H22" s="28">
        <v>1.466</v>
      </c>
      <c r="I22" s="28">
        <v>0.52800000000000002</v>
      </c>
      <c r="J22" s="28">
        <v>1.448</v>
      </c>
      <c r="K22" s="28">
        <v>3.819</v>
      </c>
      <c r="L22" s="28">
        <v>0.26179999999999998</v>
      </c>
      <c r="M22" s="28">
        <v>0.72</v>
      </c>
      <c r="N22" s="28">
        <v>1.659</v>
      </c>
      <c r="O22" s="28">
        <v>5.9790000000000001</v>
      </c>
      <c r="P22" s="28">
        <v>0.434</v>
      </c>
      <c r="Q22" s="28">
        <v>1.5660000000000001</v>
      </c>
    </row>
    <row r="23" spans="1:17" ht="14.25" customHeight="1" x14ac:dyDescent="0.25">
      <c r="A23" s="21">
        <v>23</v>
      </c>
      <c r="B23" s="28">
        <v>0.626</v>
      </c>
      <c r="C23" s="28">
        <v>0.16200000000000001</v>
      </c>
      <c r="D23" s="28">
        <v>0.63300000000000001</v>
      </c>
      <c r="E23" s="28">
        <v>0.98870000000000002</v>
      </c>
      <c r="F23" s="28">
        <v>1.0114000000000001</v>
      </c>
      <c r="G23" s="28">
        <v>0.54500000000000004</v>
      </c>
      <c r="H23" s="28">
        <v>1.4550000000000001</v>
      </c>
      <c r="I23" s="28">
        <v>0.53900000000000003</v>
      </c>
      <c r="J23" s="28">
        <v>1.4379999999999999</v>
      </c>
      <c r="K23" s="28">
        <v>3.8580000000000001</v>
      </c>
      <c r="L23" s="28">
        <v>0.25919999999999999</v>
      </c>
      <c r="M23" s="28">
        <v>0.71599999999999997</v>
      </c>
      <c r="N23" s="28">
        <v>1.71</v>
      </c>
      <c r="O23" s="28">
        <v>6.0060000000000002</v>
      </c>
      <c r="P23" s="28">
        <v>0.443</v>
      </c>
      <c r="Q23" s="28">
        <v>1.5569999999999999</v>
      </c>
    </row>
    <row r="24" spans="1:17" ht="14.25" customHeight="1" x14ac:dyDescent="0.25">
      <c r="A24" s="21">
        <v>24</v>
      </c>
      <c r="B24" s="28">
        <v>0.61199999999999999</v>
      </c>
      <c r="C24" s="28">
        <v>0.157</v>
      </c>
      <c r="D24" s="28">
        <v>0.61899999999999999</v>
      </c>
      <c r="E24" s="28">
        <v>0.98919999999999997</v>
      </c>
      <c r="F24" s="28">
        <v>1.0108999999999999</v>
      </c>
      <c r="G24" s="28">
        <v>0.55500000000000005</v>
      </c>
      <c r="H24" s="28">
        <v>1.4450000000000001</v>
      </c>
      <c r="I24" s="28">
        <v>0.54900000000000004</v>
      </c>
      <c r="J24" s="28">
        <v>1.429</v>
      </c>
      <c r="K24" s="28">
        <v>3.895</v>
      </c>
      <c r="L24" s="28">
        <v>0.25669999999999998</v>
      </c>
      <c r="M24" s="28">
        <v>0.71199999999999997</v>
      </c>
      <c r="N24" s="28">
        <v>1.7589999999999999</v>
      </c>
      <c r="O24" s="28">
        <v>6.0309999999999997</v>
      </c>
      <c r="P24" s="28">
        <v>0.45100000000000001</v>
      </c>
      <c r="Q24" s="28">
        <v>1.548</v>
      </c>
    </row>
    <row r="25" spans="1:17" ht="14.25" customHeight="1" x14ac:dyDescent="0.25">
      <c r="A25" s="21">
        <v>25</v>
      </c>
      <c r="B25" s="28">
        <v>0.6</v>
      </c>
      <c r="C25" s="28">
        <v>0.153</v>
      </c>
      <c r="D25" s="28">
        <v>0.60599999999999998</v>
      </c>
      <c r="E25" s="28">
        <v>0.98960000000000004</v>
      </c>
      <c r="F25" s="28">
        <v>1.0105</v>
      </c>
      <c r="G25" s="28">
        <v>0.56499999999999995</v>
      </c>
      <c r="H25" s="28">
        <v>1.4350000000000001</v>
      </c>
      <c r="I25" s="28">
        <v>0.55900000000000005</v>
      </c>
      <c r="J25" s="28">
        <v>1.42</v>
      </c>
      <c r="K25" s="28">
        <v>3.931</v>
      </c>
      <c r="L25" s="28">
        <v>0.25440000000000002</v>
      </c>
      <c r="M25" s="28">
        <v>0.70799999999999996</v>
      </c>
      <c r="N25" s="28">
        <v>1.806</v>
      </c>
      <c r="O25" s="28">
        <v>6.056</v>
      </c>
      <c r="P25" s="28">
        <v>0.45900000000000002</v>
      </c>
      <c r="Q25" s="28">
        <v>1.5409999999999999</v>
      </c>
    </row>
    <row r="26" spans="1:17" ht="14.25" customHeight="1" x14ac:dyDescent="0.25"/>
    <row r="27" spans="1:17" ht="14.25" customHeight="1" x14ac:dyDescent="0.25"/>
    <row r="28" spans="1:17" ht="14.25" customHeight="1" x14ac:dyDescent="0.25"/>
    <row r="29" spans="1:17" ht="14.25" customHeight="1" x14ac:dyDescent="0.25"/>
    <row r="30" spans="1:17" ht="14.25" customHeight="1" x14ac:dyDescent="0.25"/>
    <row r="31" spans="1:17" ht="14.25" customHeight="1" x14ac:dyDescent="0.25"/>
    <row r="32" spans="1:17"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election activeCell="D32" sqref="D32"/>
    </sheetView>
  </sheetViews>
  <sheetFormatPr defaultColWidth="14.42578125" defaultRowHeight="15" customHeight="1" x14ac:dyDescent="0.25"/>
  <cols>
    <col min="1" max="1" width="1.7109375" customWidth="1"/>
    <col min="2" max="2" width="11.28515625" customWidth="1"/>
    <col min="3" max="3" width="17.42578125" customWidth="1"/>
    <col min="4" max="4" width="142.42578125" customWidth="1"/>
    <col min="5" max="5" width="1.7109375" customWidth="1"/>
    <col min="6" max="6" width="35" hidden="1" customWidth="1"/>
    <col min="7" max="26" width="8.7109375" customWidth="1"/>
  </cols>
  <sheetData>
    <row r="1" spans="1:26" ht="14.25" customHeight="1" x14ac:dyDescent="0.45">
      <c r="A1" s="1"/>
      <c r="B1" s="2" t="s">
        <v>70</v>
      </c>
      <c r="C1" s="2"/>
      <c r="D1" s="1"/>
      <c r="E1" s="1"/>
      <c r="F1" s="1"/>
      <c r="G1" s="1"/>
      <c r="H1" s="1"/>
      <c r="I1" s="1"/>
      <c r="J1" s="1"/>
      <c r="K1" s="1"/>
      <c r="L1" s="1"/>
      <c r="M1" s="1"/>
      <c r="N1" s="1"/>
      <c r="O1" s="1"/>
      <c r="P1" s="1"/>
      <c r="Q1" s="1"/>
      <c r="R1" s="1"/>
      <c r="S1" s="1"/>
      <c r="T1" s="1"/>
      <c r="U1" s="1"/>
      <c r="V1" s="1"/>
      <c r="W1" s="1"/>
      <c r="X1" s="1"/>
      <c r="Y1" s="1"/>
      <c r="Z1" s="1"/>
    </row>
    <row r="2" spans="1:26" ht="14.25" customHeight="1" x14ac:dyDescent="0.25">
      <c r="A2" s="1"/>
      <c r="B2" s="75" t="s">
        <v>71</v>
      </c>
      <c r="C2" s="76"/>
      <c r="D2" s="76"/>
      <c r="E2" s="1"/>
      <c r="F2" s="1"/>
      <c r="G2" s="1"/>
      <c r="H2" s="1"/>
      <c r="I2" s="1"/>
      <c r="J2" s="1"/>
      <c r="K2" s="1"/>
      <c r="L2" s="1"/>
      <c r="M2" s="1"/>
      <c r="N2" s="1"/>
      <c r="O2" s="1"/>
      <c r="P2" s="1"/>
      <c r="Q2" s="1"/>
      <c r="R2" s="1"/>
      <c r="S2" s="1"/>
      <c r="T2" s="1"/>
      <c r="U2" s="1"/>
      <c r="V2" s="1"/>
      <c r="W2" s="1"/>
      <c r="X2" s="1"/>
      <c r="Y2" s="1"/>
      <c r="Z2" s="1"/>
    </row>
    <row r="3" spans="1:26" ht="14.25" customHeight="1" x14ac:dyDescent="0.25">
      <c r="A3" s="1"/>
      <c r="B3" s="1"/>
      <c r="C3" s="3"/>
      <c r="D3" s="1"/>
      <c r="E3" s="1"/>
      <c r="F3" s="1"/>
      <c r="G3" s="1"/>
      <c r="H3" s="1"/>
      <c r="I3" s="1"/>
      <c r="J3" s="1"/>
      <c r="K3" s="1"/>
      <c r="L3" s="1"/>
      <c r="M3" s="1"/>
      <c r="N3" s="1"/>
      <c r="O3" s="1"/>
      <c r="P3" s="1"/>
      <c r="Q3" s="1"/>
      <c r="R3" s="1"/>
      <c r="S3" s="1"/>
      <c r="T3" s="1"/>
      <c r="U3" s="1"/>
      <c r="V3" s="1"/>
      <c r="W3" s="1"/>
      <c r="X3" s="1"/>
      <c r="Y3" s="1"/>
      <c r="Z3" s="1"/>
    </row>
    <row r="4" spans="1:26" ht="14.25" customHeight="1" x14ac:dyDescent="0.25">
      <c r="A4" s="1"/>
      <c r="B4" s="77" t="s">
        <v>72</v>
      </c>
      <c r="C4" s="78"/>
      <c r="D4" s="78"/>
      <c r="E4" s="1"/>
      <c r="F4" s="1"/>
      <c r="G4" s="1"/>
      <c r="H4" s="1"/>
      <c r="I4" s="1"/>
      <c r="J4" s="1"/>
      <c r="K4" s="1"/>
      <c r="L4" s="1"/>
      <c r="M4" s="1"/>
      <c r="N4" s="1"/>
      <c r="O4" s="1"/>
      <c r="P4" s="1"/>
      <c r="Q4" s="1"/>
      <c r="R4" s="1"/>
      <c r="S4" s="1"/>
      <c r="T4" s="1"/>
      <c r="U4" s="1"/>
      <c r="V4" s="1"/>
      <c r="W4" s="1"/>
      <c r="X4" s="1"/>
      <c r="Y4" s="1"/>
      <c r="Z4" s="1"/>
    </row>
    <row r="5" spans="1:26" ht="14.25" customHeight="1" x14ac:dyDescent="0.25">
      <c r="A5" s="1"/>
      <c r="B5" s="142" t="s">
        <v>73</v>
      </c>
      <c r="C5" s="143"/>
      <c r="D5" s="143"/>
      <c r="E5" s="1"/>
      <c r="F5" s="1"/>
      <c r="G5" s="1"/>
      <c r="H5" s="1"/>
      <c r="I5" s="1"/>
      <c r="J5" s="1"/>
      <c r="K5" s="1"/>
      <c r="L5" s="1"/>
      <c r="M5" s="1"/>
      <c r="N5" s="1"/>
      <c r="O5" s="1"/>
      <c r="P5" s="1"/>
      <c r="Q5" s="1"/>
      <c r="R5" s="1"/>
      <c r="S5" s="1"/>
      <c r="T5" s="1"/>
      <c r="U5" s="1"/>
      <c r="V5" s="1"/>
      <c r="W5" s="1"/>
      <c r="X5" s="1"/>
      <c r="Y5" s="1"/>
      <c r="Z5" s="1"/>
    </row>
    <row r="6" spans="1:26" ht="14.25" customHeight="1" x14ac:dyDescent="0.25">
      <c r="A6" s="1"/>
      <c r="B6" s="91" t="s">
        <v>74</v>
      </c>
      <c r="C6" s="79"/>
      <c r="D6" s="79"/>
      <c r="E6" s="1"/>
      <c r="F6" s="1"/>
      <c r="G6" s="1"/>
      <c r="H6" s="1"/>
      <c r="I6" s="1"/>
      <c r="J6" s="1"/>
      <c r="K6" s="1"/>
      <c r="L6" s="1"/>
      <c r="M6" s="1"/>
      <c r="N6" s="1"/>
      <c r="O6" s="1"/>
      <c r="P6" s="1"/>
      <c r="Q6" s="1"/>
      <c r="R6" s="1"/>
      <c r="S6" s="1"/>
      <c r="T6" s="1"/>
      <c r="U6" s="1"/>
      <c r="V6" s="1"/>
      <c r="W6" s="1"/>
      <c r="X6" s="1"/>
      <c r="Y6" s="1"/>
      <c r="Z6" s="1"/>
    </row>
    <row r="7" spans="1:26" ht="14.25" customHeight="1" x14ac:dyDescent="0.25">
      <c r="A7" s="1"/>
      <c r="B7" s="1"/>
      <c r="C7" s="1"/>
      <c r="D7" s="1"/>
      <c r="E7" s="1"/>
      <c r="F7" s="1"/>
      <c r="G7" s="1"/>
      <c r="H7" s="1"/>
      <c r="I7" s="1"/>
      <c r="J7" s="1"/>
      <c r="K7" s="1"/>
      <c r="L7" s="1"/>
      <c r="M7" s="1"/>
      <c r="N7" s="1"/>
      <c r="O7" s="1"/>
      <c r="P7" s="1"/>
      <c r="Q7" s="1"/>
      <c r="R7" s="1"/>
      <c r="S7" s="1"/>
      <c r="T7" s="1"/>
      <c r="U7" s="1"/>
      <c r="V7" s="1"/>
      <c r="W7" s="1"/>
      <c r="X7" s="1"/>
      <c r="Y7" s="1"/>
      <c r="Z7" s="1"/>
    </row>
    <row r="8" spans="1:26" ht="14.25" customHeight="1" x14ac:dyDescent="0.25">
      <c r="A8" s="1"/>
      <c r="B8" s="75" t="s">
        <v>75</v>
      </c>
      <c r="C8" s="76"/>
      <c r="D8" s="76"/>
      <c r="E8" s="1"/>
      <c r="F8" s="1"/>
      <c r="G8" s="1"/>
      <c r="H8" s="1"/>
      <c r="I8" s="1"/>
      <c r="J8" s="1"/>
      <c r="K8" s="1"/>
      <c r="L8" s="1"/>
      <c r="M8" s="1"/>
      <c r="N8" s="1"/>
      <c r="O8" s="1"/>
      <c r="P8" s="1"/>
      <c r="Q8" s="1"/>
      <c r="R8" s="1"/>
      <c r="S8" s="1"/>
      <c r="T8" s="1"/>
      <c r="U8" s="1"/>
      <c r="V8" s="1"/>
      <c r="W8" s="1"/>
      <c r="X8" s="1"/>
      <c r="Y8" s="1"/>
      <c r="Z8" s="1"/>
    </row>
    <row r="9" spans="1:26" ht="14.25" customHeight="1" x14ac:dyDescent="0.25">
      <c r="A9" s="1"/>
      <c r="B9" s="4"/>
      <c r="C9" s="5"/>
      <c r="D9" s="5"/>
      <c r="E9" s="1"/>
      <c r="F9" s="1"/>
      <c r="G9" s="1"/>
      <c r="H9" s="1"/>
      <c r="I9" s="1"/>
      <c r="J9" s="1"/>
      <c r="K9" s="1"/>
      <c r="L9" s="1"/>
      <c r="M9" s="1"/>
      <c r="N9" s="1"/>
      <c r="O9" s="1"/>
      <c r="P9" s="1"/>
      <c r="Q9" s="1"/>
      <c r="R9" s="1"/>
      <c r="S9" s="1"/>
      <c r="T9" s="1"/>
      <c r="U9" s="1"/>
      <c r="V9" s="1"/>
      <c r="W9" s="1"/>
      <c r="X9" s="1"/>
      <c r="Y9" s="1"/>
      <c r="Z9" s="1"/>
    </row>
    <row r="10" spans="1:26" ht="14.25" customHeight="1" x14ac:dyDescent="0.25">
      <c r="A10" s="1"/>
      <c r="B10" s="1" t="s">
        <v>76</v>
      </c>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25">
      <c r="A12" s="1"/>
      <c r="B12" s="6" t="s">
        <v>77</v>
      </c>
      <c r="C12" s="90" t="s">
        <v>78</v>
      </c>
      <c r="D12" s="7"/>
      <c r="E12" s="1"/>
      <c r="F12" s="1"/>
      <c r="G12" s="1"/>
      <c r="H12" s="1"/>
      <c r="I12" s="1"/>
      <c r="J12" s="1"/>
      <c r="K12" s="1"/>
      <c r="L12" s="1"/>
      <c r="M12" s="1"/>
      <c r="N12" s="1"/>
      <c r="O12" s="1"/>
      <c r="P12" s="1"/>
      <c r="Q12" s="1"/>
      <c r="R12" s="1"/>
      <c r="S12" s="1"/>
      <c r="T12" s="1"/>
      <c r="U12" s="1"/>
      <c r="V12" s="1"/>
      <c r="W12" s="1"/>
      <c r="X12" s="1"/>
      <c r="Y12" s="1"/>
      <c r="Z12" s="1"/>
    </row>
    <row r="13" spans="1:26" ht="14.25" customHeight="1" x14ac:dyDescent="0.25">
      <c r="A13" s="1"/>
      <c r="B13" s="1"/>
      <c r="C13" s="144" t="s">
        <v>79</v>
      </c>
      <c r="D13" s="144"/>
      <c r="E13" s="1"/>
      <c r="F13" s="1"/>
      <c r="G13" s="1"/>
      <c r="H13" s="1"/>
      <c r="I13" s="1"/>
      <c r="J13" s="1"/>
      <c r="K13" s="1"/>
      <c r="L13" s="1"/>
      <c r="M13" s="1"/>
      <c r="N13" s="1"/>
      <c r="O13" s="1"/>
      <c r="P13" s="1"/>
      <c r="Q13" s="1"/>
      <c r="R13" s="1"/>
      <c r="S13" s="1"/>
      <c r="T13" s="1"/>
      <c r="U13" s="1"/>
      <c r="V13" s="1"/>
      <c r="W13" s="1"/>
      <c r="X13" s="1"/>
      <c r="Y13" s="1"/>
      <c r="Z13" s="1"/>
    </row>
    <row r="14" spans="1:26" ht="14.25" customHeight="1" x14ac:dyDescent="0.25">
      <c r="A14" s="1"/>
      <c r="B14" s="1"/>
      <c r="C14" s="8" t="s">
        <v>80</v>
      </c>
      <c r="D14" s="8"/>
      <c r="E14" s="1"/>
      <c r="F14" s="1"/>
      <c r="G14" s="1"/>
      <c r="H14" s="1"/>
      <c r="I14" s="1"/>
      <c r="J14" s="1"/>
      <c r="K14" s="1"/>
      <c r="L14" s="1"/>
      <c r="M14" s="1"/>
      <c r="N14" s="1"/>
      <c r="O14" s="1"/>
      <c r="P14" s="1"/>
      <c r="Q14" s="1"/>
      <c r="R14" s="1"/>
      <c r="S14" s="1"/>
      <c r="T14" s="1"/>
      <c r="U14" s="1"/>
      <c r="V14" s="1"/>
      <c r="W14" s="1"/>
      <c r="X14" s="1"/>
      <c r="Y14" s="1"/>
      <c r="Z14" s="1"/>
    </row>
    <row r="15" spans="1:26" ht="14.2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25">
      <c r="A16" s="1"/>
      <c r="B16" s="6" t="s">
        <v>81</v>
      </c>
      <c r="C16" s="80" t="s">
        <v>82</v>
      </c>
      <c r="D16" s="81"/>
      <c r="E16" s="1"/>
      <c r="F16" s="1"/>
      <c r="G16" s="1"/>
      <c r="H16" s="1"/>
      <c r="I16" s="1"/>
      <c r="J16" s="1"/>
      <c r="K16" s="1"/>
      <c r="L16" s="1"/>
      <c r="M16" s="1"/>
      <c r="N16" s="1"/>
      <c r="O16" s="1"/>
      <c r="P16" s="1"/>
      <c r="Q16" s="1"/>
      <c r="R16" s="1"/>
      <c r="S16" s="1"/>
      <c r="T16" s="1"/>
      <c r="U16" s="1"/>
      <c r="V16" s="1"/>
      <c r="W16" s="1"/>
      <c r="X16" s="1"/>
      <c r="Y16" s="1"/>
      <c r="Z16" s="1"/>
    </row>
    <row r="17" spans="1:26" ht="14.25" customHeight="1" x14ac:dyDescent="0.25">
      <c r="A17" s="1"/>
      <c r="B17" s="1"/>
      <c r="C17" s="9" t="s">
        <v>83</v>
      </c>
      <c r="D17" s="10"/>
      <c r="E17" s="1"/>
      <c r="F17" s="1"/>
      <c r="G17" s="1"/>
      <c r="H17" s="1"/>
      <c r="I17" s="1"/>
      <c r="J17" s="1"/>
      <c r="K17" s="1"/>
      <c r="L17" s="1"/>
      <c r="M17" s="1"/>
      <c r="N17" s="1"/>
      <c r="O17" s="1"/>
      <c r="P17" s="1"/>
      <c r="Q17" s="1"/>
      <c r="R17" s="1"/>
      <c r="S17" s="1"/>
      <c r="T17" s="1"/>
      <c r="U17" s="1"/>
      <c r="V17" s="1"/>
      <c r="W17" s="1"/>
      <c r="X17" s="1"/>
      <c r="Y17" s="1"/>
      <c r="Z17" s="1"/>
    </row>
    <row r="18" spans="1:26" ht="14.2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B5:D5"/>
    <mergeCell ref="C13:D13"/>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H1000"/>
  <sheetViews>
    <sheetView showGridLines="0" workbookViewId="0">
      <selection activeCell="L5" sqref="L5"/>
    </sheetView>
  </sheetViews>
  <sheetFormatPr defaultColWidth="14.42578125" defaultRowHeight="15" customHeight="1" x14ac:dyDescent="0.25"/>
  <cols>
    <col min="1" max="1" width="13.7109375" customWidth="1"/>
    <col min="2" max="2" width="26.42578125" customWidth="1"/>
    <col min="3" max="3" width="8.7109375" customWidth="1"/>
    <col min="4" max="7" width="13.5703125" hidden="1" customWidth="1"/>
    <col min="8" max="8" width="8.7109375" hidden="1" customWidth="1"/>
    <col min="9" max="26" width="8.7109375" customWidth="1"/>
  </cols>
  <sheetData>
    <row r="1" spans="1:8" ht="14.25" customHeight="1" x14ac:dyDescent="0.25">
      <c r="A1" s="29" t="s">
        <v>84</v>
      </c>
      <c r="B1" s="30" t="s">
        <v>85</v>
      </c>
    </row>
    <row r="2" spans="1:8" ht="14.25" customHeight="1" x14ac:dyDescent="0.25">
      <c r="A2" s="11" t="s">
        <v>86</v>
      </c>
      <c r="B2" s="31"/>
      <c r="E2" s="1" t="s">
        <v>87</v>
      </c>
    </row>
    <row r="3" spans="1:8" ht="14.25" customHeight="1" x14ac:dyDescent="0.25">
      <c r="A3" s="11" t="s">
        <v>88</v>
      </c>
      <c r="B3" s="31"/>
      <c r="C3" s="13"/>
      <c r="E3" s="1" t="s">
        <v>89</v>
      </c>
      <c r="H3" s="14"/>
    </row>
    <row r="4" spans="1:8" ht="14.25" customHeight="1" x14ac:dyDescent="0.25">
      <c r="A4" s="11" t="s">
        <v>90</v>
      </c>
      <c r="B4" s="31"/>
      <c r="C4" s="13"/>
      <c r="E4" s="1" t="s">
        <v>91</v>
      </c>
      <c r="H4" s="14"/>
    </row>
    <row r="5" spans="1:8" ht="14.25" customHeight="1" x14ac:dyDescent="0.25">
      <c r="A5" s="11" t="s">
        <v>92</v>
      </c>
      <c r="B5" s="31"/>
      <c r="E5" s="1" t="s">
        <v>93</v>
      </c>
      <c r="H5" s="14"/>
    </row>
    <row r="6" spans="1:8" ht="14.25" customHeight="1" x14ac:dyDescent="0.25">
      <c r="A6" s="11" t="s">
        <v>94</v>
      </c>
      <c r="B6" s="31"/>
      <c r="E6" s="1" t="s">
        <v>95</v>
      </c>
      <c r="H6" s="14"/>
    </row>
    <row r="7" spans="1:8" ht="14.25" customHeight="1" x14ac:dyDescent="0.25">
      <c r="A7" s="11" t="s">
        <v>96</v>
      </c>
      <c r="B7" s="31"/>
      <c r="E7" s="1" t="s">
        <v>97</v>
      </c>
      <c r="H7" s="14"/>
    </row>
    <row r="8" spans="1:8" ht="14.25" customHeight="1" x14ac:dyDescent="0.25">
      <c r="A8" s="11" t="s">
        <v>98</v>
      </c>
      <c r="B8" s="31"/>
      <c r="E8" s="1" t="s">
        <v>99</v>
      </c>
      <c r="H8" s="14"/>
    </row>
    <row r="9" spans="1:8" ht="14.25" customHeight="1" x14ac:dyDescent="0.25">
      <c r="A9" s="11" t="s">
        <v>100</v>
      </c>
      <c r="B9" s="31"/>
      <c r="E9" s="1" t="s">
        <v>101</v>
      </c>
      <c r="H9" s="14"/>
    </row>
    <row r="10" spans="1:8" ht="14.25" customHeight="1" x14ac:dyDescent="0.25">
      <c r="A10" s="15"/>
      <c r="B10" s="16"/>
    </row>
    <row r="11" spans="1:8" ht="14.25" customHeight="1" x14ac:dyDescent="0.25">
      <c r="A11" s="15"/>
      <c r="B11" s="16"/>
    </row>
    <row r="12" spans="1:8" ht="14.25" customHeight="1" x14ac:dyDescent="0.25">
      <c r="A12" s="15"/>
      <c r="B12" s="16"/>
    </row>
    <row r="13" spans="1:8" ht="14.25" customHeight="1" x14ac:dyDescent="0.25">
      <c r="A13" s="15"/>
      <c r="B13" s="16"/>
    </row>
    <row r="14" spans="1:8" ht="14.25" customHeight="1" x14ac:dyDescent="0.25">
      <c r="A14" s="15"/>
      <c r="B14" s="16"/>
    </row>
    <row r="15" spans="1:8" ht="14.25" customHeight="1" x14ac:dyDescent="0.25">
      <c r="A15" s="15"/>
      <c r="B15" s="16"/>
    </row>
    <row r="16" spans="1:8" ht="14.25" customHeight="1" x14ac:dyDescent="0.25">
      <c r="A16" s="15"/>
      <c r="B16" s="16"/>
    </row>
    <row r="17" spans="1:2" ht="14.25" customHeight="1" x14ac:dyDescent="0.25">
      <c r="A17" s="15"/>
      <c r="B17" s="16"/>
    </row>
    <row r="18" spans="1:2" ht="14.25" customHeight="1" x14ac:dyDescent="0.25">
      <c r="A18" s="15"/>
      <c r="B18" s="16"/>
    </row>
    <row r="19" spans="1:2" ht="14.25" customHeight="1" x14ac:dyDescent="0.25">
      <c r="A19" s="15"/>
      <c r="B19" s="16"/>
    </row>
    <row r="20" spans="1:2" ht="14.25" customHeight="1" x14ac:dyDescent="0.25">
      <c r="A20" s="15"/>
      <c r="B20" s="16"/>
    </row>
    <row r="21" spans="1:2" ht="14.25" customHeight="1" x14ac:dyDescent="0.25">
      <c r="A21" s="15"/>
      <c r="B21" s="16"/>
    </row>
    <row r="22" spans="1:2" ht="14.25" customHeight="1" x14ac:dyDescent="0.25">
      <c r="A22" s="15"/>
      <c r="B22" s="16"/>
    </row>
    <row r="23" spans="1:2" ht="14.25" customHeight="1" x14ac:dyDescent="0.25">
      <c r="A23" s="15"/>
      <c r="B23" s="16"/>
    </row>
    <row r="24" spans="1:2" ht="14.25" customHeight="1" x14ac:dyDescent="0.25">
      <c r="A24" s="15"/>
      <c r="B24" s="16"/>
    </row>
    <row r="25" spans="1:2" ht="14.25" customHeight="1" x14ac:dyDescent="0.25">
      <c r="A25" s="15"/>
      <c r="B25" s="16"/>
    </row>
    <row r="26" spans="1:2" ht="14.25" customHeight="1" x14ac:dyDescent="0.25">
      <c r="A26" s="15"/>
      <c r="B26" s="16"/>
    </row>
    <row r="27" spans="1:2" ht="14.25" customHeight="1" x14ac:dyDescent="0.25">
      <c r="A27" s="15"/>
      <c r="B27" s="16"/>
    </row>
    <row r="28" spans="1:2" ht="14.25" customHeight="1" x14ac:dyDescent="0.25">
      <c r="A28" s="15"/>
      <c r="B28" s="16"/>
    </row>
    <row r="29" spans="1:2" ht="14.25" customHeight="1" x14ac:dyDescent="0.25">
      <c r="A29" s="15"/>
      <c r="B29" s="16"/>
    </row>
    <row r="30" spans="1:2" ht="14.25" customHeight="1" x14ac:dyDescent="0.25">
      <c r="A30" s="15"/>
      <c r="B30" s="16"/>
    </row>
    <row r="31" spans="1:2" ht="14.25" customHeight="1" x14ac:dyDescent="0.25">
      <c r="A31" s="15"/>
      <c r="B31" s="16"/>
    </row>
    <row r="32" spans="1:2" ht="14.25" customHeight="1" x14ac:dyDescent="0.25">
      <c r="A32" s="15"/>
      <c r="B32" s="16"/>
    </row>
    <row r="33" spans="1:2" ht="14.25" customHeight="1" x14ac:dyDescent="0.25">
      <c r="A33" s="15"/>
      <c r="B33" s="16"/>
    </row>
    <row r="34" spans="1:2" ht="14.25" customHeight="1" x14ac:dyDescent="0.25">
      <c r="A34" s="15"/>
      <c r="B34" s="16"/>
    </row>
    <row r="35" spans="1:2" ht="14.25" customHeight="1" x14ac:dyDescent="0.25">
      <c r="A35" s="15"/>
      <c r="B35" s="16"/>
    </row>
    <row r="36" spans="1:2" ht="14.25" customHeight="1" x14ac:dyDescent="0.25">
      <c r="A36" s="15"/>
      <c r="B36" s="16"/>
    </row>
    <row r="37" spans="1:2" ht="14.25" customHeight="1" x14ac:dyDescent="0.25">
      <c r="A37" s="15"/>
      <c r="B37" s="16"/>
    </row>
    <row r="38" spans="1:2" ht="14.25" customHeight="1" x14ac:dyDescent="0.25">
      <c r="A38" s="15"/>
      <c r="B38" s="16"/>
    </row>
    <row r="39" spans="1:2" ht="14.25" customHeight="1" x14ac:dyDescent="0.25">
      <c r="A39" s="15"/>
      <c r="B39" s="16"/>
    </row>
    <row r="40" spans="1:2" ht="14.25" customHeight="1" x14ac:dyDescent="0.25">
      <c r="A40" s="15"/>
      <c r="B40" s="16"/>
    </row>
    <row r="41" spans="1:2" ht="14.25" customHeight="1" x14ac:dyDescent="0.25">
      <c r="A41" s="15"/>
      <c r="B41" s="16"/>
    </row>
    <row r="42" spans="1:2" ht="14.25" customHeight="1" x14ac:dyDescent="0.25">
      <c r="A42" s="15"/>
      <c r="B42" s="16"/>
    </row>
    <row r="43" spans="1:2" ht="14.25" customHeight="1" x14ac:dyDescent="0.25">
      <c r="A43" s="15"/>
      <c r="B43" s="16"/>
    </row>
    <row r="44" spans="1:2" ht="14.25" customHeight="1" x14ac:dyDescent="0.25">
      <c r="A44" s="15"/>
      <c r="B44" s="16"/>
    </row>
    <row r="45" spans="1:2" ht="14.25" customHeight="1" x14ac:dyDescent="0.25">
      <c r="A45" s="15"/>
      <c r="B45" s="16"/>
    </row>
    <row r="46" spans="1:2" ht="14.25" customHeight="1" x14ac:dyDescent="0.25">
      <c r="A46" s="15"/>
      <c r="B46" s="16"/>
    </row>
    <row r="47" spans="1:2" ht="14.25" customHeight="1" x14ac:dyDescent="0.25">
      <c r="A47" s="15"/>
      <c r="B47" s="16"/>
    </row>
    <row r="48" spans="1:2" ht="14.25" customHeight="1" x14ac:dyDescent="0.25">
      <c r="A48" s="15"/>
      <c r="B48" s="16"/>
    </row>
    <row r="49" spans="1:2" ht="14.25" customHeight="1" x14ac:dyDescent="0.25">
      <c r="A49" s="15"/>
      <c r="B49" s="16"/>
    </row>
    <row r="50" spans="1:2" ht="14.25" customHeight="1" x14ac:dyDescent="0.25">
      <c r="A50" s="15"/>
      <c r="B50" s="16"/>
    </row>
    <row r="51" spans="1:2" ht="14.25" customHeight="1" x14ac:dyDescent="0.25">
      <c r="A51" s="15"/>
      <c r="B51" s="16"/>
    </row>
    <row r="52" spans="1:2" ht="14.25" customHeight="1" x14ac:dyDescent="0.25">
      <c r="A52" s="15"/>
      <c r="B52" s="16"/>
    </row>
    <row r="53" spans="1:2" ht="14.25" customHeight="1" x14ac:dyDescent="0.25">
      <c r="A53" s="15"/>
      <c r="B53" s="16"/>
    </row>
    <row r="54" spans="1:2" ht="14.25" customHeight="1" x14ac:dyDescent="0.25">
      <c r="A54" s="15"/>
      <c r="B54" s="16"/>
    </row>
    <row r="55" spans="1:2" ht="14.25" customHeight="1" x14ac:dyDescent="0.25">
      <c r="A55" s="15"/>
      <c r="B55" s="16"/>
    </row>
    <row r="56" spans="1:2" ht="14.25" customHeight="1" x14ac:dyDescent="0.25">
      <c r="A56" s="15"/>
      <c r="B56" s="16"/>
    </row>
    <row r="57" spans="1:2" ht="14.25" customHeight="1" x14ac:dyDescent="0.25">
      <c r="A57" s="15"/>
      <c r="B57" s="16"/>
    </row>
    <row r="58" spans="1:2" ht="14.25" customHeight="1" x14ac:dyDescent="0.25">
      <c r="A58" s="15"/>
      <c r="B58" s="16"/>
    </row>
    <row r="59" spans="1:2" ht="14.25" customHeight="1" x14ac:dyDescent="0.25">
      <c r="A59" s="15"/>
      <c r="B59" s="16"/>
    </row>
    <row r="60" spans="1:2" ht="14.25" customHeight="1" x14ac:dyDescent="0.25">
      <c r="A60" s="15"/>
      <c r="B60" s="16"/>
    </row>
    <row r="61" spans="1:2" ht="14.25" customHeight="1" x14ac:dyDescent="0.25">
      <c r="A61" s="15"/>
      <c r="B61" s="16"/>
    </row>
    <row r="62" spans="1:2" ht="14.25" customHeight="1" x14ac:dyDescent="0.25">
      <c r="A62" s="15"/>
      <c r="B62" s="16"/>
    </row>
    <row r="63" spans="1:2" ht="14.25" customHeight="1" x14ac:dyDescent="0.25">
      <c r="A63" s="15"/>
      <c r="B63" s="16"/>
    </row>
    <row r="64" spans="1:2" ht="14.25" customHeight="1" x14ac:dyDescent="0.25">
      <c r="A64" s="15"/>
      <c r="B64" s="16"/>
    </row>
    <row r="65" spans="1:2" ht="14.25" customHeight="1" x14ac:dyDescent="0.25">
      <c r="A65" s="15"/>
      <c r="B65" s="16"/>
    </row>
    <row r="66" spans="1:2" ht="14.25" customHeight="1" x14ac:dyDescent="0.25">
      <c r="A66" s="15"/>
      <c r="B66" s="16"/>
    </row>
    <row r="67" spans="1:2" ht="14.25" customHeight="1" x14ac:dyDescent="0.25">
      <c r="A67" s="15"/>
      <c r="B67" s="16"/>
    </row>
    <row r="68" spans="1:2" ht="14.25" customHeight="1" x14ac:dyDescent="0.25">
      <c r="A68" s="15"/>
      <c r="B68" s="16"/>
    </row>
    <row r="69" spans="1:2" ht="14.25" customHeight="1" x14ac:dyDescent="0.25">
      <c r="A69" s="15"/>
      <c r="B69" s="16"/>
    </row>
    <row r="70" spans="1:2" ht="14.25" customHeight="1" x14ac:dyDescent="0.25">
      <c r="A70" s="15"/>
      <c r="B70" s="16"/>
    </row>
    <row r="71" spans="1:2" ht="14.25" customHeight="1" x14ac:dyDescent="0.25">
      <c r="A71" s="15"/>
      <c r="B71" s="16"/>
    </row>
    <row r="72" spans="1:2" ht="14.25" customHeight="1" x14ac:dyDescent="0.25">
      <c r="A72" s="15"/>
      <c r="B72" s="16"/>
    </row>
    <row r="73" spans="1:2" ht="14.25" customHeight="1" x14ac:dyDescent="0.25">
      <c r="A73" s="15"/>
      <c r="B73" s="16"/>
    </row>
    <row r="74" spans="1:2" ht="14.25" customHeight="1" x14ac:dyDescent="0.25">
      <c r="A74" s="15"/>
      <c r="B74" s="16"/>
    </row>
    <row r="75" spans="1:2" ht="14.25" customHeight="1" x14ac:dyDescent="0.25">
      <c r="A75" s="15"/>
      <c r="B75" s="16"/>
    </row>
    <row r="76" spans="1:2" ht="14.25" customHeight="1" x14ac:dyDescent="0.25">
      <c r="A76" s="15"/>
      <c r="B76" s="16"/>
    </row>
    <row r="77" spans="1:2" ht="14.25" customHeight="1" x14ac:dyDescent="0.25">
      <c r="A77" s="15"/>
      <c r="B77" s="16"/>
    </row>
    <row r="78" spans="1:2" ht="14.25" customHeight="1" x14ac:dyDescent="0.25">
      <c r="A78" s="15"/>
      <c r="B78" s="16"/>
    </row>
    <row r="79" spans="1:2" ht="14.25" customHeight="1" x14ac:dyDescent="0.25">
      <c r="A79" s="15"/>
      <c r="B79" s="16"/>
    </row>
    <row r="80" spans="1:2" ht="14.25" customHeight="1" x14ac:dyDescent="0.25">
      <c r="A80" s="15"/>
      <c r="B80" s="16"/>
    </row>
    <row r="81" spans="1:2" ht="14.25" customHeight="1" x14ac:dyDescent="0.25">
      <c r="A81" s="15"/>
      <c r="B81" s="16"/>
    </row>
    <row r="82" spans="1:2" ht="14.25" customHeight="1" x14ac:dyDescent="0.25">
      <c r="A82" s="15"/>
      <c r="B82" s="16"/>
    </row>
    <row r="83" spans="1:2" ht="14.25" customHeight="1" x14ac:dyDescent="0.25">
      <c r="A83" s="15"/>
      <c r="B83" s="16"/>
    </row>
    <row r="84" spans="1:2" ht="14.25" customHeight="1" x14ac:dyDescent="0.25">
      <c r="A84" s="15"/>
      <c r="B84" s="16"/>
    </row>
    <row r="85" spans="1:2" ht="14.25" customHeight="1" x14ac:dyDescent="0.25">
      <c r="A85" s="15"/>
      <c r="B85" s="16"/>
    </row>
    <row r="86" spans="1:2" ht="14.25" customHeight="1" x14ac:dyDescent="0.25">
      <c r="A86" s="15"/>
      <c r="B86" s="16"/>
    </row>
    <row r="87" spans="1:2" ht="14.25" customHeight="1" x14ac:dyDescent="0.25">
      <c r="A87" s="15"/>
      <c r="B87" s="16"/>
    </row>
    <row r="88" spans="1:2" ht="14.25" customHeight="1" x14ac:dyDescent="0.25">
      <c r="A88" s="15"/>
      <c r="B88" s="16"/>
    </row>
    <row r="89" spans="1:2" ht="14.25" customHeight="1" x14ac:dyDescent="0.25">
      <c r="A89" s="15"/>
      <c r="B89" s="16"/>
    </row>
    <row r="90" spans="1:2" ht="14.25" customHeight="1" x14ac:dyDescent="0.25">
      <c r="A90" s="15"/>
      <c r="B90" s="16"/>
    </row>
    <row r="91" spans="1:2" ht="14.25" customHeight="1" x14ac:dyDescent="0.25">
      <c r="A91" s="15"/>
      <c r="B91" s="16"/>
    </row>
    <row r="92" spans="1:2" ht="14.25" customHeight="1" x14ac:dyDescent="0.25">
      <c r="A92" s="15"/>
      <c r="B92" s="16"/>
    </row>
    <row r="93" spans="1:2" ht="14.25" customHeight="1" x14ac:dyDescent="0.25">
      <c r="A93" s="15"/>
      <c r="B93" s="16"/>
    </row>
    <row r="94" spans="1:2" ht="14.25" customHeight="1" x14ac:dyDescent="0.25">
      <c r="A94" s="15"/>
      <c r="B94" s="16"/>
    </row>
    <row r="95" spans="1:2" ht="14.25" customHeight="1" x14ac:dyDescent="0.25">
      <c r="A95" s="15"/>
      <c r="B95" s="16"/>
    </row>
    <row r="96" spans="1:2" ht="14.25" customHeight="1" x14ac:dyDescent="0.25">
      <c r="A96" s="15"/>
      <c r="B96" s="16"/>
    </row>
    <row r="97" spans="1:2" ht="14.25" customHeight="1" x14ac:dyDescent="0.25">
      <c r="A97" s="15"/>
      <c r="B97" s="16"/>
    </row>
    <row r="98" spans="1:2" ht="14.25" customHeight="1" x14ac:dyDescent="0.25">
      <c r="A98" s="15"/>
      <c r="B98" s="16"/>
    </row>
    <row r="99" spans="1:2" ht="14.25" customHeight="1" x14ac:dyDescent="0.25">
      <c r="A99" s="15"/>
      <c r="B99" s="16"/>
    </row>
    <row r="100" spans="1:2" ht="14.25" customHeight="1" x14ac:dyDescent="0.25">
      <c r="A100" s="15"/>
      <c r="B100" s="16"/>
    </row>
    <row r="101" spans="1:2" ht="14.25" customHeight="1" x14ac:dyDescent="0.25">
      <c r="A101" s="15"/>
      <c r="B101" s="16"/>
    </row>
    <row r="102" spans="1:2" ht="14.25" customHeight="1" x14ac:dyDescent="0.25">
      <c r="A102" s="15"/>
      <c r="B102" s="16"/>
    </row>
    <row r="103" spans="1:2" ht="14.25" customHeight="1" x14ac:dyDescent="0.25">
      <c r="A103" s="15"/>
      <c r="B103" s="16"/>
    </row>
    <row r="104" spans="1:2" ht="14.25" customHeight="1" x14ac:dyDescent="0.25">
      <c r="A104" s="15"/>
      <c r="B104" s="16"/>
    </row>
    <row r="105" spans="1:2" ht="14.25" customHeight="1" x14ac:dyDescent="0.25">
      <c r="A105" s="15"/>
      <c r="B105" s="16"/>
    </row>
    <row r="106" spans="1:2" ht="14.25" customHeight="1" x14ac:dyDescent="0.25">
      <c r="A106" s="15"/>
      <c r="B106" s="16"/>
    </row>
    <row r="107" spans="1:2" ht="14.25" customHeight="1" x14ac:dyDescent="0.25">
      <c r="A107" s="15"/>
      <c r="B107" s="16"/>
    </row>
    <row r="108" spans="1:2" ht="14.25" customHeight="1" x14ac:dyDescent="0.25">
      <c r="A108" s="15"/>
      <c r="B108" s="16"/>
    </row>
    <row r="109" spans="1:2" ht="14.25" customHeight="1" x14ac:dyDescent="0.25">
      <c r="A109" s="15"/>
      <c r="B109" s="16"/>
    </row>
    <row r="110" spans="1:2" ht="14.25" customHeight="1" x14ac:dyDescent="0.25">
      <c r="A110" s="15"/>
      <c r="B110" s="16"/>
    </row>
    <row r="111" spans="1:2" ht="14.25" customHeight="1" x14ac:dyDescent="0.25">
      <c r="A111" s="15"/>
      <c r="B111" s="16"/>
    </row>
    <row r="112" spans="1:2" ht="14.25" customHeight="1" x14ac:dyDescent="0.25">
      <c r="A112" s="15"/>
      <c r="B112" s="16"/>
    </row>
    <row r="113" spans="1:2" ht="14.25" customHeight="1" x14ac:dyDescent="0.25">
      <c r="A113" s="15"/>
      <c r="B113" s="16"/>
    </row>
    <row r="114" spans="1:2" ht="14.25" customHeight="1" x14ac:dyDescent="0.25">
      <c r="A114" s="15"/>
      <c r="B114" s="16"/>
    </row>
    <row r="115" spans="1:2" ht="14.25" customHeight="1" x14ac:dyDescent="0.25">
      <c r="A115" s="15"/>
      <c r="B115" s="16"/>
    </row>
    <row r="116" spans="1:2" ht="14.25" customHeight="1" x14ac:dyDescent="0.25">
      <c r="A116" s="15"/>
      <c r="B116" s="16"/>
    </row>
    <row r="117" spans="1:2" ht="14.25" customHeight="1" x14ac:dyDescent="0.25">
      <c r="A117" s="15"/>
      <c r="B117" s="16"/>
    </row>
    <row r="118" spans="1:2" ht="14.25" customHeight="1" x14ac:dyDescent="0.25">
      <c r="A118" s="15"/>
      <c r="B118" s="16"/>
    </row>
    <row r="119" spans="1:2" ht="14.25" customHeight="1" x14ac:dyDescent="0.25">
      <c r="A119" s="15"/>
      <c r="B119" s="16"/>
    </row>
    <row r="120" spans="1:2" ht="14.25" customHeight="1" x14ac:dyDescent="0.25">
      <c r="A120" s="15"/>
      <c r="B120" s="16"/>
    </row>
    <row r="121" spans="1:2" ht="14.25" customHeight="1" x14ac:dyDescent="0.25">
      <c r="A121" s="15"/>
      <c r="B121" s="16"/>
    </row>
    <row r="122" spans="1:2" ht="14.25" customHeight="1" x14ac:dyDescent="0.25">
      <c r="A122" s="15"/>
      <c r="B122" s="16"/>
    </row>
    <row r="123" spans="1:2" ht="14.25" customHeight="1" x14ac:dyDescent="0.25">
      <c r="A123" s="15"/>
      <c r="B123" s="16"/>
    </row>
    <row r="124" spans="1:2" ht="14.25" customHeight="1" x14ac:dyDescent="0.25">
      <c r="A124" s="15"/>
      <c r="B124" s="16"/>
    </row>
    <row r="125" spans="1:2" ht="14.25" customHeight="1" x14ac:dyDescent="0.25">
      <c r="A125" s="15"/>
      <c r="B125" s="16"/>
    </row>
    <row r="126" spans="1:2" ht="14.25" customHeight="1" x14ac:dyDescent="0.25">
      <c r="A126" s="15"/>
      <c r="B126" s="16"/>
    </row>
    <row r="127" spans="1:2" ht="14.25" customHeight="1" x14ac:dyDescent="0.25">
      <c r="A127" s="15"/>
      <c r="B127" s="16"/>
    </row>
    <row r="128" spans="1:2" ht="14.25" customHeight="1" x14ac:dyDescent="0.25">
      <c r="A128" s="15"/>
      <c r="B128" s="16"/>
    </row>
    <row r="129" spans="1:2" ht="14.25" customHeight="1" x14ac:dyDescent="0.25">
      <c r="A129" s="15"/>
      <c r="B129" s="16"/>
    </row>
    <row r="130" spans="1:2" ht="14.25" customHeight="1" x14ac:dyDescent="0.25">
      <c r="A130" s="15"/>
      <c r="B130" s="16"/>
    </row>
    <row r="131" spans="1:2" ht="14.25" customHeight="1" x14ac:dyDescent="0.25">
      <c r="A131" s="15"/>
      <c r="B131" s="16"/>
    </row>
    <row r="132" spans="1:2" ht="14.25" customHeight="1" x14ac:dyDescent="0.25">
      <c r="A132" s="15"/>
      <c r="B132" s="16"/>
    </row>
    <row r="133" spans="1:2" ht="14.25" customHeight="1" x14ac:dyDescent="0.25">
      <c r="A133" s="15"/>
      <c r="B133" s="16"/>
    </row>
    <row r="134" spans="1:2" ht="14.25" customHeight="1" x14ac:dyDescent="0.25">
      <c r="A134" s="15"/>
      <c r="B134" s="16"/>
    </row>
    <row r="135" spans="1:2" ht="14.25" customHeight="1" x14ac:dyDescent="0.25">
      <c r="A135" s="15"/>
      <c r="B135" s="16"/>
    </row>
    <row r="136" spans="1:2" ht="14.25" customHeight="1" x14ac:dyDescent="0.25">
      <c r="A136" s="15"/>
      <c r="B136" s="16"/>
    </row>
    <row r="137" spans="1:2" ht="14.25" customHeight="1" x14ac:dyDescent="0.25">
      <c r="A137" s="15"/>
      <c r="B137" s="16"/>
    </row>
    <row r="138" spans="1:2" ht="14.25" customHeight="1" x14ac:dyDescent="0.25">
      <c r="A138" s="15"/>
      <c r="B138" s="16"/>
    </row>
    <row r="139" spans="1:2" ht="14.25" customHeight="1" x14ac:dyDescent="0.25">
      <c r="A139" s="15"/>
      <c r="B139" s="16"/>
    </row>
    <row r="140" spans="1:2" ht="14.25" customHeight="1" x14ac:dyDescent="0.25">
      <c r="A140" s="15"/>
      <c r="B140" s="16"/>
    </row>
    <row r="141" spans="1:2" ht="14.25" customHeight="1" x14ac:dyDescent="0.25">
      <c r="A141" s="15"/>
      <c r="B141" s="16"/>
    </row>
    <row r="142" spans="1:2" ht="14.25" customHeight="1" x14ac:dyDescent="0.25">
      <c r="A142" s="15"/>
      <c r="B142" s="16"/>
    </row>
    <row r="143" spans="1:2" ht="14.25" customHeight="1" x14ac:dyDescent="0.25">
      <c r="A143" s="15"/>
      <c r="B143" s="16"/>
    </row>
    <row r="144" spans="1:2" ht="14.25" customHeight="1" x14ac:dyDescent="0.25">
      <c r="A144" s="15"/>
      <c r="B144" s="16"/>
    </row>
    <row r="145" spans="1:2" ht="14.25" customHeight="1" x14ac:dyDescent="0.25">
      <c r="A145" s="15"/>
      <c r="B145" s="16"/>
    </row>
    <row r="146" spans="1:2" ht="14.25" customHeight="1" x14ac:dyDescent="0.25">
      <c r="A146" s="15"/>
      <c r="B146" s="16"/>
    </row>
    <row r="147" spans="1:2" ht="14.25" customHeight="1" x14ac:dyDescent="0.25">
      <c r="A147" s="15"/>
      <c r="B147" s="16"/>
    </row>
    <row r="148" spans="1:2" ht="14.25" customHeight="1" x14ac:dyDescent="0.25">
      <c r="A148" s="15"/>
      <c r="B148" s="16"/>
    </row>
    <row r="149" spans="1:2" ht="14.25" customHeight="1" x14ac:dyDescent="0.25">
      <c r="A149" s="15"/>
      <c r="B149" s="16"/>
    </row>
    <row r="150" spans="1:2" ht="14.25" customHeight="1" x14ac:dyDescent="0.25">
      <c r="A150" s="15"/>
      <c r="B150" s="16"/>
    </row>
    <row r="151" spans="1:2" ht="14.25" customHeight="1" x14ac:dyDescent="0.25">
      <c r="A151" s="15"/>
      <c r="B151" s="16"/>
    </row>
    <row r="152" spans="1:2" ht="14.25" customHeight="1" x14ac:dyDescent="0.25">
      <c r="A152" s="15"/>
      <c r="B152" s="16"/>
    </row>
    <row r="153" spans="1:2" ht="14.25" customHeight="1" x14ac:dyDescent="0.25">
      <c r="A153" s="15"/>
      <c r="B153" s="16"/>
    </row>
    <row r="154" spans="1:2" ht="14.25" customHeight="1" x14ac:dyDescent="0.25">
      <c r="A154" s="15"/>
      <c r="B154" s="16"/>
    </row>
    <row r="155" spans="1:2" ht="14.25" customHeight="1" x14ac:dyDescent="0.25">
      <c r="A155" s="15"/>
      <c r="B155" s="16"/>
    </row>
    <row r="156" spans="1:2" ht="14.25" customHeight="1" x14ac:dyDescent="0.25">
      <c r="A156" s="15"/>
      <c r="B156" s="16"/>
    </row>
    <row r="157" spans="1:2" ht="14.25" customHeight="1" x14ac:dyDescent="0.25">
      <c r="A157" s="15"/>
      <c r="B157" s="16"/>
    </row>
    <row r="158" spans="1:2" ht="14.25" customHeight="1" x14ac:dyDescent="0.25">
      <c r="A158" s="15"/>
      <c r="B158" s="16"/>
    </row>
    <row r="159" spans="1:2" ht="14.25" customHeight="1" x14ac:dyDescent="0.25">
      <c r="A159" s="15"/>
      <c r="B159" s="16"/>
    </row>
    <row r="160" spans="1:2" ht="14.25" customHeight="1" x14ac:dyDescent="0.25">
      <c r="A160" s="15"/>
      <c r="B160" s="16"/>
    </row>
    <row r="161" spans="1:2" ht="14.25" customHeight="1" x14ac:dyDescent="0.25">
      <c r="A161" s="15"/>
      <c r="B161" s="16"/>
    </row>
    <row r="162" spans="1:2" ht="14.25" customHeight="1" x14ac:dyDescent="0.25">
      <c r="A162" s="15"/>
      <c r="B162" s="16"/>
    </row>
    <row r="163" spans="1:2" ht="14.25" customHeight="1" x14ac:dyDescent="0.25">
      <c r="A163" s="15"/>
      <c r="B163" s="16"/>
    </row>
    <row r="164" spans="1:2" ht="14.25" customHeight="1" x14ac:dyDescent="0.25">
      <c r="A164" s="15"/>
      <c r="B164" s="16"/>
    </row>
    <row r="165" spans="1:2" ht="14.25" customHeight="1" x14ac:dyDescent="0.25">
      <c r="A165" s="15"/>
      <c r="B165" s="16"/>
    </row>
    <row r="166" spans="1:2" ht="14.25" customHeight="1" x14ac:dyDescent="0.25">
      <c r="A166" s="15"/>
      <c r="B166" s="16"/>
    </row>
    <row r="167" spans="1:2" ht="14.25" customHeight="1" x14ac:dyDescent="0.25">
      <c r="A167" s="15"/>
      <c r="B167" s="16"/>
    </row>
    <row r="168" spans="1:2" ht="14.25" customHeight="1" x14ac:dyDescent="0.25">
      <c r="A168" s="15"/>
      <c r="B168" s="16"/>
    </row>
    <row r="169" spans="1:2" ht="14.25" customHeight="1" x14ac:dyDescent="0.25">
      <c r="A169" s="15"/>
      <c r="B169" s="16"/>
    </row>
    <row r="170" spans="1:2" ht="14.25" customHeight="1" x14ac:dyDescent="0.25">
      <c r="A170" s="15"/>
      <c r="B170" s="16"/>
    </row>
    <row r="171" spans="1:2" ht="14.25" customHeight="1" x14ac:dyDescent="0.25">
      <c r="A171" s="15"/>
      <c r="B171" s="16"/>
    </row>
    <row r="172" spans="1:2" ht="14.25" customHeight="1" x14ac:dyDescent="0.25">
      <c r="A172" s="15"/>
      <c r="B172" s="16"/>
    </row>
    <row r="173" spans="1:2" ht="14.25" customHeight="1" x14ac:dyDescent="0.25">
      <c r="A173" s="15"/>
      <c r="B173" s="16"/>
    </row>
    <row r="174" spans="1:2" ht="14.25" customHeight="1" x14ac:dyDescent="0.25">
      <c r="A174" s="15"/>
      <c r="B174" s="16"/>
    </row>
    <row r="175" spans="1:2" ht="14.25" customHeight="1" x14ac:dyDescent="0.25">
      <c r="A175" s="15"/>
      <c r="B175" s="16"/>
    </row>
    <row r="176" spans="1:2" ht="14.25" customHeight="1" x14ac:dyDescent="0.25">
      <c r="A176" s="15"/>
      <c r="B176" s="16"/>
    </row>
    <row r="177" spans="1:2" ht="14.25" customHeight="1" x14ac:dyDescent="0.25">
      <c r="A177" s="15"/>
      <c r="B177" s="16"/>
    </row>
    <row r="178" spans="1:2" ht="14.25" customHeight="1" x14ac:dyDescent="0.25">
      <c r="A178" s="15"/>
      <c r="B178" s="16"/>
    </row>
    <row r="179" spans="1:2" ht="14.25" customHeight="1" x14ac:dyDescent="0.25">
      <c r="A179" s="15"/>
      <c r="B179" s="16"/>
    </row>
    <row r="180" spans="1:2" ht="14.25" customHeight="1" x14ac:dyDescent="0.25">
      <c r="A180" s="15"/>
      <c r="B180" s="16"/>
    </row>
    <row r="181" spans="1:2" ht="14.25" customHeight="1" x14ac:dyDescent="0.25">
      <c r="A181" s="15"/>
      <c r="B181" s="16"/>
    </row>
    <row r="182" spans="1:2" ht="14.25" customHeight="1" x14ac:dyDescent="0.25">
      <c r="A182" s="15"/>
      <c r="B182" s="16"/>
    </row>
    <row r="183" spans="1:2" ht="14.25" customHeight="1" x14ac:dyDescent="0.25">
      <c r="A183" s="15"/>
      <c r="B183" s="16"/>
    </row>
    <row r="184" spans="1:2" ht="14.25" customHeight="1" x14ac:dyDescent="0.25">
      <c r="A184" s="15"/>
      <c r="B184" s="16"/>
    </row>
    <row r="185" spans="1:2" ht="14.25" customHeight="1" x14ac:dyDescent="0.25">
      <c r="A185" s="15"/>
      <c r="B185" s="16"/>
    </row>
    <row r="186" spans="1:2" ht="14.25" customHeight="1" x14ac:dyDescent="0.25">
      <c r="A186" s="15"/>
      <c r="B186" s="16"/>
    </row>
    <row r="187" spans="1:2" ht="14.25" customHeight="1" x14ac:dyDescent="0.25">
      <c r="A187" s="15"/>
      <c r="B187" s="16"/>
    </row>
    <row r="188" spans="1:2" ht="14.25" customHeight="1" x14ac:dyDescent="0.25">
      <c r="A188" s="15"/>
      <c r="B188" s="16"/>
    </row>
    <row r="189" spans="1:2" ht="14.25" customHeight="1" x14ac:dyDescent="0.25">
      <c r="A189" s="15"/>
      <c r="B189" s="16"/>
    </row>
    <row r="190" spans="1:2" ht="14.25" customHeight="1" x14ac:dyDescent="0.25">
      <c r="A190" s="15"/>
      <c r="B190" s="16"/>
    </row>
    <row r="191" spans="1:2" ht="14.25" customHeight="1" x14ac:dyDescent="0.25">
      <c r="A191" s="15"/>
      <c r="B191" s="16"/>
    </row>
    <row r="192" spans="1:2" ht="14.25" customHeight="1" x14ac:dyDescent="0.25">
      <c r="A192" s="15"/>
      <c r="B192" s="16"/>
    </row>
    <row r="193" spans="1:2" ht="14.25" customHeight="1" x14ac:dyDescent="0.25">
      <c r="A193" s="15"/>
      <c r="B193" s="16"/>
    </row>
    <row r="194" spans="1:2" ht="14.25" customHeight="1" x14ac:dyDescent="0.25">
      <c r="A194" s="15"/>
      <c r="B194" s="16"/>
    </row>
    <row r="195" spans="1:2" ht="14.25" customHeight="1" x14ac:dyDescent="0.25">
      <c r="A195" s="15"/>
      <c r="B195" s="16"/>
    </row>
    <row r="196" spans="1:2" ht="14.25" customHeight="1" x14ac:dyDescent="0.25">
      <c r="A196" s="15"/>
      <c r="B196" s="16"/>
    </row>
    <row r="197" spans="1:2" ht="14.25" customHeight="1" x14ac:dyDescent="0.25">
      <c r="A197" s="15"/>
      <c r="B197" s="16"/>
    </row>
    <row r="198" spans="1:2" ht="14.25" customHeight="1" x14ac:dyDescent="0.25">
      <c r="A198" s="15"/>
      <c r="B198" s="16"/>
    </row>
    <row r="199" spans="1:2" ht="14.25" customHeight="1" x14ac:dyDescent="0.25">
      <c r="A199" s="15"/>
      <c r="B199" s="16"/>
    </row>
    <row r="200" spans="1:2" ht="14.25" customHeight="1" x14ac:dyDescent="0.25">
      <c r="A200" s="15"/>
      <c r="B200" s="16"/>
    </row>
    <row r="201" spans="1:2" ht="14.25" customHeight="1" x14ac:dyDescent="0.25">
      <c r="A201" s="15"/>
      <c r="B201" s="16"/>
    </row>
    <row r="202" spans="1:2" ht="14.25" customHeight="1" x14ac:dyDescent="0.25">
      <c r="A202" s="15"/>
      <c r="B202" s="16"/>
    </row>
    <row r="203" spans="1:2" ht="14.25" customHeight="1" x14ac:dyDescent="0.25">
      <c r="A203" s="15"/>
      <c r="B203" s="16"/>
    </row>
    <row r="204" spans="1:2" ht="14.25" customHeight="1" x14ac:dyDescent="0.25">
      <c r="A204" s="15"/>
      <c r="B204" s="16"/>
    </row>
    <row r="205" spans="1:2" ht="14.25" customHeight="1" x14ac:dyDescent="0.25">
      <c r="A205" s="15"/>
      <c r="B205" s="16"/>
    </row>
    <row r="206" spans="1:2" ht="14.25" customHeight="1" x14ac:dyDescent="0.25">
      <c r="A206" s="15"/>
      <c r="B206" s="16"/>
    </row>
    <row r="207" spans="1:2" ht="14.25" customHeight="1" x14ac:dyDescent="0.25">
      <c r="A207" s="15"/>
      <c r="B207" s="16"/>
    </row>
    <row r="208" spans="1:2" ht="14.25" customHeight="1" x14ac:dyDescent="0.25">
      <c r="A208" s="15"/>
      <c r="B208" s="16"/>
    </row>
    <row r="209" spans="1:2" ht="14.25" customHeight="1" x14ac:dyDescent="0.25">
      <c r="A209" s="15"/>
      <c r="B209" s="16"/>
    </row>
    <row r="210" spans="1:2" ht="14.25" customHeight="1" x14ac:dyDescent="0.25">
      <c r="A210" s="15"/>
      <c r="B210" s="16"/>
    </row>
    <row r="211" spans="1:2" ht="14.25" customHeight="1" x14ac:dyDescent="0.25">
      <c r="A211" s="15"/>
      <c r="B211" s="16"/>
    </row>
    <row r="212" spans="1:2" ht="14.25" customHeight="1" x14ac:dyDescent="0.25">
      <c r="A212" s="15"/>
      <c r="B212" s="16"/>
    </row>
    <row r="213" spans="1:2" ht="14.25" customHeight="1" x14ac:dyDescent="0.25">
      <c r="A213" s="15"/>
      <c r="B213" s="16"/>
    </row>
    <row r="214" spans="1:2" ht="14.25" customHeight="1" x14ac:dyDescent="0.25">
      <c r="A214" s="15"/>
      <c r="B214" s="16"/>
    </row>
    <row r="215" spans="1:2" ht="14.25" customHeight="1" x14ac:dyDescent="0.25">
      <c r="A215" s="15"/>
      <c r="B215" s="16"/>
    </row>
    <row r="216" spans="1:2" ht="14.25" customHeight="1" x14ac:dyDescent="0.25">
      <c r="A216" s="15"/>
      <c r="B216" s="16"/>
    </row>
    <row r="217" spans="1:2" ht="14.25" customHeight="1" x14ac:dyDescent="0.25">
      <c r="A217" s="15"/>
      <c r="B217" s="16"/>
    </row>
    <row r="218" spans="1:2" ht="14.25" customHeight="1" x14ac:dyDescent="0.25">
      <c r="A218" s="15"/>
      <c r="B218" s="16"/>
    </row>
    <row r="219" spans="1:2" ht="14.25" customHeight="1" x14ac:dyDescent="0.25">
      <c r="A219" s="15"/>
      <c r="B219" s="16"/>
    </row>
    <row r="220" spans="1:2" ht="14.25" customHeight="1" x14ac:dyDescent="0.25">
      <c r="A220" s="15"/>
      <c r="B220" s="16"/>
    </row>
    <row r="221" spans="1:2" ht="14.25" customHeight="1" x14ac:dyDescent="0.25">
      <c r="A221" s="15"/>
      <c r="B221" s="16"/>
    </row>
    <row r="222" spans="1:2" ht="14.25" customHeight="1" x14ac:dyDescent="0.25">
      <c r="A222" s="15"/>
      <c r="B222" s="16"/>
    </row>
    <row r="223" spans="1:2" ht="14.25" customHeight="1" x14ac:dyDescent="0.25">
      <c r="A223" s="15"/>
      <c r="B223" s="16"/>
    </row>
    <row r="224" spans="1:2" ht="14.25" customHeight="1" x14ac:dyDescent="0.25">
      <c r="A224" s="15"/>
      <c r="B224" s="16"/>
    </row>
    <row r="225" spans="1:2" ht="14.25" customHeight="1" x14ac:dyDescent="0.25">
      <c r="A225" s="15"/>
      <c r="B225" s="16"/>
    </row>
    <row r="226" spans="1:2" ht="14.25" customHeight="1" x14ac:dyDescent="0.25">
      <c r="A226" s="15"/>
      <c r="B226" s="16"/>
    </row>
    <row r="227" spans="1:2" ht="14.25" customHeight="1" x14ac:dyDescent="0.25">
      <c r="A227" s="15"/>
      <c r="B227" s="16"/>
    </row>
    <row r="228" spans="1:2" ht="14.25" customHeight="1" x14ac:dyDescent="0.25">
      <c r="A228" s="15"/>
      <c r="B228" s="16"/>
    </row>
    <row r="229" spans="1:2" ht="14.25" customHeight="1" x14ac:dyDescent="0.25">
      <c r="A229" s="15"/>
      <c r="B229" s="16"/>
    </row>
    <row r="230" spans="1:2" ht="14.25" customHeight="1" x14ac:dyDescent="0.25">
      <c r="A230" s="15"/>
      <c r="B230" s="16"/>
    </row>
    <row r="231" spans="1:2" ht="14.25" customHeight="1" x14ac:dyDescent="0.25">
      <c r="A231" s="15"/>
      <c r="B231" s="16"/>
    </row>
    <row r="232" spans="1:2" ht="14.25" customHeight="1" x14ac:dyDescent="0.25">
      <c r="A232" s="15"/>
      <c r="B232" s="16"/>
    </row>
    <row r="233" spans="1:2" ht="14.25" customHeight="1" x14ac:dyDescent="0.25">
      <c r="A233" s="15"/>
      <c r="B233" s="16"/>
    </row>
    <row r="234" spans="1:2" ht="14.25" customHeight="1" x14ac:dyDescent="0.25">
      <c r="A234" s="15"/>
      <c r="B234" s="16"/>
    </row>
    <row r="235" spans="1:2" ht="14.25" customHeight="1" x14ac:dyDescent="0.25">
      <c r="A235" s="15"/>
      <c r="B235" s="16"/>
    </row>
    <row r="236" spans="1:2" ht="14.25" customHeight="1" x14ac:dyDescent="0.25">
      <c r="A236" s="15"/>
      <c r="B236" s="16"/>
    </row>
    <row r="237" spans="1:2" ht="14.25" customHeight="1" x14ac:dyDescent="0.25">
      <c r="A237" s="15"/>
      <c r="B237" s="16"/>
    </row>
    <row r="238" spans="1:2" ht="14.25" customHeight="1" x14ac:dyDescent="0.25">
      <c r="A238" s="15"/>
      <c r="B238" s="16"/>
    </row>
    <row r="239" spans="1:2" ht="14.25" customHeight="1" x14ac:dyDescent="0.25">
      <c r="A239" s="15"/>
      <c r="B239" s="16"/>
    </row>
    <row r="240" spans="1:2" ht="14.25" customHeight="1" x14ac:dyDescent="0.25">
      <c r="A240" s="15"/>
      <c r="B240" s="16"/>
    </row>
    <row r="241" spans="1:2" ht="14.25" customHeight="1" x14ac:dyDescent="0.25">
      <c r="A241" s="15"/>
      <c r="B241" s="16"/>
    </row>
    <row r="242" spans="1:2" ht="14.25" customHeight="1" x14ac:dyDescent="0.25">
      <c r="A242" s="15"/>
      <c r="B242" s="16"/>
    </row>
    <row r="243" spans="1:2" ht="14.25" customHeight="1" x14ac:dyDescent="0.25">
      <c r="A243" s="15"/>
      <c r="B243" s="16"/>
    </row>
    <row r="244" spans="1:2" ht="14.25" customHeight="1" x14ac:dyDescent="0.25">
      <c r="A244" s="15"/>
      <c r="B244" s="16"/>
    </row>
    <row r="245" spans="1:2" ht="14.25" customHeight="1" x14ac:dyDescent="0.25">
      <c r="A245" s="15"/>
      <c r="B245" s="16"/>
    </row>
    <row r="246" spans="1:2" ht="14.25" customHeight="1" x14ac:dyDescent="0.25">
      <c r="A246" s="15"/>
      <c r="B246" s="16"/>
    </row>
    <row r="247" spans="1:2" ht="14.25" customHeight="1" x14ac:dyDescent="0.25">
      <c r="A247" s="15"/>
      <c r="B247" s="16"/>
    </row>
    <row r="248" spans="1:2" ht="14.25" customHeight="1" x14ac:dyDescent="0.25">
      <c r="A248" s="15"/>
      <c r="B248" s="16"/>
    </row>
    <row r="249" spans="1:2" ht="14.25" customHeight="1" x14ac:dyDescent="0.25">
      <c r="A249" s="15"/>
      <c r="B249" s="16"/>
    </row>
    <row r="250" spans="1:2" ht="14.25" customHeight="1" x14ac:dyDescent="0.25">
      <c r="A250" s="15"/>
      <c r="B250" s="16"/>
    </row>
    <row r="251" spans="1:2" ht="14.25" customHeight="1" x14ac:dyDescent="0.25">
      <c r="A251" s="15"/>
      <c r="B251" s="16"/>
    </row>
    <row r="252" spans="1:2" ht="14.25" customHeight="1" x14ac:dyDescent="0.25">
      <c r="A252" s="15"/>
      <c r="B252" s="16"/>
    </row>
    <row r="253" spans="1:2" ht="14.25" customHeight="1" x14ac:dyDescent="0.25">
      <c r="A253" s="15"/>
      <c r="B253" s="16"/>
    </row>
    <row r="254" spans="1:2" ht="14.25" customHeight="1" x14ac:dyDescent="0.25">
      <c r="A254" s="15"/>
      <c r="B254" s="16"/>
    </row>
    <row r="255" spans="1:2" ht="14.25" customHeight="1" x14ac:dyDescent="0.25">
      <c r="A255" s="15"/>
      <c r="B255" s="16"/>
    </row>
    <row r="256" spans="1:2" ht="14.25" customHeight="1" x14ac:dyDescent="0.25">
      <c r="A256" s="15"/>
      <c r="B256" s="16"/>
    </row>
    <row r="257" spans="1:2" ht="14.25" customHeight="1" x14ac:dyDescent="0.25">
      <c r="A257" s="15"/>
      <c r="B257" s="16"/>
    </row>
    <row r="258" spans="1:2" ht="14.25" customHeight="1" x14ac:dyDescent="0.25">
      <c r="A258" s="15"/>
      <c r="B258" s="16"/>
    </row>
    <row r="259" spans="1:2" ht="14.25" customHeight="1" x14ac:dyDescent="0.25">
      <c r="A259" s="15"/>
      <c r="B259" s="16"/>
    </row>
    <row r="260" spans="1:2" ht="14.25" customHeight="1" x14ac:dyDescent="0.25">
      <c r="A260" s="15"/>
      <c r="B260" s="16"/>
    </row>
    <row r="261" spans="1:2" ht="14.25" customHeight="1" x14ac:dyDescent="0.25">
      <c r="A261" s="15"/>
      <c r="B261" s="16"/>
    </row>
    <row r="262" spans="1:2" ht="14.25" customHeight="1" x14ac:dyDescent="0.25">
      <c r="A262" s="15"/>
      <c r="B262" s="16"/>
    </row>
    <row r="263" spans="1:2" ht="14.25" customHeight="1" x14ac:dyDescent="0.25">
      <c r="A263" s="15"/>
      <c r="B263" s="16"/>
    </row>
    <row r="264" spans="1:2" ht="14.25" customHeight="1" x14ac:dyDescent="0.25">
      <c r="A264" s="15"/>
      <c r="B264" s="16"/>
    </row>
    <row r="265" spans="1:2" ht="14.25" customHeight="1" x14ac:dyDescent="0.25">
      <c r="A265" s="15"/>
      <c r="B265" s="16"/>
    </row>
    <row r="266" spans="1:2" ht="14.25" customHeight="1" x14ac:dyDescent="0.25">
      <c r="A266" s="15"/>
      <c r="B266" s="16"/>
    </row>
    <row r="267" spans="1:2" ht="14.25" customHeight="1" x14ac:dyDescent="0.25">
      <c r="A267" s="15"/>
      <c r="B267" s="16"/>
    </row>
    <row r="268" spans="1:2" ht="14.25" customHeight="1" x14ac:dyDescent="0.25">
      <c r="A268" s="15"/>
      <c r="B268" s="16"/>
    </row>
    <row r="269" spans="1:2" ht="14.25" customHeight="1" x14ac:dyDescent="0.25">
      <c r="A269" s="15"/>
      <c r="B269" s="16"/>
    </row>
    <row r="270" spans="1:2" ht="14.25" customHeight="1" x14ac:dyDescent="0.25">
      <c r="A270" s="15"/>
      <c r="B270" s="16"/>
    </row>
    <row r="271" spans="1:2" ht="14.25" customHeight="1" x14ac:dyDescent="0.25">
      <c r="A271" s="15"/>
      <c r="B271" s="16"/>
    </row>
    <row r="272" spans="1:2" ht="14.25" customHeight="1" x14ac:dyDescent="0.25">
      <c r="A272" s="15"/>
      <c r="B272" s="16"/>
    </row>
    <row r="273" spans="1:2" ht="14.25" customHeight="1" x14ac:dyDescent="0.25">
      <c r="A273" s="15"/>
      <c r="B273" s="16"/>
    </row>
    <row r="274" spans="1:2" ht="14.25" customHeight="1" x14ac:dyDescent="0.25">
      <c r="A274" s="15"/>
      <c r="B274" s="16"/>
    </row>
    <row r="275" spans="1:2" ht="14.25" customHeight="1" x14ac:dyDescent="0.25">
      <c r="A275" s="15"/>
      <c r="B275" s="16"/>
    </row>
    <row r="276" spans="1:2" ht="14.25" customHeight="1" x14ac:dyDescent="0.25">
      <c r="A276" s="15"/>
      <c r="B276" s="16"/>
    </row>
    <row r="277" spans="1:2" ht="14.25" customHeight="1" x14ac:dyDescent="0.25">
      <c r="A277" s="15"/>
      <c r="B277" s="16"/>
    </row>
    <row r="278" spans="1:2" ht="14.25" customHeight="1" x14ac:dyDescent="0.25">
      <c r="A278" s="15"/>
      <c r="B278" s="16"/>
    </row>
    <row r="279" spans="1:2" ht="14.25" customHeight="1" x14ac:dyDescent="0.25">
      <c r="A279" s="15"/>
      <c r="B279" s="16"/>
    </row>
    <row r="280" spans="1:2" ht="14.25" customHeight="1" x14ac:dyDescent="0.25">
      <c r="A280" s="15"/>
      <c r="B280" s="16"/>
    </row>
    <row r="281" spans="1:2" ht="14.25" customHeight="1" x14ac:dyDescent="0.25">
      <c r="A281" s="15"/>
      <c r="B281" s="16"/>
    </row>
    <row r="282" spans="1:2" ht="14.25" customHeight="1" x14ac:dyDescent="0.25">
      <c r="A282" s="15"/>
      <c r="B282" s="16"/>
    </row>
    <row r="283" spans="1:2" ht="14.25" customHeight="1" x14ac:dyDescent="0.25">
      <c r="A283" s="15"/>
      <c r="B283" s="16"/>
    </row>
    <row r="284" spans="1:2" ht="14.25" customHeight="1" x14ac:dyDescent="0.25">
      <c r="A284" s="15"/>
      <c r="B284" s="16"/>
    </row>
    <row r="285" spans="1:2" ht="14.25" customHeight="1" x14ac:dyDescent="0.25">
      <c r="A285" s="15"/>
      <c r="B285" s="16"/>
    </row>
    <row r="286" spans="1:2" ht="14.25" customHeight="1" x14ac:dyDescent="0.25">
      <c r="A286" s="15"/>
      <c r="B286" s="16"/>
    </row>
    <row r="287" spans="1:2" ht="14.25" customHeight="1" x14ac:dyDescent="0.25">
      <c r="A287" s="15"/>
      <c r="B287" s="16"/>
    </row>
    <row r="288" spans="1:2" ht="14.25" customHeight="1" x14ac:dyDescent="0.25">
      <c r="A288" s="15"/>
      <c r="B288" s="16"/>
    </row>
    <row r="289" spans="1:2" ht="14.25" customHeight="1" x14ac:dyDescent="0.25">
      <c r="A289" s="15"/>
      <c r="B289" s="16"/>
    </row>
    <row r="290" spans="1:2" ht="14.25" customHeight="1" x14ac:dyDescent="0.25">
      <c r="A290" s="15"/>
      <c r="B290" s="16"/>
    </row>
    <row r="291" spans="1:2" ht="14.25" customHeight="1" x14ac:dyDescent="0.25">
      <c r="A291" s="15"/>
      <c r="B291" s="16"/>
    </row>
    <row r="292" spans="1:2" ht="14.25" customHeight="1" x14ac:dyDescent="0.25">
      <c r="A292" s="15"/>
      <c r="B292" s="16"/>
    </row>
    <row r="293" spans="1:2" ht="14.25" customHeight="1" x14ac:dyDescent="0.25">
      <c r="A293" s="15"/>
      <c r="B293" s="16"/>
    </row>
    <row r="294" spans="1:2" ht="14.25" customHeight="1" x14ac:dyDescent="0.25">
      <c r="A294" s="15"/>
      <c r="B294" s="16"/>
    </row>
    <row r="295" spans="1:2" ht="14.25" customHeight="1" x14ac:dyDescent="0.25">
      <c r="A295" s="15"/>
      <c r="B295" s="16"/>
    </row>
    <row r="296" spans="1:2" ht="14.25" customHeight="1" x14ac:dyDescent="0.25">
      <c r="A296" s="15"/>
      <c r="B296" s="16"/>
    </row>
    <row r="297" spans="1:2" ht="14.25" customHeight="1" x14ac:dyDescent="0.25">
      <c r="A297" s="15"/>
      <c r="B297" s="16"/>
    </row>
    <row r="298" spans="1:2" ht="14.25" customHeight="1" x14ac:dyDescent="0.25">
      <c r="A298" s="15"/>
      <c r="B298" s="16"/>
    </row>
    <row r="299" spans="1:2" ht="14.25" customHeight="1" x14ac:dyDescent="0.25">
      <c r="A299" s="15"/>
      <c r="B299" s="16"/>
    </row>
    <row r="300" spans="1:2" ht="14.25" customHeight="1" x14ac:dyDescent="0.25">
      <c r="A300" s="15"/>
      <c r="B300" s="16"/>
    </row>
    <row r="301" spans="1:2" ht="14.25" customHeight="1" x14ac:dyDescent="0.25">
      <c r="A301" s="15"/>
      <c r="B301" s="16"/>
    </row>
    <row r="302" spans="1:2" ht="14.25" customHeight="1" x14ac:dyDescent="0.25">
      <c r="A302" s="15"/>
      <c r="B302" s="16"/>
    </row>
    <row r="303" spans="1:2" ht="14.25" customHeight="1" x14ac:dyDescent="0.25">
      <c r="A303" s="15"/>
      <c r="B303" s="16"/>
    </row>
    <row r="304" spans="1:2" ht="14.25" customHeight="1" x14ac:dyDescent="0.25">
      <c r="A304" s="15"/>
      <c r="B304" s="16"/>
    </row>
    <row r="305" spans="1:2" ht="14.25" customHeight="1" x14ac:dyDescent="0.25">
      <c r="A305" s="15"/>
      <c r="B305" s="16"/>
    </row>
    <row r="306" spans="1:2" ht="14.25" customHeight="1" x14ac:dyDescent="0.25">
      <c r="A306" s="15"/>
      <c r="B306" s="16"/>
    </row>
    <row r="307" spans="1:2" ht="14.25" customHeight="1" x14ac:dyDescent="0.25">
      <c r="A307" s="15"/>
      <c r="B307" s="16"/>
    </row>
    <row r="308" spans="1:2" ht="14.25" customHeight="1" x14ac:dyDescent="0.25">
      <c r="A308" s="15"/>
      <c r="B308" s="16"/>
    </row>
    <row r="309" spans="1:2" ht="14.25" customHeight="1" x14ac:dyDescent="0.25">
      <c r="A309" s="15"/>
      <c r="B309" s="16"/>
    </row>
    <row r="310" spans="1:2" ht="14.25" customHeight="1" x14ac:dyDescent="0.25">
      <c r="A310" s="15"/>
      <c r="B310" s="16"/>
    </row>
    <row r="311" spans="1:2" ht="14.25" customHeight="1" x14ac:dyDescent="0.25">
      <c r="A311" s="15"/>
      <c r="B311" s="16"/>
    </row>
    <row r="312" spans="1:2" ht="14.25" customHeight="1" x14ac:dyDescent="0.25">
      <c r="A312" s="15"/>
      <c r="B312" s="16"/>
    </row>
    <row r="313" spans="1:2" ht="14.25" customHeight="1" x14ac:dyDescent="0.25">
      <c r="A313" s="15"/>
      <c r="B313" s="16"/>
    </row>
    <row r="314" spans="1:2" ht="14.25" customHeight="1" x14ac:dyDescent="0.25">
      <c r="A314" s="15"/>
      <c r="B314" s="16"/>
    </row>
    <row r="315" spans="1:2" ht="14.25" customHeight="1" x14ac:dyDescent="0.25">
      <c r="A315" s="15"/>
      <c r="B315" s="16"/>
    </row>
    <row r="316" spans="1:2" ht="14.25" customHeight="1" x14ac:dyDescent="0.25">
      <c r="A316" s="15"/>
      <c r="B316" s="16"/>
    </row>
    <row r="317" spans="1:2" ht="14.25" customHeight="1" x14ac:dyDescent="0.25">
      <c r="A317" s="15"/>
      <c r="B317" s="16"/>
    </row>
    <row r="318" spans="1:2" ht="14.25" customHeight="1" x14ac:dyDescent="0.25">
      <c r="A318" s="15"/>
      <c r="B318" s="16"/>
    </row>
    <row r="319" spans="1:2" ht="14.25" customHeight="1" x14ac:dyDescent="0.25">
      <c r="A319" s="15"/>
      <c r="B319" s="16"/>
    </row>
    <row r="320" spans="1:2" ht="14.25" customHeight="1" x14ac:dyDescent="0.25">
      <c r="A320" s="15"/>
      <c r="B320" s="16"/>
    </row>
    <row r="321" spans="1:2" ht="14.25" customHeight="1" x14ac:dyDescent="0.25">
      <c r="A321" s="15"/>
      <c r="B321" s="16"/>
    </row>
    <row r="322" spans="1:2" ht="14.25" customHeight="1" x14ac:dyDescent="0.25">
      <c r="A322" s="15"/>
      <c r="B322" s="16"/>
    </row>
    <row r="323" spans="1:2" ht="14.25" customHeight="1" x14ac:dyDescent="0.25">
      <c r="A323" s="15"/>
      <c r="B323" s="16"/>
    </row>
    <row r="324" spans="1:2" ht="14.25" customHeight="1" x14ac:dyDescent="0.25">
      <c r="A324" s="15"/>
      <c r="B324" s="16"/>
    </row>
    <row r="325" spans="1:2" ht="14.25" customHeight="1" x14ac:dyDescent="0.25">
      <c r="A325" s="15"/>
      <c r="B325" s="16"/>
    </row>
    <row r="326" spans="1:2" ht="14.25" customHeight="1" x14ac:dyDescent="0.25">
      <c r="A326" s="15"/>
      <c r="B326" s="16"/>
    </row>
    <row r="327" spans="1:2" ht="14.25" customHeight="1" x14ac:dyDescent="0.25">
      <c r="A327" s="15"/>
      <c r="B327" s="16"/>
    </row>
    <row r="328" spans="1:2" ht="14.25" customHeight="1" x14ac:dyDescent="0.25">
      <c r="A328" s="15"/>
      <c r="B328" s="16"/>
    </row>
    <row r="329" spans="1:2" ht="14.25" customHeight="1" x14ac:dyDescent="0.25">
      <c r="A329" s="15"/>
      <c r="B329" s="16"/>
    </row>
    <row r="330" spans="1:2" ht="14.25" customHeight="1" x14ac:dyDescent="0.25">
      <c r="A330" s="15"/>
      <c r="B330" s="16"/>
    </row>
    <row r="331" spans="1:2" ht="14.25" customHeight="1" x14ac:dyDescent="0.25">
      <c r="A331" s="15"/>
      <c r="B331" s="16"/>
    </row>
    <row r="332" spans="1:2" ht="14.25" customHeight="1" x14ac:dyDescent="0.25">
      <c r="A332" s="15"/>
      <c r="B332" s="16"/>
    </row>
    <row r="333" spans="1:2" ht="14.25" customHeight="1" x14ac:dyDescent="0.25">
      <c r="A333" s="15"/>
      <c r="B333" s="16"/>
    </row>
    <row r="334" spans="1:2" ht="14.25" customHeight="1" x14ac:dyDescent="0.25">
      <c r="A334" s="15"/>
      <c r="B334" s="16"/>
    </row>
    <row r="335" spans="1:2" ht="14.25" customHeight="1" x14ac:dyDescent="0.25">
      <c r="A335" s="15"/>
      <c r="B335" s="16"/>
    </row>
    <row r="336" spans="1:2" ht="14.25" customHeight="1" x14ac:dyDescent="0.25">
      <c r="A336" s="15"/>
      <c r="B336" s="16"/>
    </row>
    <row r="337" spans="1:2" ht="14.25" customHeight="1" x14ac:dyDescent="0.25">
      <c r="A337" s="15"/>
      <c r="B337" s="16"/>
    </row>
    <row r="338" spans="1:2" ht="14.25" customHeight="1" x14ac:dyDescent="0.25">
      <c r="A338" s="15"/>
      <c r="B338" s="16"/>
    </row>
    <row r="339" spans="1:2" ht="14.25" customHeight="1" x14ac:dyDescent="0.25">
      <c r="A339" s="15"/>
      <c r="B339" s="16"/>
    </row>
    <row r="340" spans="1:2" ht="14.25" customHeight="1" x14ac:dyDescent="0.25">
      <c r="A340" s="15"/>
      <c r="B340" s="16"/>
    </row>
    <row r="341" spans="1:2" ht="14.25" customHeight="1" x14ac:dyDescent="0.25">
      <c r="A341" s="15"/>
      <c r="B341" s="16"/>
    </row>
    <row r="342" spans="1:2" ht="14.25" customHeight="1" x14ac:dyDescent="0.25">
      <c r="A342" s="15"/>
      <c r="B342" s="16"/>
    </row>
    <row r="343" spans="1:2" ht="14.25" customHeight="1" x14ac:dyDescent="0.25">
      <c r="A343" s="15"/>
      <c r="B343" s="16"/>
    </row>
    <row r="344" spans="1:2" ht="14.25" customHeight="1" x14ac:dyDescent="0.25">
      <c r="A344" s="15"/>
      <c r="B344" s="16"/>
    </row>
    <row r="345" spans="1:2" ht="14.25" customHeight="1" x14ac:dyDescent="0.25">
      <c r="A345" s="15"/>
      <c r="B345" s="16"/>
    </row>
    <row r="346" spans="1:2" ht="14.25" customHeight="1" x14ac:dyDescent="0.25">
      <c r="A346" s="15"/>
      <c r="B346" s="16"/>
    </row>
    <row r="347" spans="1:2" ht="14.25" customHeight="1" x14ac:dyDescent="0.25">
      <c r="A347" s="15"/>
      <c r="B347" s="16"/>
    </row>
    <row r="348" spans="1:2" ht="14.25" customHeight="1" x14ac:dyDescent="0.25">
      <c r="A348" s="15"/>
      <c r="B348" s="16"/>
    </row>
    <row r="349" spans="1:2" ht="14.25" customHeight="1" x14ac:dyDescent="0.25">
      <c r="A349" s="15"/>
      <c r="B349" s="16"/>
    </row>
    <row r="350" spans="1:2" ht="14.25" customHeight="1" x14ac:dyDescent="0.25">
      <c r="A350" s="15"/>
      <c r="B350" s="16"/>
    </row>
    <row r="351" spans="1:2" ht="14.25" customHeight="1" x14ac:dyDescent="0.25">
      <c r="A351" s="15"/>
      <c r="B351" s="16"/>
    </row>
    <row r="352" spans="1:2" ht="14.25" customHeight="1" x14ac:dyDescent="0.25">
      <c r="A352" s="15"/>
      <c r="B352" s="16"/>
    </row>
    <row r="353" spans="1:2" ht="14.25" customHeight="1" x14ac:dyDescent="0.25">
      <c r="A353" s="15"/>
      <c r="B353" s="16"/>
    </row>
    <row r="354" spans="1:2" ht="14.25" customHeight="1" x14ac:dyDescent="0.25">
      <c r="A354" s="15"/>
      <c r="B354" s="16"/>
    </row>
    <row r="355" spans="1:2" ht="14.25" customHeight="1" x14ac:dyDescent="0.25">
      <c r="A355" s="15"/>
      <c r="B355" s="16"/>
    </row>
    <row r="356" spans="1:2" ht="14.25" customHeight="1" x14ac:dyDescent="0.25">
      <c r="A356" s="15"/>
      <c r="B356" s="16"/>
    </row>
    <row r="357" spans="1:2" ht="14.25" customHeight="1" x14ac:dyDescent="0.25">
      <c r="A357" s="15"/>
      <c r="B357" s="16"/>
    </row>
    <row r="358" spans="1:2" ht="14.25" customHeight="1" x14ac:dyDescent="0.25">
      <c r="A358" s="15"/>
      <c r="B358" s="16"/>
    </row>
    <row r="359" spans="1:2" ht="14.25" customHeight="1" x14ac:dyDescent="0.25">
      <c r="A359" s="15"/>
      <c r="B359" s="16"/>
    </row>
    <row r="360" spans="1:2" ht="14.25" customHeight="1" x14ac:dyDescent="0.25">
      <c r="A360" s="15"/>
      <c r="B360" s="16"/>
    </row>
    <row r="361" spans="1:2" ht="14.25" customHeight="1" x14ac:dyDescent="0.25">
      <c r="A361" s="15"/>
      <c r="B361" s="16"/>
    </row>
    <row r="362" spans="1:2" ht="14.25" customHeight="1" x14ac:dyDescent="0.25">
      <c r="A362" s="15"/>
      <c r="B362" s="16"/>
    </row>
    <row r="363" spans="1:2" ht="14.25" customHeight="1" x14ac:dyDescent="0.25">
      <c r="A363" s="15"/>
      <c r="B363" s="16"/>
    </row>
    <row r="364" spans="1:2" ht="14.25" customHeight="1" x14ac:dyDescent="0.25">
      <c r="A364" s="15"/>
      <c r="B364" s="16"/>
    </row>
    <row r="365" spans="1:2" ht="14.25" customHeight="1" x14ac:dyDescent="0.25">
      <c r="A365" s="15"/>
      <c r="B365" s="16"/>
    </row>
    <row r="366" spans="1:2" ht="14.25" customHeight="1" x14ac:dyDescent="0.25">
      <c r="A366" s="15"/>
      <c r="B366" s="16"/>
    </row>
    <row r="367" spans="1:2" ht="14.25" customHeight="1" x14ac:dyDescent="0.25">
      <c r="A367" s="15"/>
      <c r="B367" s="16"/>
    </row>
    <row r="368" spans="1:2" ht="14.25" customHeight="1" x14ac:dyDescent="0.25">
      <c r="A368" s="15"/>
      <c r="B368" s="16"/>
    </row>
    <row r="369" spans="1:2" ht="14.25" customHeight="1" x14ac:dyDescent="0.25">
      <c r="A369" s="15"/>
      <c r="B369" s="16"/>
    </row>
    <row r="370" spans="1:2" ht="14.25" customHeight="1" x14ac:dyDescent="0.25">
      <c r="A370" s="15"/>
      <c r="B370" s="16"/>
    </row>
    <row r="371" spans="1:2" ht="14.25" customHeight="1" x14ac:dyDescent="0.25">
      <c r="A371" s="15"/>
      <c r="B371" s="16"/>
    </row>
    <row r="372" spans="1:2" ht="14.25" customHeight="1" x14ac:dyDescent="0.25">
      <c r="A372" s="15"/>
      <c r="B372" s="16"/>
    </row>
    <row r="373" spans="1:2" ht="14.25" customHeight="1" x14ac:dyDescent="0.25">
      <c r="A373" s="15"/>
      <c r="B373" s="16"/>
    </row>
    <row r="374" spans="1:2" ht="14.25" customHeight="1" x14ac:dyDescent="0.25">
      <c r="A374" s="15"/>
      <c r="B374" s="16"/>
    </row>
    <row r="375" spans="1:2" ht="14.25" customHeight="1" x14ac:dyDescent="0.25">
      <c r="A375" s="15"/>
      <c r="B375" s="16"/>
    </row>
    <row r="376" spans="1:2" ht="14.25" customHeight="1" x14ac:dyDescent="0.25">
      <c r="A376" s="15"/>
      <c r="B376" s="16"/>
    </row>
    <row r="377" spans="1:2" ht="14.25" customHeight="1" x14ac:dyDescent="0.25">
      <c r="A377" s="15"/>
      <c r="B377" s="16"/>
    </row>
    <row r="378" spans="1:2" ht="14.25" customHeight="1" x14ac:dyDescent="0.25">
      <c r="A378" s="15"/>
      <c r="B378" s="16"/>
    </row>
    <row r="379" spans="1:2" ht="14.25" customHeight="1" x14ac:dyDescent="0.25">
      <c r="A379" s="15"/>
      <c r="B379" s="16"/>
    </row>
    <row r="380" spans="1:2" ht="14.25" customHeight="1" x14ac:dyDescent="0.25">
      <c r="A380" s="15"/>
      <c r="B380" s="16"/>
    </row>
    <row r="381" spans="1:2" ht="14.25" customHeight="1" x14ac:dyDescent="0.25">
      <c r="A381" s="15"/>
      <c r="B381" s="16"/>
    </row>
    <row r="382" spans="1:2" ht="14.25" customHeight="1" x14ac:dyDescent="0.25">
      <c r="A382" s="15"/>
      <c r="B382" s="16"/>
    </row>
    <row r="383" spans="1:2" ht="14.25" customHeight="1" x14ac:dyDescent="0.25">
      <c r="A383" s="15"/>
      <c r="B383" s="16"/>
    </row>
    <row r="384" spans="1:2" ht="14.25" customHeight="1" x14ac:dyDescent="0.25">
      <c r="A384" s="15"/>
      <c r="B384" s="16"/>
    </row>
    <row r="385" spans="1:2" ht="14.25" customHeight="1" x14ac:dyDescent="0.25">
      <c r="A385" s="15"/>
      <c r="B385" s="16"/>
    </row>
    <row r="386" spans="1:2" ht="14.25" customHeight="1" x14ac:dyDescent="0.25">
      <c r="A386" s="15"/>
      <c r="B386" s="16"/>
    </row>
    <row r="387" spans="1:2" ht="14.25" customHeight="1" x14ac:dyDescent="0.25">
      <c r="A387" s="15"/>
      <c r="B387" s="16"/>
    </row>
    <row r="388" spans="1:2" ht="14.25" customHeight="1" x14ac:dyDescent="0.25">
      <c r="A388" s="15"/>
      <c r="B388" s="16"/>
    </row>
    <row r="389" spans="1:2" ht="14.25" customHeight="1" x14ac:dyDescent="0.25">
      <c r="A389" s="15"/>
      <c r="B389" s="16"/>
    </row>
    <row r="390" spans="1:2" ht="14.25" customHeight="1" x14ac:dyDescent="0.25">
      <c r="A390" s="15"/>
      <c r="B390" s="16"/>
    </row>
    <row r="391" spans="1:2" ht="14.25" customHeight="1" x14ac:dyDescent="0.25">
      <c r="A391" s="15"/>
      <c r="B391" s="16"/>
    </row>
    <row r="392" spans="1:2" ht="14.25" customHeight="1" x14ac:dyDescent="0.25">
      <c r="A392" s="15"/>
      <c r="B392" s="16"/>
    </row>
    <row r="393" spans="1:2" ht="14.25" customHeight="1" x14ac:dyDescent="0.25">
      <c r="A393" s="15"/>
      <c r="B393" s="16"/>
    </row>
    <row r="394" spans="1:2" ht="14.25" customHeight="1" x14ac:dyDescent="0.25">
      <c r="A394" s="15"/>
      <c r="B394" s="16"/>
    </row>
    <row r="395" spans="1:2" ht="14.25" customHeight="1" x14ac:dyDescent="0.25">
      <c r="A395" s="15"/>
      <c r="B395" s="16"/>
    </row>
    <row r="396" spans="1:2" ht="14.25" customHeight="1" x14ac:dyDescent="0.25">
      <c r="A396" s="15"/>
      <c r="B396" s="16"/>
    </row>
    <row r="397" spans="1:2" ht="14.25" customHeight="1" x14ac:dyDescent="0.25">
      <c r="A397" s="15"/>
      <c r="B397" s="16"/>
    </row>
    <row r="398" spans="1:2" ht="14.25" customHeight="1" x14ac:dyDescent="0.25">
      <c r="A398" s="15"/>
      <c r="B398" s="16"/>
    </row>
    <row r="399" spans="1:2" ht="14.25" customHeight="1" x14ac:dyDescent="0.25">
      <c r="A399" s="15"/>
      <c r="B399" s="16"/>
    </row>
    <row r="400" spans="1:2" ht="14.25" customHeight="1" x14ac:dyDescent="0.25">
      <c r="A400" s="15"/>
      <c r="B400" s="16"/>
    </row>
    <row r="401" spans="1:2" ht="14.25" customHeight="1" x14ac:dyDescent="0.25">
      <c r="A401" s="15"/>
      <c r="B401" s="16"/>
    </row>
    <row r="402" spans="1:2" ht="14.25" customHeight="1" x14ac:dyDescent="0.25">
      <c r="A402" s="15"/>
      <c r="B402" s="16"/>
    </row>
    <row r="403" spans="1:2" ht="14.25" customHeight="1" x14ac:dyDescent="0.25">
      <c r="A403" s="15"/>
      <c r="B403" s="16"/>
    </row>
    <row r="404" spans="1:2" ht="14.25" customHeight="1" x14ac:dyDescent="0.25">
      <c r="A404" s="15"/>
      <c r="B404" s="16"/>
    </row>
    <row r="405" spans="1:2" ht="14.25" customHeight="1" x14ac:dyDescent="0.25">
      <c r="A405" s="15"/>
      <c r="B405" s="16"/>
    </row>
    <row r="406" spans="1:2" ht="14.25" customHeight="1" x14ac:dyDescent="0.25">
      <c r="A406" s="15"/>
      <c r="B406" s="16"/>
    </row>
    <row r="407" spans="1:2" ht="14.25" customHeight="1" x14ac:dyDescent="0.25">
      <c r="A407" s="15"/>
      <c r="B407" s="16"/>
    </row>
    <row r="408" spans="1:2" ht="14.25" customHeight="1" x14ac:dyDescent="0.25">
      <c r="A408" s="15"/>
      <c r="B408" s="16"/>
    </row>
    <row r="409" spans="1:2" ht="14.25" customHeight="1" x14ac:dyDescent="0.25">
      <c r="A409" s="15"/>
      <c r="B409" s="16"/>
    </row>
    <row r="410" spans="1:2" ht="14.25" customHeight="1" x14ac:dyDescent="0.25">
      <c r="A410" s="15"/>
      <c r="B410" s="16"/>
    </row>
    <row r="411" spans="1:2" ht="14.25" customHeight="1" x14ac:dyDescent="0.25">
      <c r="A411" s="15"/>
      <c r="B411" s="16"/>
    </row>
    <row r="412" spans="1:2" ht="14.25" customHeight="1" x14ac:dyDescent="0.25">
      <c r="A412" s="15"/>
      <c r="B412" s="16"/>
    </row>
    <row r="413" spans="1:2" ht="14.25" customHeight="1" x14ac:dyDescent="0.25">
      <c r="A413" s="15"/>
      <c r="B413" s="16"/>
    </row>
    <row r="414" spans="1:2" ht="14.25" customHeight="1" x14ac:dyDescent="0.25">
      <c r="A414" s="15"/>
      <c r="B414" s="16"/>
    </row>
    <row r="415" spans="1:2" ht="14.25" customHeight="1" x14ac:dyDescent="0.25">
      <c r="A415" s="15"/>
      <c r="B415" s="16"/>
    </row>
    <row r="416" spans="1:2" ht="14.25" customHeight="1" x14ac:dyDescent="0.25">
      <c r="A416" s="15"/>
      <c r="B416" s="16"/>
    </row>
    <row r="417" spans="1:2" ht="14.25" customHeight="1" x14ac:dyDescent="0.25">
      <c r="A417" s="15"/>
      <c r="B417" s="16"/>
    </row>
    <row r="418" spans="1:2" ht="14.25" customHeight="1" x14ac:dyDescent="0.25">
      <c r="A418" s="15"/>
      <c r="B418" s="16"/>
    </row>
    <row r="419" spans="1:2" ht="14.25" customHeight="1" x14ac:dyDescent="0.25">
      <c r="A419" s="15"/>
      <c r="B419" s="16"/>
    </row>
    <row r="420" spans="1:2" ht="14.25" customHeight="1" x14ac:dyDescent="0.25">
      <c r="A420" s="15"/>
      <c r="B420" s="16"/>
    </row>
    <row r="421" spans="1:2" ht="14.25" customHeight="1" x14ac:dyDescent="0.25">
      <c r="A421" s="15"/>
      <c r="B421" s="16"/>
    </row>
    <row r="422" spans="1:2" ht="14.25" customHeight="1" x14ac:dyDescent="0.25">
      <c r="A422" s="15"/>
      <c r="B422" s="16"/>
    </row>
    <row r="423" spans="1:2" ht="14.25" customHeight="1" x14ac:dyDescent="0.25">
      <c r="A423" s="15"/>
      <c r="B423" s="16"/>
    </row>
    <row r="424" spans="1:2" ht="14.25" customHeight="1" x14ac:dyDescent="0.25">
      <c r="A424" s="15"/>
      <c r="B424" s="16"/>
    </row>
    <row r="425" spans="1:2" ht="14.25" customHeight="1" x14ac:dyDescent="0.25">
      <c r="A425" s="15"/>
      <c r="B425" s="16"/>
    </row>
    <row r="426" spans="1:2" ht="14.25" customHeight="1" x14ac:dyDescent="0.25">
      <c r="A426" s="15"/>
      <c r="B426" s="16"/>
    </row>
    <row r="427" spans="1:2" ht="14.25" customHeight="1" x14ac:dyDescent="0.25">
      <c r="A427" s="15"/>
      <c r="B427" s="16"/>
    </row>
    <row r="428" spans="1:2" ht="14.25" customHeight="1" x14ac:dyDescent="0.25">
      <c r="A428" s="15"/>
      <c r="B428" s="16"/>
    </row>
    <row r="429" spans="1:2" ht="14.25" customHeight="1" x14ac:dyDescent="0.25">
      <c r="A429" s="15"/>
      <c r="B429" s="16"/>
    </row>
    <row r="430" spans="1:2" ht="14.25" customHeight="1" x14ac:dyDescent="0.25">
      <c r="A430" s="15"/>
      <c r="B430" s="16"/>
    </row>
    <row r="431" spans="1:2" ht="14.25" customHeight="1" x14ac:dyDescent="0.25">
      <c r="A431" s="15"/>
      <c r="B431" s="16"/>
    </row>
    <row r="432" spans="1:2" ht="14.25" customHeight="1" x14ac:dyDescent="0.25">
      <c r="A432" s="15"/>
      <c r="B432" s="16"/>
    </row>
    <row r="433" spans="1:2" ht="14.25" customHeight="1" x14ac:dyDescent="0.25">
      <c r="A433" s="15"/>
      <c r="B433" s="16"/>
    </row>
    <row r="434" spans="1:2" ht="14.25" customHeight="1" x14ac:dyDescent="0.25">
      <c r="A434" s="15"/>
      <c r="B434" s="16"/>
    </row>
    <row r="435" spans="1:2" ht="14.25" customHeight="1" x14ac:dyDescent="0.25">
      <c r="A435" s="15"/>
      <c r="B435" s="16"/>
    </row>
    <row r="436" spans="1:2" ht="14.25" customHeight="1" x14ac:dyDescent="0.25">
      <c r="A436" s="15"/>
      <c r="B436" s="16"/>
    </row>
    <row r="437" spans="1:2" ht="14.25" customHeight="1" x14ac:dyDescent="0.25">
      <c r="A437" s="15"/>
      <c r="B437" s="16"/>
    </row>
    <row r="438" spans="1:2" ht="14.25" customHeight="1" x14ac:dyDescent="0.25">
      <c r="A438" s="15"/>
      <c r="B438" s="16"/>
    </row>
    <row r="439" spans="1:2" ht="14.25" customHeight="1" x14ac:dyDescent="0.25">
      <c r="A439" s="15"/>
      <c r="B439" s="16"/>
    </row>
    <row r="440" spans="1:2" ht="14.25" customHeight="1" x14ac:dyDescent="0.25">
      <c r="A440" s="15"/>
      <c r="B440" s="16"/>
    </row>
    <row r="441" spans="1:2" ht="14.25" customHeight="1" x14ac:dyDescent="0.25">
      <c r="A441" s="15"/>
      <c r="B441" s="16"/>
    </row>
    <row r="442" spans="1:2" ht="14.25" customHeight="1" x14ac:dyDescent="0.25">
      <c r="A442" s="15"/>
      <c r="B442" s="16"/>
    </row>
    <row r="443" spans="1:2" ht="14.25" customHeight="1" x14ac:dyDescent="0.25">
      <c r="A443" s="15"/>
      <c r="B443" s="16"/>
    </row>
    <row r="444" spans="1:2" ht="14.25" customHeight="1" x14ac:dyDescent="0.25">
      <c r="A444" s="15"/>
      <c r="B444" s="16"/>
    </row>
    <row r="445" spans="1:2" ht="14.25" customHeight="1" x14ac:dyDescent="0.25">
      <c r="A445" s="15"/>
      <c r="B445" s="16"/>
    </row>
    <row r="446" spans="1:2" ht="14.25" customHeight="1" x14ac:dyDescent="0.25">
      <c r="A446" s="15"/>
      <c r="B446" s="16"/>
    </row>
    <row r="447" spans="1:2" ht="14.25" customHeight="1" x14ac:dyDescent="0.25">
      <c r="A447" s="15"/>
      <c r="B447" s="16"/>
    </row>
    <row r="448" spans="1:2" ht="14.25" customHeight="1" x14ac:dyDescent="0.25">
      <c r="A448" s="15"/>
      <c r="B448" s="16"/>
    </row>
    <row r="449" spans="1:2" ht="14.25" customHeight="1" x14ac:dyDescent="0.25">
      <c r="A449" s="15"/>
      <c r="B449" s="16"/>
    </row>
    <row r="450" spans="1:2" ht="14.25" customHeight="1" x14ac:dyDescent="0.25">
      <c r="A450" s="15"/>
      <c r="B450" s="16"/>
    </row>
    <row r="451" spans="1:2" ht="14.25" customHeight="1" x14ac:dyDescent="0.25">
      <c r="A451" s="15"/>
      <c r="B451" s="16"/>
    </row>
    <row r="452" spans="1:2" ht="14.25" customHeight="1" x14ac:dyDescent="0.25">
      <c r="A452" s="15"/>
      <c r="B452" s="16"/>
    </row>
    <row r="453" spans="1:2" ht="14.25" customHeight="1" x14ac:dyDescent="0.25">
      <c r="A453" s="15"/>
      <c r="B453" s="16"/>
    </row>
    <row r="454" spans="1:2" ht="14.25" customHeight="1" x14ac:dyDescent="0.25">
      <c r="A454" s="15"/>
      <c r="B454" s="16"/>
    </row>
    <row r="455" spans="1:2" ht="14.25" customHeight="1" x14ac:dyDescent="0.25">
      <c r="A455" s="15"/>
      <c r="B455" s="16"/>
    </row>
    <row r="456" spans="1:2" ht="14.25" customHeight="1" x14ac:dyDescent="0.25">
      <c r="A456" s="15"/>
      <c r="B456" s="16"/>
    </row>
    <row r="457" spans="1:2" ht="14.25" customHeight="1" x14ac:dyDescent="0.25">
      <c r="A457" s="15"/>
      <c r="B457" s="16"/>
    </row>
    <row r="458" spans="1:2" ht="14.25" customHeight="1" x14ac:dyDescent="0.25">
      <c r="A458" s="15"/>
      <c r="B458" s="16"/>
    </row>
    <row r="459" spans="1:2" ht="14.25" customHeight="1" x14ac:dyDescent="0.25">
      <c r="A459" s="15"/>
      <c r="B459" s="16"/>
    </row>
    <row r="460" spans="1:2" ht="14.25" customHeight="1" x14ac:dyDescent="0.25">
      <c r="A460" s="15"/>
      <c r="B460" s="16"/>
    </row>
    <row r="461" spans="1:2" ht="14.25" customHeight="1" x14ac:dyDescent="0.25">
      <c r="A461" s="15"/>
      <c r="B461" s="16"/>
    </row>
    <row r="462" spans="1:2" ht="14.25" customHeight="1" x14ac:dyDescent="0.25">
      <c r="A462" s="15"/>
      <c r="B462" s="16"/>
    </row>
    <row r="463" spans="1:2" ht="14.25" customHeight="1" x14ac:dyDescent="0.25">
      <c r="A463" s="15"/>
      <c r="B463" s="16"/>
    </row>
    <row r="464" spans="1:2" ht="14.25" customHeight="1" x14ac:dyDescent="0.25">
      <c r="A464" s="15"/>
      <c r="B464" s="16"/>
    </row>
    <row r="465" spans="1:2" ht="14.25" customHeight="1" x14ac:dyDescent="0.25">
      <c r="A465" s="15"/>
      <c r="B465" s="16"/>
    </row>
    <row r="466" spans="1:2" ht="14.25" customHeight="1" x14ac:dyDescent="0.25">
      <c r="A466" s="15"/>
      <c r="B466" s="16"/>
    </row>
    <row r="467" spans="1:2" ht="14.25" customHeight="1" x14ac:dyDescent="0.25">
      <c r="A467" s="15"/>
      <c r="B467" s="16"/>
    </row>
    <row r="468" spans="1:2" ht="14.25" customHeight="1" x14ac:dyDescent="0.25">
      <c r="A468" s="15"/>
      <c r="B468" s="16"/>
    </row>
    <row r="469" spans="1:2" ht="14.25" customHeight="1" x14ac:dyDescent="0.25">
      <c r="A469" s="15"/>
      <c r="B469" s="16"/>
    </row>
    <row r="470" spans="1:2" ht="14.25" customHeight="1" x14ac:dyDescent="0.25">
      <c r="A470" s="15"/>
      <c r="B470" s="16"/>
    </row>
    <row r="471" spans="1:2" ht="14.25" customHeight="1" x14ac:dyDescent="0.25">
      <c r="A471" s="15"/>
      <c r="B471" s="16"/>
    </row>
    <row r="472" spans="1:2" ht="14.25" customHeight="1" x14ac:dyDescent="0.25">
      <c r="A472" s="15"/>
      <c r="B472" s="16"/>
    </row>
    <row r="473" spans="1:2" ht="14.25" customHeight="1" x14ac:dyDescent="0.25">
      <c r="A473" s="15"/>
      <c r="B473" s="16"/>
    </row>
    <row r="474" spans="1:2" ht="14.25" customHeight="1" x14ac:dyDescent="0.25">
      <c r="A474" s="15"/>
      <c r="B474" s="16"/>
    </row>
    <row r="475" spans="1:2" ht="14.25" customHeight="1" x14ac:dyDescent="0.25">
      <c r="A475" s="15"/>
      <c r="B475" s="16"/>
    </row>
    <row r="476" spans="1:2" ht="14.25" customHeight="1" x14ac:dyDescent="0.25">
      <c r="A476" s="15"/>
      <c r="B476" s="16"/>
    </row>
    <row r="477" spans="1:2" ht="14.25" customHeight="1" x14ac:dyDescent="0.25">
      <c r="A477" s="15"/>
      <c r="B477" s="16"/>
    </row>
    <row r="478" spans="1:2" ht="14.25" customHeight="1" x14ac:dyDescent="0.25">
      <c r="A478" s="15"/>
      <c r="B478" s="16"/>
    </row>
    <row r="479" spans="1:2" ht="14.25" customHeight="1" x14ac:dyDescent="0.25">
      <c r="A479" s="15"/>
      <c r="B479" s="16"/>
    </row>
    <row r="480" spans="1:2" ht="14.25" customHeight="1" x14ac:dyDescent="0.25">
      <c r="A480" s="15"/>
      <c r="B480" s="16"/>
    </row>
    <row r="481" spans="1:2" ht="14.25" customHeight="1" x14ac:dyDescent="0.25">
      <c r="A481" s="15"/>
      <c r="B481" s="16"/>
    </row>
    <row r="482" spans="1:2" ht="14.25" customHeight="1" x14ac:dyDescent="0.25">
      <c r="A482" s="15"/>
      <c r="B482" s="16"/>
    </row>
    <row r="483" spans="1:2" ht="14.25" customHeight="1" x14ac:dyDescent="0.25">
      <c r="A483" s="15"/>
      <c r="B483" s="16"/>
    </row>
    <row r="484" spans="1:2" ht="14.25" customHeight="1" x14ac:dyDescent="0.25">
      <c r="A484" s="15"/>
      <c r="B484" s="16"/>
    </row>
    <row r="485" spans="1:2" ht="14.25" customHeight="1" x14ac:dyDescent="0.25">
      <c r="A485" s="15"/>
      <c r="B485" s="16"/>
    </row>
    <row r="486" spans="1:2" ht="14.25" customHeight="1" x14ac:dyDescent="0.25">
      <c r="A486" s="15"/>
      <c r="B486" s="16"/>
    </row>
    <row r="487" spans="1:2" ht="14.25" customHeight="1" x14ac:dyDescent="0.25">
      <c r="A487" s="15"/>
      <c r="B487" s="16"/>
    </row>
    <row r="488" spans="1:2" ht="14.25" customHeight="1" x14ac:dyDescent="0.25">
      <c r="A488" s="15"/>
      <c r="B488" s="16"/>
    </row>
    <row r="489" spans="1:2" ht="14.25" customHeight="1" x14ac:dyDescent="0.25">
      <c r="A489" s="15"/>
      <c r="B489" s="16"/>
    </row>
    <row r="490" spans="1:2" ht="14.25" customHeight="1" x14ac:dyDescent="0.25">
      <c r="A490" s="15"/>
      <c r="B490" s="16"/>
    </row>
    <row r="491" spans="1:2" ht="14.25" customHeight="1" x14ac:dyDescent="0.25">
      <c r="A491" s="15"/>
      <c r="B491" s="16"/>
    </row>
    <row r="492" spans="1:2" ht="14.25" customHeight="1" x14ac:dyDescent="0.25">
      <c r="A492" s="15"/>
      <c r="B492" s="16"/>
    </row>
    <row r="493" spans="1:2" ht="14.25" customHeight="1" x14ac:dyDescent="0.25">
      <c r="A493" s="15"/>
      <c r="B493" s="16"/>
    </row>
    <row r="494" spans="1:2" ht="14.25" customHeight="1" x14ac:dyDescent="0.25">
      <c r="A494" s="15"/>
      <c r="B494" s="16"/>
    </row>
    <row r="495" spans="1:2" ht="14.25" customHeight="1" x14ac:dyDescent="0.25">
      <c r="A495" s="15"/>
      <c r="B495" s="16"/>
    </row>
    <row r="496" spans="1:2" ht="14.25" customHeight="1" x14ac:dyDescent="0.25">
      <c r="A496" s="15"/>
      <c r="B496" s="16"/>
    </row>
    <row r="497" spans="1:2" ht="14.25" customHeight="1" x14ac:dyDescent="0.25">
      <c r="A497" s="15"/>
      <c r="B497" s="16"/>
    </row>
    <row r="498" spans="1:2" ht="14.25" customHeight="1" x14ac:dyDescent="0.25">
      <c r="A498" s="15"/>
      <c r="B498" s="16"/>
    </row>
    <row r="499" spans="1:2" ht="14.25" customHeight="1" x14ac:dyDescent="0.25">
      <c r="A499" s="15"/>
      <c r="B499" s="16"/>
    </row>
    <row r="500" spans="1:2" ht="14.25" customHeight="1" x14ac:dyDescent="0.25">
      <c r="A500" s="15"/>
      <c r="B500" s="16"/>
    </row>
    <row r="501" spans="1:2" ht="14.25" customHeight="1" x14ac:dyDescent="0.25">
      <c r="A501" s="15"/>
      <c r="B501" s="16"/>
    </row>
    <row r="502" spans="1:2" ht="14.25" customHeight="1" x14ac:dyDescent="0.25">
      <c r="A502" s="15"/>
      <c r="B502" s="16"/>
    </row>
    <row r="503" spans="1:2" ht="14.25" customHeight="1" x14ac:dyDescent="0.25">
      <c r="A503" s="15"/>
      <c r="B503" s="16"/>
    </row>
    <row r="504" spans="1:2" ht="14.25" customHeight="1" x14ac:dyDescent="0.25">
      <c r="A504" s="15"/>
      <c r="B504" s="16"/>
    </row>
    <row r="505" spans="1:2" ht="14.25" customHeight="1" x14ac:dyDescent="0.25">
      <c r="A505" s="15"/>
      <c r="B505" s="16"/>
    </row>
    <row r="506" spans="1:2" ht="14.25" customHeight="1" x14ac:dyDescent="0.25">
      <c r="A506" s="15"/>
      <c r="B506" s="16"/>
    </row>
    <row r="507" spans="1:2" ht="14.25" customHeight="1" x14ac:dyDescent="0.25">
      <c r="A507" s="15"/>
      <c r="B507" s="16"/>
    </row>
    <row r="508" spans="1:2" ht="14.25" customHeight="1" x14ac:dyDescent="0.25">
      <c r="A508" s="15"/>
      <c r="B508" s="16"/>
    </row>
    <row r="509" spans="1:2" ht="14.25" customHeight="1" x14ac:dyDescent="0.25">
      <c r="A509" s="15"/>
      <c r="B509" s="16"/>
    </row>
    <row r="510" spans="1:2" ht="14.25" customHeight="1" x14ac:dyDescent="0.25">
      <c r="A510" s="15"/>
      <c r="B510" s="16"/>
    </row>
    <row r="511" spans="1:2" ht="14.25" customHeight="1" x14ac:dyDescent="0.25">
      <c r="A511" s="15"/>
      <c r="B511" s="16"/>
    </row>
    <row r="512" spans="1:2" ht="14.25" customHeight="1" x14ac:dyDescent="0.25">
      <c r="A512" s="15"/>
      <c r="B512" s="16"/>
    </row>
    <row r="513" spans="1:2" ht="14.25" customHeight="1" x14ac:dyDescent="0.25">
      <c r="A513" s="15"/>
      <c r="B513" s="16"/>
    </row>
    <row r="514" spans="1:2" ht="14.25" customHeight="1" x14ac:dyDescent="0.25">
      <c r="A514" s="15"/>
      <c r="B514" s="16"/>
    </row>
    <row r="515" spans="1:2" ht="14.25" customHeight="1" x14ac:dyDescent="0.25">
      <c r="A515" s="15"/>
      <c r="B515" s="16"/>
    </row>
    <row r="516" spans="1:2" ht="14.25" customHeight="1" x14ac:dyDescent="0.25">
      <c r="A516" s="15"/>
      <c r="B516" s="16"/>
    </row>
    <row r="517" spans="1:2" ht="14.25" customHeight="1" x14ac:dyDescent="0.25">
      <c r="A517" s="15"/>
      <c r="B517" s="16"/>
    </row>
    <row r="518" spans="1:2" ht="14.25" customHeight="1" x14ac:dyDescent="0.25">
      <c r="A518" s="15"/>
      <c r="B518" s="16"/>
    </row>
    <row r="519" spans="1:2" ht="14.25" customHeight="1" x14ac:dyDescent="0.25">
      <c r="A519" s="15"/>
      <c r="B519" s="16"/>
    </row>
    <row r="520" spans="1:2" ht="14.25" customHeight="1" x14ac:dyDescent="0.25">
      <c r="A520" s="15"/>
      <c r="B520" s="16"/>
    </row>
    <row r="521" spans="1:2" ht="14.25" customHeight="1" x14ac:dyDescent="0.25">
      <c r="A521" s="15"/>
      <c r="B521" s="16"/>
    </row>
    <row r="522" spans="1:2" ht="14.25" customHeight="1" x14ac:dyDescent="0.25">
      <c r="A522" s="15"/>
      <c r="B522" s="16"/>
    </row>
    <row r="523" spans="1:2" ht="14.25" customHeight="1" x14ac:dyDescent="0.25">
      <c r="A523" s="15"/>
      <c r="B523" s="16"/>
    </row>
    <row r="524" spans="1:2" ht="14.25" customHeight="1" x14ac:dyDescent="0.25">
      <c r="A524" s="15"/>
      <c r="B524" s="16"/>
    </row>
    <row r="525" spans="1:2" ht="14.25" customHeight="1" x14ac:dyDescent="0.25">
      <c r="A525" s="15"/>
      <c r="B525" s="16"/>
    </row>
    <row r="526" spans="1:2" ht="14.25" customHeight="1" x14ac:dyDescent="0.25">
      <c r="A526" s="15"/>
      <c r="B526" s="16"/>
    </row>
    <row r="527" spans="1:2" ht="14.25" customHeight="1" x14ac:dyDescent="0.25">
      <c r="A527" s="15"/>
      <c r="B527" s="16"/>
    </row>
    <row r="528" spans="1:2" ht="14.25" customHeight="1" x14ac:dyDescent="0.25">
      <c r="A528" s="15"/>
      <c r="B528" s="16"/>
    </row>
    <row r="529" spans="1:2" ht="14.25" customHeight="1" x14ac:dyDescent="0.25">
      <c r="A529" s="15"/>
      <c r="B529" s="16"/>
    </row>
    <row r="530" spans="1:2" ht="14.25" customHeight="1" x14ac:dyDescent="0.25">
      <c r="A530" s="15"/>
      <c r="B530" s="16"/>
    </row>
    <row r="531" spans="1:2" ht="14.25" customHeight="1" x14ac:dyDescent="0.25">
      <c r="A531" s="15"/>
      <c r="B531" s="16"/>
    </row>
    <row r="532" spans="1:2" ht="14.25" customHeight="1" x14ac:dyDescent="0.25">
      <c r="A532" s="15"/>
      <c r="B532" s="16"/>
    </row>
    <row r="533" spans="1:2" ht="14.25" customHeight="1" x14ac:dyDescent="0.25">
      <c r="A533" s="15"/>
      <c r="B533" s="16"/>
    </row>
    <row r="534" spans="1:2" ht="14.25" customHeight="1" x14ac:dyDescent="0.25">
      <c r="A534" s="15"/>
      <c r="B534" s="16"/>
    </row>
    <row r="535" spans="1:2" ht="14.25" customHeight="1" x14ac:dyDescent="0.25">
      <c r="A535" s="15"/>
      <c r="B535" s="16"/>
    </row>
    <row r="536" spans="1:2" ht="14.25" customHeight="1" x14ac:dyDescent="0.25">
      <c r="A536" s="15"/>
      <c r="B536" s="16"/>
    </row>
    <row r="537" spans="1:2" ht="14.25" customHeight="1" x14ac:dyDescent="0.25">
      <c r="A537" s="15"/>
      <c r="B537" s="16"/>
    </row>
    <row r="538" spans="1:2" ht="14.25" customHeight="1" x14ac:dyDescent="0.25">
      <c r="A538" s="15"/>
      <c r="B538" s="16"/>
    </row>
    <row r="539" spans="1:2" ht="14.25" customHeight="1" x14ac:dyDescent="0.25">
      <c r="A539" s="15"/>
      <c r="B539" s="16"/>
    </row>
    <row r="540" spans="1:2" ht="14.25" customHeight="1" x14ac:dyDescent="0.25">
      <c r="A540" s="15"/>
      <c r="B540" s="16"/>
    </row>
    <row r="541" spans="1:2" ht="14.25" customHeight="1" x14ac:dyDescent="0.25">
      <c r="A541" s="15"/>
      <c r="B541" s="16"/>
    </row>
    <row r="542" spans="1:2" ht="14.25" customHeight="1" x14ac:dyDescent="0.25">
      <c r="A542" s="15"/>
      <c r="B542" s="16"/>
    </row>
    <row r="543" spans="1:2" ht="14.25" customHeight="1" x14ac:dyDescent="0.25">
      <c r="A543" s="15"/>
      <c r="B543" s="16"/>
    </row>
    <row r="544" spans="1:2" ht="14.25" customHeight="1" x14ac:dyDescent="0.25">
      <c r="A544" s="15"/>
      <c r="B544" s="16"/>
    </row>
    <row r="545" spans="1:2" ht="14.25" customHeight="1" x14ac:dyDescent="0.25">
      <c r="A545" s="15"/>
      <c r="B545" s="16"/>
    </row>
    <row r="546" spans="1:2" ht="14.25" customHeight="1" x14ac:dyDescent="0.25">
      <c r="A546" s="15"/>
      <c r="B546" s="16"/>
    </row>
    <row r="547" spans="1:2" ht="14.25" customHeight="1" x14ac:dyDescent="0.25">
      <c r="A547" s="15"/>
      <c r="B547" s="16"/>
    </row>
    <row r="548" spans="1:2" ht="14.25" customHeight="1" x14ac:dyDescent="0.25">
      <c r="A548" s="15"/>
      <c r="B548" s="16"/>
    </row>
    <row r="549" spans="1:2" ht="14.25" customHeight="1" x14ac:dyDescent="0.25">
      <c r="A549" s="15"/>
      <c r="B549" s="16"/>
    </row>
    <row r="550" spans="1:2" ht="14.25" customHeight="1" x14ac:dyDescent="0.25">
      <c r="A550" s="15"/>
      <c r="B550" s="16"/>
    </row>
    <row r="551" spans="1:2" ht="14.25" customHeight="1" x14ac:dyDescent="0.25">
      <c r="A551" s="15"/>
      <c r="B551" s="16"/>
    </row>
    <row r="552" spans="1:2" ht="14.25" customHeight="1" x14ac:dyDescent="0.25">
      <c r="A552" s="15"/>
      <c r="B552" s="16"/>
    </row>
    <row r="553" spans="1:2" ht="14.25" customHeight="1" x14ac:dyDescent="0.25">
      <c r="A553" s="15"/>
      <c r="B553" s="16"/>
    </row>
    <row r="554" spans="1:2" ht="14.25" customHeight="1" x14ac:dyDescent="0.25">
      <c r="A554" s="15"/>
      <c r="B554" s="16"/>
    </row>
    <row r="555" spans="1:2" ht="14.25" customHeight="1" x14ac:dyDescent="0.25">
      <c r="A555" s="15"/>
      <c r="B555" s="16"/>
    </row>
    <row r="556" spans="1:2" ht="14.25" customHeight="1" x14ac:dyDescent="0.25">
      <c r="A556" s="15"/>
      <c r="B556" s="16"/>
    </row>
    <row r="557" spans="1:2" ht="14.25" customHeight="1" x14ac:dyDescent="0.25">
      <c r="A557" s="15"/>
      <c r="B557" s="16"/>
    </row>
    <row r="558" spans="1:2" ht="14.25" customHeight="1" x14ac:dyDescent="0.25">
      <c r="A558" s="15"/>
      <c r="B558" s="16"/>
    </row>
    <row r="559" spans="1:2" ht="14.25" customHeight="1" x14ac:dyDescent="0.25">
      <c r="A559" s="15"/>
      <c r="B559" s="16"/>
    </row>
    <row r="560" spans="1:2" ht="14.25" customHeight="1" x14ac:dyDescent="0.25">
      <c r="A560" s="15"/>
      <c r="B560" s="16"/>
    </row>
    <row r="561" spans="1:2" ht="14.25" customHeight="1" x14ac:dyDescent="0.25">
      <c r="A561" s="15"/>
      <c r="B561" s="16"/>
    </row>
    <row r="562" spans="1:2" ht="14.25" customHeight="1" x14ac:dyDescent="0.25">
      <c r="A562" s="15"/>
      <c r="B562" s="16"/>
    </row>
    <row r="563" spans="1:2" ht="14.25" customHeight="1" x14ac:dyDescent="0.25">
      <c r="A563" s="15"/>
      <c r="B563" s="16"/>
    </row>
    <row r="564" spans="1:2" ht="14.25" customHeight="1" x14ac:dyDescent="0.25">
      <c r="A564" s="15"/>
      <c r="B564" s="16"/>
    </row>
    <row r="565" spans="1:2" ht="14.25" customHeight="1" x14ac:dyDescent="0.25">
      <c r="A565" s="15"/>
      <c r="B565" s="16"/>
    </row>
    <row r="566" spans="1:2" ht="14.25" customHeight="1" x14ac:dyDescent="0.25">
      <c r="A566" s="15"/>
      <c r="B566" s="16"/>
    </row>
    <row r="567" spans="1:2" ht="14.25" customHeight="1" x14ac:dyDescent="0.25">
      <c r="A567" s="15"/>
      <c r="B567" s="16"/>
    </row>
    <row r="568" spans="1:2" ht="14.25" customHeight="1" x14ac:dyDescent="0.25">
      <c r="A568" s="15"/>
      <c r="B568" s="16"/>
    </row>
    <row r="569" spans="1:2" ht="14.25" customHeight="1" x14ac:dyDescent="0.25">
      <c r="A569" s="15"/>
      <c r="B569" s="16"/>
    </row>
    <row r="570" spans="1:2" ht="14.25" customHeight="1" x14ac:dyDescent="0.25">
      <c r="A570" s="15"/>
      <c r="B570" s="16"/>
    </row>
    <row r="571" spans="1:2" ht="14.25" customHeight="1" x14ac:dyDescent="0.25">
      <c r="A571" s="15"/>
      <c r="B571" s="16"/>
    </row>
    <row r="572" spans="1:2" ht="14.25" customHeight="1" x14ac:dyDescent="0.25">
      <c r="A572" s="15"/>
      <c r="B572" s="16"/>
    </row>
    <row r="573" spans="1:2" ht="14.25" customHeight="1" x14ac:dyDescent="0.25">
      <c r="A573" s="15"/>
      <c r="B573" s="16"/>
    </row>
    <row r="574" spans="1:2" ht="14.25" customHeight="1" x14ac:dyDescent="0.25">
      <c r="A574" s="15"/>
      <c r="B574" s="16"/>
    </row>
    <row r="575" spans="1:2" ht="14.25" customHeight="1" x14ac:dyDescent="0.25">
      <c r="A575" s="15"/>
      <c r="B575" s="16"/>
    </row>
    <row r="576" spans="1:2" ht="14.25" customHeight="1" x14ac:dyDescent="0.25">
      <c r="A576" s="15"/>
      <c r="B576" s="16"/>
    </row>
    <row r="577" spans="1:2" ht="14.25" customHeight="1" x14ac:dyDescent="0.25">
      <c r="A577" s="15"/>
      <c r="B577" s="16"/>
    </row>
    <row r="578" spans="1:2" ht="14.25" customHeight="1" x14ac:dyDescent="0.25">
      <c r="A578" s="15"/>
      <c r="B578" s="16"/>
    </row>
    <row r="579" spans="1:2" ht="14.25" customHeight="1" x14ac:dyDescent="0.25">
      <c r="A579" s="15"/>
      <c r="B579" s="16"/>
    </row>
    <row r="580" spans="1:2" ht="14.25" customHeight="1" x14ac:dyDescent="0.25">
      <c r="A580" s="15"/>
      <c r="B580" s="16"/>
    </row>
    <row r="581" spans="1:2" ht="14.25" customHeight="1" x14ac:dyDescent="0.25">
      <c r="A581" s="15"/>
      <c r="B581" s="16"/>
    </row>
    <row r="582" spans="1:2" ht="14.25" customHeight="1" x14ac:dyDescent="0.25">
      <c r="A582" s="15"/>
      <c r="B582" s="16"/>
    </row>
    <row r="583" spans="1:2" ht="14.25" customHeight="1" x14ac:dyDescent="0.25">
      <c r="A583" s="15"/>
      <c r="B583" s="16"/>
    </row>
    <row r="584" spans="1:2" ht="14.25" customHeight="1" x14ac:dyDescent="0.25">
      <c r="A584" s="15"/>
      <c r="B584" s="16"/>
    </row>
    <row r="585" spans="1:2" ht="14.25" customHeight="1" x14ac:dyDescent="0.25">
      <c r="A585" s="15"/>
      <c r="B585" s="16"/>
    </row>
    <row r="586" spans="1:2" ht="14.25" customHeight="1" x14ac:dyDescent="0.25">
      <c r="A586" s="15"/>
      <c r="B586" s="16"/>
    </row>
    <row r="587" spans="1:2" ht="14.25" customHeight="1" x14ac:dyDescent="0.25">
      <c r="A587" s="15"/>
      <c r="B587" s="16"/>
    </row>
    <row r="588" spans="1:2" ht="14.25" customHeight="1" x14ac:dyDescent="0.25">
      <c r="A588" s="15"/>
      <c r="B588" s="16"/>
    </row>
    <row r="589" spans="1:2" ht="14.25" customHeight="1" x14ac:dyDescent="0.25">
      <c r="A589" s="15"/>
      <c r="B589" s="16"/>
    </row>
    <row r="590" spans="1:2" ht="14.25" customHeight="1" x14ac:dyDescent="0.25">
      <c r="A590" s="15"/>
      <c r="B590" s="16"/>
    </row>
    <row r="591" spans="1:2" ht="14.25" customHeight="1" x14ac:dyDescent="0.25">
      <c r="A591" s="15"/>
      <c r="B591" s="16"/>
    </row>
    <row r="592" spans="1:2" ht="14.25" customHeight="1" x14ac:dyDescent="0.25">
      <c r="A592" s="15"/>
      <c r="B592" s="16"/>
    </row>
    <row r="593" spans="1:2" ht="14.25" customHeight="1" x14ac:dyDescent="0.25">
      <c r="A593" s="15"/>
      <c r="B593" s="16"/>
    </row>
    <row r="594" spans="1:2" ht="14.25" customHeight="1" x14ac:dyDescent="0.25">
      <c r="A594" s="15"/>
      <c r="B594" s="16"/>
    </row>
    <row r="595" spans="1:2" ht="14.25" customHeight="1" x14ac:dyDescent="0.25">
      <c r="A595" s="15"/>
      <c r="B595" s="16"/>
    </row>
    <row r="596" spans="1:2" ht="14.25" customHeight="1" x14ac:dyDescent="0.25">
      <c r="A596" s="15"/>
      <c r="B596" s="16"/>
    </row>
    <row r="597" spans="1:2" ht="14.25" customHeight="1" x14ac:dyDescent="0.25">
      <c r="A597" s="15"/>
      <c r="B597" s="16"/>
    </row>
    <row r="598" spans="1:2" ht="14.25" customHeight="1" x14ac:dyDescent="0.25">
      <c r="A598" s="15"/>
      <c r="B598" s="16"/>
    </row>
    <row r="599" spans="1:2" ht="14.25" customHeight="1" x14ac:dyDescent="0.25">
      <c r="A599" s="15"/>
      <c r="B599" s="16"/>
    </row>
    <row r="600" spans="1:2" ht="14.25" customHeight="1" x14ac:dyDescent="0.25">
      <c r="A600" s="15"/>
      <c r="B600" s="16"/>
    </row>
    <row r="601" spans="1:2" ht="14.25" customHeight="1" x14ac:dyDescent="0.25">
      <c r="A601" s="15"/>
      <c r="B601" s="16"/>
    </row>
    <row r="602" spans="1:2" ht="14.25" customHeight="1" x14ac:dyDescent="0.25">
      <c r="A602" s="15"/>
      <c r="B602" s="16"/>
    </row>
    <row r="603" spans="1:2" ht="14.25" customHeight="1" x14ac:dyDescent="0.25">
      <c r="A603" s="15"/>
      <c r="B603" s="16"/>
    </row>
    <row r="604" spans="1:2" ht="14.25" customHeight="1" x14ac:dyDescent="0.25">
      <c r="A604" s="15"/>
      <c r="B604" s="16"/>
    </row>
    <row r="605" spans="1:2" ht="14.25" customHeight="1" x14ac:dyDescent="0.25">
      <c r="A605" s="15"/>
      <c r="B605" s="16"/>
    </row>
    <row r="606" spans="1:2" ht="14.25" customHeight="1" x14ac:dyDescent="0.25">
      <c r="A606" s="15"/>
      <c r="B606" s="16"/>
    </row>
    <row r="607" spans="1:2" ht="14.25" customHeight="1" x14ac:dyDescent="0.25">
      <c r="A607" s="15"/>
      <c r="B607" s="16"/>
    </row>
    <row r="608" spans="1:2" ht="14.25" customHeight="1" x14ac:dyDescent="0.25">
      <c r="A608" s="15"/>
      <c r="B608" s="16"/>
    </row>
    <row r="609" spans="1:2" ht="14.25" customHeight="1" x14ac:dyDescent="0.25">
      <c r="A609" s="15"/>
      <c r="B609" s="16"/>
    </row>
    <row r="610" spans="1:2" ht="14.25" customHeight="1" x14ac:dyDescent="0.25">
      <c r="A610" s="15"/>
      <c r="B610" s="16"/>
    </row>
    <row r="611" spans="1:2" ht="14.25" customHeight="1" x14ac:dyDescent="0.25">
      <c r="A611" s="15"/>
      <c r="B611" s="16"/>
    </row>
    <row r="612" spans="1:2" ht="14.25" customHeight="1" x14ac:dyDescent="0.25">
      <c r="A612" s="15"/>
      <c r="B612" s="16"/>
    </row>
    <row r="613" spans="1:2" ht="14.25" customHeight="1" x14ac:dyDescent="0.25">
      <c r="A613" s="15"/>
      <c r="B613" s="16"/>
    </row>
    <row r="614" spans="1:2" ht="14.25" customHeight="1" x14ac:dyDescent="0.25">
      <c r="A614" s="15"/>
      <c r="B614" s="16"/>
    </row>
    <row r="615" spans="1:2" ht="14.25" customHeight="1" x14ac:dyDescent="0.25">
      <c r="A615" s="15"/>
      <c r="B615" s="16"/>
    </row>
    <row r="616" spans="1:2" ht="14.25" customHeight="1" x14ac:dyDescent="0.25">
      <c r="A616" s="15"/>
      <c r="B616" s="16"/>
    </row>
    <row r="617" spans="1:2" ht="14.25" customHeight="1" x14ac:dyDescent="0.25">
      <c r="A617" s="15"/>
      <c r="B617" s="16"/>
    </row>
    <row r="618" spans="1:2" ht="14.25" customHeight="1" x14ac:dyDescent="0.25">
      <c r="A618" s="15"/>
      <c r="B618" s="16"/>
    </row>
    <row r="619" spans="1:2" ht="14.25" customHeight="1" x14ac:dyDescent="0.25">
      <c r="A619" s="15"/>
      <c r="B619" s="16"/>
    </row>
    <row r="620" spans="1:2" ht="14.25" customHeight="1" x14ac:dyDescent="0.25">
      <c r="A620" s="15"/>
      <c r="B620" s="16"/>
    </row>
    <row r="621" spans="1:2" ht="14.25" customHeight="1" x14ac:dyDescent="0.25">
      <c r="A621" s="15"/>
      <c r="B621" s="16"/>
    </row>
    <row r="622" spans="1:2" ht="14.25" customHeight="1" x14ac:dyDescent="0.25">
      <c r="A622" s="15"/>
      <c r="B622" s="16"/>
    </row>
    <row r="623" spans="1:2" ht="14.25" customHeight="1" x14ac:dyDescent="0.25">
      <c r="A623" s="15"/>
      <c r="B623" s="16"/>
    </row>
    <row r="624" spans="1:2" ht="14.25" customHeight="1" x14ac:dyDescent="0.25">
      <c r="A624" s="15"/>
      <c r="B624" s="16"/>
    </row>
    <row r="625" spans="1:2" ht="14.25" customHeight="1" x14ac:dyDescent="0.25">
      <c r="A625" s="15"/>
      <c r="B625" s="16"/>
    </row>
    <row r="626" spans="1:2" ht="14.25" customHeight="1" x14ac:dyDescent="0.25">
      <c r="A626" s="15"/>
      <c r="B626" s="16"/>
    </row>
    <row r="627" spans="1:2" ht="14.25" customHeight="1" x14ac:dyDescent="0.25">
      <c r="A627" s="15"/>
      <c r="B627" s="16"/>
    </row>
    <row r="628" spans="1:2" ht="14.25" customHeight="1" x14ac:dyDescent="0.25">
      <c r="A628" s="15"/>
      <c r="B628" s="16"/>
    </row>
    <row r="629" spans="1:2" ht="14.25" customHeight="1" x14ac:dyDescent="0.25">
      <c r="A629" s="15"/>
      <c r="B629" s="16"/>
    </row>
    <row r="630" spans="1:2" ht="14.25" customHeight="1" x14ac:dyDescent="0.25">
      <c r="A630" s="15"/>
      <c r="B630" s="16"/>
    </row>
    <row r="631" spans="1:2" ht="14.25" customHeight="1" x14ac:dyDescent="0.25">
      <c r="A631" s="15"/>
      <c r="B631" s="16"/>
    </row>
    <row r="632" spans="1:2" ht="14.25" customHeight="1" x14ac:dyDescent="0.25">
      <c r="A632" s="15"/>
      <c r="B632" s="16"/>
    </row>
    <row r="633" spans="1:2" ht="14.25" customHeight="1" x14ac:dyDescent="0.25">
      <c r="A633" s="15"/>
      <c r="B633" s="16"/>
    </row>
    <row r="634" spans="1:2" ht="14.25" customHeight="1" x14ac:dyDescent="0.25">
      <c r="A634" s="15"/>
      <c r="B634" s="16"/>
    </row>
    <row r="635" spans="1:2" ht="14.25" customHeight="1" x14ac:dyDescent="0.25">
      <c r="A635" s="15"/>
      <c r="B635" s="16"/>
    </row>
    <row r="636" spans="1:2" ht="14.25" customHeight="1" x14ac:dyDescent="0.25">
      <c r="A636" s="15"/>
      <c r="B636" s="16"/>
    </row>
    <row r="637" spans="1:2" ht="14.25" customHeight="1" x14ac:dyDescent="0.25">
      <c r="A637" s="15"/>
      <c r="B637" s="16"/>
    </row>
    <row r="638" spans="1:2" ht="14.25" customHeight="1" x14ac:dyDescent="0.25">
      <c r="A638" s="15"/>
      <c r="B638" s="16"/>
    </row>
    <row r="639" spans="1:2" ht="14.25" customHeight="1" x14ac:dyDescent="0.25">
      <c r="A639" s="15"/>
      <c r="B639" s="16"/>
    </row>
    <row r="640" spans="1:2" ht="14.25" customHeight="1" x14ac:dyDescent="0.25">
      <c r="A640" s="15"/>
      <c r="B640" s="16"/>
    </row>
    <row r="641" spans="1:2" ht="14.25" customHeight="1" x14ac:dyDescent="0.25">
      <c r="A641" s="15"/>
      <c r="B641" s="16"/>
    </row>
    <row r="642" spans="1:2" ht="14.25" customHeight="1" x14ac:dyDescent="0.25">
      <c r="A642" s="15"/>
      <c r="B642" s="16"/>
    </row>
    <row r="643" spans="1:2" ht="14.25" customHeight="1" x14ac:dyDescent="0.25">
      <c r="A643" s="15"/>
      <c r="B643" s="16"/>
    </row>
    <row r="644" spans="1:2" ht="14.25" customHeight="1" x14ac:dyDescent="0.25">
      <c r="A644" s="15"/>
      <c r="B644" s="16"/>
    </row>
    <row r="645" spans="1:2" ht="14.25" customHeight="1" x14ac:dyDescent="0.25">
      <c r="A645" s="15"/>
      <c r="B645" s="16"/>
    </row>
    <row r="646" spans="1:2" ht="14.25" customHeight="1" x14ac:dyDescent="0.25">
      <c r="A646" s="15"/>
      <c r="B646" s="16"/>
    </row>
    <row r="647" spans="1:2" ht="14.25" customHeight="1" x14ac:dyDescent="0.25">
      <c r="A647" s="15"/>
      <c r="B647" s="16"/>
    </row>
    <row r="648" spans="1:2" ht="14.25" customHeight="1" x14ac:dyDescent="0.25">
      <c r="A648" s="15"/>
      <c r="B648" s="16"/>
    </row>
    <row r="649" spans="1:2" ht="14.25" customHeight="1" x14ac:dyDescent="0.25">
      <c r="A649" s="15"/>
      <c r="B649" s="16"/>
    </row>
    <row r="650" spans="1:2" ht="14.25" customHeight="1" x14ac:dyDescent="0.25">
      <c r="A650" s="15"/>
      <c r="B650" s="16"/>
    </row>
    <row r="651" spans="1:2" ht="14.25" customHeight="1" x14ac:dyDescent="0.25">
      <c r="A651" s="15"/>
      <c r="B651" s="16"/>
    </row>
    <row r="652" spans="1:2" ht="14.25" customHeight="1" x14ac:dyDescent="0.25">
      <c r="A652" s="15"/>
      <c r="B652" s="16"/>
    </row>
    <row r="653" spans="1:2" ht="14.25" customHeight="1" x14ac:dyDescent="0.25">
      <c r="A653" s="15"/>
      <c r="B653" s="16"/>
    </row>
    <row r="654" spans="1:2" ht="14.25" customHeight="1" x14ac:dyDescent="0.25">
      <c r="A654" s="15"/>
      <c r="B654" s="16"/>
    </row>
    <row r="655" spans="1:2" ht="14.25" customHeight="1" x14ac:dyDescent="0.25">
      <c r="A655" s="15"/>
      <c r="B655" s="16"/>
    </row>
    <row r="656" spans="1:2" ht="14.25" customHeight="1" x14ac:dyDescent="0.25">
      <c r="A656" s="15"/>
      <c r="B656" s="16"/>
    </row>
    <row r="657" spans="1:2" ht="14.25" customHeight="1" x14ac:dyDescent="0.25">
      <c r="A657" s="15"/>
      <c r="B657" s="16"/>
    </row>
    <row r="658" spans="1:2" ht="14.25" customHeight="1" x14ac:dyDescent="0.25">
      <c r="A658" s="15"/>
      <c r="B658" s="16"/>
    </row>
    <row r="659" spans="1:2" ht="14.25" customHeight="1" x14ac:dyDescent="0.25">
      <c r="A659" s="15"/>
      <c r="B659" s="16"/>
    </row>
    <row r="660" spans="1:2" ht="14.25" customHeight="1" x14ac:dyDescent="0.25">
      <c r="A660" s="15"/>
      <c r="B660" s="16"/>
    </row>
    <row r="661" spans="1:2" ht="14.25" customHeight="1" x14ac:dyDescent="0.25">
      <c r="A661" s="15"/>
      <c r="B661" s="16"/>
    </row>
    <row r="662" spans="1:2" ht="14.25" customHeight="1" x14ac:dyDescent="0.25">
      <c r="A662" s="15"/>
      <c r="B662" s="16"/>
    </row>
    <row r="663" spans="1:2" ht="14.25" customHeight="1" x14ac:dyDescent="0.25">
      <c r="A663" s="15"/>
      <c r="B663" s="16"/>
    </row>
    <row r="664" spans="1:2" ht="14.25" customHeight="1" x14ac:dyDescent="0.25">
      <c r="A664" s="15"/>
      <c r="B664" s="16"/>
    </row>
    <row r="665" spans="1:2" ht="14.25" customHeight="1" x14ac:dyDescent="0.25">
      <c r="A665" s="15"/>
      <c r="B665" s="16"/>
    </row>
    <row r="666" spans="1:2" ht="14.25" customHeight="1" x14ac:dyDescent="0.25">
      <c r="A666" s="15"/>
      <c r="B666" s="16"/>
    </row>
    <row r="667" spans="1:2" ht="14.25" customHeight="1" x14ac:dyDescent="0.25">
      <c r="A667" s="15"/>
      <c r="B667" s="16"/>
    </row>
    <row r="668" spans="1:2" ht="14.25" customHeight="1" x14ac:dyDescent="0.25">
      <c r="A668" s="15"/>
      <c r="B668" s="16"/>
    </row>
    <row r="669" spans="1:2" ht="14.25" customHeight="1" x14ac:dyDescent="0.25">
      <c r="A669" s="15"/>
      <c r="B669" s="16"/>
    </row>
    <row r="670" spans="1:2" ht="14.25" customHeight="1" x14ac:dyDescent="0.25">
      <c r="A670" s="15"/>
      <c r="B670" s="16"/>
    </row>
    <row r="671" spans="1:2" ht="14.25" customHeight="1" x14ac:dyDescent="0.25">
      <c r="A671" s="15"/>
      <c r="B671" s="16"/>
    </row>
    <row r="672" spans="1:2" ht="14.25" customHeight="1" x14ac:dyDescent="0.25">
      <c r="A672" s="15"/>
      <c r="B672" s="16"/>
    </row>
    <row r="673" spans="1:2" ht="14.25" customHeight="1" x14ac:dyDescent="0.25">
      <c r="A673" s="15"/>
      <c r="B673" s="16"/>
    </row>
    <row r="674" spans="1:2" ht="14.25" customHeight="1" x14ac:dyDescent="0.25">
      <c r="A674" s="15"/>
      <c r="B674" s="16"/>
    </row>
    <row r="675" spans="1:2" ht="14.25" customHeight="1" x14ac:dyDescent="0.25">
      <c r="A675" s="15"/>
      <c r="B675" s="16"/>
    </row>
    <row r="676" spans="1:2" ht="14.25" customHeight="1" x14ac:dyDescent="0.25">
      <c r="A676" s="15"/>
      <c r="B676" s="16"/>
    </row>
    <row r="677" spans="1:2" ht="14.25" customHeight="1" x14ac:dyDescent="0.25">
      <c r="A677" s="15"/>
      <c r="B677" s="16"/>
    </row>
    <row r="678" spans="1:2" ht="14.25" customHeight="1" x14ac:dyDescent="0.25">
      <c r="A678" s="15"/>
      <c r="B678" s="16"/>
    </row>
    <row r="679" spans="1:2" ht="14.25" customHeight="1" x14ac:dyDescent="0.25">
      <c r="A679" s="15"/>
      <c r="B679" s="16"/>
    </row>
    <row r="680" spans="1:2" ht="14.25" customHeight="1" x14ac:dyDescent="0.25">
      <c r="A680" s="15"/>
      <c r="B680" s="16"/>
    </row>
    <row r="681" spans="1:2" ht="14.25" customHeight="1" x14ac:dyDescent="0.25">
      <c r="A681" s="15"/>
      <c r="B681" s="16"/>
    </row>
    <row r="682" spans="1:2" ht="14.25" customHeight="1" x14ac:dyDescent="0.25">
      <c r="A682" s="15"/>
      <c r="B682" s="16"/>
    </row>
    <row r="683" spans="1:2" ht="14.25" customHeight="1" x14ac:dyDescent="0.25">
      <c r="A683" s="15"/>
      <c r="B683" s="16"/>
    </row>
    <row r="684" spans="1:2" ht="14.25" customHeight="1" x14ac:dyDescent="0.25">
      <c r="A684" s="15"/>
      <c r="B684" s="16"/>
    </row>
    <row r="685" spans="1:2" ht="14.25" customHeight="1" x14ac:dyDescent="0.25">
      <c r="A685" s="15"/>
      <c r="B685" s="16"/>
    </row>
    <row r="686" spans="1:2" ht="14.25" customHeight="1" x14ac:dyDescent="0.25">
      <c r="A686" s="15"/>
      <c r="B686" s="16"/>
    </row>
    <row r="687" spans="1:2" ht="14.25" customHeight="1" x14ac:dyDescent="0.25">
      <c r="A687" s="15"/>
      <c r="B687" s="16"/>
    </row>
    <row r="688" spans="1:2" ht="14.25" customHeight="1" x14ac:dyDescent="0.25">
      <c r="A688" s="15"/>
      <c r="B688" s="16"/>
    </row>
    <row r="689" spans="1:2" ht="14.25" customHeight="1" x14ac:dyDescent="0.25">
      <c r="A689" s="15"/>
      <c r="B689" s="16"/>
    </row>
    <row r="690" spans="1:2" ht="14.25" customHeight="1" x14ac:dyDescent="0.25">
      <c r="A690" s="15"/>
      <c r="B690" s="16"/>
    </row>
    <row r="691" spans="1:2" ht="14.25" customHeight="1" x14ac:dyDescent="0.25">
      <c r="A691" s="15"/>
      <c r="B691" s="16"/>
    </row>
    <row r="692" spans="1:2" ht="14.25" customHeight="1" x14ac:dyDescent="0.25">
      <c r="A692" s="15"/>
      <c r="B692" s="16"/>
    </row>
    <row r="693" spans="1:2" ht="14.25" customHeight="1" x14ac:dyDescent="0.25">
      <c r="A693" s="15"/>
      <c r="B693" s="16"/>
    </row>
    <row r="694" spans="1:2" ht="14.25" customHeight="1" x14ac:dyDescent="0.25">
      <c r="A694" s="15"/>
      <c r="B694" s="16"/>
    </row>
    <row r="695" spans="1:2" ht="14.25" customHeight="1" x14ac:dyDescent="0.25">
      <c r="A695" s="15"/>
      <c r="B695" s="16"/>
    </row>
    <row r="696" spans="1:2" ht="14.25" customHeight="1" x14ac:dyDescent="0.25">
      <c r="A696" s="15"/>
      <c r="B696" s="16"/>
    </row>
    <row r="697" spans="1:2" ht="14.25" customHeight="1" x14ac:dyDescent="0.25">
      <c r="A697" s="15"/>
      <c r="B697" s="16"/>
    </row>
    <row r="698" spans="1:2" ht="14.25" customHeight="1" x14ac:dyDescent="0.25">
      <c r="A698" s="15"/>
      <c r="B698" s="16"/>
    </row>
    <row r="699" spans="1:2" ht="14.25" customHeight="1" x14ac:dyDescent="0.25">
      <c r="A699" s="15"/>
      <c r="B699" s="16"/>
    </row>
    <row r="700" spans="1:2" ht="14.25" customHeight="1" x14ac:dyDescent="0.25">
      <c r="A700" s="15"/>
      <c r="B700" s="16"/>
    </row>
    <row r="701" spans="1:2" ht="14.25" customHeight="1" x14ac:dyDescent="0.25">
      <c r="A701" s="15"/>
      <c r="B701" s="16"/>
    </row>
    <row r="702" spans="1:2" ht="14.25" customHeight="1" x14ac:dyDescent="0.25">
      <c r="A702" s="15"/>
      <c r="B702" s="16"/>
    </row>
    <row r="703" spans="1:2" ht="14.25" customHeight="1" x14ac:dyDescent="0.25">
      <c r="A703" s="15"/>
      <c r="B703" s="16"/>
    </row>
    <row r="704" spans="1:2" ht="14.25" customHeight="1" x14ac:dyDescent="0.25">
      <c r="A704" s="15"/>
      <c r="B704" s="16"/>
    </row>
    <row r="705" spans="1:2" ht="14.25" customHeight="1" x14ac:dyDescent="0.25">
      <c r="A705" s="15"/>
      <c r="B705" s="16"/>
    </row>
    <row r="706" spans="1:2" ht="14.25" customHeight="1" x14ac:dyDescent="0.25">
      <c r="A706" s="15"/>
      <c r="B706" s="16"/>
    </row>
    <row r="707" spans="1:2" ht="14.25" customHeight="1" x14ac:dyDescent="0.25">
      <c r="A707" s="15"/>
      <c r="B707" s="16"/>
    </row>
    <row r="708" spans="1:2" ht="14.25" customHeight="1" x14ac:dyDescent="0.25">
      <c r="A708" s="15"/>
      <c r="B708" s="16"/>
    </row>
    <row r="709" spans="1:2" ht="14.25" customHeight="1" x14ac:dyDescent="0.25">
      <c r="A709" s="15"/>
      <c r="B709" s="16"/>
    </row>
    <row r="710" spans="1:2" ht="14.25" customHeight="1" x14ac:dyDescent="0.25">
      <c r="A710" s="15"/>
      <c r="B710" s="16"/>
    </row>
    <row r="711" spans="1:2" ht="14.25" customHeight="1" x14ac:dyDescent="0.25">
      <c r="A711" s="15"/>
      <c r="B711" s="16"/>
    </row>
    <row r="712" spans="1:2" ht="14.25" customHeight="1" x14ac:dyDescent="0.25">
      <c r="A712" s="15"/>
      <c r="B712" s="16"/>
    </row>
    <row r="713" spans="1:2" ht="14.25" customHeight="1" x14ac:dyDescent="0.25">
      <c r="A713" s="15"/>
      <c r="B713" s="16"/>
    </row>
    <row r="714" spans="1:2" ht="14.25" customHeight="1" x14ac:dyDescent="0.25">
      <c r="A714" s="15"/>
      <c r="B714" s="16"/>
    </row>
    <row r="715" spans="1:2" ht="14.25" customHeight="1" x14ac:dyDescent="0.25">
      <c r="A715" s="15"/>
      <c r="B715" s="16"/>
    </row>
    <row r="716" spans="1:2" ht="14.25" customHeight="1" x14ac:dyDescent="0.25">
      <c r="A716" s="15"/>
      <c r="B716" s="16"/>
    </row>
    <row r="717" spans="1:2" ht="14.25" customHeight="1" x14ac:dyDescent="0.25">
      <c r="A717" s="15"/>
      <c r="B717" s="16"/>
    </row>
    <row r="718" spans="1:2" ht="14.25" customHeight="1" x14ac:dyDescent="0.25">
      <c r="A718" s="15"/>
      <c r="B718" s="16"/>
    </row>
    <row r="719" spans="1:2" ht="14.25" customHeight="1" x14ac:dyDescent="0.25">
      <c r="A719" s="15"/>
      <c r="B719" s="16"/>
    </row>
    <row r="720" spans="1:2" ht="14.25" customHeight="1" x14ac:dyDescent="0.25">
      <c r="A720" s="15"/>
      <c r="B720" s="16"/>
    </row>
    <row r="721" spans="1:2" ht="14.25" customHeight="1" x14ac:dyDescent="0.25">
      <c r="A721" s="15"/>
      <c r="B721" s="16"/>
    </row>
    <row r="722" spans="1:2" ht="14.25" customHeight="1" x14ac:dyDescent="0.25">
      <c r="A722" s="15"/>
      <c r="B722" s="16"/>
    </row>
    <row r="723" spans="1:2" ht="14.25" customHeight="1" x14ac:dyDescent="0.25">
      <c r="A723" s="15"/>
      <c r="B723" s="16"/>
    </row>
    <row r="724" spans="1:2" ht="14.25" customHeight="1" x14ac:dyDescent="0.25">
      <c r="A724" s="15"/>
      <c r="B724" s="16"/>
    </row>
    <row r="725" spans="1:2" ht="14.25" customHeight="1" x14ac:dyDescent="0.25">
      <c r="A725" s="15"/>
      <c r="B725" s="16"/>
    </row>
    <row r="726" spans="1:2" ht="14.25" customHeight="1" x14ac:dyDescent="0.25">
      <c r="A726" s="15"/>
      <c r="B726" s="16"/>
    </row>
    <row r="727" spans="1:2" ht="14.25" customHeight="1" x14ac:dyDescent="0.25">
      <c r="A727" s="15"/>
      <c r="B727" s="16"/>
    </row>
    <row r="728" spans="1:2" ht="14.25" customHeight="1" x14ac:dyDescent="0.25">
      <c r="A728" s="15"/>
      <c r="B728" s="16"/>
    </row>
    <row r="729" spans="1:2" ht="14.25" customHeight="1" x14ac:dyDescent="0.25">
      <c r="A729" s="15"/>
      <c r="B729" s="16"/>
    </row>
    <row r="730" spans="1:2" ht="14.25" customHeight="1" x14ac:dyDescent="0.25">
      <c r="A730" s="15"/>
      <c r="B730" s="16"/>
    </row>
    <row r="731" spans="1:2" ht="14.25" customHeight="1" x14ac:dyDescent="0.25">
      <c r="A731" s="15"/>
      <c r="B731" s="16"/>
    </row>
    <row r="732" spans="1:2" ht="14.25" customHeight="1" x14ac:dyDescent="0.25">
      <c r="A732" s="15"/>
      <c r="B732" s="16"/>
    </row>
    <row r="733" spans="1:2" ht="14.25" customHeight="1" x14ac:dyDescent="0.25">
      <c r="A733" s="15"/>
      <c r="B733" s="16"/>
    </row>
    <row r="734" spans="1:2" ht="14.25" customHeight="1" x14ac:dyDescent="0.25">
      <c r="A734" s="15"/>
      <c r="B734" s="16"/>
    </row>
    <row r="735" spans="1:2" ht="14.25" customHeight="1" x14ac:dyDescent="0.25">
      <c r="A735" s="15"/>
      <c r="B735" s="16"/>
    </row>
    <row r="736" spans="1:2" ht="14.25" customHeight="1" x14ac:dyDescent="0.25">
      <c r="A736" s="15"/>
      <c r="B736" s="16"/>
    </row>
    <row r="737" spans="1:2" ht="14.25" customHeight="1" x14ac:dyDescent="0.25">
      <c r="A737" s="15"/>
      <c r="B737" s="16"/>
    </row>
    <row r="738" spans="1:2" ht="14.25" customHeight="1" x14ac:dyDescent="0.25">
      <c r="A738" s="15"/>
      <c r="B738" s="16"/>
    </row>
    <row r="739" spans="1:2" ht="14.25" customHeight="1" x14ac:dyDescent="0.25">
      <c r="A739" s="15"/>
      <c r="B739" s="16"/>
    </row>
    <row r="740" spans="1:2" ht="14.25" customHeight="1" x14ac:dyDescent="0.25">
      <c r="A740" s="15"/>
      <c r="B740" s="16"/>
    </row>
    <row r="741" spans="1:2" ht="14.25" customHeight="1" x14ac:dyDescent="0.25">
      <c r="A741" s="15"/>
      <c r="B741" s="16"/>
    </row>
    <row r="742" spans="1:2" ht="14.25" customHeight="1" x14ac:dyDescent="0.25">
      <c r="A742" s="15"/>
      <c r="B742" s="16"/>
    </row>
    <row r="743" spans="1:2" ht="14.25" customHeight="1" x14ac:dyDescent="0.25">
      <c r="A743" s="15"/>
      <c r="B743" s="16"/>
    </row>
    <row r="744" spans="1:2" ht="14.25" customHeight="1" x14ac:dyDescent="0.25">
      <c r="A744" s="15"/>
      <c r="B744" s="16"/>
    </row>
    <row r="745" spans="1:2" ht="14.25" customHeight="1" x14ac:dyDescent="0.25">
      <c r="A745" s="15"/>
      <c r="B745" s="16"/>
    </row>
    <row r="746" spans="1:2" ht="14.25" customHeight="1" x14ac:dyDescent="0.25">
      <c r="A746" s="15"/>
      <c r="B746" s="16"/>
    </row>
    <row r="747" spans="1:2" ht="14.25" customHeight="1" x14ac:dyDescent="0.25">
      <c r="A747" s="15"/>
      <c r="B747" s="16"/>
    </row>
    <row r="748" spans="1:2" ht="14.25" customHeight="1" x14ac:dyDescent="0.25">
      <c r="A748" s="15"/>
      <c r="B748" s="16"/>
    </row>
    <row r="749" spans="1:2" ht="14.25" customHeight="1" x14ac:dyDescent="0.25">
      <c r="A749" s="15"/>
      <c r="B749" s="16"/>
    </row>
    <row r="750" spans="1:2" ht="14.25" customHeight="1" x14ac:dyDescent="0.25">
      <c r="A750" s="15"/>
      <c r="B750" s="16"/>
    </row>
    <row r="751" spans="1:2" ht="14.25" customHeight="1" x14ac:dyDescent="0.25">
      <c r="A751" s="15"/>
      <c r="B751" s="16"/>
    </row>
    <row r="752" spans="1:2" ht="14.25" customHeight="1" x14ac:dyDescent="0.25">
      <c r="A752" s="15"/>
      <c r="B752" s="16"/>
    </row>
    <row r="753" spans="1:2" ht="14.25" customHeight="1" x14ac:dyDescent="0.25">
      <c r="A753" s="15"/>
      <c r="B753" s="16"/>
    </row>
    <row r="754" spans="1:2" ht="14.25" customHeight="1" x14ac:dyDescent="0.25">
      <c r="A754" s="15"/>
      <c r="B754" s="16"/>
    </row>
    <row r="755" spans="1:2" ht="14.25" customHeight="1" x14ac:dyDescent="0.25">
      <c r="A755" s="15"/>
      <c r="B755" s="16"/>
    </row>
    <row r="756" spans="1:2" ht="14.25" customHeight="1" x14ac:dyDescent="0.25">
      <c r="A756" s="15"/>
      <c r="B756" s="16"/>
    </row>
    <row r="757" spans="1:2" ht="14.25" customHeight="1" x14ac:dyDescent="0.25">
      <c r="A757" s="15"/>
      <c r="B757" s="16"/>
    </row>
    <row r="758" spans="1:2" ht="14.25" customHeight="1" x14ac:dyDescent="0.25">
      <c r="A758" s="15"/>
      <c r="B758" s="16"/>
    </row>
    <row r="759" spans="1:2" ht="14.25" customHeight="1" x14ac:dyDescent="0.25">
      <c r="A759" s="15"/>
      <c r="B759" s="16"/>
    </row>
    <row r="760" spans="1:2" ht="14.25" customHeight="1" x14ac:dyDescent="0.25">
      <c r="A760" s="15"/>
      <c r="B760" s="16"/>
    </row>
    <row r="761" spans="1:2" ht="14.25" customHeight="1" x14ac:dyDescent="0.25">
      <c r="A761" s="15"/>
      <c r="B761" s="16"/>
    </row>
    <row r="762" spans="1:2" ht="14.25" customHeight="1" x14ac:dyDescent="0.25">
      <c r="A762" s="15"/>
      <c r="B762" s="16"/>
    </row>
    <row r="763" spans="1:2" ht="14.25" customHeight="1" x14ac:dyDescent="0.25">
      <c r="A763" s="15"/>
      <c r="B763" s="16"/>
    </row>
    <row r="764" spans="1:2" ht="14.25" customHeight="1" x14ac:dyDescent="0.25">
      <c r="A764" s="15"/>
      <c r="B764" s="16"/>
    </row>
    <row r="765" spans="1:2" ht="14.25" customHeight="1" x14ac:dyDescent="0.25">
      <c r="A765" s="15"/>
      <c r="B765" s="16"/>
    </row>
    <row r="766" spans="1:2" ht="14.25" customHeight="1" x14ac:dyDescent="0.25">
      <c r="A766" s="15"/>
      <c r="B766" s="16"/>
    </row>
    <row r="767" spans="1:2" ht="14.25" customHeight="1" x14ac:dyDescent="0.25">
      <c r="A767" s="15"/>
      <c r="B767" s="16"/>
    </row>
    <row r="768" spans="1:2" ht="14.25" customHeight="1" x14ac:dyDescent="0.25">
      <c r="A768" s="15"/>
      <c r="B768" s="16"/>
    </row>
    <row r="769" spans="1:2" ht="14.25" customHeight="1" x14ac:dyDescent="0.25">
      <c r="A769" s="15"/>
      <c r="B769" s="16"/>
    </row>
    <row r="770" spans="1:2" ht="14.25" customHeight="1" x14ac:dyDescent="0.25">
      <c r="A770" s="15"/>
      <c r="B770" s="16"/>
    </row>
    <row r="771" spans="1:2" ht="14.25" customHeight="1" x14ac:dyDescent="0.25">
      <c r="A771" s="15"/>
      <c r="B771" s="16"/>
    </row>
    <row r="772" spans="1:2" ht="14.25" customHeight="1" x14ac:dyDescent="0.25">
      <c r="A772" s="15"/>
      <c r="B772" s="16"/>
    </row>
    <row r="773" spans="1:2" ht="14.25" customHeight="1" x14ac:dyDescent="0.25">
      <c r="A773" s="15"/>
      <c r="B773" s="16"/>
    </row>
    <row r="774" spans="1:2" ht="14.25" customHeight="1" x14ac:dyDescent="0.25">
      <c r="A774" s="15"/>
      <c r="B774" s="16"/>
    </row>
    <row r="775" spans="1:2" ht="14.25" customHeight="1" x14ac:dyDescent="0.25">
      <c r="A775" s="15"/>
      <c r="B775" s="16"/>
    </row>
    <row r="776" spans="1:2" ht="14.25" customHeight="1" x14ac:dyDescent="0.25">
      <c r="A776" s="15"/>
      <c r="B776" s="16"/>
    </row>
    <row r="777" spans="1:2" ht="14.25" customHeight="1" x14ac:dyDescent="0.25">
      <c r="A777" s="15"/>
      <c r="B777" s="16"/>
    </row>
    <row r="778" spans="1:2" ht="14.25" customHeight="1" x14ac:dyDescent="0.25">
      <c r="A778" s="15"/>
      <c r="B778" s="16"/>
    </row>
    <row r="779" spans="1:2" ht="14.25" customHeight="1" x14ac:dyDescent="0.25">
      <c r="A779" s="15"/>
      <c r="B779" s="16"/>
    </row>
    <row r="780" spans="1:2" ht="14.25" customHeight="1" x14ac:dyDescent="0.25">
      <c r="A780" s="15"/>
      <c r="B780" s="16"/>
    </row>
    <row r="781" spans="1:2" ht="14.25" customHeight="1" x14ac:dyDescent="0.25">
      <c r="A781" s="15"/>
      <c r="B781" s="16"/>
    </row>
    <row r="782" spans="1:2" ht="14.25" customHeight="1" x14ac:dyDescent="0.25">
      <c r="A782" s="15"/>
      <c r="B782" s="16"/>
    </row>
    <row r="783" spans="1:2" ht="14.25" customHeight="1" x14ac:dyDescent="0.25">
      <c r="A783" s="15"/>
      <c r="B783" s="16"/>
    </row>
    <row r="784" spans="1:2" ht="14.25" customHeight="1" x14ac:dyDescent="0.25">
      <c r="A784" s="15"/>
      <c r="B784" s="16"/>
    </row>
    <row r="785" spans="1:2" ht="14.25" customHeight="1" x14ac:dyDescent="0.25">
      <c r="A785" s="15"/>
      <c r="B785" s="16"/>
    </row>
    <row r="786" spans="1:2" ht="14.25" customHeight="1" x14ac:dyDescent="0.25">
      <c r="A786" s="15"/>
      <c r="B786" s="16"/>
    </row>
    <row r="787" spans="1:2" ht="14.25" customHeight="1" x14ac:dyDescent="0.25">
      <c r="A787" s="15"/>
      <c r="B787" s="16"/>
    </row>
    <row r="788" spans="1:2" ht="14.25" customHeight="1" x14ac:dyDescent="0.25">
      <c r="A788" s="15"/>
      <c r="B788" s="16"/>
    </row>
    <row r="789" spans="1:2" ht="14.25" customHeight="1" x14ac:dyDescent="0.25">
      <c r="A789" s="15"/>
      <c r="B789" s="16"/>
    </row>
    <row r="790" spans="1:2" ht="14.25" customHeight="1" x14ac:dyDescent="0.25">
      <c r="A790" s="15"/>
      <c r="B790" s="16"/>
    </row>
    <row r="791" spans="1:2" ht="14.25" customHeight="1" x14ac:dyDescent="0.25">
      <c r="A791" s="15"/>
      <c r="B791" s="16"/>
    </row>
    <row r="792" spans="1:2" ht="14.25" customHeight="1" x14ac:dyDescent="0.25">
      <c r="A792" s="15"/>
      <c r="B792" s="16"/>
    </row>
    <row r="793" spans="1:2" ht="14.25" customHeight="1" x14ac:dyDescent="0.25">
      <c r="A793" s="15"/>
      <c r="B793" s="16"/>
    </row>
    <row r="794" spans="1:2" ht="14.25" customHeight="1" x14ac:dyDescent="0.25">
      <c r="A794" s="15"/>
      <c r="B794" s="16"/>
    </row>
    <row r="795" spans="1:2" ht="14.25" customHeight="1" x14ac:dyDescent="0.25">
      <c r="A795" s="15"/>
      <c r="B795" s="16"/>
    </row>
    <row r="796" spans="1:2" ht="14.25" customHeight="1" x14ac:dyDescent="0.25">
      <c r="A796" s="15"/>
      <c r="B796" s="16"/>
    </row>
    <row r="797" spans="1:2" ht="14.25" customHeight="1" x14ac:dyDescent="0.25">
      <c r="A797" s="15"/>
      <c r="B797" s="16"/>
    </row>
    <row r="798" spans="1:2" ht="14.25" customHeight="1" x14ac:dyDescent="0.25">
      <c r="A798" s="15"/>
      <c r="B798" s="16"/>
    </row>
    <row r="799" spans="1:2" ht="14.25" customHeight="1" x14ac:dyDescent="0.25">
      <c r="A799" s="15"/>
      <c r="B799" s="16"/>
    </row>
    <row r="800" spans="1:2" ht="14.25" customHeight="1" x14ac:dyDescent="0.25">
      <c r="A800" s="15"/>
      <c r="B800" s="16"/>
    </row>
    <row r="801" spans="1:2" ht="14.25" customHeight="1" x14ac:dyDescent="0.25">
      <c r="A801" s="15"/>
      <c r="B801" s="16"/>
    </row>
    <row r="802" spans="1:2" ht="14.25" customHeight="1" x14ac:dyDescent="0.25">
      <c r="A802" s="15"/>
      <c r="B802" s="16"/>
    </row>
    <row r="803" spans="1:2" ht="14.25" customHeight="1" x14ac:dyDescent="0.25">
      <c r="A803" s="15"/>
      <c r="B803" s="16"/>
    </row>
    <row r="804" spans="1:2" ht="14.25" customHeight="1" x14ac:dyDescent="0.25">
      <c r="A804" s="15"/>
      <c r="B804" s="16"/>
    </row>
    <row r="805" spans="1:2" ht="14.25" customHeight="1" x14ac:dyDescent="0.25">
      <c r="A805" s="15"/>
      <c r="B805" s="16"/>
    </row>
    <row r="806" spans="1:2" ht="14.25" customHeight="1" x14ac:dyDescent="0.25">
      <c r="A806" s="15"/>
      <c r="B806" s="16"/>
    </row>
    <row r="807" spans="1:2" ht="14.25" customHeight="1" x14ac:dyDescent="0.25">
      <c r="A807" s="15"/>
      <c r="B807" s="16"/>
    </row>
    <row r="808" spans="1:2" ht="14.25" customHeight="1" x14ac:dyDescent="0.25">
      <c r="A808" s="15"/>
      <c r="B808" s="16"/>
    </row>
    <row r="809" spans="1:2" ht="14.25" customHeight="1" x14ac:dyDescent="0.25">
      <c r="A809" s="15"/>
      <c r="B809" s="16"/>
    </row>
    <row r="810" spans="1:2" ht="14.25" customHeight="1" x14ac:dyDescent="0.25">
      <c r="A810" s="15"/>
      <c r="B810" s="16"/>
    </row>
    <row r="811" spans="1:2" ht="14.25" customHeight="1" x14ac:dyDescent="0.25">
      <c r="A811" s="15"/>
      <c r="B811" s="16"/>
    </row>
    <row r="812" spans="1:2" ht="14.25" customHeight="1" x14ac:dyDescent="0.25">
      <c r="A812" s="15"/>
      <c r="B812" s="16"/>
    </row>
    <row r="813" spans="1:2" ht="14.25" customHeight="1" x14ac:dyDescent="0.25">
      <c r="A813" s="15"/>
      <c r="B813" s="16"/>
    </row>
    <row r="814" spans="1:2" ht="14.25" customHeight="1" x14ac:dyDescent="0.25">
      <c r="A814" s="15"/>
      <c r="B814" s="16"/>
    </row>
    <row r="815" spans="1:2" ht="14.25" customHeight="1" x14ac:dyDescent="0.25">
      <c r="A815" s="15"/>
      <c r="B815" s="16"/>
    </row>
    <row r="816" spans="1:2" ht="14.25" customHeight="1" x14ac:dyDescent="0.25">
      <c r="A816" s="15"/>
      <c r="B816" s="16"/>
    </row>
    <row r="817" spans="1:2" ht="14.25" customHeight="1" x14ac:dyDescent="0.25">
      <c r="A817" s="15"/>
      <c r="B817" s="16"/>
    </row>
    <row r="818" spans="1:2" ht="14.25" customHeight="1" x14ac:dyDescent="0.25">
      <c r="A818" s="15"/>
      <c r="B818" s="16"/>
    </row>
    <row r="819" spans="1:2" ht="14.25" customHeight="1" x14ac:dyDescent="0.25">
      <c r="A819" s="15"/>
      <c r="B819" s="16"/>
    </row>
    <row r="820" spans="1:2" ht="14.25" customHeight="1" x14ac:dyDescent="0.25">
      <c r="A820" s="15"/>
      <c r="B820" s="16"/>
    </row>
    <row r="821" spans="1:2" ht="14.25" customHeight="1" x14ac:dyDescent="0.25">
      <c r="A821" s="15"/>
      <c r="B821" s="16"/>
    </row>
    <row r="822" spans="1:2" ht="14.25" customHeight="1" x14ac:dyDescent="0.25">
      <c r="A822" s="15"/>
      <c r="B822" s="16"/>
    </row>
    <row r="823" spans="1:2" ht="14.25" customHeight="1" x14ac:dyDescent="0.25">
      <c r="A823" s="15"/>
      <c r="B823" s="16"/>
    </row>
    <row r="824" spans="1:2" ht="14.25" customHeight="1" x14ac:dyDescent="0.25">
      <c r="A824" s="15"/>
      <c r="B824" s="16"/>
    </row>
    <row r="825" spans="1:2" ht="14.25" customHeight="1" x14ac:dyDescent="0.25">
      <c r="A825" s="15"/>
      <c r="B825" s="16"/>
    </row>
    <row r="826" spans="1:2" ht="14.25" customHeight="1" x14ac:dyDescent="0.25">
      <c r="A826" s="15"/>
      <c r="B826" s="16"/>
    </row>
    <row r="827" spans="1:2" ht="14.25" customHeight="1" x14ac:dyDescent="0.25">
      <c r="A827" s="15"/>
      <c r="B827" s="16"/>
    </row>
    <row r="828" spans="1:2" ht="14.25" customHeight="1" x14ac:dyDescent="0.25">
      <c r="A828" s="15"/>
      <c r="B828" s="16"/>
    </row>
    <row r="829" spans="1:2" ht="14.25" customHeight="1" x14ac:dyDescent="0.25">
      <c r="A829" s="15"/>
      <c r="B829" s="16"/>
    </row>
    <row r="830" spans="1:2" ht="14.25" customHeight="1" x14ac:dyDescent="0.25">
      <c r="A830" s="15"/>
      <c r="B830" s="16"/>
    </row>
    <row r="831" spans="1:2" ht="14.25" customHeight="1" x14ac:dyDescent="0.25">
      <c r="A831" s="15"/>
      <c r="B831" s="16"/>
    </row>
    <row r="832" spans="1:2" ht="14.25" customHeight="1" x14ac:dyDescent="0.25">
      <c r="A832" s="15"/>
      <c r="B832" s="16"/>
    </row>
    <row r="833" spans="1:2" ht="14.25" customHeight="1" x14ac:dyDescent="0.25">
      <c r="A833" s="15"/>
      <c r="B833" s="16"/>
    </row>
    <row r="834" spans="1:2" ht="14.25" customHeight="1" x14ac:dyDescent="0.25">
      <c r="A834" s="15"/>
      <c r="B834" s="16"/>
    </row>
    <row r="835" spans="1:2" ht="14.25" customHeight="1" x14ac:dyDescent="0.25">
      <c r="A835" s="15"/>
      <c r="B835" s="16"/>
    </row>
    <row r="836" spans="1:2" ht="14.25" customHeight="1" x14ac:dyDescent="0.25">
      <c r="A836" s="15"/>
      <c r="B836" s="16"/>
    </row>
    <row r="837" spans="1:2" ht="14.25" customHeight="1" x14ac:dyDescent="0.25">
      <c r="A837" s="15"/>
      <c r="B837" s="16"/>
    </row>
    <row r="838" spans="1:2" ht="14.25" customHeight="1" x14ac:dyDescent="0.25">
      <c r="A838" s="15"/>
      <c r="B838" s="16"/>
    </row>
    <row r="839" spans="1:2" ht="14.25" customHeight="1" x14ac:dyDescent="0.25">
      <c r="A839" s="15"/>
      <c r="B839" s="16"/>
    </row>
    <row r="840" spans="1:2" ht="14.25" customHeight="1" x14ac:dyDescent="0.25">
      <c r="A840" s="15"/>
      <c r="B840" s="16"/>
    </row>
    <row r="841" spans="1:2" ht="14.25" customHeight="1" x14ac:dyDescent="0.25">
      <c r="A841" s="15"/>
      <c r="B841" s="16"/>
    </row>
    <row r="842" spans="1:2" ht="14.25" customHeight="1" x14ac:dyDescent="0.25">
      <c r="A842" s="15"/>
      <c r="B842" s="16"/>
    </row>
    <row r="843" spans="1:2" ht="14.25" customHeight="1" x14ac:dyDescent="0.25">
      <c r="A843" s="15"/>
      <c r="B843" s="16"/>
    </row>
    <row r="844" spans="1:2" ht="14.25" customHeight="1" x14ac:dyDescent="0.25">
      <c r="A844" s="15"/>
      <c r="B844" s="16"/>
    </row>
    <row r="845" spans="1:2" ht="14.25" customHeight="1" x14ac:dyDescent="0.25">
      <c r="A845" s="15"/>
      <c r="B845" s="16"/>
    </row>
    <row r="846" spans="1:2" ht="14.25" customHeight="1" x14ac:dyDescent="0.25">
      <c r="A846" s="15"/>
      <c r="B846" s="16"/>
    </row>
    <row r="847" spans="1:2" ht="14.25" customHeight="1" x14ac:dyDescent="0.25">
      <c r="A847" s="15"/>
      <c r="B847" s="16"/>
    </row>
    <row r="848" spans="1:2" ht="14.25" customHeight="1" x14ac:dyDescent="0.25">
      <c r="A848" s="15"/>
      <c r="B848" s="16"/>
    </row>
    <row r="849" spans="1:2" ht="14.25" customHeight="1" x14ac:dyDescent="0.25">
      <c r="A849" s="15"/>
      <c r="B849" s="16"/>
    </row>
    <row r="850" spans="1:2" ht="14.25" customHeight="1" x14ac:dyDescent="0.25">
      <c r="A850" s="15"/>
      <c r="B850" s="16"/>
    </row>
    <row r="851" spans="1:2" ht="14.25" customHeight="1" x14ac:dyDescent="0.25">
      <c r="A851" s="15"/>
      <c r="B851" s="16"/>
    </row>
    <row r="852" spans="1:2" ht="14.25" customHeight="1" x14ac:dyDescent="0.25">
      <c r="A852" s="15"/>
      <c r="B852" s="16"/>
    </row>
    <row r="853" spans="1:2" ht="14.25" customHeight="1" x14ac:dyDescent="0.25">
      <c r="A853" s="15"/>
      <c r="B853" s="16"/>
    </row>
    <row r="854" spans="1:2" ht="14.25" customHeight="1" x14ac:dyDescent="0.25">
      <c r="A854" s="15"/>
      <c r="B854" s="16"/>
    </row>
    <row r="855" spans="1:2" ht="14.25" customHeight="1" x14ac:dyDescent="0.25">
      <c r="A855" s="15"/>
      <c r="B855" s="16"/>
    </row>
    <row r="856" spans="1:2" ht="14.25" customHeight="1" x14ac:dyDescent="0.25">
      <c r="A856" s="15"/>
      <c r="B856" s="16"/>
    </row>
    <row r="857" spans="1:2" ht="14.25" customHeight="1" x14ac:dyDescent="0.25">
      <c r="A857" s="15"/>
      <c r="B857" s="16"/>
    </row>
    <row r="858" spans="1:2" ht="14.25" customHeight="1" x14ac:dyDescent="0.25">
      <c r="A858" s="15"/>
      <c r="B858" s="16"/>
    </row>
    <row r="859" spans="1:2" ht="14.25" customHeight="1" x14ac:dyDescent="0.25">
      <c r="A859" s="15"/>
      <c r="B859" s="16"/>
    </row>
    <row r="860" spans="1:2" ht="14.25" customHeight="1" x14ac:dyDescent="0.25">
      <c r="A860" s="15"/>
      <c r="B860" s="16"/>
    </row>
    <row r="861" spans="1:2" ht="14.25" customHeight="1" x14ac:dyDescent="0.25">
      <c r="A861" s="15"/>
      <c r="B861" s="16"/>
    </row>
    <row r="862" spans="1:2" ht="14.25" customHeight="1" x14ac:dyDescent="0.25">
      <c r="A862" s="15"/>
      <c r="B862" s="16"/>
    </row>
    <row r="863" spans="1:2" ht="14.25" customHeight="1" x14ac:dyDescent="0.25">
      <c r="A863" s="15"/>
      <c r="B863" s="16"/>
    </row>
    <row r="864" spans="1:2" ht="14.25" customHeight="1" x14ac:dyDescent="0.25">
      <c r="A864" s="15"/>
      <c r="B864" s="16"/>
    </row>
    <row r="865" spans="1:2" ht="14.25" customHeight="1" x14ac:dyDescent="0.25">
      <c r="A865" s="15"/>
      <c r="B865" s="16"/>
    </row>
    <row r="866" spans="1:2" ht="14.25" customHeight="1" x14ac:dyDescent="0.25">
      <c r="A866" s="15"/>
      <c r="B866" s="16"/>
    </row>
    <row r="867" spans="1:2" ht="14.25" customHeight="1" x14ac:dyDescent="0.25">
      <c r="A867" s="15"/>
      <c r="B867" s="16"/>
    </row>
    <row r="868" spans="1:2" ht="14.25" customHeight="1" x14ac:dyDescent="0.25">
      <c r="A868" s="15"/>
      <c r="B868" s="16"/>
    </row>
    <row r="869" spans="1:2" ht="14.25" customHeight="1" x14ac:dyDescent="0.25">
      <c r="A869" s="15"/>
      <c r="B869" s="16"/>
    </row>
    <row r="870" spans="1:2" ht="14.25" customHeight="1" x14ac:dyDescent="0.25">
      <c r="A870" s="15"/>
      <c r="B870" s="16"/>
    </row>
    <row r="871" spans="1:2" ht="14.25" customHeight="1" x14ac:dyDescent="0.25">
      <c r="A871" s="15"/>
      <c r="B871" s="16"/>
    </row>
    <row r="872" spans="1:2" ht="14.25" customHeight="1" x14ac:dyDescent="0.25">
      <c r="A872" s="15"/>
      <c r="B872" s="16"/>
    </row>
    <row r="873" spans="1:2" ht="14.25" customHeight="1" x14ac:dyDescent="0.25">
      <c r="A873" s="15"/>
      <c r="B873" s="16"/>
    </row>
    <row r="874" spans="1:2" ht="14.25" customHeight="1" x14ac:dyDescent="0.25">
      <c r="A874" s="15"/>
      <c r="B874" s="16"/>
    </row>
    <row r="875" spans="1:2" ht="14.25" customHeight="1" x14ac:dyDescent="0.25">
      <c r="A875" s="15"/>
      <c r="B875" s="16"/>
    </row>
    <row r="876" spans="1:2" ht="14.25" customHeight="1" x14ac:dyDescent="0.25">
      <c r="A876" s="15"/>
      <c r="B876" s="16"/>
    </row>
    <row r="877" spans="1:2" ht="14.25" customHeight="1" x14ac:dyDescent="0.25">
      <c r="A877" s="15"/>
      <c r="B877" s="16"/>
    </row>
    <row r="878" spans="1:2" ht="14.25" customHeight="1" x14ac:dyDescent="0.25">
      <c r="A878" s="15"/>
      <c r="B878" s="16"/>
    </row>
    <row r="879" spans="1:2" ht="14.25" customHeight="1" x14ac:dyDescent="0.25">
      <c r="A879" s="15"/>
      <c r="B879" s="16"/>
    </row>
    <row r="880" spans="1:2" ht="14.25" customHeight="1" x14ac:dyDescent="0.25">
      <c r="A880" s="15"/>
      <c r="B880" s="16"/>
    </row>
    <row r="881" spans="1:2" ht="14.25" customHeight="1" x14ac:dyDescent="0.25">
      <c r="A881" s="15"/>
      <c r="B881" s="16"/>
    </row>
    <row r="882" spans="1:2" ht="14.25" customHeight="1" x14ac:dyDescent="0.25">
      <c r="A882" s="15"/>
      <c r="B882" s="16"/>
    </row>
    <row r="883" spans="1:2" ht="14.25" customHeight="1" x14ac:dyDescent="0.25">
      <c r="A883" s="15"/>
      <c r="B883" s="16"/>
    </row>
    <row r="884" spans="1:2" ht="14.25" customHeight="1" x14ac:dyDescent="0.25">
      <c r="A884" s="15"/>
      <c r="B884" s="16"/>
    </row>
    <row r="885" spans="1:2" ht="14.25" customHeight="1" x14ac:dyDescent="0.25">
      <c r="A885" s="15"/>
      <c r="B885" s="16"/>
    </row>
    <row r="886" spans="1:2" ht="14.25" customHeight="1" x14ac:dyDescent="0.25">
      <c r="A886" s="15"/>
      <c r="B886" s="16"/>
    </row>
    <row r="887" spans="1:2" ht="14.25" customHeight="1" x14ac:dyDescent="0.25">
      <c r="A887" s="15"/>
      <c r="B887" s="16"/>
    </row>
    <row r="888" spans="1:2" ht="14.25" customHeight="1" x14ac:dyDescent="0.25">
      <c r="A888" s="15"/>
      <c r="B888" s="16"/>
    </row>
    <row r="889" spans="1:2" ht="14.25" customHeight="1" x14ac:dyDescent="0.25">
      <c r="A889" s="15"/>
      <c r="B889" s="16"/>
    </row>
    <row r="890" spans="1:2" ht="14.25" customHeight="1" x14ac:dyDescent="0.25">
      <c r="A890" s="15"/>
      <c r="B890" s="16"/>
    </row>
    <row r="891" spans="1:2" ht="14.25" customHeight="1" x14ac:dyDescent="0.25">
      <c r="A891" s="15"/>
      <c r="B891" s="16"/>
    </row>
    <row r="892" spans="1:2" ht="14.25" customHeight="1" x14ac:dyDescent="0.25">
      <c r="A892" s="15"/>
      <c r="B892" s="16"/>
    </row>
    <row r="893" spans="1:2" ht="14.25" customHeight="1" x14ac:dyDescent="0.25">
      <c r="A893" s="15"/>
      <c r="B893" s="16"/>
    </row>
    <row r="894" spans="1:2" ht="14.25" customHeight="1" x14ac:dyDescent="0.25">
      <c r="A894" s="15"/>
      <c r="B894" s="16"/>
    </row>
    <row r="895" spans="1:2" ht="14.25" customHeight="1" x14ac:dyDescent="0.25">
      <c r="A895" s="15"/>
      <c r="B895" s="16"/>
    </row>
    <row r="896" spans="1:2" ht="14.25" customHeight="1" x14ac:dyDescent="0.25">
      <c r="A896" s="15"/>
      <c r="B896" s="16"/>
    </row>
    <row r="897" spans="1:2" ht="14.25" customHeight="1" x14ac:dyDescent="0.25">
      <c r="A897" s="15"/>
      <c r="B897" s="16"/>
    </row>
    <row r="898" spans="1:2" ht="14.25" customHeight="1" x14ac:dyDescent="0.25">
      <c r="A898" s="15"/>
      <c r="B898" s="16"/>
    </row>
    <row r="899" spans="1:2" ht="14.25" customHeight="1" x14ac:dyDescent="0.25">
      <c r="A899" s="15"/>
      <c r="B899" s="16"/>
    </row>
    <row r="900" spans="1:2" ht="14.25" customHeight="1" x14ac:dyDescent="0.25">
      <c r="A900" s="15"/>
      <c r="B900" s="16"/>
    </row>
    <row r="901" spans="1:2" ht="14.25" customHeight="1" x14ac:dyDescent="0.25">
      <c r="A901" s="15"/>
      <c r="B901" s="16"/>
    </row>
    <row r="902" spans="1:2" ht="14.25" customHeight="1" x14ac:dyDescent="0.25">
      <c r="A902" s="15"/>
      <c r="B902" s="16"/>
    </row>
    <row r="903" spans="1:2" ht="14.25" customHeight="1" x14ac:dyDescent="0.25">
      <c r="A903" s="15"/>
      <c r="B903" s="16"/>
    </row>
    <row r="904" spans="1:2" ht="14.25" customHeight="1" x14ac:dyDescent="0.25">
      <c r="A904" s="15"/>
      <c r="B904" s="16"/>
    </row>
    <row r="905" spans="1:2" ht="14.25" customHeight="1" x14ac:dyDescent="0.25">
      <c r="A905" s="15"/>
      <c r="B905" s="16"/>
    </row>
    <row r="906" spans="1:2" ht="14.25" customHeight="1" x14ac:dyDescent="0.25">
      <c r="A906" s="15"/>
      <c r="B906" s="16"/>
    </row>
    <row r="907" spans="1:2" ht="14.25" customHeight="1" x14ac:dyDescent="0.25">
      <c r="A907" s="15"/>
      <c r="B907" s="16"/>
    </row>
    <row r="908" spans="1:2" ht="14.25" customHeight="1" x14ac:dyDescent="0.25">
      <c r="A908" s="15"/>
      <c r="B908" s="16"/>
    </row>
    <row r="909" spans="1:2" ht="14.25" customHeight="1" x14ac:dyDescent="0.25">
      <c r="A909" s="15"/>
      <c r="B909" s="16"/>
    </row>
    <row r="910" spans="1:2" ht="14.25" customHeight="1" x14ac:dyDescent="0.25">
      <c r="A910" s="15"/>
      <c r="B910" s="16"/>
    </row>
    <row r="911" spans="1:2" ht="14.25" customHeight="1" x14ac:dyDescent="0.25">
      <c r="A911" s="15"/>
      <c r="B911" s="16"/>
    </row>
    <row r="912" spans="1:2" ht="14.25" customHeight="1" x14ac:dyDescent="0.25">
      <c r="A912" s="15"/>
      <c r="B912" s="16"/>
    </row>
    <row r="913" spans="1:2" ht="14.25" customHeight="1" x14ac:dyDescent="0.25">
      <c r="A913" s="15"/>
      <c r="B913" s="16"/>
    </row>
    <row r="914" spans="1:2" ht="14.25" customHeight="1" x14ac:dyDescent="0.25">
      <c r="A914" s="15"/>
      <c r="B914" s="16"/>
    </row>
    <row r="915" spans="1:2" ht="14.25" customHeight="1" x14ac:dyDescent="0.25">
      <c r="A915" s="15"/>
      <c r="B915" s="16"/>
    </row>
    <row r="916" spans="1:2" ht="14.25" customHeight="1" x14ac:dyDescent="0.25">
      <c r="A916" s="15"/>
      <c r="B916" s="16"/>
    </row>
    <row r="917" spans="1:2" ht="14.25" customHeight="1" x14ac:dyDescent="0.25">
      <c r="A917" s="15"/>
      <c r="B917" s="16"/>
    </row>
    <row r="918" spans="1:2" ht="14.25" customHeight="1" x14ac:dyDescent="0.25">
      <c r="A918" s="15"/>
      <c r="B918" s="16"/>
    </row>
    <row r="919" spans="1:2" ht="14.25" customHeight="1" x14ac:dyDescent="0.25">
      <c r="A919" s="15"/>
      <c r="B919" s="16"/>
    </row>
    <row r="920" spans="1:2" ht="14.25" customHeight="1" x14ac:dyDescent="0.25">
      <c r="A920" s="15"/>
      <c r="B920" s="16"/>
    </row>
    <row r="921" spans="1:2" ht="14.25" customHeight="1" x14ac:dyDescent="0.25">
      <c r="A921" s="15"/>
      <c r="B921" s="16"/>
    </row>
    <row r="922" spans="1:2" ht="14.25" customHeight="1" x14ac:dyDescent="0.25">
      <c r="A922" s="15"/>
      <c r="B922" s="16"/>
    </row>
    <row r="923" spans="1:2" ht="14.25" customHeight="1" x14ac:dyDescent="0.25">
      <c r="A923" s="15"/>
      <c r="B923" s="16"/>
    </row>
    <row r="924" spans="1:2" ht="14.25" customHeight="1" x14ac:dyDescent="0.25">
      <c r="A924" s="15"/>
      <c r="B924" s="16"/>
    </row>
    <row r="925" spans="1:2" ht="14.25" customHeight="1" x14ac:dyDescent="0.25">
      <c r="A925" s="15"/>
      <c r="B925" s="16"/>
    </row>
    <row r="926" spans="1:2" ht="14.25" customHeight="1" x14ac:dyDescent="0.25">
      <c r="A926" s="15"/>
      <c r="B926" s="16"/>
    </row>
    <row r="927" spans="1:2" ht="14.25" customHeight="1" x14ac:dyDescent="0.25">
      <c r="A927" s="15"/>
      <c r="B927" s="16"/>
    </row>
    <row r="928" spans="1:2" ht="14.25" customHeight="1" x14ac:dyDescent="0.25">
      <c r="A928" s="15"/>
      <c r="B928" s="16"/>
    </row>
    <row r="929" spans="1:2" ht="14.25" customHeight="1" x14ac:dyDescent="0.25">
      <c r="A929" s="15"/>
      <c r="B929" s="16"/>
    </row>
    <row r="930" spans="1:2" ht="14.25" customHeight="1" x14ac:dyDescent="0.25">
      <c r="A930" s="15"/>
      <c r="B930" s="16"/>
    </row>
    <row r="931" spans="1:2" ht="14.25" customHeight="1" x14ac:dyDescent="0.25">
      <c r="A931" s="15"/>
      <c r="B931" s="16"/>
    </row>
    <row r="932" spans="1:2" ht="14.25" customHeight="1" x14ac:dyDescent="0.25">
      <c r="A932" s="15"/>
      <c r="B932" s="16"/>
    </row>
    <row r="933" spans="1:2" ht="14.25" customHeight="1" x14ac:dyDescent="0.25">
      <c r="A933" s="15"/>
      <c r="B933" s="16"/>
    </row>
    <row r="934" spans="1:2" ht="14.25" customHeight="1" x14ac:dyDescent="0.25">
      <c r="A934" s="15"/>
      <c r="B934" s="16"/>
    </row>
    <row r="935" spans="1:2" ht="14.25" customHeight="1" x14ac:dyDescent="0.25">
      <c r="A935" s="15"/>
      <c r="B935" s="16"/>
    </row>
    <row r="936" spans="1:2" ht="14.25" customHeight="1" x14ac:dyDescent="0.25">
      <c r="A936" s="15"/>
      <c r="B936" s="16"/>
    </row>
    <row r="937" spans="1:2" ht="14.25" customHeight="1" x14ac:dyDescent="0.25">
      <c r="A937" s="15"/>
      <c r="B937" s="16"/>
    </row>
    <row r="938" spans="1:2" ht="14.25" customHeight="1" x14ac:dyDescent="0.25">
      <c r="A938" s="15"/>
      <c r="B938" s="16"/>
    </row>
    <row r="939" spans="1:2" ht="14.25" customHeight="1" x14ac:dyDescent="0.25">
      <c r="A939" s="15"/>
      <c r="B939" s="16"/>
    </row>
    <row r="940" spans="1:2" ht="14.25" customHeight="1" x14ac:dyDescent="0.25">
      <c r="A940" s="15"/>
      <c r="B940" s="16"/>
    </row>
    <row r="941" spans="1:2" ht="14.25" customHeight="1" x14ac:dyDescent="0.25">
      <c r="A941" s="15"/>
      <c r="B941" s="16"/>
    </row>
    <row r="942" spans="1:2" ht="14.25" customHeight="1" x14ac:dyDescent="0.25">
      <c r="A942" s="15"/>
      <c r="B942" s="16"/>
    </row>
    <row r="943" spans="1:2" ht="14.25" customHeight="1" x14ac:dyDescent="0.25">
      <c r="A943" s="15"/>
      <c r="B943" s="16"/>
    </row>
    <row r="944" spans="1:2" ht="14.25" customHeight="1" x14ac:dyDescent="0.25">
      <c r="A944" s="15"/>
      <c r="B944" s="16"/>
    </row>
    <row r="945" spans="1:2" ht="14.25" customHeight="1" x14ac:dyDescent="0.25">
      <c r="A945" s="15"/>
      <c r="B945" s="16"/>
    </row>
    <row r="946" spans="1:2" ht="14.25" customHeight="1" x14ac:dyDescent="0.25">
      <c r="A946" s="15"/>
      <c r="B946" s="16"/>
    </row>
    <row r="947" spans="1:2" ht="14.25" customHeight="1" x14ac:dyDescent="0.25">
      <c r="A947" s="15"/>
      <c r="B947" s="16"/>
    </row>
    <row r="948" spans="1:2" ht="14.25" customHeight="1" x14ac:dyDescent="0.25">
      <c r="A948" s="15"/>
      <c r="B948" s="16"/>
    </row>
    <row r="949" spans="1:2" ht="14.25" customHeight="1" x14ac:dyDescent="0.25">
      <c r="A949" s="15"/>
      <c r="B949" s="16"/>
    </row>
    <row r="950" spans="1:2" ht="14.25" customHeight="1" x14ac:dyDescent="0.25">
      <c r="A950" s="15"/>
      <c r="B950" s="16"/>
    </row>
    <row r="951" spans="1:2" ht="14.25" customHeight="1" x14ac:dyDescent="0.25">
      <c r="A951" s="15"/>
      <c r="B951" s="16"/>
    </row>
    <row r="952" spans="1:2" ht="14.25" customHeight="1" x14ac:dyDescent="0.25">
      <c r="A952" s="15"/>
      <c r="B952" s="16"/>
    </row>
    <row r="953" spans="1:2" ht="14.25" customHeight="1" x14ac:dyDescent="0.25">
      <c r="A953" s="15"/>
      <c r="B953" s="16"/>
    </row>
    <row r="954" spans="1:2" ht="14.25" customHeight="1" x14ac:dyDescent="0.25">
      <c r="A954" s="15"/>
      <c r="B954" s="16"/>
    </row>
    <row r="955" spans="1:2" ht="14.25" customHeight="1" x14ac:dyDescent="0.25">
      <c r="A955" s="15"/>
      <c r="B955" s="16"/>
    </row>
    <row r="956" spans="1:2" ht="14.25" customHeight="1" x14ac:dyDescent="0.25">
      <c r="A956" s="15"/>
      <c r="B956" s="16"/>
    </row>
    <row r="957" spans="1:2" ht="14.25" customHeight="1" x14ac:dyDescent="0.25">
      <c r="A957" s="15"/>
      <c r="B957" s="16"/>
    </row>
    <row r="958" spans="1:2" ht="14.25" customHeight="1" x14ac:dyDescent="0.25">
      <c r="A958" s="15"/>
      <c r="B958" s="16"/>
    </row>
    <row r="959" spans="1:2" ht="14.25" customHeight="1" x14ac:dyDescent="0.25">
      <c r="A959" s="15"/>
      <c r="B959" s="16"/>
    </row>
    <row r="960" spans="1:2" ht="14.25" customHeight="1" x14ac:dyDescent="0.25">
      <c r="A960" s="15"/>
      <c r="B960" s="16"/>
    </row>
    <row r="961" spans="1:2" ht="14.25" customHeight="1" x14ac:dyDescent="0.25">
      <c r="A961" s="15"/>
      <c r="B961" s="16"/>
    </row>
    <row r="962" spans="1:2" ht="14.25" customHeight="1" x14ac:dyDescent="0.25">
      <c r="A962" s="15"/>
      <c r="B962" s="16"/>
    </row>
    <row r="963" spans="1:2" ht="14.25" customHeight="1" x14ac:dyDescent="0.25">
      <c r="A963" s="15"/>
      <c r="B963" s="16"/>
    </row>
    <row r="964" spans="1:2" ht="14.25" customHeight="1" x14ac:dyDescent="0.25">
      <c r="A964" s="15"/>
      <c r="B964" s="16"/>
    </row>
    <row r="965" spans="1:2" ht="14.25" customHeight="1" x14ac:dyDescent="0.25">
      <c r="A965" s="15"/>
      <c r="B965" s="16"/>
    </row>
    <row r="966" spans="1:2" ht="14.25" customHeight="1" x14ac:dyDescent="0.25">
      <c r="A966" s="15"/>
      <c r="B966" s="16"/>
    </row>
    <row r="967" spans="1:2" ht="14.25" customHeight="1" x14ac:dyDescent="0.25">
      <c r="A967" s="15"/>
      <c r="B967" s="16"/>
    </row>
    <row r="968" spans="1:2" ht="14.25" customHeight="1" x14ac:dyDescent="0.25">
      <c r="A968" s="15"/>
      <c r="B968" s="16"/>
    </row>
    <row r="969" spans="1:2" ht="14.25" customHeight="1" x14ac:dyDescent="0.25">
      <c r="A969" s="15"/>
      <c r="B969" s="16"/>
    </row>
    <row r="970" spans="1:2" ht="14.25" customHeight="1" x14ac:dyDescent="0.25">
      <c r="A970" s="15"/>
      <c r="B970" s="16"/>
    </row>
    <row r="971" spans="1:2" ht="14.25" customHeight="1" x14ac:dyDescent="0.25">
      <c r="A971" s="15"/>
      <c r="B971" s="16"/>
    </row>
    <row r="972" spans="1:2" ht="14.25" customHeight="1" x14ac:dyDescent="0.25">
      <c r="A972" s="15"/>
      <c r="B972" s="16"/>
    </row>
    <row r="973" spans="1:2" ht="14.25" customHeight="1" x14ac:dyDescent="0.25">
      <c r="A973" s="15"/>
      <c r="B973" s="16"/>
    </row>
    <row r="974" spans="1:2" ht="14.25" customHeight="1" x14ac:dyDescent="0.25">
      <c r="A974" s="15"/>
      <c r="B974" s="16"/>
    </row>
    <row r="975" spans="1:2" ht="14.25" customHeight="1" x14ac:dyDescent="0.25">
      <c r="A975" s="15"/>
      <c r="B975" s="16"/>
    </row>
    <row r="976" spans="1:2" ht="14.25" customHeight="1" x14ac:dyDescent="0.25">
      <c r="A976" s="15"/>
      <c r="B976" s="16"/>
    </row>
    <row r="977" spans="1:2" ht="14.25" customHeight="1" x14ac:dyDescent="0.25">
      <c r="A977" s="15"/>
      <c r="B977" s="16"/>
    </row>
    <row r="978" spans="1:2" ht="14.25" customHeight="1" x14ac:dyDescent="0.25">
      <c r="A978" s="15"/>
      <c r="B978" s="16"/>
    </row>
    <row r="979" spans="1:2" ht="14.25" customHeight="1" x14ac:dyDescent="0.25">
      <c r="A979" s="15"/>
      <c r="B979" s="16"/>
    </row>
    <row r="980" spans="1:2" ht="14.25" customHeight="1" x14ac:dyDescent="0.25">
      <c r="A980" s="15"/>
      <c r="B980" s="16"/>
    </row>
    <row r="981" spans="1:2" ht="14.25" customHeight="1" x14ac:dyDescent="0.25">
      <c r="A981" s="15"/>
      <c r="B981" s="16"/>
    </row>
    <row r="982" spans="1:2" ht="14.25" customHeight="1" x14ac:dyDescent="0.25">
      <c r="A982" s="15"/>
      <c r="B982" s="16"/>
    </row>
    <row r="983" spans="1:2" ht="14.25" customHeight="1" x14ac:dyDescent="0.25">
      <c r="A983" s="15"/>
      <c r="B983" s="16"/>
    </row>
    <row r="984" spans="1:2" ht="14.25" customHeight="1" x14ac:dyDescent="0.25">
      <c r="A984" s="15"/>
      <c r="B984" s="16"/>
    </row>
    <row r="985" spans="1:2" ht="14.25" customHeight="1" x14ac:dyDescent="0.25">
      <c r="A985" s="15"/>
      <c r="B985" s="16"/>
    </row>
    <row r="986" spans="1:2" ht="14.25" customHeight="1" x14ac:dyDescent="0.25">
      <c r="A986" s="15"/>
      <c r="B986" s="16"/>
    </row>
    <row r="987" spans="1:2" ht="14.25" customHeight="1" x14ac:dyDescent="0.25">
      <c r="A987" s="15"/>
      <c r="B987" s="16"/>
    </row>
    <row r="988" spans="1:2" ht="14.25" customHeight="1" x14ac:dyDescent="0.25">
      <c r="A988" s="15"/>
      <c r="B988" s="16"/>
    </row>
    <row r="989" spans="1:2" ht="14.25" customHeight="1" x14ac:dyDescent="0.25">
      <c r="A989" s="15"/>
      <c r="B989" s="16"/>
    </row>
    <row r="990" spans="1:2" ht="14.25" customHeight="1" x14ac:dyDescent="0.25">
      <c r="A990" s="15"/>
      <c r="B990" s="16"/>
    </row>
    <row r="991" spans="1:2" ht="14.25" customHeight="1" x14ac:dyDescent="0.25">
      <c r="A991" s="15"/>
      <c r="B991" s="16"/>
    </row>
    <row r="992" spans="1:2" ht="14.25" customHeight="1" x14ac:dyDescent="0.25">
      <c r="A992" s="15"/>
      <c r="B992" s="16"/>
    </row>
    <row r="993" spans="1:2" ht="14.25" customHeight="1" x14ac:dyDescent="0.25">
      <c r="A993" s="15"/>
      <c r="B993" s="16"/>
    </row>
    <row r="994" spans="1:2" ht="14.25" customHeight="1" x14ac:dyDescent="0.25">
      <c r="A994" s="15"/>
      <c r="B994" s="16"/>
    </row>
    <row r="995" spans="1:2" ht="14.25" customHeight="1" x14ac:dyDescent="0.25">
      <c r="A995" s="15"/>
      <c r="B995" s="16"/>
    </row>
    <row r="996" spans="1:2" ht="14.25" customHeight="1" x14ac:dyDescent="0.25">
      <c r="A996" s="15"/>
      <c r="B996" s="16"/>
    </row>
    <row r="997" spans="1:2" ht="14.25" customHeight="1" x14ac:dyDescent="0.25">
      <c r="A997" s="15"/>
      <c r="B997" s="16"/>
    </row>
    <row r="998" spans="1:2" ht="14.25" customHeight="1" x14ac:dyDescent="0.25">
      <c r="A998" s="15"/>
      <c r="B998" s="16"/>
    </row>
    <row r="999" spans="1:2" ht="14.25" customHeight="1" x14ac:dyDescent="0.25">
      <c r="A999" s="15"/>
      <c r="B999" s="16"/>
    </row>
    <row r="1000" spans="1:2" ht="14.25" customHeight="1" x14ac:dyDescent="0.25">
      <c r="A1000" s="15"/>
      <c r="B1000" s="16"/>
    </row>
  </sheetData>
  <dataValidations count="1">
    <dataValidation type="list" allowBlank="1" showErrorMessage="1" sqref="B2:B9" xr:uid="{00000000-0002-0000-0500-000000000000}">
      <formula1>$E$2:$E$9</formula1>
    </dataValidation>
  </dataValidation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AE1000"/>
  <sheetViews>
    <sheetView showGridLines="0" topLeftCell="S9" zoomScale="83" workbookViewId="0">
      <selection activeCell="AE17" sqref="AE17"/>
    </sheetView>
  </sheetViews>
  <sheetFormatPr defaultColWidth="14.42578125" defaultRowHeight="15" customHeight="1" x14ac:dyDescent="0.25"/>
  <cols>
    <col min="1" max="1" width="8.7109375" customWidth="1"/>
    <col min="2" max="15" width="12.42578125" customWidth="1"/>
    <col min="16" max="16" width="12.5703125" customWidth="1"/>
    <col min="17" max="30" width="12.42578125" customWidth="1"/>
    <col min="31" max="31" width="12.5703125" customWidth="1"/>
  </cols>
  <sheetData>
    <row r="1" spans="2:30" ht="14.25" customHeight="1" x14ac:dyDescent="0.25"/>
    <row r="2" spans="2:30" ht="14.25" customHeight="1" x14ac:dyDescent="0.25">
      <c r="B2" s="1" t="s">
        <v>84</v>
      </c>
      <c r="C2" s="146"/>
      <c r="D2" s="147"/>
      <c r="E2" s="147"/>
      <c r="F2" s="147"/>
      <c r="G2" s="147"/>
      <c r="H2" s="147"/>
    </row>
    <row r="3" spans="2:30" ht="14.25" customHeight="1" x14ac:dyDescent="0.25">
      <c r="B3" s="3" t="s">
        <v>102</v>
      </c>
      <c r="Q3" s="3" t="s">
        <v>103</v>
      </c>
    </row>
    <row r="4" spans="2:30" ht="14.25" customHeight="1" x14ac:dyDescent="0.25">
      <c r="B4" s="148" t="s">
        <v>104</v>
      </c>
      <c r="C4" s="113"/>
      <c r="D4" s="113"/>
      <c r="E4" s="113"/>
      <c r="F4" s="113"/>
      <c r="G4" s="113"/>
      <c r="I4" s="148" t="s">
        <v>105</v>
      </c>
      <c r="J4" s="113"/>
      <c r="K4" s="113"/>
      <c r="L4" s="113"/>
      <c r="M4" s="113"/>
      <c r="N4" s="113"/>
      <c r="O4" s="113"/>
      <c r="Q4" s="148" t="s">
        <v>104</v>
      </c>
      <c r="R4" s="113"/>
      <c r="S4" s="113"/>
      <c r="T4" s="113"/>
      <c r="U4" s="113"/>
      <c r="V4" s="113"/>
      <c r="X4" s="148" t="s">
        <v>105</v>
      </c>
      <c r="Y4" s="113"/>
      <c r="Z4" s="113"/>
      <c r="AA4" s="113"/>
      <c r="AB4" s="113"/>
      <c r="AC4" s="113"/>
      <c r="AD4" s="113"/>
    </row>
    <row r="5" spans="2:30" ht="14.25" customHeight="1" x14ac:dyDescent="0.25">
      <c r="B5" s="145" t="s">
        <v>106</v>
      </c>
      <c r="C5" s="113"/>
      <c r="D5" s="113"/>
      <c r="E5" s="113"/>
      <c r="F5" s="113"/>
      <c r="G5" s="113"/>
      <c r="H5" s="17"/>
      <c r="I5" s="145" t="s">
        <v>106</v>
      </c>
      <c r="J5" s="113"/>
      <c r="K5" s="113"/>
      <c r="L5" s="113"/>
      <c r="M5" s="113"/>
      <c r="N5" s="113"/>
      <c r="O5" s="17"/>
      <c r="Q5" s="145" t="s">
        <v>106</v>
      </c>
      <c r="R5" s="113"/>
      <c r="S5" s="113"/>
      <c r="T5" s="113"/>
      <c r="U5" s="113"/>
      <c r="V5" s="113"/>
      <c r="W5" s="17"/>
      <c r="X5" s="145" t="s">
        <v>106</v>
      </c>
      <c r="Y5" s="113"/>
      <c r="Z5" s="113"/>
      <c r="AA5" s="113"/>
      <c r="AB5" s="113"/>
      <c r="AC5" s="113"/>
      <c r="AD5" s="17"/>
    </row>
    <row r="6" spans="2:30" ht="14.25" customHeight="1" x14ac:dyDescent="0.25">
      <c r="B6" s="145" t="s">
        <v>107</v>
      </c>
      <c r="C6" s="113"/>
      <c r="D6" s="113"/>
      <c r="E6" s="113"/>
      <c r="F6" s="113"/>
      <c r="G6" s="113"/>
      <c r="H6" s="17"/>
      <c r="I6" s="145" t="s">
        <v>107</v>
      </c>
      <c r="J6" s="113"/>
      <c r="K6" s="113"/>
      <c r="L6" s="113"/>
      <c r="M6" s="113"/>
      <c r="N6" s="113"/>
      <c r="O6" s="17"/>
      <c r="Q6" s="145" t="s">
        <v>107</v>
      </c>
      <c r="R6" s="113"/>
      <c r="S6" s="113"/>
      <c r="T6" s="113"/>
      <c r="U6" s="113"/>
      <c r="V6" s="113"/>
      <c r="W6" s="17"/>
      <c r="X6" s="145" t="s">
        <v>107</v>
      </c>
      <c r="Y6" s="113"/>
      <c r="Z6" s="113"/>
      <c r="AA6" s="113"/>
      <c r="AB6" s="113"/>
      <c r="AC6" s="113"/>
      <c r="AD6" s="17"/>
    </row>
    <row r="7" spans="2:30" ht="14.25" customHeight="1" x14ac:dyDescent="0.25">
      <c r="B7" s="149" t="s">
        <v>108</v>
      </c>
      <c r="C7" s="113"/>
      <c r="D7" s="113"/>
      <c r="E7" s="113"/>
      <c r="F7" s="113"/>
      <c r="G7" s="113"/>
      <c r="H7" s="17"/>
      <c r="I7" s="149" t="s">
        <v>108</v>
      </c>
      <c r="J7" s="113"/>
      <c r="K7" s="113"/>
      <c r="L7" s="113"/>
      <c r="M7" s="113"/>
      <c r="N7" s="113"/>
      <c r="O7" s="17"/>
      <c r="Q7" s="149" t="s">
        <v>108</v>
      </c>
      <c r="R7" s="113"/>
      <c r="S7" s="113"/>
      <c r="T7" s="113"/>
      <c r="U7" s="113"/>
      <c r="V7" s="113"/>
      <c r="W7" s="17"/>
      <c r="X7" s="149" t="s">
        <v>108</v>
      </c>
      <c r="Y7" s="113"/>
      <c r="Z7" s="113"/>
      <c r="AA7" s="113"/>
      <c r="AB7" s="113"/>
      <c r="AC7" s="113"/>
      <c r="AD7" s="17"/>
    </row>
    <row r="8" spans="2:30" ht="14.25" customHeight="1" x14ac:dyDescent="0.25">
      <c r="B8" s="149" t="s">
        <v>109</v>
      </c>
      <c r="C8" s="113"/>
      <c r="D8" s="113"/>
      <c r="E8" s="113"/>
      <c r="F8" s="113"/>
      <c r="G8" s="113"/>
      <c r="H8" s="17"/>
      <c r="I8" s="149" t="s">
        <v>109</v>
      </c>
      <c r="J8" s="113"/>
      <c r="K8" s="113"/>
      <c r="L8" s="113"/>
      <c r="M8" s="113"/>
      <c r="N8" s="113"/>
      <c r="O8" s="17"/>
      <c r="Q8" s="149" t="s">
        <v>109</v>
      </c>
      <c r="R8" s="113"/>
      <c r="S8" s="113"/>
      <c r="T8" s="113"/>
      <c r="U8" s="113"/>
      <c r="V8" s="113"/>
      <c r="W8" s="17"/>
      <c r="X8" s="149" t="s">
        <v>109</v>
      </c>
      <c r="Y8" s="113"/>
      <c r="Z8" s="113"/>
      <c r="AA8" s="113"/>
      <c r="AB8" s="113"/>
      <c r="AC8" s="113"/>
      <c r="AD8" s="17"/>
    </row>
    <row r="9" spans="2:30" ht="14.25" customHeight="1" x14ac:dyDescent="0.25">
      <c r="B9" s="149" t="s">
        <v>110</v>
      </c>
      <c r="C9" s="113"/>
      <c r="D9" s="113"/>
      <c r="E9" s="113"/>
      <c r="F9" s="113"/>
      <c r="G9" s="113"/>
      <c r="H9" s="17"/>
      <c r="I9" s="149" t="s">
        <v>110</v>
      </c>
      <c r="J9" s="113"/>
      <c r="K9" s="113"/>
      <c r="L9" s="113"/>
      <c r="M9" s="113"/>
      <c r="N9" s="113"/>
      <c r="O9" s="17"/>
      <c r="Q9" s="149" t="s">
        <v>110</v>
      </c>
      <c r="R9" s="113"/>
      <c r="S9" s="113"/>
      <c r="T9" s="113"/>
      <c r="U9" s="113"/>
      <c r="V9" s="113"/>
      <c r="W9" s="17"/>
      <c r="X9" s="149" t="s">
        <v>110</v>
      </c>
      <c r="Y9" s="113"/>
      <c r="Z9" s="113"/>
      <c r="AA9" s="113"/>
      <c r="AB9" s="113"/>
      <c r="AC9" s="113"/>
      <c r="AD9" s="17"/>
    </row>
    <row r="10" spans="2:30" ht="14.25" customHeight="1" x14ac:dyDescent="0.25"/>
    <row r="11" spans="2:30" ht="14.25" customHeight="1" x14ac:dyDescent="0.25"/>
    <row r="12" spans="2:30" ht="14.25" customHeight="1" x14ac:dyDescent="0.25"/>
    <row r="13" spans="2:30" ht="14.25" customHeight="1" x14ac:dyDescent="0.25"/>
    <row r="14" spans="2:30" ht="14.25" customHeight="1" x14ac:dyDescent="0.25"/>
    <row r="15" spans="2:30" ht="14.25" customHeight="1" x14ac:dyDescent="0.25"/>
    <row r="16" spans="2:30" ht="14.25" customHeight="1" x14ac:dyDescent="0.25"/>
    <row r="17" spans="2:30" ht="14.25" customHeight="1" x14ac:dyDescent="0.25"/>
    <row r="18" spans="2:30" ht="14.25" customHeight="1" x14ac:dyDescent="0.25"/>
    <row r="19" spans="2:30" ht="14.25" customHeight="1" x14ac:dyDescent="0.25"/>
    <row r="20" spans="2:30" ht="14.25" customHeight="1" x14ac:dyDescent="0.25"/>
    <row r="21" spans="2:30" ht="14.25" customHeight="1" x14ac:dyDescent="0.25"/>
    <row r="22" spans="2:30" ht="14.25" customHeight="1" x14ac:dyDescent="0.25"/>
    <row r="23" spans="2:30" ht="14.25" customHeight="1" x14ac:dyDescent="0.25"/>
    <row r="24" spans="2:30" ht="14.25" customHeight="1" x14ac:dyDescent="0.25"/>
    <row r="25" spans="2:30" ht="14.25" customHeight="1" x14ac:dyDescent="0.25"/>
    <row r="26" spans="2:30" ht="14.25" customHeight="1" x14ac:dyDescent="0.25"/>
    <row r="27" spans="2:30" ht="14.25" customHeight="1" x14ac:dyDescent="0.25">
      <c r="B27" s="150" t="s">
        <v>111</v>
      </c>
      <c r="C27" s="151"/>
      <c r="D27" s="151"/>
      <c r="E27" s="151"/>
      <c r="F27" s="151"/>
      <c r="G27" s="151"/>
      <c r="H27" s="151"/>
      <c r="I27" s="151"/>
      <c r="J27" s="151"/>
      <c r="K27" s="151"/>
      <c r="L27" s="151"/>
      <c r="M27" s="151"/>
      <c r="N27" s="151"/>
      <c r="O27" s="151"/>
      <c r="Q27" s="150" t="s">
        <v>111</v>
      </c>
      <c r="R27" s="151"/>
      <c r="S27" s="151"/>
      <c r="T27" s="151"/>
      <c r="U27" s="151"/>
      <c r="V27" s="151"/>
      <c r="W27" s="151"/>
      <c r="X27" s="151"/>
      <c r="Y27" s="151"/>
      <c r="Z27" s="151"/>
      <c r="AA27" s="151"/>
      <c r="AB27" s="151"/>
      <c r="AC27" s="151"/>
      <c r="AD27" s="151"/>
    </row>
    <row r="28" spans="2:30" ht="14.25" customHeight="1" x14ac:dyDescent="0.25">
      <c r="B28" s="113"/>
      <c r="C28" s="113"/>
      <c r="D28" s="113"/>
      <c r="E28" s="113"/>
      <c r="F28" s="113"/>
      <c r="G28" s="113"/>
      <c r="H28" s="113"/>
      <c r="I28" s="113"/>
      <c r="J28" s="113"/>
      <c r="K28" s="113"/>
      <c r="L28" s="113"/>
      <c r="M28" s="113"/>
      <c r="N28" s="113"/>
      <c r="O28" s="113"/>
      <c r="Q28" s="113"/>
      <c r="R28" s="113"/>
      <c r="S28" s="113"/>
      <c r="T28" s="113"/>
      <c r="U28" s="113"/>
      <c r="V28" s="113"/>
      <c r="W28" s="113"/>
      <c r="X28" s="113"/>
      <c r="Y28" s="113"/>
      <c r="Z28" s="113"/>
      <c r="AA28" s="113"/>
      <c r="AB28" s="113"/>
      <c r="AC28" s="113"/>
      <c r="AD28" s="113"/>
    </row>
    <row r="29" spans="2:30" ht="14.25" customHeight="1" x14ac:dyDescent="0.25">
      <c r="B29" s="152" t="s">
        <v>112</v>
      </c>
      <c r="C29" s="32" t="s">
        <v>113</v>
      </c>
      <c r="D29" s="33"/>
      <c r="E29" s="34"/>
      <c r="F29" s="34"/>
      <c r="G29" s="34"/>
      <c r="H29" s="34"/>
      <c r="I29" s="34"/>
      <c r="J29" s="34"/>
      <c r="K29" s="34"/>
      <c r="L29" s="34"/>
      <c r="M29" s="34"/>
      <c r="N29" s="34"/>
      <c r="O29" s="34"/>
      <c r="Q29" s="152" t="s">
        <v>112</v>
      </c>
      <c r="R29" s="32" t="s">
        <v>113</v>
      </c>
      <c r="S29" s="33"/>
      <c r="T29" s="34"/>
      <c r="U29" s="34"/>
      <c r="V29" s="34"/>
      <c r="W29" s="34"/>
      <c r="X29" s="34"/>
      <c r="Y29" s="34"/>
      <c r="Z29" s="34"/>
      <c r="AA29" s="34"/>
      <c r="AB29" s="34"/>
      <c r="AC29" s="34"/>
      <c r="AD29" s="34"/>
    </row>
    <row r="30" spans="2:30" ht="14.25" customHeight="1" x14ac:dyDescent="0.25">
      <c r="B30" s="113"/>
      <c r="C30" s="17" t="s">
        <v>54</v>
      </c>
      <c r="D30" s="35"/>
      <c r="E30" s="14"/>
      <c r="F30" s="14"/>
      <c r="G30" s="14"/>
      <c r="H30" s="14"/>
      <c r="I30" s="14"/>
      <c r="J30" s="14"/>
      <c r="K30" s="14"/>
      <c r="L30" s="14"/>
      <c r="M30" s="14"/>
      <c r="N30" s="14"/>
      <c r="O30" s="14"/>
      <c r="Q30" s="113"/>
      <c r="R30" s="17" t="s">
        <v>54</v>
      </c>
      <c r="S30" s="35"/>
      <c r="T30" s="14"/>
      <c r="U30" s="14"/>
      <c r="V30" s="14"/>
      <c r="W30" s="14"/>
      <c r="X30" s="14"/>
      <c r="Y30" s="14"/>
      <c r="Z30" s="14"/>
      <c r="AA30" s="14"/>
      <c r="AB30" s="14"/>
      <c r="AC30" s="14"/>
      <c r="AD30" s="14"/>
    </row>
    <row r="31" spans="2:30" ht="14.25" customHeight="1" x14ac:dyDescent="0.25">
      <c r="B31" s="113"/>
      <c r="C31" s="17" t="s">
        <v>114</v>
      </c>
      <c r="D31" s="36"/>
      <c r="E31" s="37"/>
      <c r="F31" s="37"/>
      <c r="G31" s="37"/>
      <c r="H31" s="37"/>
      <c r="I31" s="37"/>
      <c r="J31" s="37"/>
      <c r="K31" s="37"/>
      <c r="L31" s="37"/>
      <c r="M31" s="37"/>
      <c r="N31" s="37"/>
      <c r="O31" s="37"/>
      <c r="Q31" s="113"/>
      <c r="R31" s="17" t="s">
        <v>114</v>
      </c>
      <c r="S31" s="36"/>
      <c r="T31" s="37"/>
      <c r="U31" s="37"/>
      <c r="V31" s="37"/>
      <c r="W31" s="37"/>
      <c r="X31" s="37"/>
      <c r="Y31" s="37"/>
      <c r="Z31" s="37"/>
      <c r="AA31" s="37"/>
      <c r="AB31" s="37"/>
      <c r="AC31" s="37"/>
      <c r="AD31" s="37"/>
    </row>
    <row r="32" spans="2:30" ht="14.25" customHeight="1" x14ac:dyDescent="0.25">
      <c r="B32" s="113"/>
      <c r="C32" s="17" t="s">
        <v>115</v>
      </c>
      <c r="D32" s="36"/>
      <c r="E32" s="37"/>
      <c r="F32" s="37"/>
      <c r="G32" s="37"/>
      <c r="H32" s="37"/>
      <c r="I32" s="37"/>
      <c r="J32" s="37"/>
      <c r="K32" s="37"/>
      <c r="L32" s="37"/>
      <c r="M32" s="37"/>
      <c r="N32" s="37"/>
      <c r="O32" s="37"/>
      <c r="Q32" s="113"/>
      <c r="R32" s="17" t="s">
        <v>115</v>
      </c>
      <c r="S32" s="36"/>
      <c r="T32" s="37"/>
      <c r="U32" s="37"/>
      <c r="V32" s="37"/>
      <c r="W32" s="37"/>
      <c r="X32" s="37"/>
      <c r="Y32" s="37"/>
      <c r="Z32" s="37"/>
      <c r="AA32" s="37"/>
      <c r="AB32" s="37"/>
      <c r="AC32" s="37"/>
      <c r="AD32" s="37"/>
    </row>
    <row r="33" spans="1:31" ht="14.25" customHeight="1" x14ac:dyDescent="0.25">
      <c r="B33" s="113"/>
      <c r="C33" s="17" t="s">
        <v>116</v>
      </c>
      <c r="D33" s="36"/>
      <c r="E33" s="37"/>
      <c r="F33" s="37"/>
      <c r="G33" s="37"/>
      <c r="H33" s="37"/>
      <c r="I33" s="37"/>
      <c r="J33" s="37"/>
      <c r="K33" s="37"/>
      <c r="L33" s="37"/>
      <c r="M33" s="37"/>
      <c r="N33" s="37"/>
      <c r="O33" s="37"/>
      <c r="Q33" s="113"/>
      <c r="R33" s="17" t="s">
        <v>116</v>
      </c>
      <c r="S33" s="36"/>
      <c r="T33" s="37"/>
      <c r="U33" s="37"/>
      <c r="V33" s="37"/>
      <c r="W33" s="37"/>
      <c r="X33" s="37"/>
      <c r="Y33" s="37"/>
      <c r="Z33" s="37"/>
      <c r="AA33" s="37"/>
      <c r="AB33" s="37"/>
      <c r="AC33" s="37"/>
      <c r="AD33" s="37"/>
    </row>
    <row r="34" spans="1:31" ht="14.25" customHeight="1" x14ac:dyDescent="0.25">
      <c r="B34" s="113"/>
      <c r="C34" s="17" t="s">
        <v>117</v>
      </c>
      <c r="D34" s="36"/>
      <c r="E34" s="37"/>
      <c r="F34" s="37"/>
      <c r="G34" s="37"/>
      <c r="H34" s="37"/>
      <c r="I34" s="37"/>
      <c r="J34" s="37"/>
      <c r="K34" s="37"/>
      <c r="L34" s="37"/>
      <c r="M34" s="37"/>
      <c r="N34" s="37"/>
      <c r="O34" s="37"/>
      <c r="Q34" s="113"/>
      <c r="R34" s="17" t="s">
        <v>117</v>
      </c>
      <c r="S34" s="36"/>
      <c r="T34" s="37"/>
      <c r="U34" s="37"/>
      <c r="V34" s="37"/>
      <c r="W34" s="37"/>
      <c r="X34" s="37"/>
      <c r="Y34" s="37"/>
      <c r="Z34" s="37"/>
      <c r="AA34" s="37"/>
      <c r="AB34" s="37"/>
      <c r="AC34" s="37"/>
      <c r="AD34" s="37"/>
    </row>
    <row r="35" spans="1:31" ht="14.25" customHeight="1" x14ac:dyDescent="0.25">
      <c r="B35" s="113"/>
      <c r="C35" s="17" t="s">
        <v>118</v>
      </c>
      <c r="D35" s="36"/>
      <c r="E35" s="37"/>
      <c r="F35" s="37"/>
      <c r="G35" s="37"/>
      <c r="H35" s="37"/>
      <c r="I35" s="37"/>
      <c r="J35" s="37"/>
      <c r="K35" s="37"/>
      <c r="L35" s="37"/>
      <c r="M35" s="37"/>
      <c r="N35" s="37"/>
      <c r="O35" s="37"/>
      <c r="Q35" s="113"/>
      <c r="R35" s="17" t="s">
        <v>118</v>
      </c>
      <c r="S35" s="36"/>
      <c r="T35" s="37"/>
      <c r="U35" s="37"/>
      <c r="V35" s="37"/>
      <c r="W35" s="37"/>
      <c r="X35" s="37"/>
      <c r="Y35" s="37"/>
      <c r="Z35" s="37"/>
      <c r="AA35" s="37"/>
      <c r="AB35" s="37"/>
      <c r="AC35" s="37"/>
      <c r="AD35" s="37"/>
    </row>
    <row r="36" spans="1:31" ht="14.25" customHeight="1" x14ac:dyDescent="0.25">
      <c r="B36" s="113"/>
      <c r="C36" s="17" t="s">
        <v>119</v>
      </c>
      <c r="D36" s="36"/>
      <c r="E36" s="37"/>
      <c r="F36" s="37"/>
      <c r="G36" s="37"/>
      <c r="H36" s="37"/>
      <c r="I36" s="37"/>
      <c r="J36" s="37"/>
      <c r="K36" s="37"/>
      <c r="L36" s="37"/>
      <c r="M36" s="37"/>
      <c r="N36" s="37"/>
      <c r="O36" s="37"/>
      <c r="Q36" s="113"/>
      <c r="R36" s="17" t="s">
        <v>119</v>
      </c>
      <c r="S36" s="36"/>
      <c r="T36" s="37"/>
      <c r="U36" s="37"/>
      <c r="V36" s="37"/>
      <c r="W36" s="37"/>
      <c r="X36" s="37"/>
      <c r="Y36" s="37"/>
      <c r="Z36" s="37"/>
      <c r="AA36" s="37"/>
      <c r="AB36" s="37"/>
      <c r="AC36" s="37"/>
      <c r="AD36" s="37"/>
    </row>
    <row r="37" spans="1:31" ht="14.25" customHeight="1" x14ac:dyDescent="0.25">
      <c r="B37" s="113"/>
      <c r="C37" s="17" t="s">
        <v>55</v>
      </c>
      <c r="D37" s="37" t="e">
        <f>INDEX('Tabel Faktor'!$A$1:$Q$25,MATCH(D30,'Tabel Faktor'!$A$1:$A$25,0),MATCH(C37,'Tabel Faktor'!$A$1:$Q$1,0))</f>
        <v>#N/A</v>
      </c>
      <c r="E37" s="37"/>
      <c r="F37" s="37"/>
      <c r="G37" s="37"/>
      <c r="H37" s="37"/>
      <c r="I37" s="37"/>
      <c r="J37" s="37"/>
      <c r="K37" s="37"/>
      <c r="L37" s="37"/>
      <c r="M37" s="37"/>
      <c r="N37" s="37"/>
      <c r="O37" s="37"/>
      <c r="Q37" s="113"/>
      <c r="R37" s="17" t="s">
        <v>55</v>
      </c>
      <c r="S37" s="37" t="e" cm="1">
        <f t="array" ref="S37:S39">D37:D39</f>
        <v>#N/A</v>
      </c>
      <c r="T37" s="37"/>
      <c r="U37" s="37"/>
      <c r="V37" s="37"/>
      <c r="W37" s="37"/>
      <c r="X37" s="37"/>
      <c r="Y37" s="37"/>
      <c r="Z37" s="37"/>
      <c r="AA37" s="37"/>
      <c r="AB37" s="37"/>
      <c r="AC37" s="37"/>
      <c r="AD37" s="37"/>
    </row>
    <row r="38" spans="1:31" ht="14.25" customHeight="1" x14ac:dyDescent="0.25">
      <c r="B38" s="113"/>
      <c r="C38" s="17" t="s">
        <v>69</v>
      </c>
      <c r="D38" s="37" t="e">
        <f t="array" ref="D38">INDEX('Tabel Faktor'!$A$1:$Q$25,MATCH(D30,'Tabel Faktor'!$A$1:$A$25,0),MATCH(C38,'Tabel Faktor'!$A$1:$Q$1,0))</f>
        <v>#N/A</v>
      </c>
      <c r="E38" s="37"/>
      <c r="F38" s="37"/>
      <c r="G38" s="37"/>
      <c r="H38" s="37"/>
      <c r="I38" s="37"/>
      <c r="J38" s="37"/>
      <c r="K38" s="37"/>
      <c r="L38" s="37"/>
      <c r="M38" s="37"/>
      <c r="N38" s="37"/>
      <c r="O38" s="37"/>
      <c r="Q38" s="113"/>
      <c r="R38" s="17" t="s">
        <v>69</v>
      </c>
      <c r="S38" s="37" t="e">
        <v>#N/A</v>
      </c>
      <c r="T38" s="37"/>
      <c r="U38" s="37"/>
      <c r="V38" s="37"/>
      <c r="W38" s="37"/>
      <c r="X38" s="37"/>
      <c r="Y38" s="37"/>
      <c r="Z38" s="37"/>
      <c r="AA38" s="37"/>
      <c r="AB38" s="37"/>
      <c r="AC38" s="37"/>
      <c r="AD38" s="37"/>
    </row>
    <row r="39" spans="1:31" ht="14.25" customHeight="1" x14ac:dyDescent="0.25">
      <c r="B39" s="147"/>
      <c r="C39" s="38" t="s">
        <v>68</v>
      </c>
      <c r="D39" s="39" t="e">
        <f t="array" ref="D39">INDEX('Tabel Faktor'!$A$1:$Q$25,MATCH(D30,'Tabel Faktor'!$A$1:$A$25,0),MATCH(C39,'Tabel Faktor'!$A$1:$Q$1,0))</f>
        <v>#N/A</v>
      </c>
      <c r="E39" s="40"/>
      <c r="F39" s="40"/>
      <c r="G39" s="40"/>
      <c r="H39" s="40"/>
      <c r="I39" s="40"/>
      <c r="J39" s="40"/>
      <c r="K39" s="40"/>
      <c r="L39" s="40"/>
      <c r="M39" s="40"/>
      <c r="N39" s="40"/>
      <c r="O39" s="40"/>
      <c r="Q39" s="147"/>
      <c r="R39" s="38" t="s">
        <v>68</v>
      </c>
      <c r="S39" s="39" t="e">
        <v>#N/A</v>
      </c>
      <c r="T39" s="40"/>
      <c r="U39" s="40"/>
      <c r="V39" s="40"/>
      <c r="W39" s="40"/>
      <c r="X39" s="40"/>
      <c r="Y39" s="40"/>
      <c r="Z39" s="40"/>
      <c r="AA39" s="40"/>
      <c r="AB39" s="40"/>
      <c r="AC39" s="40"/>
      <c r="AD39" s="40"/>
    </row>
    <row r="40" spans="1:31" ht="14.25" customHeight="1" x14ac:dyDescent="0.25">
      <c r="B40" s="17"/>
      <c r="C40" s="17"/>
      <c r="D40" s="17"/>
      <c r="E40" s="17"/>
      <c r="F40" s="17"/>
      <c r="G40" s="17"/>
      <c r="H40" s="17"/>
      <c r="I40" s="17"/>
      <c r="J40" s="17"/>
      <c r="K40" s="17"/>
      <c r="L40" s="17"/>
      <c r="M40" s="17"/>
      <c r="N40" s="17"/>
      <c r="O40" s="17"/>
      <c r="Q40" s="17"/>
      <c r="R40" s="17"/>
      <c r="S40" s="17"/>
      <c r="T40" s="17"/>
      <c r="U40" s="17"/>
      <c r="V40" s="17"/>
      <c r="W40" s="17"/>
      <c r="X40" s="17"/>
      <c r="Y40" s="17"/>
      <c r="Z40" s="17"/>
      <c r="AA40" s="17"/>
      <c r="AB40" s="17"/>
      <c r="AC40" s="17"/>
      <c r="AD40" s="17"/>
    </row>
    <row r="41" spans="1:31" ht="14.25" customHeight="1" x14ac:dyDescent="0.25">
      <c r="A41" s="16"/>
      <c r="B41" s="19" t="s">
        <v>29</v>
      </c>
      <c r="C41" s="138" t="s">
        <v>30</v>
      </c>
      <c r="D41" s="139"/>
      <c r="E41" s="139"/>
      <c r="F41" s="139"/>
      <c r="G41" s="139"/>
      <c r="H41" s="19" t="s">
        <v>120</v>
      </c>
      <c r="I41" s="19" t="s">
        <v>121</v>
      </c>
      <c r="J41" s="19" t="s">
        <v>122</v>
      </c>
      <c r="K41" s="19" t="s">
        <v>116</v>
      </c>
      <c r="L41" s="19" t="s">
        <v>117</v>
      </c>
      <c r="M41" s="19" t="s">
        <v>123</v>
      </c>
      <c r="N41" s="19" t="s">
        <v>124</v>
      </c>
      <c r="O41" s="19" t="s">
        <v>125</v>
      </c>
      <c r="P41" s="16"/>
      <c r="Q41" s="19" t="s">
        <v>29</v>
      </c>
      <c r="R41" s="138" t="s">
        <v>30</v>
      </c>
      <c r="S41" s="139"/>
      <c r="T41" s="139"/>
      <c r="U41" s="139"/>
      <c r="V41" s="139"/>
      <c r="W41" s="19" t="s">
        <v>120</v>
      </c>
      <c r="X41" s="19" t="s">
        <v>121</v>
      </c>
      <c r="Y41" s="19" t="s">
        <v>122</v>
      </c>
      <c r="Z41" s="19" t="s">
        <v>116</v>
      </c>
      <c r="AA41" s="19" t="s">
        <v>117</v>
      </c>
      <c r="AB41" s="19" t="s">
        <v>123</v>
      </c>
      <c r="AC41" s="19" t="s">
        <v>124</v>
      </c>
      <c r="AD41" s="19" t="s">
        <v>125</v>
      </c>
      <c r="AE41" s="16"/>
    </row>
    <row r="42" spans="1:31" ht="14.25" customHeight="1" x14ac:dyDescent="0.25">
      <c r="B42" s="17">
        <v>1</v>
      </c>
      <c r="C42" s="41"/>
      <c r="D42" s="41"/>
      <c r="E42" s="41"/>
      <c r="F42" s="41"/>
      <c r="G42" s="41"/>
      <c r="H42" s="41"/>
      <c r="I42" s="83"/>
      <c r="J42" s="23">
        <f t="shared" ref="J42:J66" si="0">$D$32</f>
        <v>0</v>
      </c>
      <c r="K42" s="23">
        <f t="shared" ref="K42:K66" si="1">$D$33</f>
        <v>0</v>
      </c>
      <c r="L42" s="23">
        <f t="shared" ref="L42:L66" si="2">$D$34</f>
        <v>0</v>
      </c>
      <c r="M42" s="23">
        <f t="shared" ref="M42:M66" si="3">$D$31</f>
        <v>0</v>
      </c>
      <c r="N42" s="23">
        <f t="shared" ref="N42:N66" si="4">$D$35</f>
        <v>0</v>
      </c>
      <c r="O42" s="23">
        <f t="shared" ref="O42:O66" si="5">$D$36</f>
        <v>0</v>
      </c>
      <c r="Q42" s="17">
        <v>1</v>
      </c>
      <c r="R42" s="41"/>
      <c r="S42" s="41"/>
      <c r="T42" s="41"/>
      <c r="U42" s="41"/>
      <c r="V42" s="41"/>
      <c r="W42" s="41"/>
      <c r="X42" s="41"/>
      <c r="Y42" s="23">
        <f>$S$32</f>
        <v>0</v>
      </c>
      <c r="Z42" s="23">
        <f>$S$33</f>
        <v>0</v>
      </c>
      <c r="AA42" s="23">
        <f t="shared" ref="AA42:AA65" si="6">$S$34</f>
        <v>0</v>
      </c>
      <c r="AB42" s="23">
        <f t="shared" ref="AB42:AB65" si="7">$S$31</f>
        <v>0</v>
      </c>
      <c r="AC42" s="23">
        <f t="shared" ref="AC42:AC65" si="8">$S$35</f>
        <v>0</v>
      </c>
      <c r="AD42" s="23">
        <f t="shared" ref="AD42:AD65" si="9">$S$36</f>
        <v>0</v>
      </c>
    </row>
    <row r="43" spans="1:31" ht="14.25" customHeight="1" x14ac:dyDescent="0.25">
      <c r="B43" s="17">
        <v>2</v>
      </c>
      <c r="C43" s="41"/>
      <c r="D43" s="41"/>
      <c r="E43" s="41"/>
      <c r="F43" s="41"/>
      <c r="G43" s="41"/>
      <c r="H43" s="41"/>
      <c r="I43" s="83"/>
      <c r="J43" s="23">
        <f t="shared" si="0"/>
        <v>0</v>
      </c>
      <c r="K43" s="23">
        <f t="shared" si="1"/>
        <v>0</v>
      </c>
      <c r="L43" s="23">
        <f t="shared" si="2"/>
        <v>0</v>
      </c>
      <c r="M43" s="23">
        <f t="shared" si="3"/>
        <v>0</v>
      </c>
      <c r="N43" s="23">
        <f t="shared" si="4"/>
        <v>0</v>
      </c>
      <c r="O43" s="23">
        <f t="shared" si="5"/>
        <v>0</v>
      </c>
      <c r="Q43" s="17">
        <v>2</v>
      </c>
      <c r="R43" s="41"/>
      <c r="S43" s="41"/>
      <c r="T43" s="41"/>
      <c r="U43" s="41"/>
      <c r="V43" s="41"/>
      <c r="W43" s="41"/>
      <c r="X43" s="41"/>
      <c r="Y43" s="23">
        <f t="shared" ref="Y43:Y65" si="10">$S$32</f>
        <v>0</v>
      </c>
      <c r="Z43" s="23">
        <f t="shared" ref="Z43:Z65" si="11">$S$33</f>
        <v>0</v>
      </c>
      <c r="AA43" s="23">
        <f t="shared" si="6"/>
        <v>0</v>
      </c>
      <c r="AB43" s="23">
        <f t="shared" si="7"/>
        <v>0</v>
      </c>
      <c r="AC43" s="23">
        <f t="shared" si="8"/>
        <v>0</v>
      </c>
      <c r="AD43" s="23">
        <f t="shared" si="9"/>
        <v>0</v>
      </c>
    </row>
    <row r="44" spans="1:31" ht="14.25" customHeight="1" x14ac:dyDescent="0.25">
      <c r="B44" s="17">
        <v>3</v>
      </c>
      <c r="C44" s="41"/>
      <c r="D44" s="41"/>
      <c r="E44" s="41"/>
      <c r="F44" s="41"/>
      <c r="G44" s="41"/>
      <c r="H44" s="41"/>
      <c r="I44" s="83"/>
      <c r="J44" s="23">
        <f t="shared" si="0"/>
        <v>0</v>
      </c>
      <c r="K44" s="23">
        <f t="shared" si="1"/>
        <v>0</v>
      </c>
      <c r="L44" s="23">
        <f t="shared" si="2"/>
        <v>0</v>
      </c>
      <c r="M44" s="23">
        <f t="shared" si="3"/>
        <v>0</v>
      </c>
      <c r="N44" s="23">
        <f t="shared" si="4"/>
        <v>0</v>
      </c>
      <c r="O44" s="23">
        <f t="shared" si="5"/>
        <v>0</v>
      </c>
      <c r="Q44" s="17">
        <v>3</v>
      </c>
      <c r="R44" s="41"/>
      <c r="S44" s="41"/>
      <c r="T44" s="41"/>
      <c r="U44" s="41"/>
      <c r="V44" s="41"/>
      <c r="W44" s="41"/>
      <c r="X44" s="41"/>
      <c r="Y44" s="23">
        <f t="shared" si="10"/>
        <v>0</v>
      </c>
      <c r="Z44" s="23">
        <f t="shared" si="11"/>
        <v>0</v>
      </c>
      <c r="AA44" s="23">
        <f t="shared" si="6"/>
        <v>0</v>
      </c>
      <c r="AB44" s="23">
        <f t="shared" si="7"/>
        <v>0</v>
      </c>
      <c r="AC44" s="23">
        <f t="shared" si="8"/>
        <v>0</v>
      </c>
      <c r="AD44" s="23">
        <f t="shared" si="9"/>
        <v>0</v>
      </c>
    </row>
    <row r="45" spans="1:31" ht="14.25" customHeight="1" x14ac:dyDescent="0.25">
      <c r="B45" s="17">
        <v>4</v>
      </c>
      <c r="C45" s="41"/>
      <c r="D45" s="41"/>
      <c r="E45" s="41"/>
      <c r="F45" s="41"/>
      <c r="G45" s="41"/>
      <c r="H45" s="41"/>
      <c r="I45" s="83"/>
      <c r="J45" s="23">
        <f t="shared" si="0"/>
        <v>0</v>
      </c>
      <c r="K45" s="23">
        <f t="shared" si="1"/>
        <v>0</v>
      </c>
      <c r="L45" s="23">
        <f t="shared" si="2"/>
        <v>0</v>
      </c>
      <c r="M45" s="23">
        <f t="shared" si="3"/>
        <v>0</v>
      </c>
      <c r="N45" s="23">
        <f t="shared" si="4"/>
        <v>0</v>
      </c>
      <c r="O45" s="23">
        <f t="shared" si="5"/>
        <v>0</v>
      </c>
      <c r="Q45" s="17">
        <v>4</v>
      </c>
      <c r="R45" s="41"/>
      <c r="S45" s="41"/>
      <c r="T45" s="41"/>
      <c r="U45" s="41"/>
      <c r="V45" s="41"/>
      <c r="W45" s="41"/>
      <c r="X45" s="41"/>
      <c r="Y45" s="23">
        <f t="shared" si="10"/>
        <v>0</v>
      </c>
      <c r="Z45" s="23">
        <f t="shared" si="11"/>
        <v>0</v>
      </c>
      <c r="AA45" s="23">
        <f t="shared" si="6"/>
        <v>0</v>
      </c>
      <c r="AB45" s="23">
        <f t="shared" si="7"/>
        <v>0</v>
      </c>
      <c r="AC45" s="23">
        <f t="shared" si="8"/>
        <v>0</v>
      </c>
      <c r="AD45" s="23">
        <f t="shared" si="9"/>
        <v>0</v>
      </c>
    </row>
    <row r="46" spans="1:31" ht="14.25" customHeight="1" x14ac:dyDescent="0.25">
      <c r="B46" s="17">
        <v>5</v>
      </c>
      <c r="C46" s="41"/>
      <c r="D46" s="41"/>
      <c r="E46" s="41"/>
      <c r="F46" s="41"/>
      <c r="G46" s="41"/>
      <c r="H46" s="41"/>
      <c r="I46" s="83"/>
      <c r="J46" s="23">
        <f t="shared" si="0"/>
        <v>0</v>
      </c>
      <c r="K46" s="23">
        <f t="shared" si="1"/>
        <v>0</v>
      </c>
      <c r="L46" s="23">
        <f t="shared" si="2"/>
        <v>0</v>
      </c>
      <c r="M46" s="23">
        <f t="shared" si="3"/>
        <v>0</v>
      </c>
      <c r="N46" s="23">
        <f t="shared" si="4"/>
        <v>0</v>
      </c>
      <c r="O46" s="23">
        <f t="shared" si="5"/>
        <v>0</v>
      </c>
      <c r="Q46" s="17">
        <v>5</v>
      </c>
      <c r="R46" s="41"/>
      <c r="S46" s="41"/>
      <c r="T46" s="41"/>
      <c r="U46" s="41"/>
      <c r="V46" s="41"/>
      <c r="W46" s="41"/>
      <c r="X46" s="41"/>
      <c r="Y46" s="23">
        <f t="shared" si="10"/>
        <v>0</v>
      </c>
      <c r="Z46" s="23">
        <f t="shared" si="11"/>
        <v>0</v>
      </c>
      <c r="AA46" s="23">
        <f t="shared" si="6"/>
        <v>0</v>
      </c>
      <c r="AB46" s="23">
        <f t="shared" si="7"/>
        <v>0</v>
      </c>
      <c r="AC46" s="23">
        <f t="shared" si="8"/>
        <v>0</v>
      </c>
      <c r="AD46" s="23">
        <f t="shared" si="9"/>
        <v>0</v>
      </c>
    </row>
    <row r="47" spans="1:31" ht="14.25" customHeight="1" x14ac:dyDescent="0.25">
      <c r="B47" s="17">
        <v>6</v>
      </c>
      <c r="C47" s="41"/>
      <c r="D47" s="41"/>
      <c r="E47" s="41"/>
      <c r="F47" s="41"/>
      <c r="G47" s="41"/>
      <c r="H47" s="41"/>
      <c r="I47" s="83"/>
      <c r="J47" s="23">
        <f t="shared" si="0"/>
        <v>0</v>
      </c>
      <c r="K47" s="23">
        <f t="shared" si="1"/>
        <v>0</v>
      </c>
      <c r="L47" s="23">
        <f t="shared" si="2"/>
        <v>0</v>
      </c>
      <c r="M47" s="23">
        <f t="shared" si="3"/>
        <v>0</v>
      </c>
      <c r="N47" s="23">
        <f t="shared" si="4"/>
        <v>0</v>
      </c>
      <c r="O47" s="23">
        <f t="shared" si="5"/>
        <v>0</v>
      </c>
      <c r="Q47" s="17">
        <v>6</v>
      </c>
      <c r="R47" s="41"/>
      <c r="S47" s="41"/>
      <c r="T47" s="41"/>
      <c r="U47" s="41"/>
      <c r="V47" s="41"/>
      <c r="W47" s="41"/>
      <c r="X47" s="41"/>
      <c r="Y47" s="23">
        <f t="shared" si="10"/>
        <v>0</v>
      </c>
      <c r="Z47" s="23">
        <f t="shared" si="11"/>
        <v>0</v>
      </c>
      <c r="AA47" s="23">
        <f t="shared" si="6"/>
        <v>0</v>
      </c>
      <c r="AB47" s="23">
        <f t="shared" si="7"/>
        <v>0</v>
      </c>
      <c r="AC47" s="23">
        <f t="shared" si="8"/>
        <v>0</v>
      </c>
      <c r="AD47" s="23">
        <f t="shared" si="9"/>
        <v>0</v>
      </c>
    </row>
    <row r="48" spans="1:31" ht="14.25" customHeight="1" x14ac:dyDescent="0.25">
      <c r="B48" s="17">
        <v>7</v>
      </c>
      <c r="C48" s="41"/>
      <c r="D48" s="41"/>
      <c r="E48" s="41"/>
      <c r="F48" s="41"/>
      <c r="G48" s="41"/>
      <c r="H48" s="41"/>
      <c r="I48" s="83"/>
      <c r="J48" s="23">
        <f t="shared" si="0"/>
        <v>0</v>
      </c>
      <c r="K48" s="23">
        <f t="shared" si="1"/>
        <v>0</v>
      </c>
      <c r="L48" s="23">
        <f t="shared" si="2"/>
        <v>0</v>
      </c>
      <c r="M48" s="23">
        <f t="shared" si="3"/>
        <v>0</v>
      </c>
      <c r="N48" s="23">
        <f t="shared" si="4"/>
        <v>0</v>
      </c>
      <c r="O48" s="23">
        <f t="shared" si="5"/>
        <v>0</v>
      </c>
      <c r="Q48" s="17">
        <v>7</v>
      </c>
      <c r="R48" s="41"/>
      <c r="S48" s="41"/>
      <c r="T48" s="41"/>
      <c r="U48" s="41"/>
      <c r="V48" s="41"/>
      <c r="W48" s="41"/>
      <c r="X48" s="41"/>
      <c r="Y48" s="23">
        <f t="shared" si="10"/>
        <v>0</v>
      </c>
      <c r="Z48" s="23">
        <f t="shared" si="11"/>
        <v>0</v>
      </c>
      <c r="AA48" s="23">
        <f t="shared" si="6"/>
        <v>0</v>
      </c>
      <c r="AB48" s="23">
        <f t="shared" si="7"/>
        <v>0</v>
      </c>
      <c r="AC48" s="23">
        <f t="shared" si="8"/>
        <v>0</v>
      </c>
      <c r="AD48" s="23">
        <f t="shared" si="9"/>
        <v>0</v>
      </c>
    </row>
    <row r="49" spans="2:30" ht="14.25" customHeight="1" x14ac:dyDescent="0.25">
      <c r="B49" s="17">
        <v>8</v>
      </c>
      <c r="C49" s="41"/>
      <c r="D49" s="41"/>
      <c r="E49" s="41"/>
      <c r="F49" s="41"/>
      <c r="G49" s="41"/>
      <c r="H49" s="41"/>
      <c r="I49" s="83"/>
      <c r="J49" s="23">
        <f t="shared" si="0"/>
        <v>0</v>
      </c>
      <c r="K49" s="23">
        <f t="shared" si="1"/>
        <v>0</v>
      </c>
      <c r="L49" s="23">
        <f t="shared" si="2"/>
        <v>0</v>
      </c>
      <c r="M49" s="23">
        <f t="shared" si="3"/>
        <v>0</v>
      </c>
      <c r="N49" s="23">
        <f t="shared" si="4"/>
        <v>0</v>
      </c>
      <c r="O49" s="23">
        <f t="shared" si="5"/>
        <v>0</v>
      </c>
      <c r="Q49" s="17">
        <v>8</v>
      </c>
      <c r="R49" s="41"/>
      <c r="S49" s="41"/>
      <c r="T49" s="41"/>
      <c r="U49" s="41"/>
      <c r="V49" s="41"/>
      <c r="W49" s="41"/>
      <c r="X49" s="41"/>
      <c r="Y49" s="23">
        <f t="shared" si="10"/>
        <v>0</v>
      </c>
      <c r="Z49" s="23">
        <f t="shared" si="11"/>
        <v>0</v>
      </c>
      <c r="AA49" s="23">
        <f t="shared" si="6"/>
        <v>0</v>
      </c>
      <c r="AB49" s="23">
        <f t="shared" si="7"/>
        <v>0</v>
      </c>
      <c r="AC49" s="23">
        <f t="shared" si="8"/>
        <v>0</v>
      </c>
      <c r="AD49" s="23">
        <f t="shared" si="9"/>
        <v>0</v>
      </c>
    </row>
    <row r="50" spans="2:30" ht="14.25" customHeight="1" x14ac:dyDescent="0.25">
      <c r="B50" s="17">
        <v>9</v>
      </c>
      <c r="C50" s="41"/>
      <c r="D50" s="41"/>
      <c r="E50" s="41"/>
      <c r="F50" s="41"/>
      <c r="G50" s="41"/>
      <c r="H50" s="41"/>
      <c r="I50" s="83"/>
      <c r="J50" s="23">
        <f t="shared" si="0"/>
        <v>0</v>
      </c>
      <c r="K50" s="23">
        <f t="shared" si="1"/>
        <v>0</v>
      </c>
      <c r="L50" s="23">
        <f t="shared" si="2"/>
        <v>0</v>
      </c>
      <c r="M50" s="23">
        <f t="shared" si="3"/>
        <v>0</v>
      </c>
      <c r="N50" s="23">
        <f t="shared" si="4"/>
        <v>0</v>
      </c>
      <c r="O50" s="23">
        <f t="shared" si="5"/>
        <v>0</v>
      </c>
      <c r="Q50" s="17">
        <v>9</v>
      </c>
      <c r="R50" s="41"/>
      <c r="S50" s="41"/>
      <c r="T50" s="41"/>
      <c r="U50" s="41"/>
      <c r="V50" s="41"/>
      <c r="W50" s="41"/>
      <c r="X50" s="41"/>
      <c r="Y50" s="23">
        <f t="shared" si="10"/>
        <v>0</v>
      </c>
      <c r="Z50" s="23">
        <f t="shared" si="11"/>
        <v>0</v>
      </c>
      <c r="AA50" s="23">
        <f t="shared" si="6"/>
        <v>0</v>
      </c>
      <c r="AB50" s="23">
        <f t="shared" si="7"/>
        <v>0</v>
      </c>
      <c r="AC50" s="23">
        <f t="shared" si="8"/>
        <v>0</v>
      </c>
      <c r="AD50" s="23">
        <f t="shared" si="9"/>
        <v>0</v>
      </c>
    </row>
    <row r="51" spans="2:30" ht="14.25" customHeight="1" x14ac:dyDescent="0.25">
      <c r="B51" s="17">
        <v>10</v>
      </c>
      <c r="C51" s="41"/>
      <c r="D51" s="41"/>
      <c r="E51" s="41"/>
      <c r="F51" s="41"/>
      <c r="G51" s="41"/>
      <c r="H51" s="41"/>
      <c r="I51" s="83"/>
      <c r="J51" s="23">
        <f t="shared" si="0"/>
        <v>0</v>
      </c>
      <c r="K51" s="23">
        <f t="shared" si="1"/>
        <v>0</v>
      </c>
      <c r="L51" s="23">
        <f t="shared" si="2"/>
        <v>0</v>
      </c>
      <c r="M51" s="23">
        <f t="shared" si="3"/>
        <v>0</v>
      </c>
      <c r="N51" s="23">
        <f t="shared" si="4"/>
        <v>0</v>
      </c>
      <c r="O51" s="23">
        <f t="shared" si="5"/>
        <v>0</v>
      </c>
      <c r="Q51" s="17">
        <v>10</v>
      </c>
      <c r="R51" s="41"/>
      <c r="S51" s="41"/>
      <c r="T51" s="41"/>
      <c r="U51" s="41"/>
      <c r="V51" s="41"/>
      <c r="W51" s="41"/>
      <c r="X51" s="41"/>
      <c r="Y51" s="23">
        <f t="shared" si="10"/>
        <v>0</v>
      </c>
      <c r="Z51" s="23">
        <f t="shared" si="11"/>
        <v>0</v>
      </c>
      <c r="AA51" s="23">
        <f t="shared" si="6"/>
        <v>0</v>
      </c>
      <c r="AB51" s="23">
        <f t="shared" si="7"/>
        <v>0</v>
      </c>
      <c r="AC51" s="23">
        <f t="shared" si="8"/>
        <v>0</v>
      </c>
      <c r="AD51" s="23">
        <f t="shared" si="9"/>
        <v>0</v>
      </c>
    </row>
    <row r="52" spans="2:30" ht="14.25" customHeight="1" x14ac:dyDescent="0.25">
      <c r="B52" s="17">
        <v>11</v>
      </c>
      <c r="C52" s="41"/>
      <c r="D52" s="41"/>
      <c r="E52" s="41"/>
      <c r="F52" s="41"/>
      <c r="G52" s="41"/>
      <c r="H52" s="41"/>
      <c r="I52" s="83"/>
      <c r="J52" s="23">
        <f t="shared" si="0"/>
        <v>0</v>
      </c>
      <c r="K52" s="23">
        <f t="shared" si="1"/>
        <v>0</v>
      </c>
      <c r="L52" s="23">
        <f t="shared" si="2"/>
        <v>0</v>
      </c>
      <c r="M52" s="23">
        <f t="shared" si="3"/>
        <v>0</v>
      </c>
      <c r="N52" s="23">
        <f t="shared" si="4"/>
        <v>0</v>
      </c>
      <c r="O52" s="23">
        <f t="shared" si="5"/>
        <v>0</v>
      </c>
      <c r="Q52" s="17">
        <v>11</v>
      </c>
      <c r="R52" s="41"/>
      <c r="S52" s="41"/>
      <c r="T52" s="41"/>
      <c r="U52" s="41"/>
      <c r="V52" s="41"/>
      <c r="W52" s="41"/>
      <c r="X52" s="41"/>
      <c r="Y52" s="23">
        <f t="shared" si="10"/>
        <v>0</v>
      </c>
      <c r="Z52" s="23">
        <f t="shared" si="11"/>
        <v>0</v>
      </c>
      <c r="AA52" s="23">
        <f t="shared" si="6"/>
        <v>0</v>
      </c>
      <c r="AB52" s="23">
        <f t="shared" si="7"/>
        <v>0</v>
      </c>
      <c r="AC52" s="23">
        <f t="shared" si="8"/>
        <v>0</v>
      </c>
      <c r="AD52" s="23">
        <f t="shared" si="9"/>
        <v>0</v>
      </c>
    </row>
    <row r="53" spans="2:30" ht="14.25" customHeight="1" x14ac:dyDescent="0.25">
      <c r="B53" s="17">
        <v>12</v>
      </c>
      <c r="C53" s="41"/>
      <c r="D53" s="41"/>
      <c r="E53" s="41"/>
      <c r="F53" s="41"/>
      <c r="G53" s="41"/>
      <c r="H53" s="41"/>
      <c r="I53" s="83"/>
      <c r="J53" s="23">
        <f t="shared" si="0"/>
        <v>0</v>
      </c>
      <c r="K53" s="23">
        <f t="shared" si="1"/>
        <v>0</v>
      </c>
      <c r="L53" s="23">
        <f t="shared" si="2"/>
        <v>0</v>
      </c>
      <c r="M53" s="23">
        <f t="shared" si="3"/>
        <v>0</v>
      </c>
      <c r="N53" s="23">
        <f t="shared" si="4"/>
        <v>0</v>
      </c>
      <c r="O53" s="23">
        <f t="shared" si="5"/>
        <v>0</v>
      </c>
      <c r="Q53" s="17">
        <v>12</v>
      </c>
      <c r="R53" s="41"/>
      <c r="S53" s="41"/>
      <c r="T53" s="41"/>
      <c r="U53" s="41"/>
      <c r="V53" s="41"/>
      <c r="W53" s="41"/>
      <c r="X53" s="41"/>
      <c r="Y53" s="23">
        <f t="shared" si="10"/>
        <v>0</v>
      </c>
      <c r="Z53" s="23">
        <f t="shared" si="11"/>
        <v>0</v>
      </c>
      <c r="AA53" s="23">
        <f t="shared" si="6"/>
        <v>0</v>
      </c>
      <c r="AB53" s="23">
        <f t="shared" si="7"/>
        <v>0</v>
      </c>
      <c r="AC53" s="23">
        <f t="shared" si="8"/>
        <v>0</v>
      </c>
      <c r="AD53" s="23">
        <f t="shared" si="9"/>
        <v>0</v>
      </c>
    </row>
    <row r="54" spans="2:30" ht="14.25" customHeight="1" x14ac:dyDescent="0.25">
      <c r="B54" s="17">
        <v>13</v>
      </c>
      <c r="C54" s="41"/>
      <c r="D54" s="41"/>
      <c r="E54" s="41"/>
      <c r="F54" s="41"/>
      <c r="G54" s="41"/>
      <c r="H54" s="41"/>
      <c r="I54" s="83"/>
      <c r="J54" s="23">
        <f>$D$32</f>
        <v>0</v>
      </c>
      <c r="K54" s="23">
        <f t="shared" si="1"/>
        <v>0</v>
      </c>
      <c r="L54" s="23">
        <f t="shared" si="2"/>
        <v>0</v>
      </c>
      <c r="M54" s="23">
        <f t="shared" si="3"/>
        <v>0</v>
      </c>
      <c r="N54" s="23">
        <f t="shared" si="4"/>
        <v>0</v>
      </c>
      <c r="O54" s="23">
        <f t="shared" si="5"/>
        <v>0</v>
      </c>
      <c r="Q54" s="17">
        <v>13</v>
      </c>
      <c r="R54" s="41"/>
      <c r="S54" s="41"/>
      <c r="T54" s="41"/>
      <c r="U54" s="41"/>
      <c r="V54" s="41"/>
      <c r="W54" s="41"/>
      <c r="X54" s="41"/>
      <c r="Y54" s="23">
        <f t="shared" si="10"/>
        <v>0</v>
      </c>
      <c r="Z54" s="23">
        <f t="shared" si="11"/>
        <v>0</v>
      </c>
      <c r="AA54" s="23">
        <f t="shared" si="6"/>
        <v>0</v>
      </c>
      <c r="AB54" s="23">
        <f t="shared" si="7"/>
        <v>0</v>
      </c>
      <c r="AC54" s="23">
        <f t="shared" si="8"/>
        <v>0</v>
      </c>
      <c r="AD54" s="23">
        <f t="shared" si="9"/>
        <v>0</v>
      </c>
    </row>
    <row r="55" spans="2:30" ht="14.25" customHeight="1" x14ac:dyDescent="0.25">
      <c r="B55" s="17">
        <v>14</v>
      </c>
      <c r="C55" s="41"/>
      <c r="D55" s="41"/>
      <c r="E55" s="41"/>
      <c r="F55" s="41"/>
      <c r="G55" s="41"/>
      <c r="H55" s="41"/>
      <c r="I55" s="83"/>
      <c r="J55" s="23">
        <f t="shared" si="0"/>
        <v>0</v>
      </c>
      <c r="K55" s="23">
        <f t="shared" si="1"/>
        <v>0</v>
      </c>
      <c r="L55" s="23">
        <f t="shared" si="2"/>
        <v>0</v>
      </c>
      <c r="M55" s="23">
        <f t="shared" si="3"/>
        <v>0</v>
      </c>
      <c r="N55" s="23">
        <f t="shared" si="4"/>
        <v>0</v>
      </c>
      <c r="O55" s="23">
        <f t="shared" si="5"/>
        <v>0</v>
      </c>
      <c r="Q55" s="17">
        <v>14</v>
      </c>
      <c r="R55" s="41"/>
      <c r="S55" s="41"/>
      <c r="T55" s="41"/>
      <c r="U55" s="41"/>
      <c r="V55" s="41"/>
      <c r="W55" s="41"/>
      <c r="X55" s="41"/>
      <c r="Y55" s="23">
        <f t="shared" si="10"/>
        <v>0</v>
      </c>
      <c r="Z55" s="23">
        <f t="shared" si="11"/>
        <v>0</v>
      </c>
      <c r="AA55" s="23">
        <f t="shared" si="6"/>
        <v>0</v>
      </c>
      <c r="AB55" s="23">
        <f t="shared" si="7"/>
        <v>0</v>
      </c>
      <c r="AC55" s="23">
        <f t="shared" si="8"/>
        <v>0</v>
      </c>
      <c r="AD55" s="23">
        <f t="shared" si="9"/>
        <v>0</v>
      </c>
    </row>
    <row r="56" spans="2:30" ht="14.25" customHeight="1" x14ac:dyDescent="0.25">
      <c r="B56" s="17">
        <v>15</v>
      </c>
      <c r="C56" s="41"/>
      <c r="D56" s="41"/>
      <c r="E56" s="41"/>
      <c r="F56" s="41"/>
      <c r="G56" s="41"/>
      <c r="H56" s="41"/>
      <c r="I56" s="83"/>
      <c r="J56" s="23">
        <f t="shared" si="0"/>
        <v>0</v>
      </c>
      <c r="K56" s="23">
        <f t="shared" si="1"/>
        <v>0</v>
      </c>
      <c r="L56" s="23">
        <f t="shared" si="2"/>
        <v>0</v>
      </c>
      <c r="M56" s="23">
        <f t="shared" si="3"/>
        <v>0</v>
      </c>
      <c r="N56" s="23">
        <f t="shared" si="4"/>
        <v>0</v>
      </c>
      <c r="O56" s="23">
        <f t="shared" si="5"/>
        <v>0</v>
      </c>
      <c r="Q56" s="17">
        <v>15</v>
      </c>
      <c r="R56" s="41"/>
      <c r="S56" s="41"/>
      <c r="T56" s="41"/>
      <c r="U56" s="41"/>
      <c r="V56" s="41"/>
      <c r="W56" s="41"/>
      <c r="X56" s="41"/>
      <c r="Y56" s="23">
        <f t="shared" si="10"/>
        <v>0</v>
      </c>
      <c r="Z56" s="23">
        <f t="shared" si="11"/>
        <v>0</v>
      </c>
      <c r="AA56" s="23">
        <f t="shared" si="6"/>
        <v>0</v>
      </c>
      <c r="AB56" s="23">
        <f t="shared" si="7"/>
        <v>0</v>
      </c>
      <c r="AC56" s="23">
        <f t="shared" si="8"/>
        <v>0</v>
      </c>
      <c r="AD56" s="23">
        <f t="shared" si="9"/>
        <v>0</v>
      </c>
    </row>
    <row r="57" spans="2:30" ht="14.25" customHeight="1" x14ac:dyDescent="0.25">
      <c r="B57" s="17">
        <v>16</v>
      </c>
      <c r="C57" s="41"/>
      <c r="D57" s="41"/>
      <c r="E57" s="41"/>
      <c r="F57" s="41"/>
      <c r="G57" s="41"/>
      <c r="H57" s="41"/>
      <c r="I57" s="83"/>
      <c r="J57" s="23">
        <f t="shared" si="0"/>
        <v>0</v>
      </c>
      <c r="K57" s="23">
        <f t="shared" si="1"/>
        <v>0</v>
      </c>
      <c r="L57" s="23">
        <f t="shared" si="2"/>
        <v>0</v>
      </c>
      <c r="M57" s="23">
        <f t="shared" si="3"/>
        <v>0</v>
      </c>
      <c r="N57" s="23">
        <f t="shared" si="4"/>
        <v>0</v>
      </c>
      <c r="O57" s="23">
        <f t="shared" si="5"/>
        <v>0</v>
      </c>
      <c r="Q57" s="17">
        <v>16</v>
      </c>
      <c r="R57" s="41"/>
      <c r="S57" s="41"/>
      <c r="T57" s="41"/>
      <c r="U57" s="41"/>
      <c r="V57" s="41"/>
      <c r="W57" s="41"/>
      <c r="X57" s="41"/>
      <c r="Y57" s="23">
        <f t="shared" si="10"/>
        <v>0</v>
      </c>
      <c r="Z57" s="23">
        <f t="shared" si="11"/>
        <v>0</v>
      </c>
      <c r="AA57" s="23">
        <f t="shared" si="6"/>
        <v>0</v>
      </c>
      <c r="AB57" s="23">
        <f t="shared" si="7"/>
        <v>0</v>
      </c>
      <c r="AC57" s="23">
        <f t="shared" si="8"/>
        <v>0</v>
      </c>
      <c r="AD57" s="23">
        <f t="shared" si="9"/>
        <v>0</v>
      </c>
    </row>
    <row r="58" spans="2:30" ht="14.25" customHeight="1" x14ac:dyDescent="0.25">
      <c r="B58" s="17">
        <v>17</v>
      </c>
      <c r="C58" s="41"/>
      <c r="D58" s="41"/>
      <c r="E58" s="41"/>
      <c r="F58" s="41"/>
      <c r="G58" s="41"/>
      <c r="H58" s="41"/>
      <c r="I58" s="83"/>
      <c r="J58" s="23">
        <f t="shared" si="0"/>
        <v>0</v>
      </c>
      <c r="K58" s="23">
        <f t="shared" si="1"/>
        <v>0</v>
      </c>
      <c r="L58" s="23">
        <f t="shared" si="2"/>
        <v>0</v>
      </c>
      <c r="M58" s="23">
        <f t="shared" si="3"/>
        <v>0</v>
      </c>
      <c r="N58" s="23">
        <f t="shared" si="4"/>
        <v>0</v>
      </c>
      <c r="O58" s="23">
        <f t="shared" si="5"/>
        <v>0</v>
      </c>
      <c r="Q58" s="17">
        <v>17</v>
      </c>
      <c r="R58" s="41"/>
      <c r="S58" s="41"/>
      <c r="T58" s="41"/>
      <c r="U58" s="41"/>
      <c r="V58" s="41"/>
      <c r="W58" s="41"/>
      <c r="X58" s="41"/>
      <c r="Y58" s="23">
        <f t="shared" si="10"/>
        <v>0</v>
      </c>
      <c r="Z58" s="23">
        <f t="shared" si="11"/>
        <v>0</v>
      </c>
      <c r="AA58" s="23">
        <f t="shared" si="6"/>
        <v>0</v>
      </c>
      <c r="AB58" s="23">
        <f t="shared" si="7"/>
        <v>0</v>
      </c>
      <c r="AC58" s="23">
        <f t="shared" si="8"/>
        <v>0</v>
      </c>
      <c r="AD58" s="23">
        <f t="shared" si="9"/>
        <v>0</v>
      </c>
    </row>
    <row r="59" spans="2:30" ht="14.25" customHeight="1" x14ac:dyDescent="0.25">
      <c r="B59" s="17">
        <v>18</v>
      </c>
      <c r="C59" s="41"/>
      <c r="D59" s="41"/>
      <c r="E59" s="41"/>
      <c r="F59" s="41"/>
      <c r="G59" s="41"/>
      <c r="H59" s="41"/>
      <c r="I59" s="83"/>
      <c r="J59" s="23">
        <f t="shared" si="0"/>
        <v>0</v>
      </c>
      <c r="K59" s="23">
        <f t="shared" si="1"/>
        <v>0</v>
      </c>
      <c r="L59" s="23">
        <f t="shared" si="2"/>
        <v>0</v>
      </c>
      <c r="M59" s="23">
        <f t="shared" si="3"/>
        <v>0</v>
      </c>
      <c r="N59" s="23">
        <f t="shared" si="4"/>
        <v>0</v>
      </c>
      <c r="O59" s="23">
        <f t="shared" si="5"/>
        <v>0</v>
      </c>
      <c r="Q59" s="17">
        <v>18</v>
      </c>
      <c r="R59" s="41"/>
      <c r="S59" s="41"/>
      <c r="T59" s="41"/>
      <c r="U59" s="41"/>
      <c r="V59" s="41"/>
      <c r="W59" s="41"/>
      <c r="X59" s="41"/>
      <c r="Y59" s="23">
        <f t="shared" si="10"/>
        <v>0</v>
      </c>
      <c r="Z59" s="23">
        <f t="shared" si="11"/>
        <v>0</v>
      </c>
      <c r="AA59" s="23">
        <f t="shared" si="6"/>
        <v>0</v>
      </c>
      <c r="AB59" s="23">
        <f t="shared" si="7"/>
        <v>0</v>
      </c>
      <c r="AC59" s="23">
        <f t="shared" si="8"/>
        <v>0</v>
      </c>
      <c r="AD59" s="23">
        <f t="shared" si="9"/>
        <v>0</v>
      </c>
    </row>
    <row r="60" spans="2:30" ht="14.25" customHeight="1" x14ac:dyDescent="0.25">
      <c r="B60" s="17">
        <v>19</v>
      </c>
      <c r="C60" s="41"/>
      <c r="D60" s="41"/>
      <c r="E60" s="41"/>
      <c r="F60" s="41"/>
      <c r="G60" s="41"/>
      <c r="H60" s="41"/>
      <c r="I60" s="83"/>
      <c r="J60" s="23">
        <f t="shared" si="0"/>
        <v>0</v>
      </c>
      <c r="K60" s="23">
        <f t="shared" si="1"/>
        <v>0</v>
      </c>
      <c r="L60" s="23">
        <f t="shared" si="2"/>
        <v>0</v>
      </c>
      <c r="M60" s="23">
        <f t="shared" si="3"/>
        <v>0</v>
      </c>
      <c r="N60" s="23">
        <f t="shared" si="4"/>
        <v>0</v>
      </c>
      <c r="O60" s="23">
        <f t="shared" si="5"/>
        <v>0</v>
      </c>
      <c r="Q60" s="17">
        <v>19</v>
      </c>
      <c r="R60" s="41"/>
      <c r="S60" s="41"/>
      <c r="T60" s="41"/>
      <c r="U60" s="41"/>
      <c r="V60" s="41"/>
      <c r="W60" s="41"/>
      <c r="X60" s="41"/>
      <c r="Y60" s="23">
        <f t="shared" si="10"/>
        <v>0</v>
      </c>
      <c r="Z60" s="23">
        <f t="shared" si="11"/>
        <v>0</v>
      </c>
      <c r="AA60" s="23">
        <f t="shared" si="6"/>
        <v>0</v>
      </c>
      <c r="AB60" s="23">
        <f t="shared" si="7"/>
        <v>0</v>
      </c>
      <c r="AC60" s="23">
        <f t="shared" si="8"/>
        <v>0</v>
      </c>
      <c r="AD60" s="23">
        <f t="shared" si="9"/>
        <v>0</v>
      </c>
    </row>
    <row r="61" spans="2:30" ht="14.25" customHeight="1" x14ac:dyDescent="0.25">
      <c r="B61" s="17">
        <v>20</v>
      </c>
      <c r="C61" s="41"/>
      <c r="D61" s="41"/>
      <c r="E61" s="41"/>
      <c r="F61" s="41"/>
      <c r="G61" s="41"/>
      <c r="H61" s="41"/>
      <c r="I61" s="83"/>
      <c r="J61" s="23">
        <f t="shared" si="0"/>
        <v>0</v>
      </c>
      <c r="K61" s="23">
        <f t="shared" si="1"/>
        <v>0</v>
      </c>
      <c r="L61" s="23">
        <f t="shared" si="2"/>
        <v>0</v>
      </c>
      <c r="M61" s="23">
        <f t="shared" si="3"/>
        <v>0</v>
      </c>
      <c r="N61" s="23">
        <f t="shared" si="4"/>
        <v>0</v>
      </c>
      <c r="O61" s="23">
        <f t="shared" si="5"/>
        <v>0</v>
      </c>
      <c r="Q61" s="17">
        <v>20</v>
      </c>
      <c r="R61" s="41"/>
      <c r="S61" s="41"/>
      <c r="T61" s="41"/>
      <c r="U61" s="41"/>
      <c r="V61" s="41"/>
      <c r="W61" s="41"/>
      <c r="X61" s="41"/>
      <c r="Y61" s="23">
        <f t="shared" si="10"/>
        <v>0</v>
      </c>
      <c r="Z61" s="23">
        <f t="shared" si="11"/>
        <v>0</v>
      </c>
      <c r="AA61" s="23">
        <f t="shared" si="6"/>
        <v>0</v>
      </c>
      <c r="AB61" s="23">
        <f t="shared" si="7"/>
        <v>0</v>
      </c>
      <c r="AC61" s="23">
        <f t="shared" si="8"/>
        <v>0</v>
      </c>
      <c r="AD61" s="23">
        <f t="shared" si="9"/>
        <v>0</v>
      </c>
    </row>
    <row r="62" spans="2:30" ht="14.25" customHeight="1" x14ac:dyDescent="0.25">
      <c r="B62" s="17">
        <v>21</v>
      </c>
      <c r="C62" s="41"/>
      <c r="D62" s="41"/>
      <c r="E62" s="41"/>
      <c r="F62" s="41"/>
      <c r="G62" s="41"/>
      <c r="H62" s="41"/>
      <c r="I62" s="83"/>
      <c r="J62" s="23">
        <f t="shared" si="0"/>
        <v>0</v>
      </c>
      <c r="K62" s="23">
        <f t="shared" si="1"/>
        <v>0</v>
      </c>
      <c r="L62" s="23">
        <f t="shared" si="2"/>
        <v>0</v>
      </c>
      <c r="M62" s="23">
        <f t="shared" si="3"/>
        <v>0</v>
      </c>
      <c r="N62" s="23">
        <f t="shared" si="4"/>
        <v>0</v>
      </c>
      <c r="O62" s="23">
        <f t="shared" si="5"/>
        <v>0</v>
      </c>
      <c r="Q62" s="17">
        <v>21</v>
      </c>
      <c r="R62" s="41"/>
      <c r="S62" s="41"/>
      <c r="T62" s="41"/>
      <c r="U62" s="41"/>
      <c r="V62" s="41"/>
      <c r="W62" s="41"/>
      <c r="X62" s="41"/>
      <c r="Y62" s="23">
        <f t="shared" si="10"/>
        <v>0</v>
      </c>
      <c r="Z62" s="23">
        <f t="shared" si="11"/>
        <v>0</v>
      </c>
      <c r="AA62" s="23">
        <f t="shared" si="6"/>
        <v>0</v>
      </c>
      <c r="AB62" s="23">
        <f t="shared" si="7"/>
        <v>0</v>
      </c>
      <c r="AC62" s="23">
        <f t="shared" si="8"/>
        <v>0</v>
      </c>
      <c r="AD62" s="23">
        <f t="shared" si="9"/>
        <v>0</v>
      </c>
    </row>
    <row r="63" spans="2:30" ht="14.25" customHeight="1" x14ac:dyDescent="0.25">
      <c r="B63" s="17">
        <v>22</v>
      </c>
      <c r="C63" s="41"/>
      <c r="D63" s="41"/>
      <c r="E63" s="41"/>
      <c r="F63" s="41"/>
      <c r="G63" s="41"/>
      <c r="H63" s="41"/>
      <c r="I63" s="83"/>
      <c r="J63" s="23">
        <f t="shared" si="0"/>
        <v>0</v>
      </c>
      <c r="K63" s="23">
        <f t="shared" si="1"/>
        <v>0</v>
      </c>
      <c r="L63" s="23">
        <f t="shared" si="2"/>
        <v>0</v>
      </c>
      <c r="M63" s="23">
        <f t="shared" si="3"/>
        <v>0</v>
      </c>
      <c r="N63" s="23">
        <f t="shared" si="4"/>
        <v>0</v>
      </c>
      <c r="O63" s="23">
        <f t="shared" si="5"/>
        <v>0</v>
      </c>
      <c r="Q63" s="17">
        <v>22</v>
      </c>
      <c r="R63" s="41"/>
      <c r="S63" s="41"/>
      <c r="T63" s="41"/>
      <c r="U63" s="41"/>
      <c r="V63" s="41"/>
      <c r="W63" s="41"/>
      <c r="X63" s="41"/>
      <c r="Y63" s="23">
        <f t="shared" si="10"/>
        <v>0</v>
      </c>
      <c r="Z63" s="23">
        <f t="shared" si="11"/>
        <v>0</v>
      </c>
      <c r="AA63" s="23">
        <f t="shared" si="6"/>
        <v>0</v>
      </c>
      <c r="AB63" s="23">
        <f t="shared" si="7"/>
        <v>0</v>
      </c>
      <c r="AC63" s="23">
        <f t="shared" si="8"/>
        <v>0</v>
      </c>
      <c r="AD63" s="23">
        <f t="shared" si="9"/>
        <v>0</v>
      </c>
    </row>
    <row r="64" spans="2:30" ht="14.25" customHeight="1" x14ac:dyDescent="0.25">
      <c r="B64" s="17">
        <v>23</v>
      </c>
      <c r="C64" s="41"/>
      <c r="D64" s="41"/>
      <c r="E64" s="41"/>
      <c r="F64" s="41"/>
      <c r="G64" s="41"/>
      <c r="H64" s="41"/>
      <c r="I64" s="83"/>
      <c r="J64" s="23">
        <f t="shared" si="0"/>
        <v>0</v>
      </c>
      <c r="K64" s="23">
        <f t="shared" si="1"/>
        <v>0</v>
      </c>
      <c r="L64" s="23">
        <f t="shared" si="2"/>
        <v>0</v>
      </c>
      <c r="M64" s="23">
        <f t="shared" si="3"/>
        <v>0</v>
      </c>
      <c r="N64" s="23">
        <f t="shared" si="4"/>
        <v>0</v>
      </c>
      <c r="O64" s="23">
        <f t="shared" si="5"/>
        <v>0</v>
      </c>
      <c r="Q64" s="17">
        <v>24</v>
      </c>
      <c r="R64" s="41"/>
      <c r="S64" s="41"/>
      <c r="T64" s="41"/>
      <c r="U64" s="41"/>
      <c r="V64" s="41"/>
      <c r="W64" s="41"/>
      <c r="X64" s="41"/>
      <c r="Y64" s="23">
        <f t="shared" si="10"/>
        <v>0</v>
      </c>
      <c r="Z64" s="23">
        <f t="shared" si="11"/>
        <v>0</v>
      </c>
      <c r="AA64" s="23">
        <f t="shared" si="6"/>
        <v>0</v>
      </c>
      <c r="AB64" s="23">
        <f t="shared" si="7"/>
        <v>0</v>
      </c>
      <c r="AC64" s="23">
        <f t="shared" si="8"/>
        <v>0</v>
      </c>
      <c r="AD64" s="23">
        <f t="shared" si="9"/>
        <v>0</v>
      </c>
    </row>
    <row r="65" spans="2:30" ht="14.25" customHeight="1" x14ac:dyDescent="0.25">
      <c r="B65" s="17">
        <v>24</v>
      </c>
      <c r="C65" s="41"/>
      <c r="D65" s="41"/>
      <c r="E65" s="41"/>
      <c r="F65" s="41"/>
      <c r="G65" s="41"/>
      <c r="H65" s="41"/>
      <c r="I65" s="83"/>
      <c r="J65" s="23">
        <f t="shared" si="0"/>
        <v>0</v>
      </c>
      <c r="K65" s="23">
        <f t="shared" si="1"/>
        <v>0</v>
      </c>
      <c r="L65" s="23">
        <f t="shared" si="2"/>
        <v>0</v>
      </c>
      <c r="M65" s="23">
        <f t="shared" si="3"/>
        <v>0</v>
      </c>
      <c r="N65" s="23">
        <f t="shared" si="4"/>
        <v>0</v>
      </c>
      <c r="O65" s="23">
        <f t="shared" si="5"/>
        <v>0</v>
      </c>
      <c r="Q65" s="17">
        <v>25</v>
      </c>
      <c r="R65" s="41"/>
      <c r="S65" s="41"/>
      <c r="T65" s="41"/>
      <c r="U65" s="41"/>
      <c r="V65" s="41"/>
      <c r="W65" s="41"/>
      <c r="X65" s="41"/>
      <c r="Y65" s="23">
        <f t="shared" si="10"/>
        <v>0</v>
      </c>
      <c r="Z65" s="23">
        <f t="shared" si="11"/>
        <v>0</v>
      </c>
      <c r="AA65" s="23">
        <f t="shared" si="6"/>
        <v>0</v>
      </c>
      <c r="AB65" s="23">
        <f t="shared" si="7"/>
        <v>0</v>
      </c>
      <c r="AC65" s="23">
        <f t="shared" si="8"/>
        <v>0</v>
      </c>
      <c r="AD65" s="23">
        <f t="shared" si="9"/>
        <v>0</v>
      </c>
    </row>
    <row r="66" spans="2:30" ht="14.25" customHeight="1" x14ac:dyDescent="0.25">
      <c r="B66" s="17">
        <v>25</v>
      </c>
      <c r="C66" s="41"/>
      <c r="D66" s="41"/>
      <c r="E66" s="41"/>
      <c r="F66" s="41"/>
      <c r="G66" s="41"/>
      <c r="H66" s="41"/>
      <c r="I66" s="83"/>
      <c r="J66" s="23">
        <f t="shared" si="0"/>
        <v>0</v>
      </c>
      <c r="K66" s="23">
        <f t="shared" si="1"/>
        <v>0</v>
      </c>
      <c r="L66" s="23">
        <f t="shared" si="2"/>
        <v>0</v>
      </c>
      <c r="M66" s="23">
        <f t="shared" si="3"/>
        <v>0</v>
      </c>
      <c r="N66" s="23">
        <f t="shared" si="4"/>
        <v>0</v>
      </c>
      <c r="O66" s="23">
        <f t="shared" si="5"/>
        <v>0</v>
      </c>
      <c r="Q66" s="42"/>
      <c r="R66" s="42"/>
      <c r="S66" s="42"/>
      <c r="T66" s="42"/>
      <c r="U66" s="42"/>
      <c r="V66" s="42"/>
      <c r="W66" s="42"/>
      <c r="X66" s="42"/>
      <c r="Y66" s="42"/>
      <c r="Z66" s="42"/>
      <c r="AA66" s="42"/>
      <c r="AB66" s="42"/>
      <c r="AC66" s="42"/>
      <c r="AD66" s="42"/>
    </row>
    <row r="67" spans="2:30" ht="14.25" customHeight="1" x14ac:dyDescent="0.25">
      <c r="B67" s="42"/>
      <c r="C67" s="42"/>
      <c r="D67" s="42"/>
      <c r="E67" s="42"/>
      <c r="F67" s="42"/>
      <c r="G67" s="42"/>
      <c r="H67" s="42"/>
      <c r="I67" s="42"/>
      <c r="J67" s="42"/>
      <c r="K67" s="42"/>
      <c r="L67" s="42"/>
      <c r="M67" s="42"/>
      <c r="N67" s="42"/>
      <c r="O67" s="42"/>
    </row>
    <row r="68" spans="2:30" ht="14.25" customHeight="1" x14ac:dyDescent="0.25"/>
    <row r="69" spans="2:30" ht="14.25" customHeight="1" x14ac:dyDescent="0.25"/>
    <row r="70" spans="2:30" ht="14.25" customHeight="1" x14ac:dyDescent="0.25"/>
    <row r="71" spans="2:30" ht="14.25" customHeight="1" x14ac:dyDescent="0.25"/>
    <row r="72" spans="2:30" ht="14.25" customHeight="1" x14ac:dyDescent="0.25"/>
    <row r="73" spans="2:30" ht="14.25" customHeight="1" x14ac:dyDescent="0.25"/>
    <row r="74" spans="2:30" ht="14.25" customHeight="1" x14ac:dyDescent="0.25"/>
    <row r="75" spans="2:30" ht="14.25" customHeight="1" x14ac:dyDescent="0.25"/>
    <row r="76" spans="2:30" ht="14.25" customHeight="1" x14ac:dyDescent="0.25"/>
    <row r="77" spans="2:30" ht="14.25" customHeight="1" x14ac:dyDescent="0.25"/>
    <row r="78" spans="2:30" ht="14.25" customHeight="1" x14ac:dyDescent="0.25"/>
    <row r="79" spans="2:30" ht="14.25" customHeight="1" x14ac:dyDescent="0.25"/>
    <row r="80" spans="2:3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31">
    <mergeCell ref="X9:AC9"/>
    <mergeCell ref="Q27:AD28"/>
    <mergeCell ref="Q6:V6"/>
    <mergeCell ref="X6:AC6"/>
    <mergeCell ref="Q7:V7"/>
    <mergeCell ref="X7:AC7"/>
    <mergeCell ref="Q8:V8"/>
    <mergeCell ref="X8:AC8"/>
    <mergeCell ref="Q9:V9"/>
    <mergeCell ref="C41:G41"/>
    <mergeCell ref="R41:V41"/>
    <mergeCell ref="I5:N5"/>
    <mergeCell ref="I6:N6"/>
    <mergeCell ref="B7:G7"/>
    <mergeCell ref="I7:N7"/>
    <mergeCell ref="B8:G8"/>
    <mergeCell ref="I8:N8"/>
    <mergeCell ref="B9:G9"/>
    <mergeCell ref="B6:G6"/>
    <mergeCell ref="I9:N9"/>
    <mergeCell ref="B27:O28"/>
    <mergeCell ref="B29:B39"/>
    <mergeCell ref="Q29:Q39"/>
    <mergeCell ref="Q5:V5"/>
    <mergeCell ref="X5:AC5"/>
    <mergeCell ref="C2:H2"/>
    <mergeCell ref="B4:G4"/>
    <mergeCell ref="I4:O4"/>
    <mergeCell ref="Q4:V4"/>
    <mergeCell ref="X4:AD4"/>
    <mergeCell ref="B5:G5"/>
  </mergeCells>
  <conditionalFormatting sqref="H42:H66">
    <cfRule type="cellIs" dxfId="32" priority="1" operator="greaterThan">
      <formula>$N$42</formula>
    </cfRule>
    <cfRule type="cellIs" dxfId="31" priority="2" operator="lessThan">
      <formula>$O$42</formula>
    </cfRule>
  </conditionalFormatting>
  <conditionalFormatting sqref="I42:I66">
    <cfRule type="cellIs" dxfId="30" priority="3" operator="greaterThan">
      <formula>$K$42</formula>
    </cfRule>
    <cfRule type="cellIs" dxfId="29" priority="4" operator="lessThan">
      <formula>$L$42</formula>
    </cfRule>
  </conditionalFormatting>
  <conditionalFormatting sqref="W42:W65">
    <cfRule type="cellIs" dxfId="28" priority="5" operator="greaterThan">
      <formula>$N$42</formula>
    </cfRule>
    <cfRule type="cellIs" dxfId="27" priority="6" operator="lessThan">
      <formula>$O$42</formula>
    </cfRule>
  </conditionalFormatting>
  <conditionalFormatting sqref="X42:X65">
    <cfRule type="cellIs" dxfId="26" priority="7" operator="greaterThan">
      <formula>$K$42</formula>
    </cfRule>
    <cfRule type="cellIs" dxfId="25" priority="8" operator="lessThan">
      <formula>$L$42</formula>
    </cfRule>
  </conditionalFormatting>
  <pageMargins left="0.7" right="0.7" top="0.75" bottom="0.75" header="0" footer="0"/>
  <pageSetup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7174" r:id="rId3" name="Check Box 6">
              <controlPr defaultSize="0" autoFill="0" autoLine="0" autoPict="0">
                <anchor moveWithCells="1">
                  <from>
                    <xdr:col>14</xdr:col>
                    <xdr:colOff>66675</xdr:colOff>
                    <xdr:row>3</xdr:row>
                    <xdr:rowOff>180975</xdr:rowOff>
                  </from>
                  <to>
                    <xdr:col>14</xdr:col>
                    <xdr:colOff>790575</xdr:colOff>
                    <xdr:row>5</xdr:row>
                    <xdr:rowOff>28575</xdr:rowOff>
                  </to>
                </anchor>
              </controlPr>
            </control>
          </mc:Choice>
        </mc:AlternateContent>
        <mc:AlternateContent xmlns:mc="http://schemas.openxmlformats.org/markup-compatibility/2006">
          <mc:Choice Requires="x14">
            <control shapeId="7181" r:id="rId4" name="Check Box 13">
              <controlPr defaultSize="0" autoFill="0" autoLine="0" autoPict="0">
                <anchor moveWithCells="1">
                  <from>
                    <xdr:col>14</xdr:col>
                    <xdr:colOff>66675</xdr:colOff>
                    <xdr:row>3</xdr:row>
                    <xdr:rowOff>180975</xdr:rowOff>
                  </from>
                  <to>
                    <xdr:col>14</xdr:col>
                    <xdr:colOff>790575</xdr:colOff>
                    <xdr:row>5</xdr:row>
                    <xdr:rowOff>28575</xdr:rowOff>
                  </to>
                </anchor>
              </controlPr>
            </control>
          </mc:Choice>
        </mc:AlternateContent>
        <mc:AlternateContent xmlns:mc="http://schemas.openxmlformats.org/markup-compatibility/2006">
          <mc:Choice Requires="x14">
            <control shapeId="7182" r:id="rId5" name="Check Box 14">
              <controlPr defaultSize="0" autoFill="0" autoLine="0" autoPict="0">
                <anchor moveWithCells="1">
                  <from>
                    <xdr:col>14</xdr:col>
                    <xdr:colOff>66675</xdr:colOff>
                    <xdr:row>4</xdr:row>
                    <xdr:rowOff>180975</xdr:rowOff>
                  </from>
                  <to>
                    <xdr:col>14</xdr:col>
                    <xdr:colOff>790575</xdr:colOff>
                    <xdr:row>6</xdr:row>
                    <xdr:rowOff>28575</xdr:rowOff>
                  </to>
                </anchor>
              </controlPr>
            </control>
          </mc:Choice>
        </mc:AlternateContent>
        <mc:AlternateContent xmlns:mc="http://schemas.openxmlformats.org/markup-compatibility/2006">
          <mc:Choice Requires="x14">
            <control shapeId="7183" r:id="rId6" name="Check Box 15">
              <controlPr defaultSize="0" autoFill="0" autoLine="0" autoPict="0">
                <anchor moveWithCells="1">
                  <from>
                    <xdr:col>14</xdr:col>
                    <xdr:colOff>66675</xdr:colOff>
                    <xdr:row>5</xdr:row>
                    <xdr:rowOff>180975</xdr:rowOff>
                  </from>
                  <to>
                    <xdr:col>14</xdr:col>
                    <xdr:colOff>790575</xdr:colOff>
                    <xdr:row>7</xdr:row>
                    <xdr:rowOff>28575</xdr:rowOff>
                  </to>
                </anchor>
              </controlPr>
            </control>
          </mc:Choice>
        </mc:AlternateContent>
        <mc:AlternateContent xmlns:mc="http://schemas.openxmlformats.org/markup-compatibility/2006">
          <mc:Choice Requires="x14">
            <control shapeId="7184" r:id="rId7" name="Check Box 16">
              <controlPr defaultSize="0" autoFill="0" autoLine="0" autoPict="0">
                <anchor moveWithCells="1">
                  <from>
                    <xdr:col>14</xdr:col>
                    <xdr:colOff>66675</xdr:colOff>
                    <xdr:row>6</xdr:row>
                    <xdr:rowOff>180975</xdr:rowOff>
                  </from>
                  <to>
                    <xdr:col>14</xdr:col>
                    <xdr:colOff>790575</xdr:colOff>
                    <xdr:row>8</xdr:row>
                    <xdr:rowOff>28575</xdr:rowOff>
                  </to>
                </anchor>
              </controlPr>
            </control>
          </mc:Choice>
        </mc:AlternateContent>
        <mc:AlternateContent xmlns:mc="http://schemas.openxmlformats.org/markup-compatibility/2006">
          <mc:Choice Requires="x14">
            <control shapeId="7185" r:id="rId8" name="Check Box 17">
              <controlPr defaultSize="0" autoFill="0" autoLine="0" autoPict="0">
                <anchor moveWithCells="1">
                  <from>
                    <xdr:col>14</xdr:col>
                    <xdr:colOff>66675</xdr:colOff>
                    <xdr:row>7</xdr:row>
                    <xdr:rowOff>180975</xdr:rowOff>
                  </from>
                  <to>
                    <xdr:col>14</xdr:col>
                    <xdr:colOff>790575</xdr:colOff>
                    <xdr:row>9</xdr:row>
                    <xdr:rowOff>28575</xdr:rowOff>
                  </to>
                </anchor>
              </controlPr>
            </control>
          </mc:Choice>
        </mc:AlternateContent>
        <mc:AlternateContent xmlns:mc="http://schemas.openxmlformats.org/markup-compatibility/2006">
          <mc:Choice Requires="x14">
            <control shapeId="7186" r:id="rId9" name="Check Box 18">
              <controlPr defaultSize="0" autoFill="0" autoLine="0" autoPict="0">
                <anchor moveWithCells="1">
                  <from>
                    <xdr:col>22</xdr:col>
                    <xdr:colOff>66675</xdr:colOff>
                    <xdr:row>3</xdr:row>
                    <xdr:rowOff>180975</xdr:rowOff>
                  </from>
                  <to>
                    <xdr:col>22</xdr:col>
                    <xdr:colOff>790575</xdr:colOff>
                    <xdr:row>5</xdr:row>
                    <xdr:rowOff>28575</xdr:rowOff>
                  </to>
                </anchor>
              </controlPr>
            </control>
          </mc:Choice>
        </mc:AlternateContent>
        <mc:AlternateContent xmlns:mc="http://schemas.openxmlformats.org/markup-compatibility/2006">
          <mc:Choice Requires="x14">
            <control shapeId="7187" r:id="rId10" name="Check Box 19">
              <controlPr defaultSize="0" autoFill="0" autoLine="0" autoPict="0">
                <anchor moveWithCells="1">
                  <from>
                    <xdr:col>22</xdr:col>
                    <xdr:colOff>66675</xdr:colOff>
                    <xdr:row>4</xdr:row>
                    <xdr:rowOff>180975</xdr:rowOff>
                  </from>
                  <to>
                    <xdr:col>22</xdr:col>
                    <xdr:colOff>790575</xdr:colOff>
                    <xdr:row>6</xdr:row>
                    <xdr:rowOff>28575</xdr:rowOff>
                  </to>
                </anchor>
              </controlPr>
            </control>
          </mc:Choice>
        </mc:AlternateContent>
        <mc:AlternateContent xmlns:mc="http://schemas.openxmlformats.org/markup-compatibility/2006">
          <mc:Choice Requires="x14">
            <control shapeId="7188" r:id="rId11" name="Check Box 20">
              <controlPr defaultSize="0" autoFill="0" autoLine="0" autoPict="0">
                <anchor moveWithCells="1">
                  <from>
                    <xdr:col>22</xdr:col>
                    <xdr:colOff>66675</xdr:colOff>
                    <xdr:row>5</xdr:row>
                    <xdr:rowOff>180975</xdr:rowOff>
                  </from>
                  <to>
                    <xdr:col>22</xdr:col>
                    <xdr:colOff>790575</xdr:colOff>
                    <xdr:row>7</xdr:row>
                    <xdr:rowOff>28575</xdr:rowOff>
                  </to>
                </anchor>
              </controlPr>
            </control>
          </mc:Choice>
        </mc:AlternateContent>
        <mc:AlternateContent xmlns:mc="http://schemas.openxmlformats.org/markup-compatibility/2006">
          <mc:Choice Requires="x14">
            <control shapeId="7189" r:id="rId12" name="Check Box 21">
              <controlPr defaultSize="0" autoFill="0" autoLine="0" autoPict="0">
                <anchor moveWithCells="1">
                  <from>
                    <xdr:col>22</xdr:col>
                    <xdr:colOff>66675</xdr:colOff>
                    <xdr:row>6</xdr:row>
                    <xdr:rowOff>180975</xdr:rowOff>
                  </from>
                  <to>
                    <xdr:col>22</xdr:col>
                    <xdr:colOff>790575</xdr:colOff>
                    <xdr:row>8</xdr:row>
                    <xdr:rowOff>28575</xdr:rowOff>
                  </to>
                </anchor>
              </controlPr>
            </control>
          </mc:Choice>
        </mc:AlternateContent>
        <mc:AlternateContent xmlns:mc="http://schemas.openxmlformats.org/markup-compatibility/2006">
          <mc:Choice Requires="x14">
            <control shapeId="7190" r:id="rId13" name="Check Box 22">
              <controlPr defaultSize="0" autoFill="0" autoLine="0" autoPict="0">
                <anchor moveWithCells="1">
                  <from>
                    <xdr:col>22</xdr:col>
                    <xdr:colOff>66675</xdr:colOff>
                    <xdr:row>7</xdr:row>
                    <xdr:rowOff>180975</xdr:rowOff>
                  </from>
                  <to>
                    <xdr:col>22</xdr:col>
                    <xdr:colOff>790575</xdr:colOff>
                    <xdr:row>9</xdr:row>
                    <xdr:rowOff>28575</xdr:rowOff>
                  </to>
                </anchor>
              </controlPr>
            </control>
          </mc:Choice>
        </mc:AlternateContent>
        <mc:AlternateContent xmlns:mc="http://schemas.openxmlformats.org/markup-compatibility/2006">
          <mc:Choice Requires="x14">
            <control shapeId="7191" r:id="rId14" name="Check Box 23">
              <controlPr defaultSize="0" autoFill="0" autoLine="0" autoPict="0">
                <anchor moveWithCells="1">
                  <from>
                    <xdr:col>29</xdr:col>
                    <xdr:colOff>66675</xdr:colOff>
                    <xdr:row>3</xdr:row>
                    <xdr:rowOff>180975</xdr:rowOff>
                  </from>
                  <to>
                    <xdr:col>29</xdr:col>
                    <xdr:colOff>790575</xdr:colOff>
                    <xdr:row>5</xdr:row>
                    <xdr:rowOff>28575</xdr:rowOff>
                  </to>
                </anchor>
              </controlPr>
            </control>
          </mc:Choice>
        </mc:AlternateContent>
        <mc:AlternateContent xmlns:mc="http://schemas.openxmlformats.org/markup-compatibility/2006">
          <mc:Choice Requires="x14">
            <control shapeId="7192" r:id="rId15" name="Check Box 24">
              <controlPr defaultSize="0" autoFill="0" autoLine="0" autoPict="0">
                <anchor moveWithCells="1">
                  <from>
                    <xdr:col>29</xdr:col>
                    <xdr:colOff>66675</xdr:colOff>
                    <xdr:row>4</xdr:row>
                    <xdr:rowOff>180975</xdr:rowOff>
                  </from>
                  <to>
                    <xdr:col>29</xdr:col>
                    <xdr:colOff>790575</xdr:colOff>
                    <xdr:row>6</xdr:row>
                    <xdr:rowOff>28575</xdr:rowOff>
                  </to>
                </anchor>
              </controlPr>
            </control>
          </mc:Choice>
        </mc:AlternateContent>
        <mc:AlternateContent xmlns:mc="http://schemas.openxmlformats.org/markup-compatibility/2006">
          <mc:Choice Requires="x14">
            <control shapeId="7193" r:id="rId16" name="Check Box 25">
              <controlPr defaultSize="0" autoFill="0" autoLine="0" autoPict="0">
                <anchor moveWithCells="1">
                  <from>
                    <xdr:col>29</xdr:col>
                    <xdr:colOff>66675</xdr:colOff>
                    <xdr:row>5</xdr:row>
                    <xdr:rowOff>180975</xdr:rowOff>
                  </from>
                  <to>
                    <xdr:col>29</xdr:col>
                    <xdr:colOff>790575</xdr:colOff>
                    <xdr:row>7</xdr:row>
                    <xdr:rowOff>28575</xdr:rowOff>
                  </to>
                </anchor>
              </controlPr>
            </control>
          </mc:Choice>
        </mc:AlternateContent>
        <mc:AlternateContent xmlns:mc="http://schemas.openxmlformats.org/markup-compatibility/2006">
          <mc:Choice Requires="x14">
            <control shapeId="7194" r:id="rId17" name="Check Box 26">
              <controlPr defaultSize="0" autoFill="0" autoLine="0" autoPict="0">
                <anchor moveWithCells="1">
                  <from>
                    <xdr:col>29</xdr:col>
                    <xdr:colOff>66675</xdr:colOff>
                    <xdr:row>6</xdr:row>
                    <xdr:rowOff>180975</xdr:rowOff>
                  </from>
                  <to>
                    <xdr:col>29</xdr:col>
                    <xdr:colOff>790575</xdr:colOff>
                    <xdr:row>8</xdr:row>
                    <xdr:rowOff>28575</xdr:rowOff>
                  </to>
                </anchor>
              </controlPr>
            </control>
          </mc:Choice>
        </mc:AlternateContent>
        <mc:AlternateContent xmlns:mc="http://schemas.openxmlformats.org/markup-compatibility/2006">
          <mc:Choice Requires="x14">
            <control shapeId="7195" r:id="rId18" name="Check Box 27">
              <controlPr defaultSize="0" autoFill="0" autoLine="0" autoPict="0">
                <anchor moveWithCells="1">
                  <from>
                    <xdr:col>29</xdr:col>
                    <xdr:colOff>66675</xdr:colOff>
                    <xdr:row>7</xdr:row>
                    <xdr:rowOff>180975</xdr:rowOff>
                  </from>
                  <to>
                    <xdr:col>29</xdr:col>
                    <xdr:colOff>790575</xdr:colOff>
                    <xdr:row>9</xdr:row>
                    <xdr:rowOff>28575</xdr:rowOff>
                  </to>
                </anchor>
              </controlPr>
            </control>
          </mc:Choice>
        </mc:AlternateContent>
        <mc:AlternateContent xmlns:mc="http://schemas.openxmlformats.org/markup-compatibility/2006">
          <mc:Choice Requires="x14">
            <control shapeId="7169" r:id="rId19" name="Check Box 1">
              <controlPr defaultSize="0" autoFill="0" autoLine="0" autoPict="0">
                <anchor moveWithCells="1">
                  <from>
                    <xdr:col>7</xdr:col>
                    <xdr:colOff>66675</xdr:colOff>
                    <xdr:row>3</xdr:row>
                    <xdr:rowOff>180975</xdr:rowOff>
                  </from>
                  <to>
                    <xdr:col>7</xdr:col>
                    <xdr:colOff>790575</xdr:colOff>
                    <xdr:row>5</xdr:row>
                    <xdr:rowOff>28575</xdr:rowOff>
                  </to>
                </anchor>
              </controlPr>
            </control>
          </mc:Choice>
        </mc:AlternateContent>
        <mc:AlternateContent xmlns:mc="http://schemas.openxmlformats.org/markup-compatibility/2006">
          <mc:Choice Requires="x14">
            <control shapeId="7170" r:id="rId20" name="Check Box 2">
              <controlPr defaultSize="0" autoFill="0" autoLine="0" autoPict="0">
                <anchor moveWithCells="1">
                  <from>
                    <xdr:col>7</xdr:col>
                    <xdr:colOff>66675</xdr:colOff>
                    <xdr:row>4</xdr:row>
                    <xdr:rowOff>180975</xdr:rowOff>
                  </from>
                  <to>
                    <xdr:col>7</xdr:col>
                    <xdr:colOff>790575</xdr:colOff>
                    <xdr:row>6</xdr:row>
                    <xdr:rowOff>28575</xdr:rowOff>
                  </to>
                </anchor>
              </controlPr>
            </control>
          </mc:Choice>
        </mc:AlternateContent>
        <mc:AlternateContent xmlns:mc="http://schemas.openxmlformats.org/markup-compatibility/2006">
          <mc:Choice Requires="x14">
            <control shapeId="7171" r:id="rId21" name="Check Box 3">
              <controlPr defaultSize="0" autoFill="0" autoLine="0" autoPict="0">
                <anchor moveWithCells="1">
                  <from>
                    <xdr:col>7</xdr:col>
                    <xdr:colOff>66675</xdr:colOff>
                    <xdr:row>5</xdr:row>
                    <xdr:rowOff>180975</xdr:rowOff>
                  </from>
                  <to>
                    <xdr:col>7</xdr:col>
                    <xdr:colOff>790575</xdr:colOff>
                    <xdr:row>7</xdr:row>
                    <xdr:rowOff>28575</xdr:rowOff>
                  </to>
                </anchor>
              </controlPr>
            </control>
          </mc:Choice>
        </mc:AlternateContent>
        <mc:AlternateContent xmlns:mc="http://schemas.openxmlformats.org/markup-compatibility/2006">
          <mc:Choice Requires="x14">
            <control shapeId="7172" r:id="rId22" name="Check Box 4">
              <controlPr defaultSize="0" autoFill="0" autoLine="0" autoPict="0">
                <anchor moveWithCells="1">
                  <from>
                    <xdr:col>7</xdr:col>
                    <xdr:colOff>66675</xdr:colOff>
                    <xdr:row>6</xdr:row>
                    <xdr:rowOff>180975</xdr:rowOff>
                  </from>
                  <to>
                    <xdr:col>7</xdr:col>
                    <xdr:colOff>790575</xdr:colOff>
                    <xdr:row>8</xdr:row>
                    <xdr:rowOff>28575</xdr:rowOff>
                  </to>
                </anchor>
              </controlPr>
            </control>
          </mc:Choice>
        </mc:AlternateContent>
        <mc:AlternateContent xmlns:mc="http://schemas.openxmlformats.org/markup-compatibility/2006">
          <mc:Choice Requires="x14">
            <control shapeId="7173" r:id="rId23" name="Check Box 5">
              <controlPr defaultSize="0" autoFill="0" autoLine="0" autoPict="0">
                <anchor moveWithCells="1">
                  <from>
                    <xdr:col>7</xdr:col>
                    <xdr:colOff>66675</xdr:colOff>
                    <xdr:row>7</xdr:row>
                    <xdr:rowOff>180975</xdr:rowOff>
                  </from>
                  <to>
                    <xdr:col>7</xdr:col>
                    <xdr:colOff>790575</xdr:colOff>
                    <xdr:row>9</xdr:row>
                    <xdr:rowOff>28575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AF1000"/>
  <sheetViews>
    <sheetView showGridLines="0" zoomScale="65" workbookViewId="0">
      <selection activeCell="P17" sqref="P17"/>
    </sheetView>
  </sheetViews>
  <sheetFormatPr defaultColWidth="14.42578125" defaultRowHeight="15" customHeight="1" x14ac:dyDescent="0.25"/>
  <cols>
    <col min="1" max="1" width="8.7109375" customWidth="1"/>
    <col min="2" max="15" width="12.42578125" customWidth="1"/>
    <col min="16" max="32" width="12.5703125" customWidth="1"/>
  </cols>
  <sheetData>
    <row r="1" spans="2:31" ht="14.25" customHeight="1" x14ac:dyDescent="0.25"/>
    <row r="2" spans="2:31" ht="14.25" customHeight="1" x14ac:dyDescent="0.25">
      <c r="B2" s="1" t="s">
        <v>84</v>
      </c>
      <c r="C2" s="146"/>
      <c r="D2" s="147"/>
      <c r="E2" s="147"/>
      <c r="F2" s="147"/>
      <c r="G2" s="147"/>
      <c r="H2" s="147"/>
      <c r="R2" s="1" t="s">
        <v>84</v>
      </c>
      <c r="S2" s="146"/>
      <c r="T2" s="147"/>
      <c r="U2" s="147"/>
      <c r="V2" s="147"/>
      <c r="W2" s="147"/>
      <c r="X2" s="147"/>
    </row>
    <row r="3" spans="2:31" ht="14.25" customHeight="1" x14ac:dyDescent="0.25">
      <c r="B3" s="3" t="s">
        <v>102</v>
      </c>
      <c r="R3" s="3" t="s">
        <v>103</v>
      </c>
    </row>
    <row r="4" spans="2:31" ht="14.25" customHeight="1" x14ac:dyDescent="0.25">
      <c r="B4" s="148" t="s">
        <v>126</v>
      </c>
      <c r="C4" s="113"/>
      <c r="D4" s="113"/>
      <c r="E4" s="113"/>
      <c r="F4" s="113"/>
      <c r="G4" s="113"/>
      <c r="I4" s="148" t="s">
        <v>105</v>
      </c>
      <c r="J4" s="113"/>
      <c r="K4" s="113"/>
      <c r="L4" s="113"/>
      <c r="M4" s="113"/>
      <c r="N4" s="113"/>
      <c r="O4" s="113"/>
      <c r="R4" s="148" t="s">
        <v>126</v>
      </c>
      <c r="S4" s="113"/>
      <c r="T4" s="113"/>
      <c r="U4" s="113"/>
      <c r="V4" s="113"/>
      <c r="W4" s="113"/>
      <c r="Y4" s="148" t="s">
        <v>105</v>
      </c>
      <c r="Z4" s="113"/>
      <c r="AA4" s="113"/>
      <c r="AB4" s="113"/>
      <c r="AC4" s="113"/>
      <c r="AD4" s="113"/>
      <c r="AE4" s="113"/>
    </row>
    <row r="5" spans="2:31" ht="14.25" customHeight="1" x14ac:dyDescent="0.25">
      <c r="B5" s="145" t="s">
        <v>106</v>
      </c>
      <c r="C5" s="113"/>
      <c r="D5" s="113"/>
      <c r="E5" s="113"/>
      <c r="F5" s="113"/>
      <c r="G5" s="113"/>
      <c r="H5" s="17"/>
      <c r="I5" s="145" t="s">
        <v>106</v>
      </c>
      <c r="J5" s="113"/>
      <c r="K5" s="113"/>
      <c r="L5" s="113"/>
      <c r="M5" s="113"/>
      <c r="N5" s="113"/>
      <c r="O5" s="17"/>
      <c r="R5" s="145" t="s">
        <v>106</v>
      </c>
      <c r="S5" s="113"/>
      <c r="T5" s="113"/>
      <c r="U5" s="113"/>
      <c r="V5" s="113"/>
      <c r="W5" s="113"/>
      <c r="X5" s="17"/>
      <c r="Y5" s="145" t="s">
        <v>106</v>
      </c>
      <c r="Z5" s="113"/>
      <c r="AA5" s="113"/>
      <c r="AB5" s="113"/>
      <c r="AC5" s="113"/>
      <c r="AD5" s="113"/>
      <c r="AE5" s="17"/>
    </row>
    <row r="6" spans="2:31" ht="14.25" customHeight="1" x14ac:dyDescent="0.25">
      <c r="B6" s="145" t="s">
        <v>107</v>
      </c>
      <c r="C6" s="113"/>
      <c r="D6" s="113"/>
      <c r="E6" s="113"/>
      <c r="F6" s="113"/>
      <c r="G6" s="113"/>
      <c r="H6" s="17"/>
      <c r="I6" s="145" t="s">
        <v>107</v>
      </c>
      <c r="J6" s="113"/>
      <c r="K6" s="113"/>
      <c r="L6" s="113"/>
      <c r="M6" s="113"/>
      <c r="N6" s="113"/>
      <c r="O6" s="17"/>
      <c r="R6" s="145" t="s">
        <v>107</v>
      </c>
      <c r="S6" s="113"/>
      <c r="T6" s="113"/>
      <c r="U6" s="113"/>
      <c r="V6" s="113"/>
      <c r="W6" s="113"/>
      <c r="X6" s="17"/>
      <c r="Y6" s="145" t="s">
        <v>107</v>
      </c>
      <c r="Z6" s="113"/>
      <c r="AA6" s="113"/>
      <c r="AB6" s="113"/>
      <c r="AC6" s="113"/>
      <c r="AD6" s="113"/>
      <c r="AE6" s="17"/>
    </row>
    <row r="7" spans="2:31" ht="14.25" customHeight="1" x14ac:dyDescent="0.25">
      <c r="B7" s="149" t="s">
        <v>108</v>
      </c>
      <c r="C7" s="113"/>
      <c r="D7" s="113"/>
      <c r="E7" s="113"/>
      <c r="F7" s="113"/>
      <c r="G7" s="113"/>
      <c r="H7" s="17"/>
      <c r="I7" s="149" t="s">
        <v>108</v>
      </c>
      <c r="J7" s="113"/>
      <c r="K7" s="113"/>
      <c r="L7" s="113"/>
      <c r="M7" s="113"/>
      <c r="N7" s="113"/>
      <c r="O7" s="17"/>
      <c r="R7" s="149" t="s">
        <v>108</v>
      </c>
      <c r="S7" s="113"/>
      <c r="T7" s="113"/>
      <c r="U7" s="113"/>
      <c r="V7" s="113"/>
      <c r="W7" s="113"/>
      <c r="X7" s="17"/>
      <c r="Y7" s="149" t="s">
        <v>108</v>
      </c>
      <c r="Z7" s="113"/>
      <c r="AA7" s="113"/>
      <c r="AB7" s="113"/>
      <c r="AC7" s="113"/>
      <c r="AD7" s="113"/>
      <c r="AE7" s="17"/>
    </row>
    <row r="8" spans="2:31" ht="14.25" customHeight="1" x14ac:dyDescent="0.25">
      <c r="B8" s="149" t="s">
        <v>109</v>
      </c>
      <c r="C8" s="113"/>
      <c r="D8" s="113"/>
      <c r="E8" s="113"/>
      <c r="F8" s="113"/>
      <c r="G8" s="113"/>
      <c r="H8" s="17"/>
      <c r="I8" s="149" t="s">
        <v>109</v>
      </c>
      <c r="J8" s="113"/>
      <c r="K8" s="113"/>
      <c r="L8" s="113"/>
      <c r="M8" s="113"/>
      <c r="N8" s="113"/>
      <c r="O8" s="17"/>
      <c r="R8" s="149" t="s">
        <v>109</v>
      </c>
      <c r="S8" s="113"/>
      <c r="T8" s="113"/>
      <c r="U8" s="113"/>
      <c r="V8" s="113"/>
      <c r="W8" s="113"/>
      <c r="X8" s="17"/>
      <c r="Y8" s="149" t="s">
        <v>109</v>
      </c>
      <c r="Z8" s="113"/>
      <c r="AA8" s="113"/>
      <c r="AB8" s="113"/>
      <c r="AC8" s="113"/>
      <c r="AD8" s="113"/>
      <c r="AE8" s="17"/>
    </row>
    <row r="9" spans="2:31" ht="14.25" customHeight="1" x14ac:dyDescent="0.25">
      <c r="B9" s="149" t="s">
        <v>110</v>
      </c>
      <c r="C9" s="113"/>
      <c r="D9" s="113"/>
      <c r="E9" s="113"/>
      <c r="F9" s="113"/>
      <c r="G9" s="113"/>
      <c r="H9" s="17"/>
      <c r="I9" s="149" t="s">
        <v>110</v>
      </c>
      <c r="J9" s="113"/>
      <c r="K9" s="113"/>
      <c r="L9" s="113"/>
      <c r="M9" s="113"/>
      <c r="N9" s="113"/>
      <c r="O9" s="17"/>
      <c r="R9" s="149" t="s">
        <v>110</v>
      </c>
      <c r="S9" s="113"/>
      <c r="T9" s="113"/>
      <c r="U9" s="113"/>
      <c r="V9" s="113"/>
      <c r="W9" s="113"/>
      <c r="X9" s="17"/>
      <c r="Y9" s="149" t="s">
        <v>110</v>
      </c>
      <c r="Z9" s="113"/>
      <c r="AA9" s="113"/>
      <c r="AB9" s="113"/>
      <c r="AC9" s="113"/>
      <c r="AD9" s="113"/>
      <c r="AE9" s="17"/>
    </row>
    <row r="10" spans="2:31" ht="14.25" customHeight="1" x14ac:dyDescent="0.25"/>
    <row r="11" spans="2:31" ht="14.25" customHeight="1" x14ac:dyDescent="0.25"/>
    <row r="12" spans="2:31" ht="14.25" customHeight="1" x14ac:dyDescent="0.25"/>
    <row r="13" spans="2:31" ht="14.25" customHeight="1" x14ac:dyDescent="0.25"/>
    <row r="14" spans="2:31" ht="14.25" customHeight="1" x14ac:dyDescent="0.25"/>
    <row r="15" spans="2:31" ht="14.25" customHeight="1" x14ac:dyDescent="0.25"/>
    <row r="16" spans="2:31" ht="14.25" customHeight="1" x14ac:dyDescent="0.25"/>
    <row r="17" spans="2:31" ht="14.25" customHeight="1" x14ac:dyDescent="0.25"/>
    <row r="18" spans="2:31" ht="14.25" customHeight="1" x14ac:dyDescent="0.25"/>
    <row r="19" spans="2:31" ht="14.25" customHeight="1" x14ac:dyDescent="0.25"/>
    <row r="20" spans="2:31" ht="14.25" customHeight="1" x14ac:dyDescent="0.25"/>
    <row r="21" spans="2:31" ht="14.25" customHeight="1" x14ac:dyDescent="0.25"/>
    <row r="22" spans="2:31" ht="14.25" customHeight="1" x14ac:dyDescent="0.25"/>
    <row r="23" spans="2:31" ht="14.25" customHeight="1" x14ac:dyDescent="0.25"/>
    <row r="24" spans="2:31" ht="14.25" customHeight="1" x14ac:dyDescent="0.25"/>
    <row r="25" spans="2:31" ht="14.25" customHeight="1" x14ac:dyDescent="0.25"/>
    <row r="26" spans="2:31" ht="14.25" customHeight="1" x14ac:dyDescent="0.25"/>
    <row r="27" spans="2:31" ht="14.25" customHeight="1" x14ac:dyDescent="0.25">
      <c r="B27" s="150" t="s">
        <v>127</v>
      </c>
      <c r="C27" s="151"/>
      <c r="D27" s="151"/>
      <c r="E27" s="151"/>
      <c r="F27" s="151"/>
      <c r="G27" s="151"/>
      <c r="H27" s="151"/>
      <c r="I27" s="151"/>
      <c r="J27" s="151"/>
      <c r="K27" s="151"/>
      <c r="L27" s="151"/>
      <c r="M27" s="151"/>
      <c r="N27" s="151"/>
      <c r="O27" s="151"/>
      <c r="R27" s="150" t="s">
        <v>127</v>
      </c>
      <c r="S27" s="151"/>
      <c r="T27" s="151"/>
      <c r="U27" s="151"/>
      <c r="V27" s="151"/>
      <c r="W27" s="151"/>
      <c r="X27" s="151"/>
      <c r="Y27" s="151"/>
      <c r="Z27" s="151"/>
      <c r="AA27" s="151"/>
      <c r="AB27" s="151"/>
      <c r="AC27" s="151"/>
      <c r="AD27" s="151"/>
      <c r="AE27" s="151"/>
    </row>
    <row r="28" spans="2:31" ht="14.25" customHeight="1" x14ac:dyDescent="0.25">
      <c r="B28" s="113"/>
      <c r="C28" s="113"/>
      <c r="D28" s="113"/>
      <c r="E28" s="113"/>
      <c r="F28" s="113"/>
      <c r="G28" s="113"/>
      <c r="H28" s="113"/>
      <c r="I28" s="113"/>
      <c r="J28" s="113"/>
      <c r="K28" s="113"/>
      <c r="L28" s="113"/>
      <c r="M28" s="113"/>
      <c r="N28" s="113"/>
      <c r="O28" s="113"/>
      <c r="R28" s="113"/>
      <c r="S28" s="113"/>
      <c r="T28" s="113"/>
      <c r="U28" s="113"/>
      <c r="V28" s="113"/>
      <c r="W28" s="113"/>
      <c r="X28" s="113"/>
      <c r="Y28" s="113"/>
      <c r="Z28" s="113"/>
      <c r="AA28" s="113"/>
      <c r="AB28" s="113"/>
      <c r="AC28" s="113"/>
      <c r="AD28" s="113"/>
      <c r="AE28" s="113"/>
    </row>
    <row r="29" spans="2:31" ht="14.25" customHeight="1" x14ac:dyDescent="0.25">
      <c r="B29" s="152" t="s">
        <v>112</v>
      </c>
      <c r="C29" s="32" t="s">
        <v>113</v>
      </c>
      <c r="D29" s="33"/>
      <c r="E29" s="34"/>
      <c r="F29" s="34"/>
      <c r="G29" s="34"/>
      <c r="H29" s="34"/>
      <c r="I29" s="34"/>
      <c r="J29" s="34"/>
      <c r="K29" s="34"/>
      <c r="L29" s="34"/>
      <c r="M29" s="34"/>
      <c r="N29" s="34"/>
      <c r="O29" s="34"/>
      <c r="R29" s="152" t="s">
        <v>112</v>
      </c>
      <c r="S29" s="32" t="s">
        <v>113</v>
      </c>
      <c r="T29" s="33"/>
      <c r="U29" s="34"/>
      <c r="V29" s="34"/>
      <c r="W29" s="34"/>
      <c r="X29" s="34"/>
      <c r="Y29" s="34"/>
      <c r="Z29" s="34"/>
      <c r="AA29" s="34"/>
      <c r="AB29" s="34"/>
      <c r="AC29" s="34"/>
      <c r="AD29" s="34"/>
      <c r="AE29" s="34"/>
    </row>
    <row r="30" spans="2:31" ht="14.25" customHeight="1" x14ac:dyDescent="0.25">
      <c r="B30" s="113"/>
      <c r="C30" s="17" t="s">
        <v>54</v>
      </c>
      <c r="D30" s="35"/>
      <c r="E30" s="14"/>
      <c r="F30" s="14"/>
      <c r="G30" s="14"/>
      <c r="H30" s="14"/>
      <c r="I30" s="14"/>
      <c r="J30" s="14"/>
      <c r="K30" s="14"/>
      <c r="L30" s="14"/>
      <c r="M30" s="14"/>
      <c r="N30" s="14"/>
      <c r="O30" s="14"/>
      <c r="R30" s="113"/>
      <c r="S30" s="17" t="s">
        <v>54</v>
      </c>
      <c r="T30" s="35"/>
      <c r="U30" s="14"/>
      <c r="V30" s="14"/>
      <c r="W30" s="14"/>
      <c r="X30" s="14"/>
      <c r="Y30" s="14"/>
      <c r="Z30" s="14"/>
      <c r="AA30" s="14"/>
      <c r="AB30" s="14"/>
      <c r="AC30" s="14"/>
      <c r="AD30" s="14"/>
      <c r="AE30" s="14"/>
    </row>
    <row r="31" spans="2:31" ht="14.25" customHeight="1" x14ac:dyDescent="0.25">
      <c r="B31" s="113"/>
      <c r="C31" s="17" t="s">
        <v>114</v>
      </c>
      <c r="D31" s="36"/>
      <c r="E31" s="37"/>
      <c r="F31" s="37"/>
      <c r="G31" s="37"/>
      <c r="H31" s="37"/>
      <c r="I31" s="37"/>
      <c r="J31" s="37"/>
      <c r="K31" s="37"/>
      <c r="L31" s="37"/>
      <c r="M31" s="37"/>
      <c r="N31" s="37"/>
      <c r="O31" s="37"/>
      <c r="R31" s="113"/>
      <c r="S31" s="17" t="s">
        <v>114</v>
      </c>
      <c r="T31" s="36"/>
      <c r="U31" s="37"/>
      <c r="V31" s="37"/>
      <c r="W31" s="37"/>
      <c r="X31" s="37"/>
      <c r="Y31" s="37"/>
      <c r="Z31" s="37"/>
      <c r="AA31" s="37"/>
      <c r="AB31" s="37"/>
      <c r="AC31" s="37"/>
      <c r="AD31" s="37"/>
      <c r="AE31" s="37"/>
    </row>
    <row r="32" spans="2:31" ht="14.25" customHeight="1" x14ac:dyDescent="0.25">
      <c r="B32" s="113"/>
      <c r="C32" s="17" t="s">
        <v>128</v>
      </c>
      <c r="D32" s="36"/>
      <c r="E32" s="37"/>
      <c r="F32" s="37"/>
      <c r="G32" s="37"/>
      <c r="H32" s="37"/>
      <c r="I32" s="37"/>
      <c r="J32" s="37"/>
      <c r="K32" s="37"/>
      <c r="L32" s="37"/>
      <c r="M32" s="37"/>
      <c r="N32" s="37"/>
      <c r="O32" s="37"/>
      <c r="R32" s="113"/>
      <c r="S32" s="17" t="s">
        <v>128</v>
      </c>
      <c r="T32" s="36"/>
      <c r="U32" s="37"/>
      <c r="V32" s="37"/>
      <c r="W32" s="37"/>
      <c r="X32" s="37"/>
      <c r="Y32" s="37"/>
      <c r="Z32" s="37"/>
      <c r="AA32" s="37"/>
      <c r="AB32" s="37"/>
      <c r="AC32" s="37"/>
      <c r="AD32" s="37"/>
      <c r="AE32" s="37"/>
    </row>
    <row r="33" spans="1:32" ht="14.25" customHeight="1" x14ac:dyDescent="0.25">
      <c r="B33" s="113"/>
      <c r="C33" s="17" t="s">
        <v>129</v>
      </c>
      <c r="D33" s="36"/>
      <c r="E33" s="37"/>
      <c r="F33" s="37"/>
      <c r="G33" s="37"/>
      <c r="H33" s="37"/>
      <c r="I33" s="37"/>
      <c r="J33" s="37"/>
      <c r="K33" s="37"/>
      <c r="L33" s="37"/>
      <c r="M33" s="37"/>
      <c r="N33" s="37"/>
      <c r="O33" s="37"/>
      <c r="R33" s="113"/>
      <c r="S33" s="17" t="s">
        <v>129</v>
      </c>
      <c r="T33" s="36"/>
      <c r="U33" s="37"/>
      <c r="V33" s="37"/>
      <c r="W33" s="37"/>
      <c r="X33" s="37"/>
      <c r="Y33" s="37"/>
      <c r="Z33" s="37"/>
      <c r="AA33" s="37"/>
      <c r="AB33" s="37"/>
      <c r="AC33" s="37"/>
      <c r="AD33" s="37"/>
      <c r="AE33" s="37"/>
    </row>
    <row r="34" spans="1:32" ht="14.25" customHeight="1" x14ac:dyDescent="0.25">
      <c r="B34" s="113"/>
      <c r="C34" s="17" t="s">
        <v>130</v>
      </c>
      <c r="D34" s="36"/>
      <c r="E34" s="37"/>
      <c r="F34" s="37"/>
      <c r="G34" s="37"/>
      <c r="H34" s="37"/>
      <c r="I34" s="37"/>
      <c r="J34" s="37"/>
      <c r="K34" s="37"/>
      <c r="L34" s="37"/>
      <c r="M34" s="37"/>
      <c r="N34" s="37"/>
      <c r="O34" s="37"/>
      <c r="R34" s="113"/>
      <c r="S34" s="17" t="s">
        <v>130</v>
      </c>
      <c r="T34" s="36"/>
      <c r="U34" s="37"/>
      <c r="V34" s="37"/>
      <c r="W34" s="37"/>
      <c r="X34" s="37"/>
      <c r="Y34" s="37"/>
      <c r="Z34" s="37"/>
      <c r="AA34" s="37"/>
      <c r="AB34" s="37"/>
      <c r="AC34" s="37"/>
      <c r="AD34" s="37"/>
      <c r="AE34" s="37"/>
    </row>
    <row r="35" spans="1:32" ht="14.25" customHeight="1" x14ac:dyDescent="0.25">
      <c r="B35" s="113"/>
      <c r="C35" s="17" t="s">
        <v>118</v>
      </c>
      <c r="D35" s="36"/>
      <c r="E35" s="37"/>
      <c r="F35" s="37"/>
      <c r="G35" s="37"/>
      <c r="H35" s="37"/>
      <c r="I35" s="37"/>
      <c r="J35" s="37"/>
      <c r="K35" s="37"/>
      <c r="L35" s="37"/>
      <c r="M35" s="37"/>
      <c r="N35" s="37"/>
      <c r="O35" s="37"/>
      <c r="R35" s="113"/>
      <c r="S35" s="17" t="s">
        <v>118</v>
      </c>
      <c r="T35" s="36"/>
      <c r="U35" s="37"/>
      <c r="V35" s="37"/>
      <c r="W35" s="37"/>
      <c r="X35" s="37"/>
      <c r="Y35" s="37"/>
      <c r="Z35" s="37"/>
      <c r="AA35" s="37"/>
      <c r="AB35" s="37"/>
      <c r="AC35" s="37"/>
      <c r="AD35" s="37"/>
      <c r="AE35" s="37"/>
    </row>
    <row r="36" spans="1:32" ht="14.25" customHeight="1" x14ac:dyDescent="0.25">
      <c r="B36" s="113"/>
      <c r="C36" s="17" t="s">
        <v>119</v>
      </c>
      <c r="D36" s="36"/>
      <c r="E36" s="37"/>
      <c r="F36" s="37"/>
      <c r="G36" s="37"/>
      <c r="H36" s="37"/>
      <c r="I36" s="37"/>
      <c r="J36" s="37"/>
      <c r="K36" s="37"/>
      <c r="L36" s="37"/>
      <c r="M36" s="37"/>
      <c r="N36" s="37"/>
      <c r="O36" s="37"/>
      <c r="R36" s="113"/>
      <c r="S36" s="17" t="s">
        <v>119</v>
      </c>
      <c r="T36" s="36"/>
      <c r="U36" s="37"/>
      <c r="V36" s="37"/>
      <c r="W36" s="37"/>
      <c r="X36" s="37"/>
      <c r="Y36" s="37"/>
      <c r="Z36" s="37"/>
      <c r="AA36" s="37"/>
      <c r="AB36" s="37"/>
      <c r="AC36" s="37"/>
      <c r="AD36" s="37"/>
      <c r="AE36" s="37"/>
    </row>
    <row r="37" spans="1:32" ht="14.25" customHeight="1" x14ac:dyDescent="0.25">
      <c r="B37" s="113"/>
      <c r="C37" s="17" t="s">
        <v>56</v>
      </c>
      <c r="D37" s="37" t="e">
        <f>INDEX('Tabel Faktor'!$A$1:$Q$25,MATCH(D30,'Tabel Faktor'!$A$1:$A$25,0),MATCH(C37,'Tabel Faktor'!$A$1:$Q$1,0))</f>
        <v>#N/A</v>
      </c>
      <c r="E37" s="37"/>
      <c r="F37" s="37"/>
      <c r="G37" s="37"/>
      <c r="H37" s="37"/>
      <c r="I37" s="37"/>
      <c r="J37" s="37"/>
      <c r="K37" s="37"/>
      <c r="L37" s="37"/>
      <c r="M37" s="37"/>
      <c r="N37" s="37"/>
      <c r="O37" s="37"/>
      <c r="R37" s="113"/>
      <c r="S37" s="17" t="s">
        <v>56</v>
      </c>
      <c r="T37" s="37" t="e">
        <f t="array" ref="T37">INDEX('Tabel Faktor'!$A$1:$Q$25,MATCH(T30,'Tabel Faktor'!$A$1:$A$25,0),MATCH(S37,'Tabel Faktor'!$A$1:$Q$1,0))</f>
        <v>#N/A</v>
      </c>
      <c r="U37" s="37"/>
      <c r="V37" s="37"/>
      <c r="W37" s="37"/>
      <c r="X37" s="37"/>
      <c r="Y37" s="37"/>
      <c r="Z37" s="37"/>
      <c r="AA37" s="37"/>
      <c r="AB37" s="37"/>
      <c r="AC37" s="37"/>
      <c r="AD37" s="37"/>
      <c r="AE37" s="37"/>
    </row>
    <row r="38" spans="1:32" ht="14.25" customHeight="1" x14ac:dyDescent="0.25">
      <c r="B38" s="113"/>
      <c r="C38" s="17" t="s">
        <v>60</v>
      </c>
      <c r="D38" s="37" t="e">
        <f t="array" ref="D38">INDEX('Tabel Faktor'!$A$1:$Q$25,MATCH(D30,'Tabel Faktor'!$A$1:$A$25,0),MATCH(C38,'Tabel Faktor'!$A$1:$Q$1,0))</f>
        <v>#N/A</v>
      </c>
      <c r="E38" s="37"/>
      <c r="F38" s="37"/>
      <c r="G38" s="37"/>
      <c r="H38" s="37"/>
      <c r="I38" s="37"/>
      <c r="J38" s="37"/>
      <c r="K38" s="37"/>
      <c r="L38" s="37"/>
      <c r="M38" s="37"/>
      <c r="N38" s="37"/>
      <c r="O38" s="37"/>
      <c r="R38" s="113"/>
      <c r="S38" s="17" t="s">
        <v>60</v>
      </c>
      <c r="T38" s="37" t="e">
        <f t="array" ref="T38">INDEX('Tabel Faktor'!$A$1:$Q$25,MATCH(T30,'Tabel Faktor'!$A$1:$A$25,0),MATCH(S38,'Tabel Faktor'!$A$1:$Q$1,0))</f>
        <v>#N/A</v>
      </c>
      <c r="U38" s="37"/>
      <c r="V38" s="37"/>
      <c r="W38" s="37"/>
      <c r="X38" s="37"/>
      <c r="Y38" s="37"/>
      <c r="Z38" s="37"/>
      <c r="AA38" s="37"/>
      <c r="AB38" s="37"/>
      <c r="AC38" s="37"/>
      <c r="AD38" s="37"/>
      <c r="AE38" s="37"/>
    </row>
    <row r="39" spans="1:32" ht="14.25" customHeight="1" x14ac:dyDescent="0.25">
      <c r="B39" s="147"/>
      <c r="C39" s="38" t="s">
        <v>59</v>
      </c>
      <c r="D39" s="39" t="e">
        <f t="array" ref="D39">INDEX('Tabel Faktor'!$A$1:$Q$25,MATCH(D30,'Tabel Faktor'!$A$1:$A$25,0),MATCH(C39,'Tabel Faktor'!$A$1:$Q$1,0))</f>
        <v>#N/A</v>
      </c>
      <c r="E39" s="40"/>
      <c r="F39" s="40"/>
      <c r="G39" s="40"/>
      <c r="H39" s="40"/>
      <c r="I39" s="40"/>
      <c r="J39" s="40"/>
      <c r="K39" s="40"/>
      <c r="L39" s="40"/>
      <c r="M39" s="40"/>
      <c r="N39" s="40"/>
      <c r="O39" s="40"/>
      <c r="R39" s="147"/>
      <c r="S39" s="38" t="s">
        <v>59</v>
      </c>
      <c r="T39" s="39" t="e">
        <f t="array" ref="T39">INDEX('Tabel Faktor'!$A$1:$Q$25,MATCH(T30,'Tabel Faktor'!$A$1:$A$25,0),MATCH(S39,'Tabel Faktor'!$A$1:$Q$1,0))</f>
        <v>#N/A</v>
      </c>
      <c r="U39" s="40"/>
      <c r="V39" s="40"/>
      <c r="W39" s="40"/>
      <c r="X39" s="40"/>
      <c r="Y39" s="40"/>
      <c r="Z39" s="40"/>
      <c r="AA39" s="40"/>
      <c r="AB39" s="40"/>
      <c r="AC39" s="40"/>
      <c r="AD39" s="40"/>
      <c r="AE39" s="40"/>
    </row>
    <row r="40" spans="1:32" ht="14.25" customHeight="1" x14ac:dyDescent="0.25">
      <c r="B40" s="17"/>
      <c r="C40" s="17"/>
      <c r="D40" s="17"/>
      <c r="E40" s="17"/>
      <c r="F40" s="17"/>
      <c r="G40" s="17"/>
      <c r="H40" s="17"/>
      <c r="I40" s="17"/>
      <c r="J40" s="17"/>
      <c r="K40" s="17"/>
      <c r="L40" s="17"/>
      <c r="M40" s="17"/>
      <c r="N40" s="17"/>
      <c r="O40" s="17"/>
      <c r="R40" s="17"/>
      <c r="S40" s="17"/>
      <c r="T40" s="17"/>
      <c r="U40" s="17"/>
      <c r="V40" s="17"/>
      <c r="W40" s="17"/>
      <c r="X40" s="17"/>
      <c r="Y40" s="17"/>
      <c r="Z40" s="17"/>
      <c r="AA40" s="17"/>
      <c r="AB40" s="17"/>
      <c r="AC40" s="17"/>
      <c r="AD40" s="17"/>
      <c r="AE40" s="17"/>
    </row>
    <row r="41" spans="1:32" ht="14.25" customHeight="1" x14ac:dyDescent="0.25">
      <c r="A41" s="16"/>
      <c r="B41" s="19" t="s">
        <v>29</v>
      </c>
      <c r="C41" s="138" t="s">
        <v>30</v>
      </c>
      <c r="D41" s="139"/>
      <c r="E41" s="139"/>
      <c r="F41" s="139"/>
      <c r="G41" s="139"/>
      <c r="H41" s="19" t="s">
        <v>120</v>
      </c>
      <c r="I41" s="19" t="s">
        <v>131</v>
      </c>
      <c r="J41" s="19" t="s">
        <v>132</v>
      </c>
      <c r="K41" s="19" t="s">
        <v>129</v>
      </c>
      <c r="L41" s="19" t="s">
        <v>130</v>
      </c>
      <c r="M41" s="19" t="s">
        <v>123</v>
      </c>
      <c r="N41" s="19" t="s">
        <v>124</v>
      </c>
      <c r="O41" s="19" t="s">
        <v>125</v>
      </c>
      <c r="P41" s="16"/>
      <c r="Q41" s="16"/>
      <c r="R41" s="19" t="s">
        <v>29</v>
      </c>
      <c r="S41" s="138" t="s">
        <v>30</v>
      </c>
      <c r="T41" s="139"/>
      <c r="U41" s="139"/>
      <c r="V41" s="139"/>
      <c r="W41" s="139"/>
      <c r="X41" s="19" t="s">
        <v>120</v>
      </c>
      <c r="Y41" s="19" t="s">
        <v>131</v>
      </c>
      <c r="Z41" s="19" t="s">
        <v>132</v>
      </c>
      <c r="AA41" s="19" t="s">
        <v>129</v>
      </c>
      <c r="AB41" s="19" t="s">
        <v>130</v>
      </c>
      <c r="AC41" s="19" t="s">
        <v>123</v>
      </c>
      <c r="AD41" s="19" t="s">
        <v>124</v>
      </c>
      <c r="AE41" s="19" t="s">
        <v>125</v>
      </c>
      <c r="AF41" s="16"/>
    </row>
    <row r="42" spans="1:32" ht="14.25" customHeight="1" x14ac:dyDescent="0.25">
      <c r="B42" s="17">
        <v>1</v>
      </c>
      <c r="C42" s="41"/>
      <c r="D42" s="41"/>
      <c r="E42" s="41"/>
      <c r="F42" s="41"/>
      <c r="G42" s="41"/>
      <c r="H42" s="23" t="e">
        <f t="shared" ref="H42:H66" si="0">AVERAGE(C42:G42)</f>
        <v>#DIV/0!</v>
      </c>
      <c r="I42" s="23" t="e">
        <f t="shared" ref="I42:I66" si="1">STDEV(C42:G42)</f>
        <v>#DIV/0!</v>
      </c>
      <c r="J42" s="23">
        <f>$D$32</f>
        <v>0</v>
      </c>
      <c r="K42" s="23">
        <f t="shared" ref="K42:K66" si="2">$D$33</f>
        <v>0</v>
      </c>
      <c r="L42" s="23">
        <f t="shared" ref="L42:L66" si="3">$D$34</f>
        <v>0</v>
      </c>
      <c r="M42" s="23">
        <f t="shared" ref="M42:M66" si="4">$D$31</f>
        <v>0</v>
      </c>
      <c r="N42" s="23">
        <f t="shared" ref="N42:N66" si="5">$D$35</f>
        <v>0</v>
      </c>
      <c r="O42" s="23">
        <f t="shared" ref="O42:O66" si="6">$D$36</f>
        <v>0</v>
      </c>
      <c r="R42" s="17">
        <v>1</v>
      </c>
      <c r="S42" s="41"/>
      <c r="T42" s="41"/>
      <c r="U42" s="41"/>
      <c r="V42" s="41"/>
      <c r="W42" s="41"/>
      <c r="X42" s="23" t="e">
        <f t="shared" ref="X42:X65" si="7">AVERAGE(S42:W42)</f>
        <v>#DIV/0!</v>
      </c>
      <c r="Y42" s="23" t="e">
        <f t="shared" ref="Y42:Y65" si="8">STDEV(S42:W42)</f>
        <v>#DIV/0!</v>
      </c>
      <c r="Z42" s="23">
        <f>$T$32</f>
        <v>0</v>
      </c>
      <c r="AA42" s="23">
        <f>$T$33</f>
        <v>0</v>
      </c>
      <c r="AB42" s="23">
        <f>$T$34</f>
        <v>0</v>
      </c>
      <c r="AC42" s="23">
        <f>$T$31</f>
        <v>0</v>
      </c>
      <c r="AD42" s="23">
        <f>$T$35</f>
        <v>0</v>
      </c>
      <c r="AE42" s="23">
        <f>$T$36</f>
        <v>0</v>
      </c>
    </row>
    <row r="43" spans="1:32" ht="14.25" customHeight="1" x14ac:dyDescent="0.25">
      <c r="B43" s="17">
        <v>2</v>
      </c>
      <c r="C43" s="41"/>
      <c r="D43" s="41"/>
      <c r="E43" s="41"/>
      <c r="F43" s="41"/>
      <c r="G43" s="41"/>
      <c r="H43" s="23" t="e">
        <f t="shared" si="0"/>
        <v>#DIV/0!</v>
      </c>
      <c r="I43" s="23" t="e">
        <f t="shared" si="1"/>
        <v>#DIV/0!</v>
      </c>
      <c r="J43" s="23">
        <f t="shared" ref="J43:J66" si="9">$D$32</f>
        <v>0</v>
      </c>
      <c r="K43" s="23">
        <f t="shared" si="2"/>
        <v>0</v>
      </c>
      <c r="L43" s="23">
        <f t="shared" si="3"/>
        <v>0</v>
      </c>
      <c r="M43" s="23">
        <f t="shared" si="4"/>
        <v>0</v>
      </c>
      <c r="N43" s="23">
        <f t="shared" si="5"/>
        <v>0</v>
      </c>
      <c r="O43" s="23">
        <f t="shared" si="6"/>
        <v>0</v>
      </c>
      <c r="R43" s="17">
        <v>2</v>
      </c>
      <c r="S43" s="41"/>
      <c r="T43" s="41"/>
      <c r="U43" s="41"/>
      <c r="V43" s="41"/>
      <c r="W43" s="41"/>
      <c r="X43" s="23" t="e">
        <f t="shared" si="7"/>
        <v>#DIV/0!</v>
      </c>
      <c r="Y43" s="23" t="e">
        <f t="shared" si="8"/>
        <v>#DIV/0!</v>
      </c>
      <c r="Z43" s="23">
        <f t="shared" ref="Z43:Z65" si="10">$T$32</f>
        <v>0</v>
      </c>
      <c r="AA43" s="23">
        <f t="shared" ref="AA43:AA65" si="11">$T$33</f>
        <v>0</v>
      </c>
      <c r="AB43" s="23">
        <f t="shared" ref="AB43:AB65" si="12">$T$34</f>
        <v>0</v>
      </c>
      <c r="AC43" s="23">
        <f t="shared" ref="AC43:AC65" si="13">$T$31</f>
        <v>0</v>
      </c>
      <c r="AD43" s="23">
        <f t="shared" ref="AD43:AD65" si="14">$T$35</f>
        <v>0</v>
      </c>
      <c r="AE43" s="23">
        <f t="shared" ref="AE43:AE65" si="15">$T$36</f>
        <v>0</v>
      </c>
    </row>
    <row r="44" spans="1:32" ht="14.25" customHeight="1" x14ac:dyDescent="0.25">
      <c r="B44" s="17">
        <v>3</v>
      </c>
      <c r="C44" s="41"/>
      <c r="D44" s="41"/>
      <c r="E44" s="41"/>
      <c r="F44" s="41"/>
      <c r="G44" s="41"/>
      <c r="H44" s="23" t="e">
        <f t="shared" si="0"/>
        <v>#DIV/0!</v>
      </c>
      <c r="I44" s="23" t="e">
        <f t="shared" si="1"/>
        <v>#DIV/0!</v>
      </c>
      <c r="J44" s="23">
        <f t="shared" si="9"/>
        <v>0</v>
      </c>
      <c r="K44" s="23">
        <f t="shared" si="2"/>
        <v>0</v>
      </c>
      <c r="L44" s="23">
        <f t="shared" si="3"/>
        <v>0</v>
      </c>
      <c r="M44" s="23">
        <f t="shared" si="4"/>
        <v>0</v>
      </c>
      <c r="N44" s="23">
        <f t="shared" si="5"/>
        <v>0</v>
      </c>
      <c r="O44" s="23">
        <f t="shared" si="6"/>
        <v>0</v>
      </c>
      <c r="R44" s="17">
        <v>3</v>
      </c>
      <c r="S44" s="41"/>
      <c r="T44" s="41"/>
      <c r="U44" s="41"/>
      <c r="V44" s="41"/>
      <c r="W44" s="41"/>
      <c r="X44" s="23" t="e">
        <f t="shared" si="7"/>
        <v>#DIV/0!</v>
      </c>
      <c r="Y44" s="23" t="e">
        <f t="shared" si="8"/>
        <v>#DIV/0!</v>
      </c>
      <c r="Z44" s="23">
        <f t="shared" si="10"/>
        <v>0</v>
      </c>
      <c r="AA44" s="23">
        <f t="shared" si="11"/>
        <v>0</v>
      </c>
      <c r="AB44" s="23">
        <f t="shared" si="12"/>
        <v>0</v>
      </c>
      <c r="AC44" s="23">
        <f t="shared" si="13"/>
        <v>0</v>
      </c>
      <c r="AD44" s="23">
        <f t="shared" si="14"/>
        <v>0</v>
      </c>
      <c r="AE44" s="23">
        <f t="shared" si="15"/>
        <v>0</v>
      </c>
    </row>
    <row r="45" spans="1:32" ht="14.25" customHeight="1" x14ac:dyDescent="0.25">
      <c r="B45" s="17">
        <v>4</v>
      </c>
      <c r="C45" s="41"/>
      <c r="D45" s="41"/>
      <c r="E45" s="41"/>
      <c r="F45" s="41"/>
      <c r="G45" s="41"/>
      <c r="H45" s="23" t="e">
        <f t="shared" si="0"/>
        <v>#DIV/0!</v>
      </c>
      <c r="I45" s="23" t="e">
        <f t="shared" si="1"/>
        <v>#DIV/0!</v>
      </c>
      <c r="J45" s="23">
        <f t="shared" si="9"/>
        <v>0</v>
      </c>
      <c r="K45" s="23">
        <f t="shared" si="2"/>
        <v>0</v>
      </c>
      <c r="L45" s="23">
        <f t="shared" si="3"/>
        <v>0</v>
      </c>
      <c r="M45" s="23">
        <f t="shared" si="4"/>
        <v>0</v>
      </c>
      <c r="N45" s="23">
        <f t="shared" si="5"/>
        <v>0</v>
      </c>
      <c r="O45" s="23">
        <f t="shared" si="6"/>
        <v>0</v>
      </c>
      <c r="R45" s="17">
        <v>4</v>
      </c>
      <c r="S45" s="41"/>
      <c r="T45" s="41"/>
      <c r="U45" s="41"/>
      <c r="V45" s="41"/>
      <c r="W45" s="41"/>
      <c r="X45" s="23" t="e">
        <f t="shared" si="7"/>
        <v>#DIV/0!</v>
      </c>
      <c r="Y45" s="23" t="e">
        <f t="shared" si="8"/>
        <v>#DIV/0!</v>
      </c>
      <c r="Z45" s="23">
        <f t="shared" si="10"/>
        <v>0</v>
      </c>
      <c r="AA45" s="23">
        <f t="shared" si="11"/>
        <v>0</v>
      </c>
      <c r="AB45" s="23">
        <f t="shared" si="12"/>
        <v>0</v>
      </c>
      <c r="AC45" s="23">
        <f t="shared" si="13"/>
        <v>0</v>
      </c>
      <c r="AD45" s="23">
        <f t="shared" si="14"/>
        <v>0</v>
      </c>
      <c r="AE45" s="23">
        <f t="shared" si="15"/>
        <v>0</v>
      </c>
    </row>
    <row r="46" spans="1:32" ht="14.25" customHeight="1" x14ac:dyDescent="0.25">
      <c r="B46" s="17">
        <v>5</v>
      </c>
      <c r="C46" s="41"/>
      <c r="D46" s="41"/>
      <c r="E46" s="41"/>
      <c r="F46" s="41"/>
      <c r="G46" s="41"/>
      <c r="H46" s="23" t="e">
        <f t="shared" si="0"/>
        <v>#DIV/0!</v>
      </c>
      <c r="I46" s="23" t="e">
        <f t="shared" si="1"/>
        <v>#DIV/0!</v>
      </c>
      <c r="J46" s="23">
        <f t="shared" si="9"/>
        <v>0</v>
      </c>
      <c r="K46" s="23">
        <f t="shared" si="2"/>
        <v>0</v>
      </c>
      <c r="L46" s="23">
        <f t="shared" si="3"/>
        <v>0</v>
      </c>
      <c r="M46" s="23">
        <f t="shared" si="4"/>
        <v>0</v>
      </c>
      <c r="N46" s="23">
        <f t="shared" si="5"/>
        <v>0</v>
      </c>
      <c r="O46" s="23">
        <f t="shared" si="6"/>
        <v>0</v>
      </c>
      <c r="R46" s="17">
        <v>5</v>
      </c>
      <c r="S46" s="41"/>
      <c r="T46" s="41"/>
      <c r="U46" s="41"/>
      <c r="V46" s="41"/>
      <c r="W46" s="41"/>
      <c r="X46" s="23" t="e">
        <f t="shared" si="7"/>
        <v>#DIV/0!</v>
      </c>
      <c r="Y46" s="23" t="e">
        <f t="shared" si="8"/>
        <v>#DIV/0!</v>
      </c>
      <c r="Z46" s="23">
        <f t="shared" si="10"/>
        <v>0</v>
      </c>
      <c r="AA46" s="23">
        <f t="shared" si="11"/>
        <v>0</v>
      </c>
      <c r="AB46" s="23">
        <f t="shared" si="12"/>
        <v>0</v>
      </c>
      <c r="AC46" s="23">
        <f t="shared" si="13"/>
        <v>0</v>
      </c>
      <c r="AD46" s="23">
        <f t="shared" si="14"/>
        <v>0</v>
      </c>
      <c r="AE46" s="23">
        <f t="shared" si="15"/>
        <v>0</v>
      </c>
    </row>
    <row r="47" spans="1:32" ht="14.25" customHeight="1" x14ac:dyDescent="0.25">
      <c r="B47" s="17">
        <v>6</v>
      </c>
      <c r="C47" s="41"/>
      <c r="D47" s="41"/>
      <c r="E47" s="41"/>
      <c r="F47" s="41"/>
      <c r="G47" s="41"/>
      <c r="H47" s="23" t="e">
        <f t="shared" si="0"/>
        <v>#DIV/0!</v>
      </c>
      <c r="I47" s="23" t="e">
        <f t="shared" si="1"/>
        <v>#DIV/0!</v>
      </c>
      <c r="J47" s="23">
        <f t="shared" si="9"/>
        <v>0</v>
      </c>
      <c r="K47" s="23">
        <f t="shared" si="2"/>
        <v>0</v>
      </c>
      <c r="L47" s="23">
        <f t="shared" si="3"/>
        <v>0</v>
      </c>
      <c r="M47" s="23">
        <f t="shared" si="4"/>
        <v>0</v>
      </c>
      <c r="N47" s="23">
        <f t="shared" si="5"/>
        <v>0</v>
      </c>
      <c r="O47" s="23">
        <f t="shared" si="6"/>
        <v>0</v>
      </c>
      <c r="R47" s="17">
        <v>6</v>
      </c>
      <c r="S47" s="41"/>
      <c r="T47" s="41"/>
      <c r="U47" s="41"/>
      <c r="V47" s="41"/>
      <c r="W47" s="41"/>
      <c r="X47" s="23" t="e">
        <f t="shared" si="7"/>
        <v>#DIV/0!</v>
      </c>
      <c r="Y47" s="23" t="e">
        <f t="shared" si="8"/>
        <v>#DIV/0!</v>
      </c>
      <c r="Z47" s="23">
        <f t="shared" si="10"/>
        <v>0</v>
      </c>
      <c r="AA47" s="23">
        <f t="shared" si="11"/>
        <v>0</v>
      </c>
      <c r="AB47" s="23">
        <f t="shared" si="12"/>
        <v>0</v>
      </c>
      <c r="AC47" s="23">
        <f t="shared" si="13"/>
        <v>0</v>
      </c>
      <c r="AD47" s="23">
        <f t="shared" si="14"/>
        <v>0</v>
      </c>
      <c r="AE47" s="23">
        <f t="shared" si="15"/>
        <v>0</v>
      </c>
    </row>
    <row r="48" spans="1:32" ht="14.25" customHeight="1" x14ac:dyDescent="0.25">
      <c r="B48" s="17">
        <v>7</v>
      </c>
      <c r="C48" s="41"/>
      <c r="D48" s="41"/>
      <c r="E48" s="41"/>
      <c r="F48" s="41"/>
      <c r="G48" s="41"/>
      <c r="H48" s="23" t="e">
        <f t="shared" si="0"/>
        <v>#DIV/0!</v>
      </c>
      <c r="I48" s="23" t="e">
        <f t="shared" si="1"/>
        <v>#DIV/0!</v>
      </c>
      <c r="J48" s="23">
        <f t="shared" si="9"/>
        <v>0</v>
      </c>
      <c r="K48" s="23">
        <f t="shared" si="2"/>
        <v>0</v>
      </c>
      <c r="L48" s="23">
        <f t="shared" si="3"/>
        <v>0</v>
      </c>
      <c r="M48" s="23">
        <f t="shared" si="4"/>
        <v>0</v>
      </c>
      <c r="N48" s="23">
        <f t="shared" si="5"/>
        <v>0</v>
      </c>
      <c r="O48" s="23">
        <f t="shared" si="6"/>
        <v>0</v>
      </c>
      <c r="R48" s="17">
        <v>7</v>
      </c>
      <c r="S48" s="41"/>
      <c r="T48" s="41"/>
      <c r="U48" s="41"/>
      <c r="V48" s="41"/>
      <c r="W48" s="41"/>
      <c r="X48" s="23" t="e">
        <f t="shared" si="7"/>
        <v>#DIV/0!</v>
      </c>
      <c r="Y48" s="23" t="e">
        <f t="shared" si="8"/>
        <v>#DIV/0!</v>
      </c>
      <c r="Z48" s="23">
        <f t="shared" si="10"/>
        <v>0</v>
      </c>
      <c r="AA48" s="23">
        <f t="shared" si="11"/>
        <v>0</v>
      </c>
      <c r="AB48" s="23">
        <f t="shared" si="12"/>
        <v>0</v>
      </c>
      <c r="AC48" s="23">
        <f t="shared" si="13"/>
        <v>0</v>
      </c>
      <c r="AD48" s="23">
        <f t="shared" si="14"/>
        <v>0</v>
      </c>
      <c r="AE48" s="23">
        <f t="shared" si="15"/>
        <v>0</v>
      </c>
    </row>
    <row r="49" spans="2:31" ht="14.25" customHeight="1" x14ac:dyDescent="0.25">
      <c r="B49" s="17">
        <v>8</v>
      </c>
      <c r="C49" s="41"/>
      <c r="D49" s="41"/>
      <c r="E49" s="41"/>
      <c r="F49" s="41"/>
      <c r="G49" s="41"/>
      <c r="H49" s="23" t="e">
        <f t="shared" si="0"/>
        <v>#DIV/0!</v>
      </c>
      <c r="I49" s="23" t="e">
        <f t="shared" si="1"/>
        <v>#DIV/0!</v>
      </c>
      <c r="J49" s="23">
        <f t="shared" si="9"/>
        <v>0</v>
      </c>
      <c r="K49" s="23">
        <f t="shared" si="2"/>
        <v>0</v>
      </c>
      <c r="L49" s="23">
        <f t="shared" si="3"/>
        <v>0</v>
      </c>
      <c r="M49" s="23">
        <f t="shared" si="4"/>
        <v>0</v>
      </c>
      <c r="N49" s="23">
        <f t="shared" si="5"/>
        <v>0</v>
      </c>
      <c r="O49" s="23">
        <f t="shared" si="6"/>
        <v>0</v>
      </c>
      <c r="R49" s="17">
        <v>8</v>
      </c>
      <c r="S49" s="41"/>
      <c r="T49" s="41"/>
      <c r="U49" s="41"/>
      <c r="V49" s="41"/>
      <c r="W49" s="41"/>
      <c r="X49" s="23" t="e">
        <f t="shared" si="7"/>
        <v>#DIV/0!</v>
      </c>
      <c r="Y49" s="23" t="e">
        <f t="shared" si="8"/>
        <v>#DIV/0!</v>
      </c>
      <c r="Z49" s="23">
        <f t="shared" si="10"/>
        <v>0</v>
      </c>
      <c r="AA49" s="23">
        <f t="shared" si="11"/>
        <v>0</v>
      </c>
      <c r="AB49" s="23">
        <f t="shared" si="12"/>
        <v>0</v>
      </c>
      <c r="AC49" s="23">
        <f t="shared" si="13"/>
        <v>0</v>
      </c>
      <c r="AD49" s="23">
        <f t="shared" si="14"/>
        <v>0</v>
      </c>
      <c r="AE49" s="23">
        <f t="shared" si="15"/>
        <v>0</v>
      </c>
    </row>
    <row r="50" spans="2:31" ht="14.25" customHeight="1" x14ac:dyDescent="0.25">
      <c r="B50" s="17">
        <v>9</v>
      </c>
      <c r="C50" s="41"/>
      <c r="D50" s="41"/>
      <c r="E50" s="41"/>
      <c r="F50" s="41"/>
      <c r="G50" s="41"/>
      <c r="H50" s="23" t="e">
        <f t="shared" si="0"/>
        <v>#DIV/0!</v>
      </c>
      <c r="I50" s="23" t="e">
        <f t="shared" si="1"/>
        <v>#DIV/0!</v>
      </c>
      <c r="J50" s="23">
        <f t="shared" si="9"/>
        <v>0</v>
      </c>
      <c r="K50" s="23">
        <f t="shared" si="2"/>
        <v>0</v>
      </c>
      <c r="L50" s="23">
        <f t="shared" si="3"/>
        <v>0</v>
      </c>
      <c r="M50" s="23">
        <f t="shared" si="4"/>
        <v>0</v>
      </c>
      <c r="N50" s="23">
        <f t="shared" si="5"/>
        <v>0</v>
      </c>
      <c r="O50" s="23">
        <f t="shared" si="6"/>
        <v>0</v>
      </c>
      <c r="R50" s="17">
        <v>9</v>
      </c>
      <c r="S50" s="41"/>
      <c r="T50" s="41"/>
      <c r="U50" s="41"/>
      <c r="V50" s="41"/>
      <c r="W50" s="41"/>
      <c r="X50" s="23" t="e">
        <f t="shared" si="7"/>
        <v>#DIV/0!</v>
      </c>
      <c r="Y50" s="23" t="e">
        <f t="shared" si="8"/>
        <v>#DIV/0!</v>
      </c>
      <c r="Z50" s="23">
        <f t="shared" si="10"/>
        <v>0</v>
      </c>
      <c r="AA50" s="23">
        <f t="shared" si="11"/>
        <v>0</v>
      </c>
      <c r="AB50" s="23">
        <f t="shared" si="12"/>
        <v>0</v>
      </c>
      <c r="AC50" s="23">
        <f t="shared" si="13"/>
        <v>0</v>
      </c>
      <c r="AD50" s="23">
        <f t="shared" si="14"/>
        <v>0</v>
      </c>
      <c r="AE50" s="23">
        <f t="shared" si="15"/>
        <v>0</v>
      </c>
    </row>
    <row r="51" spans="2:31" ht="14.25" customHeight="1" x14ac:dyDescent="0.25">
      <c r="B51" s="17">
        <v>10</v>
      </c>
      <c r="C51" s="41"/>
      <c r="D51" s="41"/>
      <c r="E51" s="41"/>
      <c r="F51" s="41"/>
      <c r="G51" s="41"/>
      <c r="H51" s="23" t="e">
        <f t="shared" si="0"/>
        <v>#DIV/0!</v>
      </c>
      <c r="I51" s="23" t="e">
        <f t="shared" si="1"/>
        <v>#DIV/0!</v>
      </c>
      <c r="J51" s="23">
        <f t="shared" si="9"/>
        <v>0</v>
      </c>
      <c r="K51" s="23">
        <f t="shared" si="2"/>
        <v>0</v>
      </c>
      <c r="L51" s="23">
        <f t="shared" si="3"/>
        <v>0</v>
      </c>
      <c r="M51" s="23">
        <f t="shared" si="4"/>
        <v>0</v>
      </c>
      <c r="N51" s="23">
        <f t="shared" si="5"/>
        <v>0</v>
      </c>
      <c r="O51" s="23">
        <f t="shared" si="6"/>
        <v>0</v>
      </c>
      <c r="R51" s="17">
        <v>10</v>
      </c>
      <c r="S51" s="41"/>
      <c r="T51" s="41"/>
      <c r="U51" s="41"/>
      <c r="V51" s="41"/>
      <c r="W51" s="41"/>
      <c r="X51" s="23" t="e">
        <f t="shared" si="7"/>
        <v>#DIV/0!</v>
      </c>
      <c r="Y51" s="23" t="e">
        <f t="shared" si="8"/>
        <v>#DIV/0!</v>
      </c>
      <c r="Z51" s="23">
        <f t="shared" si="10"/>
        <v>0</v>
      </c>
      <c r="AA51" s="23">
        <f t="shared" si="11"/>
        <v>0</v>
      </c>
      <c r="AB51" s="23">
        <f t="shared" si="12"/>
        <v>0</v>
      </c>
      <c r="AC51" s="23">
        <f t="shared" si="13"/>
        <v>0</v>
      </c>
      <c r="AD51" s="23">
        <f t="shared" si="14"/>
        <v>0</v>
      </c>
      <c r="AE51" s="23">
        <f t="shared" si="15"/>
        <v>0</v>
      </c>
    </row>
    <row r="52" spans="2:31" ht="14.25" customHeight="1" x14ac:dyDescent="0.25">
      <c r="B52" s="17">
        <v>11</v>
      </c>
      <c r="C52" s="41"/>
      <c r="D52" s="41"/>
      <c r="E52" s="41"/>
      <c r="F52" s="41"/>
      <c r="G52" s="41"/>
      <c r="H52" s="23" t="e">
        <f t="shared" si="0"/>
        <v>#DIV/0!</v>
      </c>
      <c r="I52" s="23" t="e">
        <f t="shared" si="1"/>
        <v>#DIV/0!</v>
      </c>
      <c r="J52" s="23">
        <f t="shared" si="9"/>
        <v>0</v>
      </c>
      <c r="K52" s="23">
        <f t="shared" si="2"/>
        <v>0</v>
      </c>
      <c r="L52" s="23">
        <f t="shared" si="3"/>
        <v>0</v>
      </c>
      <c r="M52" s="23">
        <f t="shared" si="4"/>
        <v>0</v>
      </c>
      <c r="N52" s="23">
        <f t="shared" si="5"/>
        <v>0</v>
      </c>
      <c r="O52" s="23">
        <f t="shared" si="6"/>
        <v>0</v>
      </c>
      <c r="R52" s="17">
        <v>11</v>
      </c>
      <c r="S52" s="41"/>
      <c r="T52" s="41"/>
      <c r="U52" s="41"/>
      <c r="V52" s="41"/>
      <c r="W52" s="41"/>
      <c r="X52" s="23" t="e">
        <f t="shared" si="7"/>
        <v>#DIV/0!</v>
      </c>
      <c r="Y52" s="23" t="e">
        <f t="shared" si="8"/>
        <v>#DIV/0!</v>
      </c>
      <c r="Z52" s="23">
        <f t="shared" si="10"/>
        <v>0</v>
      </c>
      <c r="AA52" s="23">
        <f t="shared" si="11"/>
        <v>0</v>
      </c>
      <c r="AB52" s="23">
        <f t="shared" si="12"/>
        <v>0</v>
      </c>
      <c r="AC52" s="23">
        <f t="shared" si="13"/>
        <v>0</v>
      </c>
      <c r="AD52" s="23">
        <f t="shared" si="14"/>
        <v>0</v>
      </c>
      <c r="AE52" s="23">
        <f t="shared" si="15"/>
        <v>0</v>
      </c>
    </row>
    <row r="53" spans="2:31" ht="14.25" customHeight="1" x14ac:dyDescent="0.25">
      <c r="B53" s="17">
        <v>12</v>
      </c>
      <c r="C53" s="41"/>
      <c r="D53" s="41"/>
      <c r="E53" s="41"/>
      <c r="F53" s="41"/>
      <c r="G53" s="41"/>
      <c r="H53" s="23" t="e">
        <f t="shared" si="0"/>
        <v>#DIV/0!</v>
      </c>
      <c r="I53" s="23" t="e">
        <f t="shared" si="1"/>
        <v>#DIV/0!</v>
      </c>
      <c r="J53" s="23">
        <f t="shared" si="9"/>
        <v>0</v>
      </c>
      <c r="K53" s="23">
        <f t="shared" si="2"/>
        <v>0</v>
      </c>
      <c r="L53" s="23">
        <f t="shared" si="3"/>
        <v>0</v>
      </c>
      <c r="M53" s="23">
        <f t="shared" si="4"/>
        <v>0</v>
      </c>
      <c r="N53" s="23">
        <f t="shared" si="5"/>
        <v>0</v>
      </c>
      <c r="O53" s="23">
        <f t="shared" si="6"/>
        <v>0</v>
      </c>
      <c r="R53" s="17">
        <v>12</v>
      </c>
      <c r="S53" s="41"/>
      <c r="T53" s="41"/>
      <c r="U53" s="41"/>
      <c r="V53" s="41"/>
      <c r="W53" s="41"/>
      <c r="X53" s="23" t="e">
        <f t="shared" si="7"/>
        <v>#DIV/0!</v>
      </c>
      <c r="Y53" s="23" t="e">
        <f t="shared" si="8"/>
        <v>#DIV/0!</v>
      </c>
      <c r="Z53" s="23">
        <f t="shared" si="10"/>
        <v>0</v>
      </c>
      <c r="AA53" s="23">
        <f t="shared" si="11"/>
        <v>0</v>
      </c>
      <c r="AB53" s="23">
        <f t="shared" si="12"/>
        <v>0</v>
      </c>
      <c r="AC53" s="23">
        <f t="shared" si="13"/>
        <v>0</v>
      </c>
      <c r="AD53" s="23">
        <f t="shared" si="14"/>
        <v>0</v>
      </c>
      <c r="AE53" s="23">
        <f t="shared" si="15"/>
        <v>0</v>
      </c>
    </row>
    <row r="54" spans="2:31" ht="14.25" customHeight="1" x14ac:dyDescent="0.25">
      <c r="B54" s="17">
        <v>13</v>
      </c>
      <c r="C54" s="41"/>
      <c r="D54" s="41"/>
      <c r="E54" s="41"/>
      <c r="F54" s="41"/>
      <c r="G54" s="41"/>
      <c r="H54" s="23" t="e">
        <f t="shared" si="0"/>
        <v>#DIV/0!</v>
      </c>
      <c r="I54" s="23" t="e">
        <f t="shared" si="1"/>
        <v>#DIV/0!</v>
      </c>
      <c r="J54" s="23">
        <f t="shared" si="9"/>
        <v>0</v>
      </c>
      <c r="K54" s="23">
        <f t="shared" si="2"/>
        <v>0</v>
      </c>
      <c r="L54" s="23">
        <f t="shared" si="3"/>
        <v>0</v>
      </c>
      <c r="M54" s="23">
        <f t="shared" si="4"/>
        <v>0</v>
      </c>
      <c r="N54" s="23">
        <f t="shared" si="5"/>
        <v>0</v>
      </c>
      <c r="O54" s="23">
        <f t="shared" si="6"/>
        <v>0</v>
      </c>
      <c r="R54" s="17">
        <v>13</v>
      </c>
      <c r="S54" s="41"/>
      <c r="T54" s="41"/>
      <c r="U54" s="41"/>
      <c r="V54" s="41"/>
      <c r="W54" s="41"/>
      <c r="X54" s="23" t="e">
        <f t="shared" si="7"/>
        <v>#DIV/0!</v>
      </c>
      <c r="Y54" s="23" t="e">
        <f t="shared" si="8"/>
        <v>#DIV/0!</v>
      </c>
      <c r="Z54" s="23">
        <f t="shared" si="10"/>
        <v>0</v>
      </c>
      <c r="AA54" s="23">
        <f t="shared" si="11"/>
        <v>0</v>
      </c>
      <c r="AB54" s="23">
        <f t="shared" si="12"/>
        <v>0</v>
      </c>
      <c r="AC54" s="23">
        <f t="shared" si="13"/>
        <v>0</v>
      </c>
      <c r="AD54" s="23">
        <f t="shared" si="14"/>
        <v>0</v>
      </c>
      <c r="AE54" s="23">
        <f t="shared" si="15"/>
        <v>0</v>
      </c>
    </row>
    <row r="55" spans="2:31" ht="14.25" customHeight="1" x14ac:dyDescent="0.25">
      <c r="B55" s="17">
        <v>14</v>
      </c>
      <c r="C55" s="41"/>
      <c r="D55" s="41"/>
      <c r="E55" s="41"/>
      <c r="F55" s="41"/>
      <c r="G55" s="41"/>
      <c r="H55" s="23" t="e">
        <f t="shared" si="0"/>
        <v>#DIV/0!</v>
      </c>
      <c r="I55" s="23" t="e">
        <f t="shared" si="1"/>
        <v>#DIV/0!</v>
      </c>
      <c r="J55" s="23">
        <f t="shared" si="9"/>
        <v>0</v>
      </c>
      <c r="K55" s="23">
        <f t="shared" si="2"/>
        <v>0</v>
      </c>
      <c r="L55" s="23">
        <f t="shared" si="3"/>
        <v>0</v>
      </c>
      <c r="M55" s="23">
        <f t="shared" si="4"/>
        <v>0</v>
      </c>
      <c r="N55" s="23">
        <f t="shared" si="5"/>
        <v>0</v>
      </c>
      <c r="O55" s="23">
        <f t="shared" si="6"/>
        <v>0</v>
      </c>
      <c r="R55" s="17">
        <v>14</v>
      </c>
      <c r="S55" s="41"/>
      <c r="T55" s="41"/>
      <c r="U55" s="41"/>
      <c r="V55" s="41"/>
      <c r="W55" s="41"/>
      <c r="X55" s="23" t="e">
        <f t="shared" si="7"/>
        <v>#DIV/0!</v>
      </c>
      <c r="Y55" s="23" t="e">
        <f t="shared" si="8"/>
        <v>#DIV/0!</v>
      </c>
      <c r="Z55" s="23">
        <f t="shared" si="10"/>
        <v>0</v>
      </c>
      <c r="AA55" s="23">
        <f t="shared" si="11"/>
        <v>0</v>
      </c>
      <c r="AB55" s="23">
        <f t="shared" si="12"/>
        <v>0</v>
      </c>
      <c r="AC55" s="23">
        <f t="shared" si="13"/>
        <v>0</v>
      </c>
      <c r="AD55" s="23">
        <f t="shared" si="14"/>
        <v>0</v>
      </c>
      <c r="AE55" s="23">
        <f t="shared" si="15"/>
        <v>0</v>
      </c>
    </row>
    <row r="56" spans="2:31" ht="14.25" customHeight="1" x14ac:dyDescent="0.25">
      <c r="B56" s="17">
        <v>15</v>
      </c>
      <c r="C56" s="41"/>
      <c r="D56" s="41"/>
      <c r="E56" s="41"/>
      <c r="F56" s="41"/>
      <c r="G56" s="41"/>
      <c r="H56" s="23" t="e">
        <f t="shared" si="0"/>
        <v>#DIV/0!</v>
      </c>
      <c r="I56" s="23" t="e">
        <f t="shared" si="1"/>
        <v>#DIV/0!</v>
      </c>
      <c r="J56" s="23">
        <f t="shared" si="9"/>
        <v>0</v>
      </c>
      <c r="K56" s="23">
        <f t="shared" si="2"/>
        <v>0</v>
      </c>
      <c r="L56" s="23">
        <f t="shared" si="3"/>
        <v>0</v>
      </c>
      <c r="M56" s="23">
        <f t="shared" si="4"/>
        <v>0</v>
      </c>
      <c r="N56" s="23">
        <f t="shared" si="5"/>
        <v>0</v>
      </c>
      <c r="O56" s="23">
        <f t="shared" si="6"/>
        <v>0</v>
      </c>
      <c r="R56" s="17">
        <v>15</v>
      </c>
      <c r="S56" s="41"/>
      <c r="T56" s="41"/>
      <c r="U56" s="41"/>
      <c r="V56" s="41"/>
      <c r="W56" s="41"/>
      <c r="X56" s="23" t="e">
        <f t="shared" si="7"/>
        <v>#DIV/0!</v>
      </c>
      <c r="Y56" s="23" t="e">
        <f t="shared" si="8"/>
        <v>#DIV/0!</v>
      </c>
      <c r="Z56" s="23">
        <f t="shared" si="10"/>
        <v>0</v>
      </c>
      <c r="AA56" s="23">
        <f t="shared" si="11"/>
        <v>0</v>
      </c>
      <c r="AB56" s="23">
        <f t="shared" si="12"/>
        <v>0</v>
      </c>
      <c r="AC56" s="23">
        <f t="shared" si="13"/>
        <v>0</v>
      </c>
      <c r="AD56" s="23">
        <f t="shared" si="14"/>
        <v>0</v>
      </c>
      <c r="AE56" s="23">
        <f t="shared" si="15"/>
        <v>0</v>
      </c>
    </row>
    <row r="57" spans="2:31" ht="14.25" customHeight="1" x14ac:dyDescent="0.25">
      <c r="B57" s="17">
        <v>16</v>
      </c>
      <c r="C57" s="41"/>
      <c r="D57" s="41"/>
      <c r="E57" s="41"/>
      <c r="F57" s="41"/>
      <c r="G57" s="41"/>
      <c r="H57" s="23" t="e">
        <f t="shared" si="0"/>
        <v>#DIV/0!</v>
      </c>
      <c r="I57" s="23" t="e">
        <f t="shared" si="1"/>
        <v>#DIV/0!</v>
      </c>
      <c r="J57" s="23">
        <f t="shared" si="9"/>
        <v>0</v>
      </c>
      <c r="K57" s="23">
        <f t="shared" si="2"/>
        <v>0</v>
      </c>
      <c r="L57" s="23">
        <f t="shared" si="3"/>
        <v>0</v>
      </c>
      <c r="M57" s="23">
        <f t="shared" si="4"/>
        <v>0</v>
      </c>
      <c r="N57" s="23">
        <f t="shared" si="5"/>
        <v>0</v>
      </c>
      <c r="O57" s="23">
        <f t="shared" si="6"/>
        <v>0</v>
      </c>
      <c r="R57" s="17">
        <v>16</v>
      </c>
      <c r="S57" s="41"/>
      <c r="T57" s="41"/>
      <c r="U57" s="41"/>
      <c r="V57" s="41"/>
      <c r="W57" s="41"/>
      <c r="X57" s="23" t="e">
        <f t="shared" si="7"/>
        <v>#DIV/0!</v>
      </c>
      <c r="Y57" s="23" t="e">
        <f t="shared" si="8"/>
        <v>#DIV/0!</v>
      </c>
      <c r="Z57" s="23">
        <f t="shared" si="10"/>
        <v>0</v>
      </c>
      <c r="AA57" s="23">
        <f t="shared" si="11"/>
        <v>0</v>
      </c>
      <c r="AB57" s="23">
        <f t="shared" si="12"/>
        <v>0</v>
      </c>
      <c r="AC57" s="23">
        <f t="shared" si="13"/>
        <v>0</v>
      </c>
      <c r="AD57" s="23">
        <f t="shared" si="14"/>
        <v>0</v>
      </c>
      <c r="AE57" s="23">
        <f t="shared" si="15"/>
        <v>0</v>
      </c>
    </row>
    <row r="58" spans="2:31" ht="14.25" customHeight="1" x14ac:dyDescent="0.25">
      <c r="B58" s="17">
        <v>17</v>
      </c>
      <c r="C58" s="41"/>
      <c r="D58" s="41"/>
      <c r="E58" s="41"/>
      <c r="F58" s="41"/>
      <c r="G58" s="41"/>
      <c r="H58" s="23" t="e">
        <f t="shared" si="0"/>
        <v>#DIV/0!</v>
      </c>
      <c r="I58" s="23" t="e">
        <f t="shared" si="1"/>
        <v>#DIV/0!</v>
      </c>
      <c r="J58" s="23">
        <f t="shared" si="9"/>
        <v>0</v>
      </c>
      <c r="K58" s="23">
        <f t="shared" si="2"/>
        <v>0</v>
      </c>
      <c r="L58" s="23">
        <f t="shared" si="3"/>
        <v>0</v>
      </c>
      <c r="M58" s="23">
        <f t="shared" si="4"/>
        <v>0</v>
      </c>
      <c r="N58" s="23">
        <f t="shared" si="5"/>
        <v>0</v>
      </c>
      <c r="O58" s="23">
        <f t="shared" si="6"/>
        <v>0</v>
      </c>
      <c r="R58" s="17">
        <v>17</v>
      </c>
      <c r="S58" s="41"/>
      <c r="T58" s="41"/>
      <c r="U58" s="41"/>
      <c r="V58" s="41"/>
      <c r="W58" s="41"/>
      <c r="X58" s="23" t="e">
        <f t="shared" si="7"/>
        <v>#DIV/0!</v>
      </c>
      <c r="Y58" s="23" t="e">
        <f t="shared" si="8"/>
        <v>#DIV/0!</v>
      </c>
      <c r="Z58" s="23">
        <f t="shared" si="10"/>
        <v>0</v>
      </c>
      <c r="AA58" s="23">
        <f t="shared" si="11"/>
        <v>0</v>
      </c>
      <c r="AB58" s="23">
        <f t="shared" si="12"/>
        <v>0</v>
      </c>
      <c r="AC58" s="23">
        <f t="shared" si="13"/>
        <v>0</v>
      </c>
      <c r="AD58" s="23">
        <f t="shared" si="14"/>
        <v>0</v>
      </c>
      <c r="AE58" s="23">
        <f t="shared" si="15"/>
        <v>0</v>
      </c>
    </row>
    <row r="59" spans="2:31" ht="14.25" customHeight="1" x14ac:dyDescent="0.25">
      <c r="B59" s="17">
        <v>18</v>
      </c>
      <c r="C59" s="41"/>
      <c r="D59" s="41"/>
      <c r="E59" s="41"/>
      <c r="F59" s="41"/>
      <c r="G59" s="41"/>
      <c r="H59" s="23" t="e">
        <f t="shared" si="0"/>
        <v>#DIV/0!</v>
      </c>
      <c r="I59" s="23" t="e">
        <f t="shared" si="1"/>
        <v>#DIV/0!</v>
      </c>
      <c r="J59" s="23">
        <f t="shared" si="9"/>
        <v>0</v>
      </c>
      <c r="K59" s="23">
        <f t="shared" si="2"/>
        <v>0</v>
      </c>
      <c r="L59" s="23">
        <f t="shared" si="3"/>
        <v>0</v>
      </c>
      <c r="M59" s="23">
        <f t="shared" si="4"/>
        <v>0</v>
      </c>
      <c r="N59" s="23">
        <f t="shared" si="5"/>
        <v>0</v>
      </c>
      <c r="O59" s="23">
        <f t="shared" si="6"/>
        <v>0</v>
      </c>
      <c r="R59" s="17">
        <v>18</v>
      </c>
      <c r="S59" s="41"/>
      <c r="T59" s="41"/>
      <c r="U59" s="41"/>
      <c r="V59" s="41"/>
      <c r="W59" s="41"/>
      <c r="X59" s="23" t="e">
        <f t="shared" si="7"/>
        <v>#DIV/0!</v>
      </c>
      <c r="Y59" s="23" t="e">
        <f t="shared" si="8"/>
        <v>#DIV/0!</v>
      </c>
      <c r="Z59" s="23">
        <f t="shared" si="10"/>
        <v>0</v>
      </c>
      <c r="AA59" s="23">
        <f t="shared" si="11"/>
        <v>0</v>
      </c>
      <c r="AB59" s="23">
        <f t="shared" si="12"/>
        <v>0</v>
      </c>
      <c r="AC59" s="23">
        <f t="shared" si="13"/>
        <v>0</v>
      </c>
      <c r="AD59" s="23">
        <f t="shared" si="14"/>
        <v>0</v>
      </c>
      <c r="AE59" s="23">
        <f t="shared" si="15"/>
        <v>0</v>
      </c>
    </row>
    <row r="60" spans="2:31" ht="14.25" customHeight="1" x14ac:dyDescent="0.25">
      <c r="B60" s="17">
        <v>19</v>
      </c>
      <c r="C60" s="41"/>
      <c r="D60" s="41"/>
      <c r="E60" s="41"/>
      <c r="F60" s="41"/>
      <c r="G60" s="41"/>
      <c r="H60" s="23" t="e">
        <f t="shared" si="0"/>
        <v>#DIV/0!</v>
      </c>
      <c r="I60" s="23" t="e">
        <f t="shared" si="1"/>
        <v>#DIV/0!</v>
      </c>
      <c r="J60" s="23">
        <f t="shared" si="9"/>
        <v>0</v>
      </c>
      <c r="K60" s="23">
        <f t="shared" si="2"/>
        <v>0</v>
      </c>
      <c r="L60" s="23">
        <f t="shared" si="3"/>
        <v>0</v>
      </c>
      <c r="M60" s="23">
        <f t="shared" si="4"/>
        <v>0</v>
      </c>
      <c r="N60" s="23">
        <f t="shared" si="5"/>
        <v>0</v>
      </c>
      <c r="O60" s="23">
        <f t="shared" si="6"/>
        <v>0</v>
      </c>
      <c r="R60" s="17">
        <v>19</v>
      </c>
      <c r="S60" s="41"/>
      <c r="T60" s="41"/>
      <c r="U60" s="41"/>
      <c r="V60" s="41"/>
      <c r="W60" s="41"/>
      <c r="X60" s="23" t="e">
        <f t="shared" si="7"/>
        <v>#DIV/0!</v>
      </c>
      <c r="Y60" s="23" t="e">
        <f t="shared" si="8"/>
        <v>#DIV/0!</v>
      </c>
      <c r="Z60" s="23">
        <f t="shared" si="10"/>
        <v>0</v>
      </c>
      <c r="AA60" s="23">
        <f t="shared" si="11"/>
        <v>0</v>
      </c>
      <c r="AB60" s="23">
        <f t="shared" si="12"/>
        <v>0</v>
      </c>
      <c r="AC60" s="23">
        <f t="shared" si="13"/>
        <v>0</v>
      </c>
      <c r="AD60" s="23">
        <f t="shared" si="14"/>
        <v>0</v>
      </c>
      <c r="AE60" s="23">
        <f t="shared" si="15"/>
        <v>0</v>
      </c>
    </row>
    <row r="61" spans="2:31" ht="14.25" customHeight="1" x14ac:dyDescent="0.25">
      <c r="B61" s="17">
        <v>20</v>
      </c>
      <c r="C61" s="41"/>
      <c r="D61" s="41"/>
      <c r="E61" s="41"/>
      <c r="F61" s="41"/>
      <c r="G61" s="41"/>
      <c r="H61" s="23" t="e">
        <f t="shared" si="0"/>
        <v>#DIV/0!</v>
      </c>
      <c r="I61" s="23" t="e">
        <f t="shared" si="1"/>
        <v>#DIV/0!</v>
      </c>
      <c r="J61" s="23">
        <f t="shared" si="9"/>
        <v>0</v>
      </c>
      <c r="K61" s="23">
        <f t="shared" si="2"/>
        <v>0</v>
      </c>
      <c r="L61" s="23">
        <f t="shared" si="3"/>
        <v>0</v>
      </c>
      <c r="M61" s="23">
        <f t="shared" si="4"/>
        <v>0</v>
      </c>
      <c r="N61" s="23">
        <f t="shared" si="5"/>
        <v>0</v>
      </c>
      <c r="O61" s="23">
        <f t="shared" si="6"/>
        <v>0</v>
      </c>
      <c r="R61" s="17">
        <v>20</v>
      </c>
      <c r="S61" s="41"/>
      <c r="T61" s="41"/>
      <c r="U61" s="41"/>
      <c r="V61" s="41"/>
      <c r="W61" s="41"/>
      <c r="X61" s="23" t="e">
        <f t="shared" si="7"/>
        <v>#DIV/0!</v>
      </c>
      <c r="Y61" s="23" t="e">
        <f t="shared" si="8"/>
        <v>#DIV/0!</v>
      </c>
      <c r="Z61" s="23">
        <f t="shared" si="10"/>
        <v>0</v>
      </c>
      <c r="AA61" s="23">
        <f t="shared" si="11"/>
        <v>0</v>
      </c>
      <c r="AB61" s="23">
        <f t="shared" si="12"/>
        <v>0</v>
      </c>
      <c r="AC61" s="23">
        <f t="shared" si="13"/>
        <v>0</v>
      </c>
      <c r="AD61" s="23">
        <f t="shared" si="14"/>
        <v>0</v>
      </c>
      <c r="AE61" s="23">
        <f t="shared" si="15"/>
        <v>0</v>
      </c>
    </row>
    <row r="62" spans="2:31" ht="14.25" customHeight="1" x14ac:dyDescent="0.25">
      <c r="B62" s="17">
        <v>21</v>
      </c>
      <c r="C62" s="41"/>
      <c r="D62" s="41"/>
      <c r="E62" s="41"/>
      <c r="F62" s="41"/>
      <c r="G62" s="41"/>
      <c r="H62" s="23" t="e">
        <f t="shared" si="0"/>
        <v>#DIV/0!</v>
      </c>
      <c r="I62" s="23" t="e">
        <f t="shared" si="1"/>
        <v>#DIV/0!</v>
      </c>
      <c r="J62" s="23">
        <f t="shared" si="9"/>
        <v>0</v>
      </c>
      <c r="K62" s="23">
        <f t="shared" si="2"/>
        <v>0</v>
      </c>
      <c r="L62" s="23">
        <f t="shared" si="3"/>
        <v>0</v>
      </c>
      <c r="M62" s="23">
        <f t="shared" si="4"/>
        <v>0</v>
      </c>
      <c r="N62" s="23">
        <f t="shared" si="5"/>
        <v>0</v>
      </c>
      <c r="O62" s="23">
        <f t="shared" si="6"/>
        <v>0</v>
      </c>
      <c r="R62" s="17">
        <v>21</v>
      </c>
      <c r="S62" s="41"/>
      <c r="T62" s="41"/>
      <c r="U62" s="41"/>
      <c r="V62" s="41"/>
      <c r="W62" s="41"/>
      <c r="X62" s="23" t="e">
        <f t="shared" si="7"/>
        <v>#DIV/0!</v>
      </c>
      <c r="Y62" s="23" t="e">
        <f t="shared" si="8"/>
        <v>#DIV/0!</v>
      </c>
      <c r="Z62" s="23">
        <f t="shared" si="10"/>
        <v>0</v>
      </c>
      <c r="AA62" s="23">
        <f t="shared" si="11"/>
        <v>0</v>
      </c>
      <c r="AB62" s="23">
        <f t="shared" si="12"/>
        <v>0</v>
      </c>
      <c r="AC62" s="23">
        <f t="shared" si="13"/>
        <v>0</v>
      </c>
      <c r="AD62" s="23">
        <f t="shared" si="14"/>
        <v>0</v>
      </c>
      <c r="AE62" s="23">
        <f t="shared" si="15"/>
        <v>0</v>
      </c>
    </row>
    <row r="63" spans="2:31" ht="14.25" customHeight="1" x14ac:dyDescent="0.25">
      <c r="B63" s="17">
        <v>22</v>
      </c>
      <c r="C63" s="41"/>
      <c r="D63" s="41"/>
      <c r="E63" s="41"/>
      <c r="F63" s="41"/>
      <c r="G63" s="41"/>
      <c r="H63" s="23" t="e">
        <f t="shared" si="0"/>
        <v>#DIV/0!</v>
      </c>
      <c r="I63" s="23" t="e">
        <f t="shared" si="1"/>
        <v>#DIV/0!</v>
      </c>
      <c r="J63" s="23">
        <f t="shared" si="9"/>
        <v>0</v>
      </c>
      <c r="K63" s="23">
        <f t="shared" si="2"/>
        <v>0</v>
      </c>
      <c r="L63" s="23">
        <f t="shared" si="3"/>
        <v>0</v>
      </c>
      <c r="M63" s="23">
        <f t="shared" si="4"/>
        <v>0</v>
      </c>
      <c r="N63" s="23">
        <f t="shared" si="5"/>
        <v>0</v>
      </c>
      <c r="O63" s="23">
        <f t="shared" si="6"/>
        <v>0</v>
      </c>
      <c r="R63" s="17">
        <v>22</v>
      </c>
      <c r="S63" s="41"/>
      <c r="T63" s="41"/>
      <c r="U63" s="41"/>
      <c r="V63" s="41"/>
      <c r="W63" s="41"/>
      <c r="X63" s="23" t="e">
        <f t="shared" si="7"/>
        <v>#DIV/0!</v>
      </c>
      <c r="Y63" s="23" t="e">
        <f t="shared" si="8"/>
        <v>#DIV/0!</v>
      </c>
      <c r="Z63" s="23">
        <f t="shared" si="10"/>
        <v>0</v>
      </c>
      <c r="AA63" s="23">
        <f t="shared" si="11"/>
        <v>0</v>
      </c>
      <c r="AB63" s="23">
        <f t="shared" si="12"/>
        <v>0</v>
      </c>
      <c r="AC63" s="23">
        <f t="shared" si="13"/>
        <v>0</v>
      </c>
      <c r="AD63" s="23">
        <f t="shared" si="14"/>
        <v>0</v>
      </c>
      <c r="AE63" s="23">
        <f t="shared" si="15"/>
        <v>0</v>
      </c>
    </row>
    <row r="64" spans="2:31" ht="14.25" customHeight="1" x14ac:dyDescent="0.25">
      <c r="B64" s="17">
        <v>23</v>
      </c>
      <c r="C64" s="41"/>
      <c r="D64" s="41"/>
      <c r="E64" s="41"/>
      <c r="F64" s="41"/>
      <c r="G64" s="41"/>
      <c r="H64" s="23" t="e">
        <f t="shared" si="0"/>
        <v>#DIV/0!</v>
      </c>
      <c r="I64" s="23" t="e">
        <f t="shared" si="1"/>
        <v>#DIV/0!</v>
      </c>
      <c r="J64" s="23">
        <f t="shared" si="9"/>
        <v>0</v>
      </c>
      <c r="K64" s="23">
        <f t="shared" si="2"/>
        <v>0</v>
      </c>
      <c r="L64" s="23">
        <f t="shared" si="3"/>
        <v>0</v>
      </c>
      <c r="M64" s="23">
        <f t="shared" si="4"/>
        <v>0</v>
      </c>
      <c r="N64" s="23">
        <f t="shared" si="5"/>
        <v>0</v>
      </c>
      <c r="O64" s="23">
        <f t="shared" si="6"/>
        <v>0</v>
      </c>
      <c r="R64" s="17">
        <v>23</v>
      </c>
      <c r="S64" s="41"/>
      <c r="T64" s="41"/>
      <c r="U64" s="41"/>
      <c r="V64" s="41"/>
      <c r="W64" s="41"/>
      <c r="X64" s="23" t="e">
        <f t="shared" si="7"/>
        <v>#DIV/0!</v>
      </c>
      <c r="Y64" s="23" t="e">
        <f t="shared" si="8"/>
        <v>#DIV/0!</v>
      </c>
      <c r="Z64" s="23">
        <f t="shared" si="10"/>
        <v>0</v>
      </c>
      <c r="AA64" s="23">
        <f t="shared" si="11"/>
        <v>0</v>
      </c>
      <c r="AB64" s="23">
        <f t="shared" si="12"/>
        <v>0</v>
      </c>
      <c r="AC64" s="23">
        <f t="shared" si="13"/>
        <v>0</v>
      </c>
      <c r="AD64" s="23">
        <f t="shared" si="14"/>
        <v>0</v>
      </c>
      <c r="AE64" s="23">
        <f t="shared" si="15"/>
        <v>0</v>
      </c>
    </row>
    <row r="65" spans="2:31" ht="14.25" customHeight="1" x14ac:dyDescent="0.25">
      <c r="B65" s="17">
        <v>24</v>
      </c>
      <c r="C65" s="41"/>
      <c r="D65" s="41"/>
      <c r="E65" s="41"/>
      <c r="F65" s="41"/>
      <c r="G65" s="41"/>
      <c r="H65" s="23" t="e">
        <f t="shared" si="0"/>
        <v>#DIV/0!</v>
      </c>
      <c r="I65" s="23" t="e">
        <f t="shared" si="1"/>
        <v>#DIV/0!</v>
      </c>
      <c r="J65" s="23">
        <f t="shared" si="9"/>
        <v>0</v>
      </c>
      <c r="K65" s="23">
        <f t="shared" si="2"/>
        <v>0</v>
      </c>
      <c r="L65" s="23">
        <f t="shared" si="3"/>
        <v>0</v>
      </c>
      <c r="M65" s="23">
        <f t="shared" si="4"/>
        <v>0</v>
      </c>
      <c r="N65" s="23">
        <f t="shared" si="5"/>
        <v>0</v>
      </c>
      <c r="O65" s="23">
        <f t="shared" si="6"/>
        <v>0</v>
      </c>
      <c r="R65" s="17">
        <v>24</v>
      </c>
      <c r="S65" s="41"/>
      <c r="T65" s="41"/>
      <c r="U65" s="41"/>
      <c r="V65" s="41"/>
      <c r="W65" s="41"/>
      <c r="X65" s="23" t="e">
        <f t="shared" si="7"/>
        <v>#DIV/0!</v>
      </c>
      <c r="Y65" s="23" t="e">
        <f t="shared" si="8"/>
        <v>#DIV/0!</v>
      </c>
      <c r="Z65" s="23">
        <f t="shared" si="10"/>
        <v>0</v>
      </c>
      <c r="AA65" s="23">
        <f t="shared" si="11"/>
        <v>0</v>
      </c>
      <c r="AB65" s="23">
        <f t="shared" si="12"/>
        <v>0</v>
      </c>
      <c r="AC65" s="23">
        <f t="shared" si="13"/>
        <v>0</v>
      </c>
      <c r="AD65" s="23">
        <f t="shared" si="14"/>
        <v>0</v>
      </c>
      <c r="AE65" s="23">
        <f t="shared" si="15"/>
        <v>0</v>
      </c>
    </row>
    <row r="66" spans="2:31" ht="14.25" customHeight="1" x14ac:dyDescent="0.25">
      <c r="B66" s="17">
        <v>25</v>
      </c>
      <c r="C66" s="41"/>
      <c r="D66" s="41"/>
      <c r="E66" s="41"/>
      <c r="F66" s="41"/>
      <c r="G66" s="41"/>
      <c r="H66" s="23" t="e">
        <f t="shared" si="0"/>
        <v>#DIV/0!</v>
      </c>
      <c r="I66" s="23" t="e">
        <f t="shared" si="1"/>
        <v>#DIV/0!</v>
      </c>
      <c r="J66" s="23">
        <f t="shared" si="9"/>
        <v>0</v>
      </c>
      <c r="K66" s="23">
        <f t="shared" si="2"/>
        <v>0</v>
      </c>
      <c r="L66" s="23">
        <f t="shared" si="3"/>
        <v>0</v>
      </c>
      <c r="M66" s="23">
        <f t="shared" si="4"/>
        <v>0</v>
      </c>
      <c r="N66" s="23">
        <f t="shared" si="5"/>
        <v>0</v>
      </c>
      <c r="O66" s="23">
        <f t="shared" si="6"/>
        <v>0</v>
      </c>
      <c r="R66" s="17">
        <v>25</v>
      </c>
    </row>
    <row r="67" spans="2:31" ht="14.25" customHeight="1" x14ac:dyDescent="0.25">
      <c r="B67" s="42"/>
      <c r="C67" s="42"/>
      <c r="D67" s="42"/>
      <c r="E67" s="42"/>
      <c r="F67" s="42"/>
      <c r="G67" s="42"/>
      <c r="H67" s="42"/>
      <c r="I67" s="42"/>
      <c r="J67" s="42"/>
      <c r="K67" s="42"/>
      <c r="L67" s="42"/>
      <c r="M67" s="42"/>
      <c r="N67" s="42"/>
      <c r="O67" s="42"/>
      <c r="R67" s="42"/>
      <c r="S67" s="42"/>
      <c r="T67" s="42"/>
      <c r="U67" s="42"/>
      <c r="V67" s="42"/>
      <c r="W67" s="42"/>
      <c r="X67" s="42"/>
      <c r="Y67" s="42"/>
      <c r="Z67" s="42"/>
      <c r="AA67" s="42"/>
      <c r="AB67" s="42"/>
      <c r="AC67" s="42"/>
      <c r="AD67" s="42"/>
      <c r="AE67" s="42"/>
    </row>
    <row r="68" spans="2:31" ht="14.25" customHeight="1" x14ac:dyDescent="0.25"/>
    <row r="69" spans="2:31" ht="14.25" customHeight="1" x14ac:dyDescent="0.25"/>
    <row r="70" spans="2:31" ht="14.25" customHeight="1" x14ac:dyDescent="0.25"/>
    <row r="71" spans="2:31" ht="14.25" customHeight="1" x14ac:dyDescent="0.25"/>
    <row r="72" spans="2:31" ht="14.25" customHeight="1" x14ac:dyDescent="0.25"/>
    <row r="73" spans="2:31" ht="14.25" customHeight="1" x14ac:dyDescent="0.25"/>
    <row r="74" spans="2:31" ht="14.25" customHeight="1" x14ac:dyDescent="0.25"/>
    <row r="75" spans="2:31" ht="14.25" customHeight="1" x14ac:dyDescent="0.25"/>
    <row r="76" spans="2:31" ht="14.25" customHeight="1" x14ac:dyDescent="0.25"/>
    <row r="77" spans="2:31" ht="14.25" customHeight="1" x14ac:dyDescent="0.25"/>
    <row r="78" spans="2:31" ht="14.25" customHeight="1" x14ac:dyDescent="0.25"/>
    <row r="79" spans="2:31" ht="14.25" customHeight="1" x14ac:dyDescent="0.25"/>
    <row r="80" spans="2:31"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32">
    <mergeCell ref="B7:G7"/>
    <mergeCell ref="S2:X2"/>
    <mergeCell ref="C2:H2"/>
    <mergeCell ref="B4:G4"/>
    <mergeCell ref="B5:G5"/>
    <mergeCell ref="I5:N5"/>
    <mergeCell ref="B6:G6"/>
    <mergeCell ref="I7:N7"/>
    <mergeCell ref="I4:O4"/>
    <mergeCell ref="R4:W4"/>
    <mergeCell ref="Y7:AD7"/>
    <mergeCell ref="R8:W8"/>
    <mergeCell ref="Y8:AD8"/>
    <mergeCell ref="R9:W9"/>
    <mergeCell ref="R7:W7"/>
    <mergeCell ref="Y9:AD9"/>
    <mergeCell ref="Y4:AE4"/>
    <mergeCell ref="Y6:AD6"/>
    <mergeCell ref="R6:W6"/>
    <mergeCell ref="I6:N6"/>
    <mergeCell ref="Y5:AD5"/>
    <mergeCell ref="R5:W5"/>
    <mergeCell ref="R27:AE28"/>
    <mergeCell ref="C41:G41"/>
    <mergeCell ref="S41:W41"/>
    <mergeCell ref="B8:G8"/>
    <mergeCell ref="I8:N8"/>
    <mergeCell ref="B9:G9"/>
    <mergeCell ref="I9:N9"/>
    <mergeCell ref="B27:O28"/>
    <mergeCell ref="B29:B39"/>
    <mergeCell ref="R29:R39"/>
  </mergeCells>
  <conditionalFormatting sqref="X42:X65 H42:H66">
    <cfRule type="cellIs" dxfId="24" priority="1" operator="lessThan">
      <formula>$O$42</formula>
    </cfRule>
    <cfRule type="cellIs" dxfId="23" priority="2" operator="greaterThan">
      <formula>$N$42</formula>
    </cfRule>
  </conditionalFormatting>
  <conditionalFormatting sqref="Y42:Y65 I42:I66">
    <cfRule type="cellIs" dxfId="22" priority="3" operator="lessThan">
      <formula>$L$42</formula>
    </cfRule>
    <cfRule type="cellIs" dxfId="21" priority="4" operator="greaterThan">
      <formula>$K$42</formula>
    </cfRule>
  </conditionalFormatting>
  <pageMargins left="0.7" right="0.7" top="0.75" bottom="0.75" header="0" footer="0"/>
  <pageSetup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8193" r:id="rId3" name="Check Box 1">
              <controlPr defaultSize="0" autoFill="0" autoLine="0" autoPict="0">
                <anchor moveWithCells="1">
                  <from>
                    <xdr:col>7</xdr:col>
                    <xdr:colOff>66675</xdr:colOff>
                    <xdr:row>3</xdr:row>
                    <xdr:rowOff>180975</xdr:rowOff>
                  </from>
                  <to>
                    <xdr:col>7</xdr:col>
                    <xdr:colOff>790575</xdr:colOff>
                    <xdr:row>5</xdr:row>
                    <xdr:rowOff>28575</xdr:rowOff>
                  </to>
                </anchor>
              </controlPr>
            </control>
          </mc:Choice>
        </mc:AlternateContent>
        <mc:AlternateContent xmlns:mc="http://schemas.openxmlformats.org/markup-compatibility/2006">
          <mc:Choice Requires="x14">
            <control shapeId="8194" r:id="rId4" name="Check Box 2">
              <controlPr defaultSize="0" autoFill="0" autoLine="0" autoPict="0">
                <anchor moveWithCells="1">
                  <from>
                    <xdr:col>7</xdr:col>
                    <xdr:colOff>66675</xdr:colOff>
                    <xdr:row>4</xdr:row>
                    <xdr:rowOff>180975</xdr:rowOff>
                  </from>
                  <to>
                    <xdr:col>7</xdr:col>
                    <xdr:colOff>790575</xdr:colOff>
                    <xdr:row>6</xdr:row>
                    <xdr:rowOff>28575</xdr:rowOff>
                  </to>
                </anchor>
              </controlPr>
            </control>
          </mc:Choice>
        </mc:AlternateContent>
        <mc:AlternateContent xmlns:mc="http://schemas.openxmlformats.org/markup-compatibility/2006">
          <mc:Choice Requires="x14">
            <control shapeId="8195" r:id="rId5" name="Check Box 3">
              <controlPr defaultSize="0" autoFill="0" autoLine="0" autoPict="0">
                <anchor moveWithCells="1">
                  <from>
                    <xdr:col>7</xdr:col>
                    <xdr:colOff>66675</xdr:colOff>
                    <xdr:row>5</xdr:row>
                    <xdr:rowOff>180975</xdr:rowOff>
                  </from>
                  <to>
                    <xdr:col>7</xdr:col>
                    <xdr:colOff>790575</xdr:colOff>
                    <xdr:row>7</xdr:row>
                    <xdr:rowOff>28575</xdr:rowOff>
                  </to>
                </anchor>
              </controlPr>
            </control>
          </mc:Choice>
        </mc:AlternateContent>
        <mc:AlternateContent xmlns:mc="http://schemas.openxmlformats.org/markup-compatibility/2006">
          <mc:Choice Requires="x14">
            <control shapeId="8196" r:id="rId6" name="Check Box 4">
              <controlPr defaultSize="0" autoFill="0" autoLine="0" autoPict="0">
                <anchor moveWithCells="1">
                  <from>
                    <xdr:col>7</xdr:col>
                    <xdr:colOff>66675</xdr:colOff>
                    <xdr:row>6</xdr:row>
                    <xdr:rowOff>180975</xdr:rowOff>
                  </from>
                  <to>
                    <xdr:col>7</xdr:col>
                    <xdr:colOff>790575</xdr:colOff>
                    <xdr:row>8</xdr:row>
                    <xdr:rowOff>28575</xdr:rowOff>
                  </to>
                </anchor>
              </controlPr>
            </control>
          </mc:Choice>
        </mc:AlternateContent>
        <mc:AlternateContent xmlns:mc="http://schemas.openxmlformats.org/markup-compatibility/2006">
          <mc:Choice Requires="x14">
            <control shapeId="8197" r:id="rId7" name="Check Box 5">
              <controlPr defaultSize="0" autoFill="0" autoLine="0" autoPict="0">
                <anchor moveWithCells="1">
                  <from>
                    <xdr:col>7</xdr:col>
                    <xdr:colOff>66675</xdr:colOff>
                    <xdr:row>7</xdr:row>
                    <xdr:rowOff>180975</xdr:rowOff>
                  </from>
                  <to>
                    <xdr:col>7</xdr:col>
                    <xdr:colOff>790575</xdr:colOff>
                    <xdr:row>9</xdr:row>
                    <xdr:rowOff>28575</xdr:rowOff>
                  </to>
                </anchor>
              </controlPr>
            </control>
          </mc:Choice>
        </mc:AlternateContent>
        <mc:AlternateContent xmlns:mc="http://schemas.openxmlformats.org/markup-compatibility/2006">
          <mc:Choice Requires="x14">
            <control shapeId="8198" r:id="rId8" name="Check Box 6">
              <controlPr defaultSize="0" autoFill="0" autoLine="0" autoPict="0">
                <anchor moveWithCells="1">
                  <from>
                    <xdr:col>14</xdr:col>
                    <xdr:colOff>66675</xdr:colOff>
                    <xdr:row>3</xdr:row>
                    <xdr:rowOff>180975</xdr:rowOff>
                  </from>
                  <to>
                    <xdr:col>14</xdr:col>
                    <xdr:colOff>790575</xdr:colOff>
                    <xdr:row>5</xdr:row>
                    <xdr:rowOff>28575</xdr:rowOff>
                  </to>
                </anchor>
              </controlPr>
            </control>
          </mc:Choice>
        </mc:AlternateContent>
        <mc:AlternateContent xmlns:mc="http://schemas.openxmlformats.org/markup-compatibility/2006">
          <mc:Choice Requires="x14">
            <control shapeId="8199" r:id="rId9" name="Check Box 7">
              <controlPr defaultSize="0" autoFill="0" autoLine="0" autoPict="0">
                <anchor moveWithCells="1">
                  <from>
                    <xdr:col>14</xdr:col>
                    <xdr:colOff>66675</xdr:colOff>
                    <xdr:row>4</xdr:row>
                    <xdr:rowOff>180975</xdr:rowOff>
                  </from>
                  <to>
                    <xdr:col>14</xdr:col>
                    <xdr:colOff>790575</xdr:colOff>
                    <xdr:row>6</xdr:row>
                    <xdr:rowOff>28575</xdr:rowOff>
                  </to>
                </anchor>
              </controlPr>
            </control>
          </mc:Choice>
        </mc:AlternateContent>
        <mc:AlternateContent xmlns:mc="http://schemas.openxmlformats.org/markup-compatibility/2006">
          <mc:Choice Requires="x14">
            <control shapeId="8200" r:id="rId10" name="Check Box 8">
              <controlPr defaultSize="0" autoFill="0" autoLine="0" autoPict="0">
                <anchor moveWithCells="1">
                  <from>
                    <xdr:col>14</xdr:col>
                    <xdr:colOff>66675</xdr:colOff>
                    <xdr:row>5</xdr:row>
                    <xdr:rowOff>180975</xdr:rowOff>
                  </from>
                  <to>
                    <xdr:col>14</xdr:col>
                    <xdr:colOff>790575</xdr:colOff>
                    <xdr:row>7</xdr:row>
                    <xdr:rowOff>28575</xdr:rowOff>
                  </to>
                </anchor>
              </controlPr>
            </control>
          </mc:Choice>
        </mc:AlternateContent>
        <mc:AlternateContent xmlns:mc="http://schemas.openxmlformats.org/markup-compatibility/2006">
          <mc:Choice Requires="x14">
            <control shapeId="8201" r:id="rId11" name="Check Box 9">
              <controlPr defaultSize="0" autoFill="0" autoLine="0" autoPict="0">
                <anchor moveWithCells="1">
                  <from>
                    <xdr:col>14</xdr:col>
                    <xdr:colOff>66675</xdr:colOff>
                    <xdr:row>6</xdr:row>
                    <xdr:rowOff>180975</xdr:rowOff>
                  </from>
                  <to>
                    <xdr:col>14</xdr:col>
                    <xdr:colOff>790575</xdr:colOff>
                    <xdr:row>8</xdr:row>
                    <xdr:rowOff>28575</xdr:rowOff>
                  </to>
                </anchor>
              </controlPr>
            </control>
          </mc:Choice>
        </mc:AlternateContent>
        <mc:AlternateContent xmlns:mc="http://schemas.openxmlformats.org/markup-compatibility/2006">
          <mc:Choice Requires="x14">
            <control shapeId="8202" r:id="rId12" name="Check Box 10">
              <controlPr defaultSize="0" autoFill="0" autoLine="0" autoPict="0">
                <anchor moveWithCells="1">
                  <from>
                    <xdr:col>14</xdr:col>
                    <xdr:colOff>66675</xdr:colOff>
                    <xdr:row>7</xdr:row>
                    <xdr:rowOff>180975</xdr:rowOff>
                  </from>
                  <to>
                    <xdr:col>14</xdr:col>
                    <xdr:colOff>790575</xdr:colOff>
                    <xdr:row>9</xdr:row>
                    <xdr:rowOff>28575</xdr:rowOff>
                  </to>
                </anchor>
              </controlPr>
            </control>
          </mc:Choice>
        </mc:AlternateContent>
        <mc:AlternateContent xmlns:mc="http://schemas.openxmlformats.org/markup-compatibility/2006">
          <mc:Choice Requires="x14">
            <control shapeId="8210" r:id="rId13" name="Check Box 18">
              <controlPr defaultSize="0" autoFill="0" autoLine="0" autoPict="0">
                <anchor moveWithCells="1">
                  <from>
                    <xdr:col>23</xdr:col>
                    <xdr:colOff>66675</xdr:colOff>
                    <xdr:row>3</xdr:row>
                    <xdr:rowOff>180975</xdr:rowOff>
                  </from>
                  <to>
                    <xdr:col>23</xdr:col>
                    <xdr:colOff>790575</xdr:colOff>
                    <xdr:row>5</xdr:row>
                    <xdr:rowOff>28575</xdr:rowOff>
                  </to>
                </anchor>
              </controlPr>
            </control>
          </mc:Choice>
        </mc:AlternateContent>
        <mc:AlternateContent xmlns:mc="http://schemas.openxmlformats.org/markup-compatibility/2006">
          <mc:Choice Requires="x14">
            <control shapeId="8211" r:id="rId14" name="Check Box 19">
              <controlPr defaultSize="0" autoFill="0" autoLine="0" autoPict="0">
                <anchor moveWithCells="1">
                  <from>
                    <xdr:col>23</xdr:col>
                    <xdr:colOff>66675</xdr:colOff>
                    <xdr:row>4</xdr:row>
                    <xdr:rowOff>180975</xdr:rowOff>
                  </from>
                  <to>
                    <xdr:col>23</xdr:col>
                    <xdr:colOff>790575</xdr:colOff>
                    <xdr:row>6</xdr:row>
                    <xdr:rowOff>28575</xdr:rowOff>
                  </to>
                </anchor>
              </controlPr>
            </control>
          </mc:Choice>
        </mc:AlternateContent>
        <mc:AlternateContent xmlns:mc="http://schemas.openxmlformats.org/markup-compatibility/2006">
          <mc:Choice Requires="x14">
            <control shapeId="8212" r:id="rId15" name="Check Box 20">
              <controlPr defaultSize="0" autoFill="0" autoLine="0" autoPict="0">
                <anchor moveWithCells="1">
                  <from>
                    <xdr:col>23</xdr:col>
                    <xdr:colOff>66675</xdr:colOff>
                    <xdr:row>5</xdr:row>
                    <xdr:rowOff>180975</xdr:rowOff>
                  </from>
                  <to>
                    <xdr:col>23</xdr:col>
                    <xdr:colOff>790575</xdr:colOff>
                    <xdr:row>7</xdr:row>
                    <xdr:rowOff>28575</xdr:rowOff>
                  </to>
                </anchor>
              </controlPr>
            </control>
          </mc:Choice>
        </mc:AlternateContent>
        <mc:AlternateContent xmlns:mc="http://schemas.openxmlformats.org/markup-compatibility/2006">
          <mc:Choice Requires="x14">
            <control shapeId="8213" r:id="rId16" name="Check Box 21">
              <controlPr defaultSize="0" autoFill="0" autoLine="0" autoPict="0">
                <anchor moveWithCells="1">
                  <from>
                    <xdr:col>23</xdr:col>
                    <xdr:colOff>66675</xdr:colOff>
                    <xdr:row>6</xdr:row>
                    <xdr:rowOff>180975</xdr:rowOff>
                  </from>
                  <to>
                    <xdr:col>23</xdr:col>
                    <xdr:colOff>790575</xdr:colOff>
                    <xdr:row>8</xdr:row>
                    <xdr:rowOff>28575</xdr:rowOff>
                  </to>
                </anchor>
              </controlPr>
            </control>
          </mc:Choice>
        </mc:AlternateContent>
        <mc:AlternateContent xmlns:mc="http://schemas.openxmlformats.org/markup-compatibility/2006">
          <mc:Choice Requires="x14">
            <control shapeId="8214" r:id="rId17" name="Check Box 22">
              <controlPr defaultSize="0" autoFill="0" autoLine="0" autoPict="0">
                <anchor moveWithCells="1">
                  <from>
                    <xdr:col>23</xdr:col>
                    <xdr:colOff>66675</xdr:colOff>
                    <xdr:row>7</xdr:row>
                    <xdr:rowOff>180975</xdr:rowOff>
                  </from>
                  <to>
                    <xdr:col>23</xdr:col>
                    <xdr:colOff>790575</xdr:colOff>
                    <xdr:row>9</xdr:row>
                    <xdr:rowOff>28575</xdr:rowOff>
                  </to>
                </anchor>
              </controlPr>
            </control>
          </mc:Choice>
        </mc:AlternateContent>
        <mc:AlternateContent xmlns:mc="http://schemas.openxmlformats.org/markup-compatibility/2006">
          <mc:Choice Requires="x14">
            <control shapeId="8215" r:id="rId18" name="Check Box 23">
              <controlPr defaultSize="0" autoFill="0" autoLine="0" autoPict="0">
                <anchor moveWithCells="1">
                  <from>
                    <xdr:col>30</xdr:col>
                    <xdr:colOff>66675</xdr:colOff>
                    <xdr:row>3</xdr:row>
                    <xdr:rowOff>180975</xdr:rowOff>
                  </from>
                  <to>
                    <xdr:col>30</xdr:col>
                    <xdr:colOff>790575</xdr:colOff>
                    <xdr:row>5</xdr:row>
                    <xdr:rowOff>28575</xdr:rowOff>
                  </to>
                </anchor>
              </controlPr>
            </control>
          </mc:Choice>
        </mc:AlternateContent>
        <mc:AlternateContent xmlns:mc="http://schemas.openxmlformats.org/markup-compatibility/2006">
          <mc:Choice Requires="x14">
            <control shapeId="8216" r:id="rId19" name="Check Box 24">
              <controlPr defaultSize="0" autoFill="0" autoLine="0" autoPict="0">
                <anchor moveWithCells="1">
                  <from>
                    <xdr:col>30</xdr:col>
                    <xdr:colOff>66675</xdr:colOff>
                    <xdr:row>4</xdr:row>
                    <xdr:rowOff>180975</xdr:rowOff>
                  </from>
                  <to>
                    <xdr:col>30</xdr:col>
                    <xdr:colOff>790575</xdr:colOff>
                    <xdr:row>6</xdr:row>
                    <xdr:rowOff>28575</xdr:rowOff>
                  </to>
                </anchor>
              </controlPr>
            </control>
          </mc:Choice>
        </mc:AlternateContent>
        <mc:AlternateContent xmlns:mc="http://schemas.openxmlformats.org/markup-compatibility/2006">
          <mc:Choice Requires="x14">
            <control shapeId="8217" r:id="rId20" name="Check Box 25">
              <controlPr defaultSize="0" autoFill="0" autoLine="0" autoPict="0">
                <anchor moveWithCells="1">
                  <from>
                    <xdr:col>30</xdr:col>
                    <xdr:colOff>66675</xdr:colOff>
                    <xdr:row>5</xdr:row>
                    <xdr:rowOff>180975</xdr:rowOff>
                  </from>
                  <to>
                    <xdr:col>30</xdr:col>
                    <xdr:colOff>790575</xdr:colOff>
                    <xdr:row>7</xdr:row>
                    <xdr:rowOff>28575</xdr:rowOff>
                  </to>
                </anchor>
              </controlPr>
            </control>
          </mc:Choice>
        </mc:AlternateContent>
        <mc:AlternateContent xmlns:mc="http://schemas.openxmlformats.org/markup-compatibility/2006">
          <mc:Choice Requires="x14">
            <control shapeId="8218" r:id="rId21" name="Check Box 26">
              <controlPr defaultSize="0" autoFill="0" autoLine="0" autoPict="0">
                <anchor moveWithCells="1">
                  <from>
                    <xdr:col>30</xdr:col>
                    <xdr:colOff>66675</xdr:colOff>
                    <xdr:row>6</xdr:row>
                    <xdr:rowOff>180975</xdr:rowOff>
                  </from>
                  <to>
                    <xdr:col>30</xdr:col>
                    <xdr:colOff>790575</xdr:colOff>
                    <xdr:row>8</xdr:row>
                    <xdr:rowOff>28575</xdr:rowOff>
                  </to>
                </anchor>
              </controlPr>
            </control>
          </mc:Choice>
        </mc:AlternateContent>
        <mc:AlternateContent xmlns:mc="http://schemas.openxmlformats.org/markup-compatibility/2006">
          <mc:Choice Requires="x14">
            <control shapeId="8219" r:id="rId22" name="Check Box 27">
              <controlPr defaultSize="0" autoFill="0" autoLine="0" autoPict="0">
                <anchor moveWithCells="1">
                  <from>
                    <xdr:col>30</xdr:col>
                    <xdr:colOff>66675</xdr:colOff>
                    <xdr:row>7</xdr:row>
                    <xdr:rowOff>180975</xdr:rowOff>
                  </from>
                  <to>
                    <xdr:col>30</xdr:col>
                    <xdr:colOff>790575</xdr:colOff>
                    <xdr:row>9</xdr:row>
                    <xdr:rowOff>28575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Z1000"/>
  <sheetViews>
    <sheetView showGridLines="0" zoomScale="95" workbookViewId="0">
      <selection activeCell="C2" sqref="C2:H2"/>
    </sheetView>
  </sheetViews>
  <sheetFormatPr defaultColWidth="14.42578125" defaultRowHeight="15" customHeight="1" x14ac:dyDescent="0.25"/>
  <cols>
    <col min="1" max="1" width="8.7109375" customWidth="1"/>
    <col min="2" max="5" width="12.42578125" customWidth="1"/>
    <col min="6" max="26" width="12.5703125" customWidth="1"/>
  </cols>
  <sheetData>
    <row r="1" spans="1:26" ht="14.25" customHeight="1" x14ac:dyDescent="0.25"/>
    <row r="2" spans="1:26" ht="14.25" customHeight="1" x14ac:dyDescent="0.25">
      <c r="B2" s="1" t="s">
        <v>84</v>
      </c>
      <c r="C2" s="146"/>
      <c r="D2" s="147"/>
      <c r="E2" s="147"/>
      <c r="F2" s="147"/>
      <c r="G2" s="147"/>
      <c r="H2" s="147"/>
    </row>
    <row r="3" spans="1:26" ht="14.25" customHeight="1" x14ac:dyDescent="0.25">
      <c r="B3" s="3"/>
    </row>
    <row r="4" spans="1:26" ht="14.25" customHeight="1" x14ac:dyDescent="0.25">
      <c r="B4" s="150" t="s">
        <v>133</v>
      </c>
      <c r="C4" s="151"/>
      <c r="D4" s="151"/>
      <c r="E4" s="151"/>
    </row>
    <row r="5" spans="1:26" ht="14.25" customHeight="1" x14ac:dyDescent="0.25">
      <c r="B5" s="113"/>
      <c r="C5" s="113"/>
      <c r="D5" s="113"/>
      <c r="E5" s="113"/>
    </row>
    <row r="6" spans="1:26" ht="14.25" customHeight="1" x14ac:dyDescent="0.25">
      <c r="B6" s="152" t="s">
        <v>134</v>
      </c>
      <c r="C6" s="32" t="s">
        <v>135</v>
      </c>
      <c r="D6" s="43"/>
      <c r="E6" s="34"/>
    </row>
    <row r="7" spans="1:26" ht="14.25" customHeight="1" x14ac:dyDescent="0.25">
      <c r="B7" s="113"/>
      <c r="C7" s="17" t="s">
        <v>63</v>
      </c>
      <c r="D7" s="44" t="e">
        <f>INDEX('Tabel Faktor'!$A$1:$Q$25,MATCH(D10,'Tabel Faktor'!$A$1:$A$25,0),MATCH(C7,'Tabel Faktor'!$A$1:$Q$1,0))</f>
        <v>#N/A</v>
      </c>
      <c r="E7" s="14"/>
    </row>
    <row r="8" spans="1:26" ht="14.25" customHeight="1" x14ac:dyDescent="0.25">
      <c r="B8" s="113"/>
      <c r="C8" s="17" t="s">
        <v>136</v>
      </c>
      <c r="D8" s="45" t="e">
        <f>D6/D7</f>
        <v>#N/A</v>
      </c>
      <c r="E8" s="14"/>
    </row>
    <row r="9" spans="1:26" ht="14.25" customHeight="1" x14ac:dyDescent="0.25">
      <c r="B9" s="113"/>
      <c r="C9" s="17" t="s">
        <v>51</v>
      </c>
      <c r="D9" s="14">
        <v>3</v>
      </c>
      <c r="E9" s="14"/>
    </row>
    <row r="10" spans="1:26" ht="14.25" customHeight="1" x14ac:dyDescent="0.25">
      <c r="B10" s="113"/>
      <c r="C10" s="17" t="s">
        <v>54</v>
      </c>
      <c r="D10" s="35"/>
      <c r="E10" s="37"/>
    </row>
    <row r="11" spans="1:26" ht="14.25" customHeight="1" x14ac:dyDescent="0.25">
      <c r="B11" s="17"/>
      <c r="C11" s="17"/>
      <c r="D11" s="17"/>
      <c r="E11" s="17"/>
    </row>
    <row r="12" spans="1:26" ht="14.25" customHeight="1" x14ac:dyDescent="0.25">
      <c r="A12" s="16"/>
      <c r="B12" s="19" t="s">
        <v>137</v>
      </c>
      <c r="C12" s="20" t="s">
        <v>138</v>
      </c>
      <c r="D12" s="20" t="s">
        <v>139</v>
      </c>
      <c r="E12" s="20" t="s">
        <v>140</v>
      </c>
      <c r="F12" s="16"/>
      <c r="G12" s="16"/>
      <c r="H12" s="16"/>
      <c r="I12" s="16"/>
      <c r="J12" s="16"/>
      <c r="K12" s="16"/>
      <c r="L12" s="16"/>
      <c r="M12" s="16"/>
      <c r="N12" s="16"/>
      <c r="O12" s="16"/>
      <c r="P12" s="16"/>
      <c r="Q12" s="16"/>
      <c r="R12" s="16"/>
      <c r="S12" s="16"/>
      <c r="T12" s="16"/>
      <c r="U12" s="16"/>
      <c r="V12" s="16"/>
      <c r="W12" s="16"/>
      <c r="X12" s="16"/>
      <c r="Y12" s="16"/>
      <c r="Z12" s="16"/>
    </row>
    <row r="13" spans="1:26" ht="14.25" customHeight="1" x14ac:dyDescent="0.25">
      <c r="B13" s="25">
        <v>0</v>
      </c>
      <c r="C13" s="23" t="e">
        <f>B13/$D$8</f>
        <v>#N/A</v>
      </c>
      <c r="D13" s="46" t="e">
        <f>_xlfn.NORM.S.DIST($D$9-C13*SQRT($D$10),TRUE)-_xlfn.NORM.S.DIST(-$D$9-C13*SQRT($D$10),TRUE)</f>
        <v>#N/A</v>
      </c>
      <c r="E13" s="46" t="e">
        <f>1/(1-D13)</f>
        <v>#N/A</v>
      </c>
    </row>
    <row r="14" spans="1:26" ht="14.25" customHeight="1" x14ac:dyDescent="0.25">
      <c r="B14" s="17">
        <v>0.01</v>
      </c>
      <c r="C14" s="23" t="e">
        <f t="shared" ref="C14:C57" si="0">B14/$D$8</f>
        <v>#N/A</v>
      </c>
      <c r="D14" s="46" t="e">
        <f t="shared" ref="D14:D57" si="1">_xlfn.NORM.S.DIST($D$9-C14*SQRT($D$10),TRUE)-_xlfn.NORM.S.DIST(-$D$9-C14*SQRT($D$10),TRUE)</f>
        <v>#N/A</v>
      </c>
      <c r="E14" s="46" t="e">
        <f t="shared" ref="E14:E57" si="2">1/(1-D14)</f>
        <v>#N/A</v>
      </c>
    </row>
    <row r="15" spans="1:26" ht="14.25" customHeight="1" x14ac:dyDescent="0.25">
      <c r="B15" s="25">
        <v>0.02</v>
      </c>
      <c r="C15" s="23" t="e">
        <f t="shared" si="0"/>
        <v>#N/A</v>
      </c>
      <c r="D15" s="46" t="e">
        <f t="shared" si="1"/>
        <v>#N/A</v>
      </c>
      <c r="E15" s="46" t="e">
        <f t="shared" si="2"/>
        <v>#N/A</v>
      </c>
    </row>
    <row r="16" spans="1:26" ht="14.25" customHeight="1" x14ac:dyDescent="0.25">
      <c r="B16" s="17">
        <v>0.03</v>
      </c>
      <c r="C16" s="23" t="e">
        <f t="shared" si="0"/>
        <v>#N/A</v>
      </c>
      <c r="D16" s="46" t="e">
        <f t="shared" si="1"/>
        <v>#N/A</v>
      </c>
      <c r="E16" s="46" t="e">
        <f t="shared" si="2"/>
        <v>#N/A</v>
      </c>
    </row>
    <row r="17" spans="2:5" ht="14.25" customHeight="1" x14ac:dyDescent="0.25">
      <c r="B17" s="25">
        <v>0.04</v>
      </c>
      <c r="C17" s="23" t="e">
        <f t="shared" si="0"/>
        <v>#N/A</v>
      </c>
      <c r="D17" s="46" t="e">
        <f t="shared" si="1"/>
        <v>#N/A</v>
      </c>
      <c r="E17" s="46" t="e">
        <f t="shared" si="2"/>
        <v>#N/A</v>
      </c>
    </row>
    <row r="18" spans="2:5" ht="14.25" customHeight="1" x14ac:dyDescent="0.25">
      <c r="B18" s="17">
        <v>0.05</v>
      </c>
      <c r="C18" s="23" t="e">
        <f t="shared" si="0"/>
        <v>#N/A</v>
      </c>
      <c r="D18" s="46" t="e">
        <f t="shared" si="1"/>
        <v>#N/A</v>
      </c>
      <c r="E18" s="46" t="e">
        <f t="shared" si="2"/>
        <v>#N/A</v>
      </c>
    </row>
    <row r="19" spans="2:5" ht="14.25" customHeight="1" x14ac:dyDescent="0.25">
      <c r="B19" s="25">
        <v>0.06</v>
      </c>
      <c r="C19" s="23" t="e">
        <f t="shared" si="0"/>
        <v>#N/A</v>
      </c>
      <c r="D19" s="46" t="e">
        <f t="shared" si="1"/>
        <v>#N/A</v>
      </c>
      <c r="E19" s="46" t="e">
        <f t="shared" si="2"/>
        <v>#N/A</v>
      </c>
    </row>
    <row r="20" spans="2:5" ht="14.25" customHeight="1" x14ac:dyDescent="0.25">
      <c r="B20" s="17">
        <v>7.0000000000000007E-2</v>
      </c>
      <c r="C20" s="23" t="e">
        <f t="shared" si="0"/>
        <v>#N/A</v>
      </c>
      <c r="D20" s="46" t="e">
        <f t="shared" si="1"/>
        <v>#N/A</v>
      </c>
      <c r="E20" s="46" t="e">
        <f t="shared" si="2"/>
        <v>#N/A</v>
      </c>
    </row>
    <row r="21" spans="2:5" ht="14.25" customHeight="1" x14ac:dyDescent="0.25">
      <c r="B21" s="25">
        <v>0.08</v>
      </c>
      <c r="C21" s="23" t="e">
        <f t="shared" si="0"/>
        <v>#N/A</v>
      </c>
      <c r="D21" s="46" t="e">
        <f t="shared" si="1"/>
        <v>#N/A</v>
      </c>
      <c r="E21" s="46" t="e">
        <f t="shared" si="2"/>
        <v>#N/A</v>
      </c>
    </row>
    <row r="22" spans="2:5" ht="14.25" customHeight="1" x14ac:dyDescent="0.25">
      <c r="B22" s="17">
        <v>0.09</v>
      </c>
      <c r="C22" s="23" t="e">
        <f t="shared" si="0"/>
        <v>#N/A</v>
      </c>
      <c r="D22" s="46" t="e">
        <f t="shared" si="1"/>
        <v>#N/A</v>
      </c>
      <c r="E22" s="46" t="e">
        <f t="shared" si="2"/>
        <v>#N/A</v>
      </c>
    </row>
    <row r="23" spans="2:5" ht="14.25" customHeight="1" x14ac:dyDescent="0.25">
      <c r="B23" s="25">
        <v>0.1</v>
      </c>
      <c r="C23" s="23" t="e">
        <f t="shared" si="0"/>
        <v>#N/A</v>
      </c>
      <c r="D23" s="46" t="e">
        <f t="shared" si="1"/>
        <v>#N/A</v>
      </c>
      <c r="E23" s="46" t="e">
        <f t="shared" si="2"/>
        <v>#N/A</v>
      </c>
    </row>
    <row r="24" spans="2:5" ht="14.25" customHeight="1" x14ac:dyDescent="0.25">
      <c r="B24" s="17">
        <v>0.11</v>
      </c>
      <c r="C24" s="23" t="e">
        <f t="shared" si="0"/>
        <v>#N/A</v>
      </c>
      <c r="D24" s="46" t="e">
        <f t="shared" si="1"/>
        <v>#N/A</v>
      </c>
      <c r="E24" s="46" t="e">
        <f t="shared" si="2"/>
        <v>#N/A</v>
      </c>
    </row>
    <row r="25" spans="2:5" ht="14.25" customHeight="1" x14ac:dyDescent="0.25">
      <c r="B25" s="25">
        <v>0.12</v>
      </c>
      <c r="C25" s="23" t="e">
        <f t="shared" si="0"/>
        <v>#N/A</v>
      </c>
      <c r="D25" s="46" t="e">
        <f t="shared" si="1"/>
        <v>#N/A</v>
      </c>
      <c r="E25" s="46" t="e">
        <f t="shared" si="2"/>
        <v>#N/A</v>
      </c>
    </row>
    <row r="26" spans="2:5" ht="14.25" customHeight="1" x14ac:dyDescent="0.25">
      <c r="B26" s="17">
        <v>0.13</v>
      </c>
      <c r="C26" s="23" t="e">
        <f t="shared" si="0"/>
        <v>#N/A</v>
      </c>
      <c r="D26" s="46" t="e">
        <f t="shared" si="1"/>
        <v>#N/A</v>
      </c>
      <c r="E26" s="46" t="e">
        <f t="shared" si="2"/>
        <v>#N/A</v>
      </c>
    </row>
    <row r="27" spans="2:5" ht="14.25" customHeight="1" x14ac:dyDescent="0.25">
      <c r="B27" s="25">
        <v>0.14000000000000001</v>
      </c>
      <c r="C27" s="23" t="e">
        <f t="shared" si="0"/>
        <v>#N/A</v>
      </c>
      <c r="D27" s="46" t="e">
        <f t="shared" si="1"/>
        <v>#N/A</v>
      </c>
      <c r="E27" s="46" t="e">
        <f t="shared" si="2"/>
        <v>#N/A</v>
      </c>
    </row>
    <row r="28" spans="2:5" ht="14.25" customHeight="1" x14ac:dyDescent="0.25">
      <c r="B28" s="17">
        <v>0.15</v>
      </c>
      <c r="C28" s="23" t="e">
        <f t="shared" si="0"/>
        <v>#N/A</v>
      </c>
      <c r="D28" s="46" t="e">
        <f t="shared" si="1"/>
        <v>#N/A</v>
      </c>
      <c r="E28" s="46" t="e">
        <f t="shared" si="2"/>
        <v>#N/A</v>
      </c>
    </row>
    <row r="29" spans="2:5" ht="14.25" customHeight="1" x14ac:dyDescent="0.25">
      <c r="B29" s="25">
        <v>0.16</v>
      </c>
      <c r="C29" s="23" t="e">
        <f t="shared" si="0"/>
        <v>#N/A</v>
      </c>
      <c r="D29" s="46" t="e">
        <f t="shared" si="1"/>
        <v>#N/A</v>
      </c>
      <c r="E29" s="46" t="e">
        <f t="shared" si="2"/>
        <v>#N/A</v>
      </c>
    </row>
    <row r="30" spans="2:5" ht="14.25" customHeight="1" x14ac:dyDescent="0.25">
      <c r="B30" s="17">
        <v>0.17</v>
      </c>
      <c r="C30" s="23" t="e">
        <f t="shared" si="0"/>
        <v>#N/A</v>
      </c>
      <c r="D30" s="46" t="e">
        <f t="shared" si="1"/>
        <v>#N/A</v>
      </c>
      <c r="E30" s="46" t="e">
        <f t="shared" si="2"/>
        <v>#N/A</v>
      </c>
    </row>
    <row r="31" spans="2:5" ht="14.25" customHeight="1" x14ac:dyDescent="0.25">
      <c r="B31" s="25">
        <v>0.18</v>
      </c>
      <c r="C31" s="23" t="e">
        <f t="shared" si="0"/>
        <v>#N/A</v>
      </c>
      <c r="D31" s="46" t="e">
        <f t="shared" si="1"/>
        <v>#N/A</v>
      </c>
      <c r="E31" s="46" t="e">
        <f t="shared" si="2"/>
        <v>#N/A</v>
      </c>
    </row>
    <row r="32" spans="2:5" ht="14.25" customHeight="1" x14ac:dyDescent="0.25">
      <c r="B32" s="17">
        <v>0.19</v>
      </c>
      <c r="C32" s="23" t="e">
        <f t="shared" si="0"/>
        <v>#N/A</v>
      </c>
      <c r="D32" s="46" t="e">
        <f t="shared" si="1"/>
        <v>#N/A</v>
      </c>
      <c r="E32" s="46" t="e">
        <f t="shared" si="2"/>
        <v>#N/A</v>
      </c>
    </row>
    <row r="33" spans="2:5" ht="14.25" customHeight="1" x14ac:dyDescent="0.25">
      <c r="B33" s="25">
        <v>0.2</v>
      </c>
      <c r="C33" s="23" t="e">
        <f t="shared" si="0"/>
        <v>#N/A</v>
      </c>
      <c r="D33" s="46" t="e">
        <f t="shared" si="1"/>
        <v>#N/A</v>
      </c>
      <c r="E33" s="46" t="e">
        <f t="shared" si="2"/>
        <v>#N/A</v>
      </c>
    </row>
    <row r="34" spans="2:5" ht="14.25" customHeight="1" x14ac:dyDescent="0.25">
      <c r="B34" s="17">
        <v>0.21</v>
      </c>
      <c r="C34" s="23" t="e">
        <f t="shared" si="0"/>
        <v>#N/A</v>
      </c>
      <c r="D34" s="46" t="e">
        <f t="shared" si="1"/>
        <v>#N/A</v>
      </c>
      <c r="E34" s="46" t="e">
        <f t="shared" si="2"/>
        <v>#N/A</v>
      </c>
    </row>
    <row r="35" spans="2:5" ht="14.25" customHeight="1" x14ac:dyDescent="0.25">
      <c r="B35" s="25">
        <v>0.22</v>
      </c>
      <c r="C35" s="23" t="e">
        <f t="shared" si="0"/>
        <v>#N/A</v>
      </c>
      <c r="D35" s="46" t="e">
        <f t="shared" si="1"/>
        <v>#N/A</v>
      </c>
      <c r="E35" s="46" t="e">
        <f t="shared" si="2"/>
        <v>#N/A</v>
      </c>
    </row>
    <row r="36" spans="2:5" ht="14.25" customHeight="1" x14ac:dyDescent="0.25">
      <c r="B36" s="17">
        <v>0.23</v>
      </c>
      <c r="C36" s="23" t="e">
        <f t="shared" si="0"/>
        <v>#N/A</v>
      </c>
      <c r="D36" s="46" t="e">
        <f t="shared" si="1"/>
        <v>#N/A</v>
      </c>
      <c r="E36" s="46" t="e">
        <f t="shared" si="2"/>
        <v>#N/A</v>
      </c>
    </row>
    <row r="37" spans="2:5" ht="14.25" customHeight="1" x14ac:dyDescent="0.25">
      <c r="B37" s="17">
        <v>0.24</v>
      </c>
      <c r="C37" s="23" t="e">
        <f t="shared" si="0"/>
        <v>#N/A</v>
      </c>
      <c r="D37" s="46" t="e">
        <f t="shared" si="1"/>
        <v>#N/A</v>
      </c>
      <c r="E37" s="46" t="e">
        <f t="shared" si="2"/>
        <v>#N/A</v>
      </c>
    </row>
    <row r="38" spans="2:5" ht="14.25" customHeight="1" x14ac:dyDescent="0.25">
      <c r="B38" s="25">
        <v>0.25</v>
      </c>
      <c r="C38" s="23" t="e">
        <f t="shared" si="0"/>
        <v>#N/A</v>
      </c>
      <c r="D38" s="46" t="e">
        <f t="shared" si="1"/>
        <v>#N/A</v>
      </c>
      <c r="E38" s="46" t="e">
        <f t="shared" si="2"/>
        <v>#N/A</v>
      </c>
    </row>
    <row r="39" spans="2:5" ht="14.25" customHeight="1" x14ac:dyDescent="0.25">
      <c r="B39" s="17">
        <v>0.26</v>
      </c>
      <c r="C39" s="23" t="e">
        <f t="shared" si="0"/>
        <v>#N/A</v>
      </c>
      <c r="D39" s="46" t="e">
        <f t="shared" si="1"/>
        <v>#N/A</v>
      </c>
      <c r="E39" s="46" t="e">
        <f t="shared" si="2"/>
        <v>#N/A</v>
      </c>
    </row>
    <row r="40" spans="2:5" ht="14.25" customHeight="1" x14ac:dyDescent="0.25">
      <c r="B40" s="25">
        <v>0.27</v>
      </c>
      <c r="C40" s="23" t="e">
        <f>B40/$D$8</f>
        <v>#N/A</v>
      </c>
      <c r="D40" s="46" t="e">
        <f t="shared" si="1"/>
        <v>#N/A</v>
      </c>
      <c r="E40" s="46" t="e">
        <f t="shared" si="2"/>
        <v>#N/A</v>
      </c>
    </row>
    <row r="41" spans="2:5" ht="14.25" customHeight="1" x14ac:dyDescent="0.25">
      <c r="B41" s="17">
        <v>0.28000000000000003</v>
      </c>
      <c r="C41" s="23" t="e">
        <f t="shared" si="0"/>
        <v>#N/A</v>
      </c>
      <c r="D41" s="46" t="e">
        <f t="shared" si="1"/>
        <v>#N/A</v>
      </c>
      <c r="E41" s="46" t="e">
        <f t="shared" si="2"/>
        <v>#N/A</v>
      </c>
    </row>
    <row r="42" spans="2:5" ht="14.25" customHeight="1" x14ac:dyDescent="0.25">
      <c r="B42" s="17">
        <v>0.28999999999999998</v>
      </c>
      <c r="C42" s="23" t="e">
        <f t="shared" si="0"/>
        <v>#N/A</v>
      </c>
      <c r="D42" s="46" t="e">
        <f t="shared" si="1"/>
        <v>#N/A</v>
      </c>
      <c r="E42" s="46" t="e">
        <f t="shared" si="2"/>
        <v>#N/A</v>
      </c>
    </row>
    <row r="43" spans="2:5" ht="14.25" customHeight="1" x14ac:dyDescent="0.25">
      <c r="B43" s="25">
        <v>0.3</v>
      </c>
      <c r="C43" s="23" t="e">
        <f t="shared" si="0"/>
        <v>#N/A</v>
      </c>
      <c r="D43" s="46" t="e">
        <f t="shared" si="1"/>
        <v>#N/A</v>
      </c>
      <c r="E43" s="46" t="e">
        <f t="shared" si="2"/>
        <v>#N/A</v>
      </c>
    </row>
    <row r="44" spans="2:5" ht="14.25" customHeight="1" x14ac:dyDescent="0.25">
      <c r="B44" s="17">
        <v>0.35</v>
      </c>
      <c r="C44" s="23" t="e">
        <f t="shared" si="0"/>
        <v>#N/A</v>
      </c>
      <c r="D44" s="46" t="e">
        <f t="shared" si="1"/>
        <v>#N/A</v>
      </c>
      <c r="E44" s="46" t="e">
        <f t="shared" si="2"/>
        <v>#N/A</v>
      </c>
    </row>
    <row r="45" spans="2:5" ht="14.25" customHeight="1" x14ac:dyDescent="0.25">
      <c r="B45" s="25">
        <v>0.4</v>
      </c>
      <c r="C45" s="23" t="e">
        <f t="shared" si="0"/>
        <v>#N/A</v>
      </c>
      <c r="D45" s="46" t="e">
        <f t="shared" si="1"/>
        <v>#N/A</v>
      </c>
      <c r="E45" s="46" t="e">
        <f t="shared" si="2"/>
        <v>#N/A</v>
      </c>
    </row>
    <row r="46" spans="2:5" ht="14.25" customHeight="1" x14ac:dyDescent="0.25">
      <c r="B46" s="17">
        <v>0.45</v>
      </c>
      <c r="C46" s="23" t="e">
        <f t="shared" si="0"/>
        <v>#N/A</v>
      </c>
      <c r="D46" s="46" t="e">
        <f t="shared" si="1"/>
        <v>#N/A</v>
      </c>
      <c r="E46" s="46" t="e">
        <f t="shared" si="2"/>
        <v>#N/A</v>
      </c>
    </row>
    <row r="47" spans="2:5" ht="14.25" customHeight="1" x14ac:dyDescent="0.25">
      <c r="B47" s="25">
        <v>0.5</v>
      </c>
      <c r="C47" s="23" t="e">
        <f t="shared" si="0"/>
        <v>#N/A</v>
      </c>
      <c r="D47" s="46" t="e">
        <f t="shared" si="1"/>
        <v>#N/A</v>
      </c>
      <c r="E47" s="46" t="e">
        <f t="shared" si="2"/>
        <v>#N/A</v>
      </c>
    </row>
    <row r="48" spans="2:5" ht="14.25" customHeight="1" x14ac:dyDescent="0.25">
      <c r="B48" s="17">
        <v>0.55000000000000004</v>
      </c>
      <c r="C48" s="23" t="e">
        <f t="shared" si="0"/>
        <v>#N/A</v>
      </c>
      <c r="D48" s="46" t="e">
        <f t="shared" si="1"/>
        <v>#N/A</v>
      </c>
      <c r="E48" s="46" t="e">
        <f t="shared" si="2"/>
        <v>#N/A</v>
      </c>
    </row>
    <row r="49" spans="2:5" ht="14.25" customHeight="1" x14ac:dyDescent="0.25">
      <c r="B49" s="25">
        <v>0.6</v>
      </c>
      <c r="C49" s="23" t="e">
        <f t="shared" si="0"/>
        <v>#N/A</v>
      </c>
      <c r="D49" s="46" t="e">
        <f t="shared" si="1"/>
        <v>#N/A</v>
      </c>
      <c r="E49" s="46" t="e">
        <f t="shared" si="2"/>
        <v>#N/A</v>
      </c>
    </row>
    <row r="50" spans="2:5" ht="14.25" customHeight="1" x14ac:dyDescent="0.25">
      <c r="B50" s="17">
        <v>0.65</v>
      </c>
      <c r="C50" s="23" t="e">
        <f t="shared" si="0"/>
        <v>#N/A</v>
      </c>
      <c r="D50" s="46" t="e">
        <f t="shared" si="1"/>
        <v>#N/A</v>
      </c>
      <c r="E50" s="46" t="e">
        <f t="shared" si="2"/>
        <v>#N/A</v>
      </c>
    </row>
    <row r="51" spans="2:5" ht="14.25" customHeight="1" x14ac:dyDescent="0.25">
      <c r="B51" s="25">
        <v>0.7</v>
      </c>
      <c r="C51" s="23" t="e">
        <f t="shared" si="0"/>
        <v>#N/A</v>
      </c>
      <c r="D51" s="46" t="e">
        <f t="shared" si="1"/>
        <v>#N/A</v>
      </c>
      <c r="E51" s="46" t="e">
        <f t="shared" si="2"/>
        <v>#N/A</v>
      </c>
    </row>
    <row r="52" spans="2:5" ht="14.25" customHeight="1" x14ac:dyDescent="0.25">
      <c r="B52" s="17">
        <v>0.75</v>
      </c>
      <c r="C52" s="23" t="e">
        <f t="shared" si="0"/>
        <v>#N/A</v>
      </c>
      <c r="D52" s="46" t="e">
        <f t="shared" si="1"/>
        <v>#N/A</v>
      </c>
      <c r="E52" s="46" t="e">
        <f t="shared" si="2"/>
        <v>#N/A</v>
      </c>
    </row>
    <row r="53" spans="2:5" ht="14.25" customHeight="1" x14ac:dyDescent="0.25">
      <c r="B53" s="25">
        <v>0.8</v>
      </c>
      <c r="C53" s="23" t="e">
        <f t="shared" si="0"/>
        <v>#N/A</v>
      </c>
      <c r="D53" s="46" t="e">
        <f t="shared" si="1"/>
        <v>#N/A</v>
      </c>
      <c r="E53" s="46" t="e">
        <f t="shared" si="2"/>
        <v>#N/A</v>
      </c>
    </row>
    <row r="54" spans="2:5" ht="14.25" customHeight="1" x14ac:dyDescent="0.25">
      <c r="B54" s="17">
        <v>0.85</v>
      </c>
      <c r="C54" s="23" t="e">
        <f t="shared" si="0"/>
        <v>#N/A</v>
      </c>
      <c r="D54" s="46" t="e">
        <f t="shared" si="1"/>
        <v>#N/A</v>
      </c>
      <c r="E54" s="46" t="e">
        <f t="shared" si="2"/>
        <v>#N/A</v>
      </c>
    </row>
    <row r="55" spans="2:5" ht="14.25" customHeight="1" x14ac:dyDescent="0.25">
      <c r="B55" s="25">
        <v>0.9</v>
      </c>
      <c r="C55" s="23" t="e">
        <f t="shared" si="0"/>
        <v>#N/A</v>
      </c>
      <c r="D55" s="46" t="e">
        <f t="shared" si="1"/>
        <v>#N/A</v>
      </c>
      <c r="E55" s="46" t="e">
        <f t="shared" si="2"/>
        <v>#N/A</v>
      </c>
    </row>
    <row r="56" spans="2:5" ht="14.25" customHeight="1" x14ac:dyDescent="0.25">
      <c r="B56" s="17">
        <v>0.95</v>
      </c>
      <c r="C56" s="23" t="e">
        <f t="shared" si="0"/>
        <v>#N/A</v>
      </c>
      <c r="D56" s="46" t="e">
        <f t="shared" si="1"/>
        <v>#N/A</v>
      </c>
      <c r="E56" s="46" t="e">
        <f t="shared" si="2"/>
        <v>#N/A</v>
      </c>
    </row>
    <row r="57" spans="2:5" ht="14.25" customHeight="1" x14ac:dyDescent="0.25">
      <c r="B57" s="25">
        <v>1</v>
      </c>
      <c r="C57" s="23" t="e">
        <f t="shared" si="0"/>
        <v>#N/A</v>
      </c>
      <c r="D57" s="46" t="e">
        <f t="shared" si="1"/>
        <v>#N/A</v>
      </c>
      <c r="E57" s="46" t="e">
        <f t="shared" si="2"/>
        <v>#N/A</v>
      </c>
    </row>
    <row r="58" spans="2:5" ht="14.25" customHeight="1" x14ac:dyDescent="0.25">
      <c r="D58" s="41"/>
    </row>
    <row r="59" spans="2:5" ht="14.25" customHeight="1" x14ac:dyDescent="0.25">
      <c r="D59" s="41"/>
    </row>
    <row r="60" spans="2:5" ht="14.25" customHeight="1" x14ac:dyDescent="0.25">
      <c r="D60" s="41"/>
    </row>
    <row r="61" spans="2:5" ht="14.25" customHeight="1" x14ac:dyDescent="0.25">
      <c r="D61" s="41"/>
    </row>
    <row r="62" spans="2:5" ht="14.25" customHeight="1" x14ac:dyDescent="0.25">
      <c r="D62" s="41"/>
    </row>
    <row r="63" spans="2:5" ht="14.25" customHeight="1" x14ac:dyDescent="0.25">
      <c r="D63" s="41"/>
    </row>
    <row r="64" spans="2:5" ht="14.25" customHeight="1" x14ac:dyDescent="0.25">
      <c r="D64" s="41"/>
    </row>
    <row r="65" spans="4:4" ht="14.25" customHeight="1" x14ac:dyDescent="0.25">
      <c r="D65" s="41"/>
    </row>
    <row r="66" spans="4:4" ht="14.25" customHeight="1" x14ac:dyDescent="0.25">
      <c r="D66" s="41"/>
    </row>
    <row r="67" spans="4:4" ht="14.25" customHeight="1" x14ac:dyDescent="0.25">
      <c r="D67" s="41"/>
    </row>
    <row r="68" spans="4:4" ht="14.25" customHeight="1" x14ac:dyDescent="0.25">
      <c r="D68" s="41"/>
    </row>
    <row r="69" spans="4:4" ht="14.25" customHeight="1" x14ac:dyDescent="0.25">
      <c r="D69" s="41"/>
    </row>
    <row r="70" spans="4:4" ht="14.25" customHeight="1" x14ac:dyDescent="0.25">
      <c r="D70" s="41"/>
    </row>
    <row r="71" spans="4:4" ht="14.25" customHeight="1" x14ac:dyDescent="0.25">
      <c r="D71" s="41"/>
    </row>
    <row r="72" spans="4:4" ht="14.25" customHeight="1" x14ac:dyDescent="0.25">
      <c r="D72" s="41"/>
    </row>
    <row r="73" spans="4:4" ht="14.25" customHeight="1" x14ac:dyDescent="0.25"/>
    <row r="74" spans="4:4" ht="14.25" customHeight="1" x14ac:dyDescent="0.25"/>
    <row r="75" spans="4:4" ht="14.25" customHeight="1" x14ac:dyDescent="0.25"/>
    <row r="76" spans="4:4" ht="14.25" customHeight="1" x14ac:dyDescent="0.25"/>
    <row r="77" spans="4:4" ht="14.25" customHeight="1" x14ac:dyDescent="0.25"/>
    <row r="78" spans="4:4" ht="14.25" customHeight="1" x14ac:dyDescent="0.25"/>
    <row r="79" spans="4:4" ht="14.25" customHeight="1" x14ac:dyDescent="0.25"/>
    <row r="80" spans="4:4"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3">
    <mergeCell ref="C2:H2"/>
    <mergeCell ref="B4:E5"/>
    <mergeCell ref="B6:B10"/>
  </mergeCells>
  <pageMargins left="0.7" right="0.7" top="0.75" bottom="0.75" header="0" footer="0"/>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Z1000"/>
  <sheetViews>
    <sheetView showGridLines="0" topLeftCell="A28" workbookViewId="0">
      <selection activeCell="C2" sqref="C2:H2"/>
    </sheetView>
  </sheetViews>
  <sheetFormatPr defaultColWidth="14.42578125" defaultRowHeight="15" customHeight="1" x14ac:dyDescent="0.25"/>
  <cols>
    <col min="1" max="1" width="8.7109375" customWidth="1"/>
    <col min="2" max="6" width="12.42578125" customWidth="1"/>
    <col min="7" max="26" width="12.5703125" customWidth="1"/>
  </cols>
  <sheetData>
    <row r="1" spans="2:8" ht="14.25" customHeight="1" x14ac:dyDescent="0.25"/>
    <row r="2" spans="2:8" ht="14.25" customHeight="1" x14ac:dyDescent="0.25">
      <c r="B2" s="1" t="s">
        <v>84</v>
      </c>
      <c r="C2" s="146"/>
      <c r="D2" s="147"/>
      <c r="E2" s="147"/>
      <c r="F2" s="147"/>
      <c r="G2" s="147"/>
      <c r="H2" s="147"/>
    </row>
    <row r="3" spans="2:8" ht="14.25" customHeight="1" x14ac:dyDescent="0.25">
      <c r="B3" s="1" t="s">
        <v>141</v>
      </c>
      <c r="C3" s="146"/>
      <c r="D3" s="147"/>
      <c r="E3" s="147"/>
      <c r="F3" s="147"/>
      <c r="G3" s="147"/>
      <c r="H3" s="147"/>
    </row>
    <row r="4" spans="2:8" ht="14.25" customHeight="1" x14ac:dyDescent="0.25">
      <c r="C4" s="7"/>
      <c r="D4" s="7"/>
      <c r="E4" s="7"/>
      <c r="F4" s="7"/>
    </row>
    <row r="5" spans="2:8" ht="14.25" customHeight="1" x14ac:dyDescent="0.25">
      <c r="C5" s="7"/>
      <c r="D5" s="7"/>
      <c r="E5" s="7"/>
      <c r="F5" s="7"/>
    </row>
    <row r="6" spans="2:8" ht="14.25" customHeight="1" x14ac:dyDescent="0.25">
      <c r="C6" s="7"/>
      <c r="D6" s="7"/>
      <c r="E6" s="7"/>
      <c r="F6" s="7"/>
    </row>
    <row r="7" spans="2:8" ht="14.25" customHeight="1" x14ac:dyDescent="0.25">
      <c r="C7" s="7"/>
      <c r="D7" s="7"/>
      <c r="E7" s="7"/>
      <c r="F7" s="7"/>
    </row>
    <row r="8" spans="2:8" ht="14.25" customHeight="1" x14ac:dyDescent="0.25">
      <c r="C8" s="7"/>
      <c r="D8" s="7"/>
      <c r="E8" s="7"/>
      <c r="F8" s="7"/>
    </row>
    <row r="9" spans="2:8" ht="14.25" customHeight="1" x14ac:dyDescent="0.25">
      <c r="C9" s="7"/>
      <c r="D9" s="7"/>
      <c r="E9" s="7"/>
      <c r="F9" s="7"/>
    </row>
    <row r="10" spans="2:8" ht="14.25" customHeight="1" x14ac:dyDescent="0.25">
      <c r="C10" s="7"/>
      <c r="D10" s="7"/>
      <c r="E10" s="7"/>
      <c r="F10" s="7"/>
    </row>
    <row r="11" spans="2:8" ht="14.25" customHeight="1" x14ac:dyDescent="0.25">
      <c r="C11" s="7"/>
      <c r="D11" s="7"/>
      <c r="E11" s="7"/>
      <c r="F11" s="7"/>
    </row>
    <row r="12" spans="2:8" ht="14.25" customHeight="1" x14ac:dyDescent="0.25">
      <c r="C12" s="7"/>
      <c r="D12" s="7"/>
      <c r="E12" s="7"/>
      <c r="F12" s="7"/>
    </row>
    <row r="13" spans="2:8" ht="14.25" customHeight="1" x14ac:dyDescent="0.25">
      <c r="C13" s="7"/>
      <c r="D13" s="7"/>
      <c r="E13" s="7"/>
      <c r="F13" s="7"/>
    </row>
    <row r="14" spans="2:8" ht="14.25" customHeight="1" x14ac:dyDescent="0.25">
      <c r="C14" s="7"/>
      <c r="D14" s="7"/>
      <c r="E14" s="7"/>
      <c r="F14" s="7"/>
    </row>
    <row r="15" spans="2:8" ht="14.25" customHeight="1" x14ac:dyDescent="0.25">
      <c r="C15" s="7"/>
      <c r="D15" s="7"/>
      <c r="E15" s="7"/>
      <c r="F15" s="7"/>
    </row>
    <row r="16" spans="2:8" ht="14.25" customHeight="1" x14ac:dyDescent="0.25">
      <c r="C16" s="7"/>
      <c r="D16" s="7"/>
      <c r="E16" s="7"/>
      <c r="F16" s="7"/>
    </row>
    <row r="17" spans="2:8" ht="14.25" customHeight="1" x14ac:dyDescent="0.25">
      <c r="C17" s="7"/>
      <c r="D17" s="7"/>
      <c r="E17" s="7"/>
      <c r="F17" s="7"/>
    </row>
    <row r="18" spans="2:8" ht="14.25" customHeight="1" x14ac:dyDescent="0.25">
      <c r="B18" s="3"/>
    </row>
    <row r="19" spans="2:8" ht="14.25" customHeight="1" x14ac:dyDescent="0.25">
      <c r="B19" s="150" t="s">
        <v>142</v>
      </c>
      <c r="C19" s="151"/>
      <c r="D19" s="151"/>
      <c r="E19" s="151"/>
      <c r="F19" s="151"/>
      <c r="G19" s="151"/>
      <c r="H19" s="151"/>
    </row>
    <row r="20" spans="2:8" ht="14.25" customHeight="1" x14ac:dyDescent="0.25">
      <c r="B20" s="147"/>
      <c r="C20" s="147"/>
      <c r="D20" s="147"/>
      <c r="E20" s="147"/>
      <c r="F20" s="147"/>
      <c r="G20" s="147"/>
      <c r="H20" s="147"/>
    </row>
    <row r="21" spans="2:8" ht="14.25" customHeight="1" x14ac:dyDescent="0.25">
      <c r="B21" s="152" t="s">
        <v>143</v>
      </c>
      <c r="C21" s="17" t="s">
        <v>144</v>
      </c>
      <c r="D21" s="47"/>
    </row>
    <row r="22" spans="2:8" ht="14.25" customHeight="1" x14ac:dyDescent="0.25">
      <c r="B22" s="113"/>
      <c r="C22" s="17" t="s">
        <v>135</v>
      </c>
      <c r="D22" s="47"/>
    </row>
    <row r="23" spans="2:8" ht="14.25" customHeight="1" x14ac:dyDescent="0.25">
      <c r="B23" s="113"/>
      <c r="C23" s="17" t="s">
        <v>54</v>
      </c>
      <c r="D23" s="47"/>
    </row>
    <row r="24" spans="2:8" ht="14.25" customHeight="1" x14ac:dyDescent="0.25">
      <c r="B24" s="113"/>
      <c r="C24" s="17" t="s">
        <v>63</v>
      </c>
      <c r="D24" s="48" t="e">
        <f t="array" ref="D24">INDEX('Tabel Faktor'!$A$1:$Q$25,MATCH(D23,'Tabel Faktor'!$A$1:$A$25,0),MATCH(C24,'Tabel Faktor'!$A$1:$Q$1,0))</f>
        <v>#N/A</v>
      </c>
    </row>
    <row r="25" spans="2:8" ht="14.25" customHeight="1" x14ac:dyDescent="0.25">
      <c r="B25" s="147"/>
      <c r="C25" s="38" t="s">
        <v>136</v>
      </c>
      <c r="D25" s="49" t="e">
        <f>D22/D24</f>
        <v>#N/A</v>
      </c>
    </row>
    <row r="26" spans="2:8" ht="14.25" customHeight="1" x14ac:dyDescent="0.25">
      <c r="B26" s="152" t="s">
        <v>145</v>
      </c>
      <c r="C26" s="17" t="s">
        <v>40</v>
      </c>
      <c r="D26" s="47"/>
      <c r="E26" s="14"/>
      <c r="F26" s="14"/>
    </row>
    <row r="27" spans="2:8" ht="14.25" customHeight="1" x14ac:dyDescent="0.25">
      <c r="B27" s="113"/>
      <c r="C27" s="17" t="s">
        <v>44</v>
      </c>
      <c r="D27" s="47"/>
      <c r="E27" s="14"/>
      <c r="F27" s="14"/>
    </row>
    <row r="28" spans="2:8" ht="14.25" customHeight="1" x14ac:dyDescent="0.25">
      <c r="B28" s="113"/>
      <c r="C28" s="17" t="s">
        <v>146</v>
      </c>
      <c r="D28" s="48" t="e">
        <f>(D29-D27)/3</f>
        <v>#DIV/0!</v>
      </c>
      <c r="E28" s="14"/>
      <c r="F28" s="14"/>
    </row>
    <row r="29" spans="2:8" ht="14.25" customHeight="1" x14ac:dyDescent="0.25">
      <c r="B29" s="147"/>
      <c r="C29" s="38" t="s">
        <v>144</v>
      </c>
      <c r="D29" s="49" t="e">
        <f>AVERAGE(D26:D27)</f>
        <v>#DIV/0!</v>
      </c>
      <c r="E29" s="17"/>
      <c r="F29" s="17"/>
    </row>
    <row r="30" spans="2:8" ht="14.25" customHeight="1" x14ac:dyDescent="0.25">
      <c r="B30" s="153" t="s">
        <v>142</v>
      </c>
      <c r="C30" s="24" t="s">
        <v>147</v>
      </c>
      <c r="D30" s="47" t="e">
        <f>(D26-D27)/(6*D25)</f>
        <v>#N/A</v>
      </c>
      <c r="E30" s="17"/>
      <c r="F30" s="17"/>
    </row>
    <row r="31" spans="2:8" ht="14.25" customHeight="1" x14ac:dyDescent="0.25">
      <c r="B31" s="113"/>
      <c r="C31" s="24" t="s">
        <v>148</v>
      </c>
      <c r="D31" s="47" t="e">
        <f>(D21-D27)/(3*D25)</f>
        <v>#N/A</v>
      </c>
      <c r="E31" s="17"/>
      <c r="F31" s="17"/>
    </row>
    <row r="32" spans="2:8" ht="14.25" customHeight="1" x14ac:dyDescent="0.25">
      <c r="B32" s="113"/>
      <c r="C32" s="24" t="s">
        <v>149</v>
      </c>
      <c r="D32" s="47" t="e">
        <f>(D26-D21)/(3*D25)</f>
        <v>#N/A</v>
      </c>
      <c r="E32" s="17"/>
      <c r="F32" s="17"/>
    </row>
    <row r="33" spans="1:26" ht="14.25" customHeight="1" x14ac:dyDescent="0.25">
      <c r="B33" s="113"/>
      <c r="C33" s="24" t="s">
        <v>150</v>
      </c>
      <c r="D33" s="47" t="e">
        <f>MIN(D31:D32)</f>
        <v>#N/A</v>
      </c>
      <c r="E33" s="17"/>
      <c r="F33" s="17"/>
    </row>
    <row r="34" spans="1:26" ht="14.25" customHeight="1" x14ac:dyDescent="0.25">
      <c r="B34" s="147"/>
      <c r="C34" s="50" t="s">
        <v>151</v>
      </c>
      <c r="D34" s="92" t="e">
        <f>1-(_xlfn.NORM.DIST(D26,D21,D25,TRUE)-_xlfn.NORM.DIST(D27,D21,D25,TRUE))</f>
        <v>#N/A</v>
      </c>
      <c r="E34" s="17"/>
      <c r="F34" s="17"/>
    </row>
    <row r="35" spans="1:26" ht="14.25" customHeight="1" x14ac:dyDescent="0.25">
      <c r="A35" s="16"/>
      <c r="B35" s="51" t="s">
        <v>152</v>
      </c>
      <c r="C35" s="20" t="s">
        <v>153</v>
      </c>
      <c r="D35" s="20" t="s">
        <v>154</v>
      </c>
      <c r="E35" s="20" t="s">
        <v>155</v>
      </c>
      <c r="F35" s="20" t="s">
        <v>156</v>
      </c>
      <c r="G35" s="20" t="s">
        <v>40</v>
      </c>
      <c r="H35" s="20" t="s">
        <v>44</v>
      </c>
      <c r="I35" s="16"/>
      <c r="L35" s="16"/>
      <c r="M35" s="16"/>
      <c r="N35" s="16"/>
      <c r="O35" s="16"/>
      <c r="P35" s="16"/>
      <c r="Q35" s="16"/>
      <c r="R35" s="16"/>
      <c r="S35" s="16"/>
      <c r="T35" s="16"/>
      <c r="U35" s="16"/>
      <c r="V35" s="16"/>
      <c r="W35" s="16"/>
      <c r="X35" s="16"/>
      <c r="Y35" s="16"/>
      <c r="Z35" s="16"/>
    </row>
    <row r="36" spans="1:26" ht="14.25" customHeight="1" x14ac:dyDescent="0.25">
      <c r="B36" s="25">
        <v>-3</v>
      </c>
      <c r="C36" s="23" t="e">
        <f t="shared" ref="C36:C236" si="0">$D$21+B36*$D$25</f>
        <v>#N/A</v>
      </c>
      <c r="D36" s="23" t="e">
        <f t="shared" ref="D36:D236" si="1">_xlfn.NORM.DIST($D$21+B36*$D$25,$D$21,$D$25,FALSE)</f>
        <v>#N/A</v>
      </c>
      <c r="E36" s="23" t="e">
        <f t="shared" ref="E36:E236" si="2">$D$29+B36*$D$28</f>
        <v>#DIV/0!</v>
      </c>
      <c r="F36" s="23" t="e">
        <f t="shared" ref="F36:F236" si="3">_xlfn.NORM.DIST(E36,$D$29,$D$28,TRUE)</f>
        <v>#DIV/0!</v>
      </c>
      <c r="G36" s="45">
        <f>$D$26</f>
        <v>0</v>
      </c>
      <c r="H36" s="45">
        <f t="shared" ref="H36:H236" si="4">$D$27</f>
        <v>0</v>
      </c>
    </row>
    <row r="37" spans="1:26" ht="14.25" customHeight="1" x14ac:dyDescent="0.25">
      <c r="B37" s="25">
        <f t="shared" ref="B37:B236" si="5">B36+0.03</f>
        <v>-2.97</v>
      </c>
      <c r="C37" s="23" t="e">
        <f t="shared" si="0"/>
        <v>#N/A</v>
      </c>
      <c r="D37" s="23" t="e">
        <f t="shared" si="1"/>
        <v>#N/A</v>
      </c>
      <c r="E37" s="23" t="e">
        <f t="shared" si="2"/>
        <v>#DIV/0!</v>
      </c>
      <c r="F37" s="23" t="e">
        <f t="shared" si="3"/>
        <v>#DIV/0!</v>
      </c>
      <c r="G37" s="45">
        <f t="shared" ref="G37:G236" si="6">$D$26</f>
        <v>0</v>
      </c>
      <c r="H37" s="45">
        <f t="shared" si="4"/>
        <v>0</v>
      </c>
    </row>
    <row r="38" spans="1:26" ht="14.25" customHeight="1" x14ac:dyDescent="0.25">
      <c r="B38" s="25">
        <f t="shared" si="5"/>
        <v>-2.9400000000000004</v>
      </c>
      <c r="C38" s="23" t="e">
        <f t="shared" si="0"/>
        <v>#N/A</v>
      </c>
      <c r="D38" s="23" t="e">
        <f t="shared" si="1"/>
        <v>#N/A</v>
      </c>
      <c r="E38" s="23" t="e">
        <f t="shared" si="2"/>
        <v>#DIV/0!</v>
      </c>
      <c r="F38" s="23" t="e">
        <f t="shared" si="3"/>
        <v>#DIV/0!</v>
      </c>
      <c r="G38" s="45">
        <f t="shared" si="6"/>
        <v>0</v>
      </c>
      <c r="H38" s="45">
        <f t="shared" si="4"/>
        <v>0</v>
      </c>
    </row>
    <row r="39" spans="1:26" ht="14.25" customHeight="1" x14ac:dyDescent="0.25">
      <c r="B39" s="25">
        <f t="shared" si="5"/>
        <v>-2.9100000000000006</v>
      </c>
      <c r="C39" s="23" t="e">
        <f t="shared" si="0"/>
        <v>#N/A</v>
      </c>
      <c r="D39" s="23" t="e">
        <f t="shared" si="1"/>
        <v>#N/A</v>
      </c>
      <c r="E39" s="23" t="e">
        <f t="shared" si="2"/>
        <v>#DIV/0!</v>
      </c>
      <c r="F39" s="23" t="e">
        <f t="shared" si="3"/>
        <v>#DIV/0!</v>
      </c>
      <c r="G39" s="45">
        <f t="shared" si="6"/>
        <v>0</v>
      </c>
      <c r="H39" s="45">
        <f t="shared" si="4"/>
        <v>0</v>
      </c>
    </row>
    <row r="40" spans="1:26" ht="14.25" customHeight="1" x14ac:dyDescent="0.25">
      <c r="B40" s="25">
        <f t="shared" si="5"/>
        <v>-2.8800000000000008</v>
      </c>
      <c r="C40" s="23" t="e">
        <f t="shared" si="0"/>
        <v>#N/A</v>
      </c>
      <c r="D40" s="23" t="e">
        <f t="shared" si="1"/>
        <v>#N/A</v>
      </c>
      <c r="E40" s="23" t="e">
        <f t="shared" si="2"/>
        <v>#DIV/0!</v>
      </c>
      <c r="F40" s="23" t="e">
        <f t="shared" si="3"/>
        <v>#DIV/0!</v>
      </c>
      <c r="G40" s="45">
        <f t="shared" si="6"/>
        <v>0</v>
      </c>
      <c r="H40" s="45">
        <f t="shared" si="4"/>
        <v>0</v>
      </c>
    </row>
    <row r="41" spans="1:26" ht="14.25" customHeight="1" x14ac:dyDescent="0.25">
      <c r="B41" s="25">
        <f t="shared" si="5"/>
        <v>-2.850000000000001</v>
      </c>
      <c r="C41" s="23" t="e">
        <f t="shared" si="0"/>
        <v>#N/A</v>
      </c>
      <c r="D41" s="23" t="e">
        <f t="shared" si="1"/>
        <v>#N/A</v>
      </c>
      <c r="E41" s="23" t="e">
        <f t="shared" si="2"/>
        <v>#DIV/0!</v>
      </c>
      <c r="F41" s="23" t="e">
        <f t="shared" si="3"/>
        <v>#DIV/0!</v>
      </c>
      <c r="G41" s="45">
        <f t="shared" si="6"/>
        <v>0</v>
      </c>
      <c r="H41" s="45">
        <f t="shared" si="4"/>
        <v>0</v>
      </c>
    </row>
    <row r="42" spans="1:26" ht="14.25" customHeight="1" x14ac:dyDescent="0.25">
      <c r="B42" s="25">
        <f t="shared" si="5"/>
        <v>-2.8200000000000012</v>
      </c>
      <c r="C42" s="23" t="e">
        <f t="shared" si="0"/>
        <v>#N/A</v>
      </c>
      <c r="D42" s="23" t="e">
        <f t="shared" si="1"/>
        <v>#N/A</v>
      </c>
      <c r="E42" s="23" t="e">
        <f t="shared" si="2"/>
        <v>#DIV/0!</v>
      </c>
      <c r="F42" s="23" t="e">
        <f t="shared" si="3"/>
        <v>#DIV/0!</v>
      </c>
      <c r="G42" s="45">
        <f t="shared" si="6"/>
        <v>0</v>
      </c>
      <c r="H42" s="45">
        <f t="shared" si="4"/>
        <v>0</v>
      </c>
    </row>
    <row r="43" spans="1:26" ht="14.25" customHeight="1" x14ac:dyDescent="0.25">
      <c r="B43" s="25">
        <f t="shared" si="5"/>
        <v>-2.7900000000000014</v>
      </c>
      <c r="C43" s="23" t="e">
        <f t="shared" si="0"/>
        <v>#N/A</v>
      </c>
      <c r="D43" s="23" t="e">
        <f t="shared" si="1"/>
        <v>#N/A</v>
      </c>
      <c r="E43" s="23" t="e">
        <f t="shared" si="2"/>
        <v>#DIV/0!</v>
      </c>
      <c r="F43" s="23" t="e">
        <f t="shared" si="3"/>
        <v>#DIV/0!</v>
      </c>
      <c r="G43" s="45">
        <f t="shared" si="6"/>
        <v>0</v>
      </c>
      <c r="H43" s="45">
        <f t="shared" si="4"/>
        <v>0</v>
      </c>
    </row>
    <row r="44" spans="1:26" ht="14.25" customHeight="1" x14ac:dyDescent="0.25">
      <c r="B44" s="25">
        <f t="shared" si="5"/>
        <v>-2.7600000000000016</v>
      </c>
      <c r="C44" s="23" t="e">
        <f t="shared" si="0"/>
        <v>#N/A</v>
      </c>
      <c r="D44" s="23" t="e">
        <f t="shared" si="1"/>
        <v>#N/A</v>
      </c>
      <c r="E44" s="23" t="e">
        <f t="shared" si="2"/>
        <v>#DIV/0!</v>
      </c>
      <c r="F44" s="23" t="e">
        <f t="shared" si="3"/>
        <v>#DIV/0!</v>
      </c>
      <c r="G44" s="45">
        <f t="shared" si="6"/>
        <v>0</v>
      </c>
      <c r="H44" s="45">
        <f t="shared" si="4"/>
        <v>0</v>
      </c>
    </row>
    <row r="45" spans="1:26" ht="14.25" customHeight="1" x14ac:dyDescent="0.25">
      <c r="B45" s="25">
        <f t="shared" si="5"/>
        <v>-2.7300000000000018</v>
      </c>
      <c r="C45" s="23" t="e">
        <f t="shared" si="0"/>
        <v>#N/A</v>
      </c>
      <c r="D45" s="23" t="e">
        <f t="shared" si="1"/>
        <v>#N/A</v>
      </c>
      <c r="E45" s="23" t="e">
        <f t="shared" si="2"/>
        <v>#DIV/0!</v>
      </c>
      <c r="F45" s="23" t="e">
        <f t="shared" si="3"/>
        <v>#DIV/0!</v>
      </c>
      <c r="G45" s="45">
        <f t="shared" si="6"/>
        <v>0</v>
      </c>
      <c r="H45" s="45">
        <f t="shared" si="4"/>
        <v>0</v>
      </c>
    </row>
    <row r="46" spans="1:26" ht="14.25" customHeight="1" x14ac:dyDescent="0.25">
      <c r="B46" s="25">
        <f t="shared" si="5"/>
        <v>-2.700000000000002</v>
      </c>
      <c r="C46" s="23" t="e">
        <f t="shared" si="0"/>
        <v>#N/A</v>
      </c>
      <c r="D46" s="23" t="e">
        <f t="shared" si="1"/>
        <v>#N/A</v>
      </c>
      <c r="E46" s="23" t="e">
        <f t="shared" si="2"/>
        <v>#DIV/0!</v>
      </c>
      <c r="F46" s="23" t="e">
        <f t="shared" si="3"/>
        <v>#DIV/0!</v>
      </c>
      <c r="G46" s="45">
        <f t="shared" si="6"/>
        <v>0</v>
      </c>
      <c r="H46" s="45">
        <f t="shared" si="4"/>
        <v>0</v>
      </c>
      <c r="K46" s="52"/>
    </row>
    <row r="47" spans="1:26" ht="14.25" customHeight="1" x14ac:dyDescent="0.25">
      <c r="B47" s="25">
        <f t="shared" si="5"/>
        <v>-2.6700000000000021</v>
      </c>
      <c r="C47" s="23" t="e">
        <f t="shared" si="0"/>
        <v>#N/A</v>
      </c>
      <c r="D47" s="23" t="e">
        <f t="shared" si="1"/>
        <v>#N/A</v>
      </c>
      <c r="E47" s="23" t="e">
        <f t="shared" si="2"/>
        <v>#DIV/0!</v>
      </c>
      <c r="F47" s="23" t="e">
        <f t="shared" si="3"/>
        <v>#DIV/0!</v>
      </c>
      <c r="G47" s="45">
        <f t="shared" si="6"/>
        <v>0</v>
      </c>
      <c r="H47" s="45">
        <f t="shared" si="4"/>
        <v>0</v>
      </c>
    </row>
    <row r="48" spans="1:26" ht="14.25" customHeight="1" x14ac:dyDescent="0.25">
      <c r="B48" s="25">
        <f t="shared" si="5"/>
        <v>-2.6400000000000023</v>
      </c>
      <c r="C48" s="23" t="e">
        <f t="shared" si="0"/>
        <v>#N/A</v>
      </c>
      <c r="D48" s="23" t="e">
        <f t="shared" si="1"/>
        <v>#N/A</v>
      </c>
      <c r="E48" s="23" t="e">
        <f t="shared" si="2"/>
        <v>#DIV/0!</v>
      </c>
      <c r="F48" s="23" t="e">
        <f t="shared" si="3"/>
        <v>#DIV/0!</v>
      </c>
      <c r="G48" s="45">
        <f t="shared" si="6"/>
        <v>0</v>
      </c>
      <c r="H48" s="45">
        <f t="shared" si="4"/>
        <v>0</v>
      </c>
    </row>
    <row r="49" spans="2:8" ht="14.25" customHeight="1" x14ac:dyDescent="0.25">
      <c r="B49" s="25">
        <f t="shared" si="5"/>
        <v>-2.6100000000000025</v>
      </c>
      <c r="C49" s="23" t="e">
        <f t="shared" si="0"/>
        <v>#N/A</v>
      </c>
      <c r="D49" s="23" t="e">
        <f t="shared" si="1"/>
        <v>#N/A</v>
      </c>
      <c r="E49" s="23" t="e">
        <f t="shared" si="2"/>
        <v>#DIV/0!</v>
      </c>
      <c r="F49" s="23" t="e">
        <f t="shared" si="3"/>
        <v>#DIV/0!</v>
      </c>
      <c r="G49" s="45">
        <f t="shared" si="6"/>
        <v>0</v>
      </c>
      <c r="H49" s="45">
        <f t="shared" si="4"/>
        <v>0</v>
      </c>
    </row>
    <row r="50" spans="2:8" ht="14.25" customHeight="1" x14ac:dyDescent="0.25">
      <c r="B50" s="25">
        <f t="shared" si="5"/>
        <v>-2.5800000000000027</v>
      </c>
      <c r="C50" s="23" t="e">
        <f t="shared" si="0"/>
        <v>#N/A</v>
      </c>
      <c r="D50" s="23" t="e">
        <f t="shared" si="1"/>
        <v>#N/A</v>
      </c>
      <c r="E50" s="23" t="e">
        <f t="shared" si="2"/>
        <v>#DIV/0!</v>
      </c>
      <c r="F50" s="23" t="e">
        <f t="shared" si="3"/>
        <v>#DIV/0!</v>
      </c>
      <c r="G50" s="45">
        <f t="shared" si="6"/>
        <v>0</v>
      </c>
      <c r="H50" s="45">
        <f t="shared" si="4"/>
        <v>0</v>
      </c>
    </row>
    <row r="51" spans="2:8" ht="14.25" customHeight="1" x14ac:dyDescent="0.25">
      <c r="B51" s="25">
        <f t="shared" si="5"/>
        <v>-2.5500000000000029</v>
      </c>
      <c r="C51" s="23" t="e">
        <f t="shared" si="0"/>
        <v>#N/A</v>
      </c>
      <c r="D51" s="23" t="e">
        <f t="shared" si="1"/>
        <v>#N/A</v>
      </c>
      <c r="E51" s="23" t="e">
        <f t="shared" si="2"/>
        <v>#DIV/0!</v>
      </c>
      <c r="F51" s="23" t="e">
        <f t="shared" si="3"/>
        <v>#DIV/0!</v>
      </c>
      <c r="G51" s="45">
        <f t="shared" si="6"/>
        <v>0</v>
      </c>
      <c r="H51" s="45">
        <f t="shared" si="4"/>
        <v>0</v>
      </c>
    </row>
    <row r="52" spans="2:8" ht="14.25" customHeight="1" x14ac:dyDescent="0.25">
      <c r="B52" s="25">
        <f t="shared" si="5"/>
        <v>-2.5200000000000031</v>
      </c>
      <c r="C52" s="23" t="e">
        <f t="shared" si="0"/>
        <v>#N/A</v>
      </c>
      <c r="D52" s="23" t="e">
        <f t="shared" si="1"/>
        <v>#N/A</v>
      </c>
      <c r="E52" s="23" t="e">
        <f t="shared" si="2"/>
        <v>#DIV/0!</v>
      </c>
      <c r="F52" s="23" t="e">
        <f t="shared" si="3"/>
        <v>#DIV/0!</v>
      </c>
      <c r="G52" s="45">
        <f t="shared" si="6"/>
        <v>0</v>
      </c>
      <c r="H52" s="45">
        <f t="shared" si="4"/>
        <v>0</v>
      </c>
    </row>
    <row r="53" spans="2:8" ht="14.25" customHeight="1" x14ac:dyDescent="0.25">
      <c r="B53" s="25">
        <f t="shared" si="5"/>
        <v>-2.4900000000000033</v>
      </c>
      <c r="C53" s="23" t="e">
        <f t="shared" si="0"/>
        <v>#N/A</v>
      </c>
      <c r="D53" s="23" t="e">
        <f t="shared" si="1"/>
        <v>#N/A</v>
      </c>
      <c r="E53" s="23" t="e">
        <f t="shared" si="2"/>
        <v>#DIV/0!</v>
      </c>
      <c r="F53" s="23" t="e">
        <f t="shared" si="3"/>
        <v>#DIV/0!</v>
      </c>
      <c r="G53" s="45">
        <f t="shared" si="6"/>
        <v>0</v>
      </c>
      <c r="H53" s="45">
        <f t="shared" si="4"/>
        <v>0</v>
      </c>
    </row>
    <row r="54" spans="2:8" ht="14.25" customHeight="1" x14ac:dyDescent="0.25">
      <c r="B54" s="25">
        <f t="shared" si="5"/>
        <v>-2.4600000000000035</v>
      </c>
      <c r="C54" s="23" t="e">
        <f t="shared" si="0"/>
        <v>#N/A</v>
      </c>
      <c r="D54" s="23" t="e">
        <f t="shared" si="1"/>
        <v>#N/A</v>
      </c>
      <c r="E54" s="23" t="e">
        <f t="shared" si="2"/>
        <v>#DIV/0!</v>
      </c>
      <c r="F54" s="23" t="e">
        <f t="shared" si="3"/>
        <v>#DIV/0!</v>
      </c>
      <c r="G54" s="45">
        <f t="shared" si="6"/>
        <v>0</v>
      </c>
      <c r="H54" s="45">
        <f t="shared" si="4"/>
        <v>0</v>
      </c>
    </row>
    <row r="55" spans="2:8" ht="14.25" customHeight="1" x14ac:dyDescent="0.25">
      <c r="B55" s="25">
        <f t="shared" si="5"/>
        <v>-2.4300000000000037</v>
      </c>
      <c r="C55" s="23" t="e">
        <f t="shared" si="0"/>
        <v>#N/A</v>
      </c>
      <c r="D55" s="23" t="e">
        <f t="shared" si="1"/>
        <v>#N/A</v>
      </c>
      <c r="E55" s="23" t="e">
        <f t="shared" si="2"/>
        <v>#DIV/0!</v>
      </c>
      <c r="F55" s="23" t="e">
        <f t="shared" si="3"/>
        <v>#DIV/0!</v>
      </c>
      <c r="G55" s="45">
        <f t="shared" si="6"/>
        <v>0</v>
      </c>
      <c r="H55" s="45">
        <f t="shared" si="4"/>
        <v>0</v>
      </c>
    </row>
    <row r="56" spans="2:8" ht="14.25" customHeight="1" x14ac:dyDescent="0.25">
      <c r="B56" s="25">
        <f t="shared" si="5"/>
        <v>-2.4000000000000039</v>
      </c>
      <c r="C56" s="23" t="e">
        <f t="shared" si="0"/>
        <v>#N/A</v>
      </c>
      <c r="D56" s="23" t="e">
        <f t="shared" si="1"/>
        <v>#N/A</v>
      </c>
      <c r="E56" s="23" t="e">
        <f t="shared" si="2"/>
        <v>#DIV/0!</v>
      </c>
      <c r="F56" s="23" t="e">
        <f t="shared" si="3"/>
        <v>#DIV/0!</v>
      </c>
      <c r="G56" s="45">
        <f t="shared" si="6"/>
        <v>0</v>
      </c>
      <c r="H56" s="45">
        <f t="shared" si="4"/>
        <v>0</v>
      </c>
    </row>
    <row r="57" spans="2:8" ht="14.25" customHeight="1" x14ac:dyDescent="0.25">
      <c r="B57" s="25">
        <f t="shared" si="5"/>
        <v>-2.3700000000000041</v>
      </c>
      <c r="C57" s="23" t="e">
        <f t="shared" si="0"/>
        <v>#N/A</v>
      </c>
      <c r="D57" s="23" t="e">
        <f t="shared" si="1"/>
        <v>#N/A</v>
      </c>
      <c r="E57" s="23" t="e">
        <f t="shared" si="2"/>
        <v>#DIV/0!</v>
      </c>
      <c r="F57" s="23" t="e">
        <f t="shared" si="3"/>
        <v>#DIV/0!</v>
      </c>
      <c r="G57" s="45">
        <f t="shared" si="6"/>
        <v>0</v>
      </c>
      <c r="H57" s="45">
        <f t="shared" si="4"/>
        <v>0</v>
      </c>
    </row>
    <row r="58" spans="2:8" ht="14.25" customHeight="1" x14ac:dyDescent="0.25">
      <c r="B58" s="25">
        <f t="shared" si="5"/>
        <v>-2.3400000000000043</v>
      </c>
      <c r="C58" s="23" t="e">
        <f t="shared" si="0"/>
        <v>#N/A</v>
      </c>
      <c r="D58" s="23" t="e">
        <f t="shared" si="1"/>
        <v>#N/A</v>
      </c>
      <c r="E58" s="23" t="e">
        <f t="shared" si="2"/>
        <v>#DIV/0!</v>
      </c>
      <c r="F58" s="23" t="e">
        <f t="shared" si="3"/>
        <v>#DIV/0!</v>
      </c>
      <c r="G58" s="45">
        <f t="shared" si="6"/>
        <v>0</v>
      </c>
      <c r="H58" s="45">
        <f t="shared" si="4"/>
        <v>0</v>
      </c>
    </row>
    <row r="59" spans="2:8" ht="14.25" customHeight="1" x14ac:dyDescent="0.25">
      <c r="B59" s="25">
        <f t="shared" si="5"/>
        <v>-2.3100000000000045</v>
      </c>
      <c r="C59" s="23" t="e">
        <f t="shared" si="0"/>
        <v>#N/A</v>
      </c>
      <c r="D59" s="23" t="e">
        <f t="shared" si="1"/>
        <v>#N/A</v>
      </c>
      <c r="E59" s="23" t="e">
        <f t="shared" si="2"/>
        <v>#DIV/0!</v>
      </c>
      <c r="F59" s="23" t="e">
        <f t="shared" si="3"/>
        <v>#DIV/0!</v>
      </c>
      <c r="G59" s="45">
        <f t="shared" si="6"/>
        <v>0</v>
      </c>
      <c r="H59" s="45">
        <f t="shared" si="4"/>
        <v>0</v>
      </c>
    </row>
    <row r="60" spans="2:8" ht="14.25" customHeight="1" x14ac:dyDescent="0.25">
      <c r="B60" s="25">
        <f t="shared" si="5"/>
        <v>-2.2800000000000047</v>
      </c>
      <c r="C60" s="23" t="e">
        <f t="shared" si="0"/>
        <v>#N/A</v>
      </c>
      <c r="D60" s="23" t="e">
        <f t="shared" si="1"/>
        <v>#N/A</v>
      </c>
      <c r="E60" s="23" t="e">
        <f t="shared" si="2"/>
        <v>#DIV/0!</v>
      </c>
      <c r="F60" s="23" t="e">
        <f t="shared" si="3"/>
        <v>#DIV/0!</v>
      </c>
      <c r="G60" s="45">
        <f t="shared" si="6"/>
        <v>0</v>
      </c>
      <c r="H60" s="45">
        <f t="shared" si="4"/>
        <v>0</v>
      </c>
    </row>
    <row r="61" spans="2:8" ht="14.25" customHeight="1" x14ac:dyDescent="0.25">
      <c r="B61" s="25">
        <f t="shared" si="5"/>
        <v>-2.2500000000000049</v>
      </c>
      <c r="C61" s="23" t="e">
        <f t="shared" si="0"/>
        <v>#N/A</v>
      </c>
      <c r="D61" s="23" t="e">
        <f t="shared" si="1"/>
        <v>#N/A</v>
      </c>
      <c r="E61" s="23" t="e">
        <f t="shared" si="2"/>
        <v>#DIV/0!</v>
      </c>
      <c r="F61" s="23" t="e">
        <f t="shared" si="3"/>
        <v>#DIV/0!</v>
      </c>
      <c r="G61" s="45">
        <f t="shared" si="6"/>
        <v>0</v>
      </c>
      <c r="H61" s="45">
        <f t="shared" si="4"/>
        <v>0</v>
      </c>
    </row>
    <row r="62" spans="2:8" ht="14.25" customHeight="1" x14ac:dyDescent="0.25">
      <c r="B62" s="25">
        <f t="shared" si="5"/>
        <v>-2.2200000000000051</v>
      </c>
      <c r="C62" s="23" t="e">
        <f t="shared" si="0"/>
        <v>#N/A</v>
      </c>
      <c r="D62" s="23" t="e">
        <f t="shared" si="1"/>
        <v>#N/A</v>
      </c>
      <c r="E62" s="23" t="e">
        <f t="shared" si="2"/>
        <v>#DIV/0!</v>
      </c>
      <c r="F62" s="23" t="e">
        <f t="shared" si="3"/>
        <v>#DIV/0!</v>
      </c>
      <c r="G62" s="45">
        <f t="shared" si="6"/>
        <v>0</v>
      </c>
      <c r="H62" s="45">
        <f t="shared" si="4"/>
        <v>0</v>
      </c>
    </row>
    <row r="63" spans="2:8" ht="14.25" customHeight="1" x14ac:dyDescent="0.25">
      <c r="B63" s="25">
        <f t="shared" si="5"/>
        <v>-2.1900000000000053</v>
      </c>
      <c r="C63" s="23" t="e">
        <f t="shared" si="0"/>
        <v>#N/A</v>
      </c>
      <c r="D63" s="23" t="e">
        <f t="shared" si="1"/>
        <v>#N/A</v>
      </c>
      <c r="E63" s="23" t="e">
        <f t="shared" si="2"/>
        <v>#DIV/0!</v>
      </c>
      <c r="F63" s="23" t="e">
        <f t="shared" si="3"/>
        <v>#DIV/0!</v>
      </c>
      <c r="G63" s="45">
        <f t="shared" si="6"/>
        <v>0</v>
      </c>
      <c r="H63" s="45">
        <f t="shared" si="4"/>
        <v>0</v>
      </c>
    </row>
    <row r="64" spans="2:8" ht="14.25" customHeight="1" x14ac:dyDescent="0.25">
      <c r="B64" s="25">
        <f t="shared" si="5"/>
        <v>-2.1600000000000055</v>
      </c>
      <c r="C64" s="23" t="e">
        <f t="shared" si="0"/>
        <v>#N/A</v>
      </c>
      <c r="D64" s="23" t="e">
        <f t="shared" si="1"/>
        <v>#N/A</v>
      </c>
      <c r="E64" s="23" t="e">
        <f t="shared" si="2"/>
        <v>#DIV/0!</v>
      </c>
      <c r="F64" s="23" t="e">
        <f t="shared" si="3"/>
        <v>#DIV/0!</v>
      </c>
      <c r="G64" s="45">
        <f t="shared" si="6"/>
        <v>0</v>
      </c>
      <c r="H64" s="45">
        <f t="shared" si="4"/>
        <v>0</v>
      </c>
    </row>
    <row r="65" spans="2:8" ht="14.25" customHeight="1" x14ac:dyDescent="0.25">
      <c r="B65" s="25">
        <f t="shared" si="5"/>
        <v>-2.1300000000000057</v>
      </c>
      <c r="C65" s="23" t="e">
        <f t="shared" si="0"/>
        <v>#N/A</v>
      </c>
      <c r="D65" s="23" t="e">
        <f t="shared" si="1"/>
        <v>#N/A</v>
      </c>
      <c r="E65" s="23" t="e">
        <f t="shared" si="2"/>
        <v>#DIV/0!</v>
      </c>
      <c r="F65" s="23" t="e">
        <f t="shared" si="3"/>
        <v>#DIV/0!</v>
      </c>
      <c r="G65" s="45">
        <f t="shared" si="6"/>
        <v>0</v>
      </c>
      <c r="H65" s="45">
        <f t="shared" si="4"/>
        <v>0</v>
      </c>
    </row>
    <row r="66" spans="2:8" ht="14.25" customHeight="1" x14ac:dyDescent="0.25">
      <c r="B66" s="25">
        <f t="shared" si="5"/>
        <v>-2.1000000000000059</v>
      </c>
      <c r="C66" s="23" t="e">
        <f t="shared" si="0"/>
        <v>#N/A</v>
      </c>
      <c r="D66" s="23" t="e">
        <f t="shared" si="1"/>
        <v>#N/A</v>
      </c>
      <c r="E66" s="23" t="e">
        <f t="shared" si="2"/>
        <v>#DIV/0!</v>
      </c>
      <c r="F66" s="23" t="e">
        <f t="shared" si="3"/>
        <v>#DIV/0!</v>
      </c>
      <c r="G66" s="45">
        <f t="shared" si="6"/>
        <v>0</v>
      </c>
      <c r="H66" s="45">
        <f t="shared" si="4"/>
        <v>0</v>
      </c>
    </row>
    <row r="67" spans="2:8" ht="14.25" customHeight="1" x14ac:dyDescent="0.25">
      <c r="B67" s="25">
        <f t="shared" si="5"/>
        <v>-2.0700000000000061</v>
      </c>
      <c r="C67" s="23" t="e">
        <f t="shared" si="0"/>
        <v>#N/A</v>
      </c>
      <c r="D67" s="23" t="e">
        <f t="shared" si="1"/>
        <v>#N/A</v>
      </c>
      <c r="E67" s="23" t="e">
        <f t="shared" si="2"/>
        <v>#DIV/0!</v>
      </c>
      <c r="F67" s="23" t="e">
        <f t="shared" si="3"/>
        <v>#DIV/0!</v>
      </c>
      <c r="G67" s="45">
        <f t="shared" si="6"/>
        <v>0</v>
      </c>
      <c r="H67" s="45">
        <f t="shared" si="4"/>
        <v>0</v>
      </c>
    </row>
    <row r="68" spans="2:8" ht="14.25" customHeight="1" x14ac:dyDescent="0.25">
      <c r="B68" s="25">
        <f t="shared" si="5"/>
        <v>-2.0400000000000063</v>
      </c>
      <c r="C68" s="23" t="e">
        <f t="shared" si="0"/>
        <v>#N/A</v>
      </c>
      <c r="D68" s="23" t="e">
        <f t="shared" si="1"/>
        <v>#N/A</v>
      </c>
      <c r="E68" s="23" t="e">
        <f t="shared" si="2"/>
        <v>#DIV/0!</v>
      </c>
      <c r="F68" s="23" t="e">
        <f t="shared" si="3"/>
        <v>#DIV/0!</v>
      </c>
      <c r="G68" s="45">
        <f t="shared" si="6"/>
        <v>0</v>
      </c>
      <c r="H68" s="45">
        <f t="shared" si="4"/>
        <v>0</v>
      </c>
    </row>
    <row r="69" spans="2:8" ht="14.25" customHeight="1" x14ac:dyDescent="0.25">
      <c r="B69" s="25">
        <f t="shared" si="5"/>
        <v>-2.0100000000000064</v>
      </c>
      <c r="C69" s="23" t="e">
        <f t="shared" si="0"/>
        <v>#N/A</v>
      </c>
      <c r="D69" s="23" t="e">
        <f t="shared" si="1"/>
        <v>#N/A</v>
      </c>
      <c r="E69" s="23" t="e">
        <f t="shared" si="2"/>
        <v>#DIV/0!</v>
      </c>
      <c r="F69" s="23" t="e">
        <f t="shared" si="3"/>
        <v>#DIV/0!</v>
      </c>
      <c r="G69" s="45">
        <f t="shared" si="6"/>
        <v>0</v>
      </c>
      <c r="H69" s="45">
        <f t="shared" si="4"/>
        <v>0</v>
      </c>
    </row>
    <row r="70" spans="2:8" ht="14.25" customHeight="1" x14ac:dyDescent="0.25">
      <c r="B70" s="25">
        <f t="shared" si="5"/>
        <v>-1.9800000000000064</v>
      </c>
      <c r="C70" s="23" t="e">
        <f t="shared" si="0"/>
        <v>#N/A</v>
      </c>
      <c r="D70" s="23" t="e">
        <f t="shared" si="1"/>
        <v>#N/A</v>
      </c>
      <c r="E70" s="23" t="e">
        <f t="shared" si="2"/>
        <v>#DIV/0!</v>
      </c>
      <c r="F70" s="23" t="e">
        <f t="shared" si="3"/>
        <v>#DIV/0!</v>
      </c>
      <c r="G70" s="45">
        <f t="shared" si="6"/>
        <v>0</v>
      </c>
      <c r="H70" s="45">
        <f t="shared" si="4"/>
        <v>0</v>
      </c>
    </row>
    <row r="71" spans="2:8" ht="14.25" customHeight="1" x14ac:dyDescent="0.25">
      <c r="B71" s="25">
        <f t="shared" si="5"/>
        <v>-1.9500000000000064</v>
      </c>
      <c r="C71" s="23" t="e">
        <f t="shared" si="0"/>
        <v>#N/A</v>
      </c>
      <c r="D71" s="23" t="e">
        <f t="shared" si="1"/>
        <v>#N/A</v>
      </c>
      <c r="E71" s="23" t="e">
        <f t="shared" si="2"/>
        <v>#DIV/0!</v>
      </c>
      <c r="F71" s="23" t="e">
        <f t="shared" si="3"/>
        <v>#DIV/0!</v>
      </c>
      <c r="G71" s="45">
        <f t="shared" si="6"/>
        <v>0</v>
      </c>
      <c r="H71" s="45">
        <f t="shared" si="4"/>
        <v>0</v>
      </c>
    </row>
    <row r="72" spans="2:8" ht="14.25" customHeight="1" x14ac:dyDescent="0.25">
      <c r="B72" s="25">
        <f t="shared" si="5"/>
        <v>-1.9200000000000064</v>
      </c>
      <c r="C72" s="23" t="e">
        <f t="shared" si="0"/>
        <v>#N/A</v>
      </c>
      <c r="D72" s="23" t="e">
        <f t="shared" si="1"/>
        <v>#N/A</v>
      </c>
      <c r="E72" s="23" t="e">
        <f t="shared" si="2"/>
        <v>#DIV/0!</v>
      </c>
      <c r="F72" s="23" t="e">
        <f t="shared" si="3"/>
        <v>#DIV/0!</v>
      </c>
      <c r="G72" s="45">
        <f t="shared" si="6"/>
        <v>0</v>
      </c>
      <c r="H72" s="45">
        <f t="shared" si="4"/>
        <v>0</v>
      </c>
    </row>
    <row r="73" spans="2:8" ht="14.25" customHeight="1" x14ac:dyDescent="0.25">
      <c r="B73" s="25">
        <f t="shared" si="5"/>
        <v>-1.8900000000000063</v>
      </c>
      <c r="C73" s="23" t="e">
        <f t="shared" si="0"/>
        <v>#N/A</v>
      </c>
      <c r="D73" s="23" t="e">
        <f t="shared" si="1"/>
        <v>#N/A</v>
      </c>
      <c r="E73" s="23" t="e">
        <f t="shared" si="2"/>
        <v>#DIV/0!</v>
      </c>
      <c r="F73" s="23" t="e">
        <f t="shared" si="3"/>
        <v>#DIV/0!</v>
      </c>
      <c r="G73" s="45">
        <f t="shared" si="6"/>
        <v>0</v>
      </c>
      <c r="H73" s="45">
        <f t="shared" si="4"/>
        <v>0</v>
      </c>
    </row>
    <row r="74" spans="2:8" ht="14.25" customHeight="1" x14ac:dyDescent="0.25">
      <c r="B74" s="25">
        <f t="shared" si="5"/>
        <v>-1.8600000000000063</v>
      </c>
      <c r="C74" s="23" t="e">
        <f t="shared" si="0"/>
        <v>#N/A</v>
      </c>
      <c r="D74" s="23" t="e">
        <f t="shared" si="1"/>
        <v>#N/A</v>
      </c>
      <c r="E74" s="23" t="e">
        <f t="shared" si="2"/>
        <v>#DIV/0!</v>
      </c>
      <c r="F74" s="23" t="e">
        <f t="shared" si="3"/>
        <v>#DIV/0!</v>
      </c>
      <c r="G74" s="45">
        <f t="shared" si="6"/>
        <v>0</v>
      </c>
      <c r="H74" s="45">
        <f t="shared" si="4"/>
        <v>0</v>
      </c>
    </row>
    <row r="75" spans="2:8" ht="14.25" customHeight="1" x14ac:dyDescent="0.25">
      <c r="B75" s="25">
        <f t="shared" si="5"/>
        <v>-1.8300000000000063</v>
      </c>
      <c r="C75" s="23" t="e">
        <f t="shared" si="0"/>
        <v>#N/A</v>
      </c>
      <c r="D75" s="23" t="e">
        <f t="shared" si="1"/>
        <v>#N/A</v>
      </c>
      <c r="E75" s="23" t="e">
        <f t="shared" si="2"/>
        <v>#DIV/0!</v>
      </c>
      <c r="F75" s="23" t="e">
        <f t="shared" si="3"/>
        <v>#DIV/0!</v>
      </c>
      <c r="G75" s="45">
        <f t="shared" si="6"/>
        <v>0</v>
      </c>
      <c r="H75" s="45">
        <f t="shared" si="4"/>
        <v>0</v>
      </c>
    </row>
    <row r="76" spans="2:8" ht="14.25" customHeight="1" x14ac:dyDescent="0.25">
      <c r="B76" s="25">
        <f t="shared" si="5"/>
        <v>-1.8000000000000063</v>
      </c>
      <c r="C76" s="23" t="e">
        <f t="shared" si="0"/>
        <v>#N/A</v>
      </c>
      <c r="D76" s="23" t="e">
        <f t="shared" si="1"/>
        <v>#N/A</v>
      </c>
      <c r="E76" s="23" t="e">
        <f t="shared" si="2"/>
        <v>#DIV/0!</v>
      </c>
      <c r="F76" s="23" t="e">
        <f t="shared" si="3"/>
        <v>#DIV/0!</v>
      </c>
      <c r="G76" s="45">
        <f t="shared" si="6"/>
        <v>0</v>
      </c>
      <c r="H76" s="45">
        <f t="shared" si="4"/>
        <v>0</v>
      </c>
    </row>
    <row r="77" spans="2:8" ht="14.25" customHeight="1" x14ac:dyDescent="0.25">
      <c r="B77" s="25">
        <f t="shared" si="5"/>
        <v>-1.7700000000000062</v>
      </c>
      <c r="C77" s="23" t="e">
        <f t="shared" si="0"/>
        <v>#N/A</v>
      </c>
      <c r="D77" s="23" t="e">
        <f t="shared" si="1"/>
        <v>#N/A</v>
      </c>
      <c r="E77" s="23" t="e">
        <f t="shared" si="2"/>
        <v>#DIV/0!</v>
      </c>
      <c r="F77" s="23" t="e">
        <f t="shared" si="3"/>
        <v>#DIV/0!</v>
      </c>
      <c r="G77" s="45">
        <f t="shared" si="6"/>
        <v>0</v>
      </c>
      <c r="H77" s="45">
        <f t="shared" si="4"/>
        <v>0</v>
      </c>
    </row>
    <row r="78" spans="2:8" ht="14.25" customHeight="1" x14ac:dyDescent="0.25">
      <c r="B78" s="25">
        <f t="shared" si="5"/>
        <v>-1.7400000000000062</v>
      </c>
      <c r="C78" s="23" t="e">
        <f t="shared" si="0"/>
        <v>#N/A</v>
      </c>
      <c r="D78" s="23" t="e">
        <f t="shared" si="1"/>
        <v>#N/A</v>
      </c>
      <c r="E78" s="23" t="e">
        <f t="shared" si="2"/>
        <v>#DIV/0!</v>
      </c>
      <c r="F78" s="23" t="e">
        <f t="shared" si="3"/>
        <v>#DIV/0!</v>
      </c>
      <c r="G78" s="45">
        <f t="shared" si="6"/>
        <v>0</v>
      </c>
      <c r="H78" s="45">
        <f t="shared" si="4"/>
        <v>0</v>
      </c>
    </row>
    <row r="79" spans="2:8" ht="14.25" customHeight="1" x14ac:dyDescent="0.25">
      <c r="B79" s="25">
        <f t="shared" si="5"/>
        <v>-1.7100000000000062</v>
      </c>
      <c r="C79" s="23" t="e">
        <f t="shared" si="0"/>
        <v>#N/A</v>
      </c>
      <c r="D79" s="23" t="e">
        <f t="shared" si="1"/>
        <v>#N/A</v>
      </c>
      <c r="E79" s="23" t="e">
        <f t="shared" si="2"/>
        <v>#DIV/0!</v>
      </c>
      <c r="F79" s="23" t="e">
        <f t="shared" si="3"/>
        <v>#DIV/0!</v>
      </c>
      <c r="G79" s="45">
        <f t="shared" si="6"/>
        <v>0</v>
      </c>
      <c r="H79" s="45">
        <f t="shared" si="4"/>
        <v>0</v>
      </c>
    </row>
    <row r="80" spans="2:8" ht="14.25" customHeight="1" x14ac:dyDescent="0.25">
      <c r="B80" s="25">
        <f t="shared" si="5"/>
        <v>-1.6800000000000062</v>
      </c>
      <c r="C80" s="23" t="e">
        <f t="shared" si="0"/>
        <v>#N/A</v>
      </c>
      <c r="D80" s="23" t="e">
        <f t="shared" si="1"/>
        <v>#N/A</v>
      </c>
      <c r="E80" s="23" t="e">
        <f t="shared" si="2"/>
        <v>#DIV/0!</v>
      </c>
      <c r="F80" s="23" t="e">
        <f t="shared" si="3"/>
        <v>#DIV/0!</v>
      </c>
      <c r="G80" s="45">
        <f t="shared" si="6"/>
        <v>0</v>
      </c>
      <c r="H80" s="45">
        <f t="shared" si="4"/>
        <v>0</v>
      </c>
    </row>
    <row r="81" spans="2:8" ht="14.25" customHeight="1" x14ac:dyDescent="0.25">
      <c r="B81" s="25">
        <f t="shared" si="5"/>
        <v>-1.6500000000000061</v>
      </c>
      <c r="C81" s="23" t="e">
        <f t="shared" si="0"/>
        <v>#N/A</v>
      </c>
      <c r="D81" s="23" t="e">
        <f t="shared" si="1"/>
        <v>#N/A</v>
      </c>
      <c r="E81" s="23" t="e">
        <f t="shared" si="2"/>
        <v>#DIV/0!</v>
      </c>
      <c r="F81" s="23" t="e">
        <f t="shared" si="3"/>
        <v>#DIV/0!</v>
      </c>
      <c r="G81" s="45">
        <f t="shared" si="6"/>
        <v>0</v>
      </c>
      <c r="H81" s="45">
        <f t="shared" si="4"/>
        <v>0</v>
      </c>
    </row>
    <row r="82" spans="2:8" ht="14.25" customHeight="1" x14ac:dyDescent="0.25">
      <c r="B82" s="25">
        <f t="shared" si="5"/>
        <v>-1.6200000000000061</v>
      </c>
      <c r="C82" s="23" t="e">
        <f t="shared" si="0"/>
        <v>#N/A</v>
      </c>
      <c r="D82" s="23" t="e">
        <f t="shared" si="1"/>
        <v>#N/A</v>
      </c>
      <c r="E82" s="23" t="e">
        <f t="shared" si="2"/>
        <v>#DIV/0!</v>
      </c>
      <c r="F82" s="23" t="e">
        <f t="shared" si="3"/>
        <v>#DIV/0!</v>
      </c>
      <c r="G82" s="45">
        <f t="shared" si="6"/>
        <v>0</v>
      </c>
      <c r="H82" s="45">
        <f t="shared" si="4"/>
        <v>0</v>
      </c>
    </row>
    <row r="83" spans="2:8" ht="14.25" customHeight="1" x14ac:dyDescent="0.25">
      <c r="B83" s="25">
        <f t="shared" si="5"/>
        <v>-1.5900000000000061</v>
      </c>
      <c r="C83" s="23" t="e">
        <f t="shared" si="0"/>
        <v>#N/A</v>
      </c>
      <c r="D83" s="23" t="e">
        <f t="shared" si="1"/>
        <v>#N/A</v>
      </c>
      <c r="E83" s="23" t="e">
        <f t="shared" si="2"/>
        <v>#DIV/0!</v>
      </c>
      <c r="F83" s="23" t="e">
        <f t="shared" si="3"/>
        <v>#DIV/0!</v>
      </c>
      <c r="G83" s="45">
        <f t="shared" si="6"/>
        <v>0</v>
      </c>
      <c r="H83" s="45">
        <f t="shared" si="4"/>
        <v>0</v>
      </c>
    </row>
    <row r="84" spans="2:8" ht="14.25" customHeight="1" x14ac:dyDescent="0.25">
      <c r="B84" s="25">
        <f t="shared" si="5"/>
        <v>-1.560000000000006</v>
      </c>
      <c r="C84" s="23" t="e">
        <f t="shared" si="0"/>
        <v>#N/A</v>
      </c>
      <c r="D84" s="23" t="e">
        <f t="shared" si="1"/>
        <v>#N/A</v>
      </c>
      <c r="E84" s="23" t="e">
        <f t="shared" si="2"/>
        <v>#DIV/0!</v>
      </c>
      <c r="F84" s="23" t="e">
        <f t="shared" si="3"/>
        <v>#DIV/0!</v>
      </c>
      <c r="G84" s="45">
        <f t="shared" si="6"/>
        <v>0</v>
      </c>
      <c r="H84" s="45">
        <f t="shared" si="4"/>
        <v>0</v>
      </c>
    </row>
    <row r="85" spans="2:8" ht="14.25" customHeight="1" x14ac:dyDescent="0.25">
      <c r="B85" s="25">
        <f t="shared" si="5"/>
        <v>-1.530000000000006</v>
      </c>
      <c r="C85" s="23" t="e">
        <f t="shared" si="0"/>
        <v>#N/A</v>
      </c>
      <c r="D85" s="23" t="e">
        <f t="shared" si="1"/>
        <v>#N/A</v>
      </c>
      <c r="E85" s="23" t="e">
        <f t="shared" si="2"/>
        <v>#DIV/0!</v>
      </c>
      <c r="F85" s="23" t="e">
        <f t="shared" si="3"/>
        <v>#DIV/0!</v>
      </c>
      <c r="G85" s="45">
        <f t="shared" si="6"/>
        <v>0</v>
      </c>
      <c r="H85" s="45">
        <f t="shared" si="4"/>
        <v>0</v>
      </c>
    </row>
    <row r="86" spans="2:8" ht="14.25" customHeight="1" x14ac:dyDescent="0.25">
      <c r="B86" s="25">
        <f t="shared" si="5"/>
        <v>-1.500000000000006</v>
      </c>
      <c r="C86" s="23" t="e">
        <f t="shared" si="0"/>
        <v>#N/A</v>
      </c>
      <c r="D86" s="23" t="e">
        <f t="shared" si="1"/>
        <v>#N/A</v>
      </c>
      <c r="E86" s="23" t="e">
        <f t="shared" si="2"/>
        <v>#DIV/0!</v>
      </c>
      <c r="F86" s="23" t="e">
        <f t="shared" si="3"/>
        <v>#DIV/0!</v>
      </c>
      <c r="G86" s="45">
        <f t="shared" si="6"/>
        <v>0</v>
      </c>
      <c r="H86" s="45">
        <f t="shared" si="4"/>
        <v>0</v>
      </c>
    </row>
    <row r="87" spans="2:8" ht="14.25" customHeight="1" x14ac:dyDescent="0.25">
      <c r="B87" s="25">
        <f t="shared" si="5"/>
        <v>-1.470000000000006</v>
      </c>
      <c r="C87" s="23" t="e">
        <f t="shared" si="0"/>
        <v>#N/A</v>
      </c>
      <c r="D87" s="23" t="e">
        <f t="shared" si="1"/>
        <v>#N/A</v>
      </c>
      <c r="E87" s="23" t="e">
        <f t="shared" si="2"/>
        <v>#DIV/0!</v>
      </c>
      <c r="F87" s="23" t="e">
        <f t="shared" si="3"/>
        <v>#DIV/0!</v>
      </c>
      <c r="G87" s="45">
        <f t="shared" si="6"/>
        <v>0</v>
      </c>
      <c r="H87" s="45">
        <f t="shared" si="4"/>
        <v>0</v>
      </c>
    </row>
    <row r="88" spans="2:8" ht="14.25" customHeight="1" x14ac:dyDescent="0.25">
      <c r="B88" s="25">
        <f t="shared" si="5"/>
        <v>-1.4400000000000059</v>
      </c>
      <c r="C88" s="23" t="e">
        <f t="shared" si="0"/>
        <v>#N/A</v>
      </c>
      <c r="D88" s="23" t="e">
        <f t="shared" si="1"/>
        <v>#N/A</v>
      </c>
      <c r="E88" s="23" t="e">
        <f t="shared" si="2"/>
        <v>#DIV/0!</v>
      </c>
      <c r="F88" s="23" t="e">
        <f t="shared" si="3"/>
        <v>#DIV/0!</v>
      </c>
      <c r="G88" s="45">
        <f t="shared" si="6"/>
        <v>0</v>
      </c>
      <c r="H88" s="45">
        <f t="shared" si="4"/>
        <v>0</v>
      </c>
    </row>
    <row r="89" spans="2:8" ht="14.25" customHeight="1" x14ac:dyDescent="0.25">
      <c r="B89" s="25">
        <f t="shared" si="5"/>
        <v>-1.4100000000000059</v>
      </c>
      <c r="C89" s="23" t="e">
        <f t="shared" si="0"/>
        <v>#N/A</v>
      </c>
      <c r="D89" s="23" t="e">
        <f t="shared" si="1"/>
        <v>#N/A</v>
      </c>
      <c r="E89" s="23" t="e">
        <f t="shared" si="2"/>
        <v>#DIV/0!</v>
      </c>
      <c r="F89" s="23" t="e">
        <f t="shared" si="3"/>
        <v>#DIV/0!</v>
      </c>
      <c r="G89" s="45">
        <f t="shared" si="6"/>
        <v>0</v>
      </c>
      <c r="H89" s="45">
        <f t="shared" si="4"/>
        <v>0</v>
      </c>
    </row>
    <row r="90" spans="2:8" ht="14.25" customHeight="1" x14ac:dyDescent="0.25">
      <c r="B90" s="25">
        <f t="shared" si="5"/>
        <v>-1.3800000000000059</v>
      </c>
      <c r="C90" s="23" t="e">
        <f t="shared" si="0"/>
        <v>#N/A</v>
      </c>
      <c r="D90" s="23" t="e">
        <f t="shared" si="1"/>
        <v>#N/A</v>
      </c>
      <c r="E90" s="23" t="e">
        <f t="shared" si="2"/>
        <v>#DIV/0!</v>
      </c>
      <c r="F90" s="23" t="e">
        <f t="shared" si="3"/>
        <v>#DIV/0!</v>
      </c>
      <c r="G90" s="45">
        <f t="shared" si="6"/>
        <v>0</v>
      </c>
      <c r="H90" s="45">
        <f t="shared" si="4"/>
        <v>0</v>
      </c>
    </row>
    <row r="91" spans="2:8" ht="14.25" customHeight="1" x14ac:dyDescent="0.25">
      <c r="B91" s="25">
        <f t="shared" si="5"/>
        <v>-1.3500000000000059</v>
      </c>
      <c r="C91" s="23" t="e">
        <f t="shared" si="0"/>
        <v>#N/A</v>
      </c>
      <c r="D91" s="23" t="e">
        <f t="shared" si="1"/>
        <v>#N/A</v>
      </c>
      <c r="E91" s="23" t="e">
        <f t="shared" si="2"/>
        <v>#DIV/0!</v>
      </c>
      <c r="F91" s="23" t="e">
        <f t="shared" si="3"/>
        <v>#DIV/0!</v>
      </c>
      <c r="G91" s="45">
        <f t="shared" si="6"/>
        <v>0</v>
      </c>
      <c r="H91" s="45">
        <f t="shared" si="4"/>
        <v>0</v>
      </c>
    </row>
    <row r="92" spans="2:8" ht="14.25" customHeight="1" x14ac:dyDescent="0.25">
      <c r="B92" s="25">
        <f t="shared" si="5"/>
        <v>-1.3200000000000058</v>
      </c>
      <c r="C92" s="23" t="e">
        <f t="shared" si="0"/>
        <v>#N/A</v>
      </c>
      <c r="D92" s="23" t="e">
        <f t="shared" si="1"/>
        <v>#N/A</v>
      </c>
      <c r="E92" s="23" t="e">
        <f t="shared" si="2"/>
        <v>#DIV/0!</v>
      </c>
      <c r="F92" s="23" t="e">
        <f t="shared" si="3"/>
        <v>#DIV/0!</v>
      </c>
      <c r="G92" s="45">
        <f t="shared" si="6"/>
        <v>0</v>
      </c>
      <c r="H92" s="45">
        <f t="shared" si="4"/>
        <v>0</v>
      </c>
    </row>
    <row r="93" spans="2:8" ht="14.25" customHeight="1" x14ac:dyDescent="0.25">
      <c r="B93" s="25">
        <f t="shared" si="5"/>
        <v>-1.2900000000000058</v>
      </c>
      <c r="C93" s="23" t="e">
        <f t="shared" si="0"/>
        <v>#N/A</v>
      </c>
      <c r="D93" s="23" t="e">
        <f t="shared" si="1"/>
        <v>#N/A</v>
      </c>
      <c r="E93" s="23" t="e">
        <f t="shared" si="2"/>
        <v>#DIV/0!</v>
      </c>
      <c r="F93" s="23" t="e">
        <f t="shared" si="3"/>
        <v>#DIV/0!</v>
      </c>
      <c r="G93" s="45">
        <f t="shared" si="6"/>
        <v>0</v>
      </c>
      <c r="H93" s="45">
        <f t="shared" si="4"/>
        <v>0</v>
      </c>
    </row>
    <row r="94" spans="2:8" ht="14.25" customHeight="1" x14ac:dyDescent="0.25">
      <c r="B94" s="25">
        <f t="shared" si="5"/>
        <v>-1.2600000000000058</v>
      </c>
      <c r="C94" s="23" t="e">
        <f t="shared" si="0"/>
        <v>#N/A</v>
      </c>
      <c r="D94" s="23" t="e">
        <f t="shared" si="1"/>
        <v>#N/A</v>
      </c>
      <c r="E94" s="23" t="e">
        <f t="shared" si="2"/>
        <v>#DIV/0!</v>
      </c>
      <c r="F94" s="23" t="e">
        <f t="shared" si="3"/>
        <v>#DIV/0!</v>
      </c>
      <c r="G94" s="45">
        <f t="shared" si="6"/>
        <v>0</v>
      </c>
      <c r="H94" s="45">
        <f t="shared" si="4"/>
        <v>0</v>
      </c>
    </row>
    <row r="95" spans="2:8" ht="14.25" customHeight="1" x14ac:dyDescent="0.25">
      <c r="B95" s="25">
        <f t="shared" si="5"/>
        <v>-1.2300000000000058</v>
      </c>
      <c r="C95" s="23" t="e">
        <f t="shared" si="0"/>
        <v>#N/A</v>
      </c>
      <c r="D95" s="23" t="e">
        <f t="shared" si="1"/>
        <v>#N/A</v>
      </c>
      <c r="E95" s="23" t="e">
        <f t="shared" si="2"/>
        <v>#DIV/0!</v>
      </c>
      <c r="F95" s="23" t="e">
        <f t="shared" si="3"/>
        <v>#DIV/0!</v>
      </c>
      <c r="G95" s="45">
        <f t="shared" si="6"/>
        <v>0</v>
      </c>
      <c r="H95" s="45">
        <f t="shared" si="4"/>
        <v>0</v>
      </c>
    </row>
    <row r="96" spans="2:8" ht="14.25" customHeight="1" x14ac:dyDescent="0.25">
      <c r="B96" s="25">
        <f t="shared" si="5"/>
        <v>-1.2000000000000057</v>
      </c>
      <c r="C96" s="23" t="e">
        <f t="shared" si="0"/>
        <v>#N/A</v>
      </c>
      <c r="D96" s="23" t="e">
        <f t="shared" si="1"/>
        <v>#N/A</v>
      </c>
      <c r="E96" s="23" t="e">
        <f t="shared" si="2"/>
        <v>#DIV/0!</v>
      </c>
      <c r="F96" s="23" t="e">
        <f t="shared" si="3"/>
        <v>#DIV/0!</v>
      </c>
      <c r="G96" s="45">
        <f t="shared" si="6"/>
        <v>0</v>
      </c>
      <c r="H96" s="45">
        <f t="shared" si="4"/>
        <v>0</v>
      </c>
    </row>
    <row r="97" spans="2:8" ht="14.25" customHeight="1" x14ac:dyDescent="0.25">
      <c r="B97" s="25">
        <f t="shared" si="5"/>
        <v>-1.1700000000000057</v>
      </c>
      <c r="C97" s="23" t="e">
        <f t="shared" si="0"/>
        <v>#N/A</v>
      </c>
      <c r="D97" s="23" t="e">
        <f t="shared" si="1"/>
        <v>#N/A</v>
      </c>
      <c r="E97" s="23" t="e">
        <f t="shared" si="2"/>
        <v>#DIV/0!</v>
      </c>
      <c r="F97" s="23" t="e">
        <f t="shared" si="3"/>
        <v>#DIV/0!</v>
      </c>
      <c r="G97" s="45">
        <f t="shared" si="6"/>
        <v>0</v>
      </c>
      <c r="H97" s="45">
        <f t="shared" si="4"/>
        <v>0</v>
      </c>
    </row>
    <row r="98" spans="2:8" ht="14.25" customHeight="1" x14ac:dyDescent="0.25">
      <c r="B98" s="25">
        <f t="shared" si="5"/>
        <v>-1.1400000000000057</v>
      </c>
      <c r="C98" s="23" t="e">
        <f t="shared" si="0"/>
        <v>#N/A</v>
      </c>
      <c r="D98" s="23" t="e">
        <f t="shared" si="1"/>
        <v>#N/A</v>
      </c>
      <c r="E98" s="23" t="e">
        <f t="shared" si="2"/>
        <v>#DIV/0!</v>
      </c>
      <c r="F98" s="23" t="e">
        <f t="shared" si="3"/>
        <v>#DIV/0!</v>
      </c>
      <c r="G98" s="45">
        <f t="shared" si="6"/>
        <v>0</v>
      </c>
      <c r="H98" s="45">
        <f t="shared" si="4"/>
        <v>0</v>
      </c>
    </row>
    <row r="99" spans="2:8" ht="14.25" customHeight="1" x14ac:dyDescent="0.25">
      <c r="B99" s="25">
        <f t="shared" si="5"/>
        <v>-1.1100000000000056</v>
      </c>
      <c r="C99" s="23" t="e">
        <f t="shared" si="0"/>
        <v>#N/A</v>
      </c>
      <c r="D99" s="23" t="e">
        <f t="shared" si="1"/>
        <v>#N/A</v>
      </c>
      <c r="E99" s="23" t="e">
        <f t="shared" si="2"/>
        <v>#DIV/0!</v>
      </c>
      <c r="F99" s="23" t="e">
        <f t="shared" si="3"/>
        <v>#DIV/0!</v>
      </c>
      <c r="G99" s="45">
        <f t="shared" si="6"/>
        <v>0</v>
      </c>
      <c r="H99" s="45">
        <f t="shared" si="4"/>
        <v>0</v>
      </c>
    </row>
    <row r="100" spans="2:8" ht="14.25" customHeight="1" x14ac:dyDescent="0.25">
      <c r="B100" s="25">
        <f t="shared" si="5"/>
        <v>-1.0800000000000056</v>
      </c>
      <c r="C100" s="23" t="e">
        <f t="shared" si="0"/>
        <v>#N/A</v>
      </c>
      <c r="D100" s="23" t="e">
        <f t="shared" si="1"/>
        <v>#N/A</v>
      </c>
      <c r="E100" s="23" t="e">
        <f t="shared" si="2"/>
        <v>#DIV/0!</v>
      </c>
      <c r="F100" s="23" t="e">
        <f t="shared" si="3"/>
        <v>#DIV/0!</v>
      </c>
      <c r="G100" s="45">
        <f t="shared" si="6"/>
        <v>0</v>
      </c>
      <c r="H100" s="45">
        <f t="shared" si="4"/>
        <v>0</v>
      </c>
    </row>
    <row r="101" spans="2:8" ht="14.25" customHeight="1" x14ac:dyDescent="0.25">
      <c r="B101" s="25">
        <f t="shared" si="5"/>
        <v>-1.0500000000000056</v>
      </c>
      <c r="C101" s="23" t="e">
        <f t="shared" si="0"/>
        <v>#N/A</v>
      </c>
      <c r="D101" s="23" t="e">
        <f t="shared" si="1"/>
        <v>#N/A</v>
      </c>
      <c r="E101" s="23" t="e">
        <f t="shared" si="2"/>
        <v>#DIV/0!</v>
      </c>
      <c r="F101" s="23" t="e">
        <f t="shared" si="3"/>
        <v>#DIV/0!</v>
      </c>
      <c r="G101" s="45">
        <f t="shared" si="6"/>
        <v>0</v>
      </c>
      <c r="H101" s="45">
        <f t="shared" si="4"/>
        <v>0</v>
      </c>
    </row>
    <row r="102" spans="2:8" ht="14.25" customHeight="1" x14ac:dyDescent="0.25">
      <c r="B102" s="25">
        <f t="shared" si="5"/>
        <v>-1.0200000000000056</v>
      </c>
      <c r="C102" s="23" t="e">
        <f t="shared" si="0"/>
        <v>#N/A</v>
      </c>
      <c r="D102" s="23" t="e">
        <f t="shared" si="1"/>
        <v>#N/A</v>
      </c>
      <c r="E102" s="23" t="e">
        <f t="shared" si="2"/>
        <v>#DIV/0!</v>
      </c>
      <c r="F102" s="23" t="e">
        <f t="shared" si="3"/>
        <v>#DIV/0!</v>
      </c>
      <c r="G102" s="45">
        <f t="shared" si="6"/>
        <v>0</v>
      </c>
      <c r="H102" s="45">
        <f t="shared" si="4"/>
        <v>0</v>
      </c>
    </row>
    <row r="103" spans="2:8" ht="14.25" customHeight="1" x14ac:dyDescent="0.25">
      <c r="B103" s="25">
        <f t="shared" si="5"/>
        <v>-0.99000000000000554</v>
      </c>
      <c r="C103" s="23" t="e">
        <f t="shared" si="0"/>
        <v>#N/A</v>
      </c>
      <c r="D103" s="23" t="e">
        <f t="shared" si="1"/>
        <v>#N/A</v>
      </c>
      <c r="E103" s="23" t="e">
        <f t="shared" si="2"/>
        <v>#DIV/0!</v>
      </c>
      <c r="F103" s="23" t="e">
        <f t="shared" si="3"/>
        <v>#DIV/0!</v>
      </c>
      <c r="G103" s="45">
        <f t="shared" si="6"/>
        <v>0</v>
      </c>
      <c r="H103" s="45">
        <f t="shared" si="4"/>
        <v>0</v>
      </c>
    </row>
    <row r="104" spans="2:8" ht="14.25" customHeight="1" x14ac:dyDescent="0.25">
      <c r="B104" s="25">
        <f t="shared" si="5"/>
        <v>-0.96000000000000552</v>
      </c>
      <c r="C104" s="23" t="e">
        <f t="shared" si="0"/>
        <v>#N/A</v>
      </c>
      <c r="D104" s="23" t="e">
        <f t="shared" si="1"/>
        <v>#N/A</v>
      </c>
      <c r="E104" s="23" t="e">
        <f t="shared" si="2"/>
        <v>#DIV/0!</v>
      </c>
      <c r="F104" s="23" t="e">
        <f t="shared" si="3"/>
        <v>#DIV/0!</v>
      </c>
      <c r="G104" s="45">
        <f t="shared" si="6"/>
        <v>0</v>
      </c>
      <c r="H104" s="45">
        <f t="shared" si="4"/>
        <v>0</v>
      </c>
    </row>
    <row r="105" spans="2:8" ht="14.25" customHeight="1" x14ac:dyDescent="0.25">
      <c r="B105" s="25">
        <f t="shared" si="5"/>
        <v>-0.93000000000000549</v>
      </c>
      <c r="C105" s="23" t="e">
        <f t="shared" si="0"/>
        <v>#N/A</v>
      </c>
      <c r="D105" s="23" t="e">
        <f t="shared" si="1"/>
        <v>#N/A</v>
      </c>
      <c r="E105" s="23" t="e">
        <f t="shared" si="2"/>
        <v>#DIV/0!</v>
      </c>
      <c r="F105" s="23" t="e">
        <f t="shared" si="3"/>
        <v>#DIV/0!</v>
      </c>
      <c r="G105" s="45">
        <f t="shared" si="6"/>
        <v>0</v>
      </c>
      <c r="H105" s="45">
        <f t="shared" si="4"/>
        <v>0</v>
      </c>
    </row>
    <row r="106" spans="2:8" ht="14.25" customHeight="1" x14ac:dyDescent="0.25">
      <c r="B106" s="25">
        <f t="shared" si="5"/>
        <v>-0.90000000000000546</v>
      </c>
      <c r="C106" s="23" t="e">
        <f t="shared" si="0"/>
        <v>#N/A</v>
      </c>
      <c r="D106" s="23" t="e">
        <f t="shared" si="1"/>
        <v>#N/A</v>
      </c>
      <c r="E106" s="23" t="e">
        <f t="shared" si="2"/>
        <v>#DIV/0!</v>
      </c>
      <c r="F106" s="23" t="e">
        <f t="shared" si="3"/>
        <v>#DIV/0!</v>
      </c>
      <c r="G106" s="45">
        <f t="shared" si="6"/>
        <v>0</v>
      </c>
      <c r="H106" s="45">
        <f t="shared" si="4"/>
        <v>0</v>
      </c>
    </row>
    <row r="107" spans="2:8" ht="14.25" customHeight="1" x14ac:dyDescent="0.25">
      <c r="B107" s="25">
        <f t="shared" si="5"/>
        <v>-0.87000000000000544</v>
      </c>
      <c r="C107" s="23" t="e">
        <f t="shared" si="0"/>
        <v>#N/A</v>
      </c>
      <c r="D107" s="23" t="e">
        <f t="shared" si="1"/>
        <v>#N/A</v>
      </c>
      <c r="E107" s="23" t="e">
        <f t="shared" si="2"/>
        <v>#DIV/0!</v>
      </c>
      <c r="F107" s="23" t="e">
        <f t="shared" si="3"/>
        <v>#DIV/0!</v>
      </c>
      <c r="G107" s="45">
        <f t="shared" si="6"/>
        <v>0</v>
      </c>
      <c r="H107" s="45">
        <f t="shared" si="4"/>
        <v>0</v>
      </c>
    </row>
    <row r="108" spans="2:8" ht="14.25" customHeight="1" x14ac:dyDescent="0.25">
      <c r="B108" s="25">
        <f t="shared" si="5"/>
        <v>-0.84000000000000541</v>
      </c>
      <c r="C108" s="23" t="e">
        <f t="shared" si="0"/>
        <v>#N/A</v>
      </c>
      <c r="D108" s="23" t="e">
        <f t="shared" si="1"/>
        <v>#N/A</v>
      </c>
      <c r="E108" s="23" t="e">
        <f t="shared" si="2"/>
        <v>#DIV/0!</v>
      </c>
      <c r="F108" s="23" t="e">
        <f t="shared" si="3"/>
        <v>#DIV/0!</v>
      </c>
      <c r="G108" s="45">
        <f t="shared" si="6"/>
        <v>0</v>
      </c>
      <c r="H108" s="45">
        <f t="shared" si="4"/>
        <v>0</v>
      </c>
    </row>
    <row r="109" spans="2:8" ht="14.25" customHeight="1" x14ac:dyDescent="0.25">
      <c r="B109" s="25">
        <f t="shared" si="5"/>
        <v>-0.81000000000000538</v>
      </c>
      <c r="C109" s="23" t="e">
        <f t="shared" si="0"/>
        <v>#N/A</v>
      </c>
      <c r="D109" s="23" t="e">
        <f t="shared" si="1"/>
        <v>#N/A</v>
      </c>
      <c r="E109" s="23" t="e">
        <f t="shared" si="2"/>
        <v>#DIV/0!</v>
      </c>
      <c r="F109" s="23" t="e">
        <f t="shared" si="3"/>
        <v>#DIV/0!</v>
      </c>
      <c r="G109" s="45">
        <f t="shared" si="6"/>
        <v>0</v>
      </c>
      <c r="H109" s="45">
        <f t="shared" si="4"/>
        <v>0</v>
      </c>
    </row>
    <row r="110" spans="2:8" ht="14.25" customHeight="1" x14ac:dyDescent="0.25">
      <c r="B110" s="25">
        <f t="shared" si="5"/>
        <v>-0.78000000000000536</v>
      </c>
      <c r="C110" s="23" t="e">
        <f t="shared" si="0"/>
        <v>#N/A</v>
      </c>
      <c r="D110" s="23" t="e">
        <f t="shared" si="1"/>
        <v>#N/A</v>
      </c>
      <c r="E110" s="23" t="e">
        <f t="shared" si="2"/>
        <v>#DIV/0!</v>
      </c>
      <c r="F110" s="23" t="e">
        <f t="shared" si="3"/>
        <v>#DIV/0!</v>
      </c>
      <c r="G110" s="45">
        <f t="shared" si="6"/>
        <v>0</v>
      </c>
      <c r="H110" s="45">
        <f t="shared" si="4"/>
        <v>0</v>
      </c>
    </row>
    <row r="111" spans="2:8" ht="14.25" customHeight="1" x14ac:dyDescent="0.25">
      <c r="B111" s="25">
        <f t="shared" si="5"/>
        <v>-0.75000000000000533</v>
      </c>
      <c r="C111" s="23" t="e">
        <f t="shared" si="0"/>
        <v>#N/A</v>
      </c>
      <c r="D111" s="23" t="e">
        <f t="shared" si="1"/>
        <v>#N/A</v>
      </c>
      <c r="E111" s="23" t="e">
        <f t="shared" si="2"/>
        <v>#DIV/0!</v>
      </c>
      <c r="F111" s="23" t="e">
        <f t="shared" si="3"/>
        <v>#DIV/0!</v>
      </c>
      <c r="G111" s="45">
        <f t="shared" si="6"/>
        <v>0</v>
      </c>
      <c r="H111" s="45">
        <f t="shared" si="4"/>
        <v>0</v>
      </c>
    </row>
    <row r="112" spans="2:8" ht="14.25" customHeight="1" x14ac:dyDescent="0.25">
      <c r="B112" s="25">
        <f t="shared" si="5"/>
        <v>-0.7200000000000053</v>
      </c>
      <c r="C112" s="23" t="e">
        <f t="shared" si="0"/>
        <v>#N/A</v>
      </c>
      <c r="D112" s="23" t="e">
        <f t="shared" si="1"/>
        <v>#N/A</v>
      </c>
      <c r="E112" s="23" t="e">
        <f t="shared" si="2"/>
        <v>#DIV/0!</v>
      </c>
      <c r="F112" s="23" t="e">
        <f t="shared" si="3"/>
        <v>#DIV/0!</v>
      </c>
      <c r="G112" s="45">
        <f t="shared" si="6"/>
        <v>0</v>
      </c>
      <c r="H112" s="45">
        <f t="shared" si="4"/>
        <v>0</v>
      </c>
    </row>
    <row r="113" spans="2:8" ht="14.25" customHeight="1" x14ac:dyDescent="0.25">
      <c r="B113" s="25">
        <f t="shared" si="5"/>
        <v>-0.69000000000000528</v>
      </c>
      <c r="C113" s="23" t="e">
        <f t="shared" si="0"/>
        <v>#N/A</v>
      </c>
      <c r="D113" s="23" t="e">
        <f t="shared" si="1"/>
        <v>#N/A</v>
      </c>
      <c r="E113" s="23" t="e">
        <f t="shared" si="2"/>
        <v>#DIV/0!</v>
      </c>
      <c r="F113" s="23" t="e">
        <f t="shared" si="3"/>
        <v>#DIV/0!</v>
      </c>
      <c r="G113" s="45">
        <f t="shared" si="6"/>
        <v>0</v>
      </c>
      <c r="H113" s="45">
        <f t="shared" si="4"/>
        <v>0</v>
      </c>
    </row>
    <row r="114" spans="2:8" ht="14.25" customHeight="1" x14ac:dyDescent="0.25">
      <c r="B114" s="25">
        <f t="shared" si="5"/>
        <v>-0.66000000000000525</v>
      </c>
      <c r="C114" s="23" t="e">
        <f t="shared" si="0"/>
        <v>#N/A</v>
      </c>
      <c r="D114" s="23" t="e">
        <f t="shared" si="1"/>
        <v>#N/A</v>
      </c>
      <c r="E114" s="23" t="e">
        <f t="shared" si="2"/>
        <v>#DIV/0!</v>
      </c>
      <c r="F114" s="23" t="e">
        <f t="shared" si="3"/>
        <v>#DIV/0!</v>
      </c>
      <c r="G114" s="45">
        <f t="shared" si="6"/>
        <v>0</v>
      </c>
      <c r="H114" s="45">
        <f t="shared" si="4"/>
        <v>0</v>
      </c>
    </row>
    <row r="115" spans="2:8" ht="14.25" customHeight="1" x14ac:dyDescent="0.25">
      <c r="B115" s="25">
        <f t="shared" si="5"/>
        <v>-0.63000000000000522</v>
      </c>
      <c r="C115" s="23" t="e">
        <f t="shared" si="0"/>
        <v>#N/A</v>
      </c>
      <c r="D115" s="23" t="e">
        <f t="shared" si="1"/>
        <v>#N/A</v>
      </c>
      <c r="E115" s="23" t="e">
        <f t="shared" si="2"/>
        <v>#DIV/0!</v>
      </c>
      <c r="F115" s="23" t="e">
        <f t="shared" si="3"/>
        <v>#DIV/0!</v>
      </c>
      <c r="G115" s="45">
        <f t="shared" si="6"/>
        <v>0</v>
      </c>
      <c r="H115" s="45">
        <f t="shared" si="4"/>
        <v>0</v>
      </c>
    </row>
    <row r="116" spans="2:8" ht="14.25" customHeight="1" x14ac:dyDescent="0.25">
      <c r="B116" s="25">
        <f t="shared" si="5"/>
        <v>-0.6000000000000052</v>
      </c>
      <c r="C116" s="23" t="e">
        <f t="shared" si="0"/>
        <v>#N/A</v>
      </c>
      <c r="D116" s="23" t="e">
        <f t="shared" si="1"/>
        <v>#N/A</v>
      </c>
      <c r="E116" s="23" t="e">
        <f t="shared" si="2"/>
        <v>#DIV/0!</v>
      </c>
      <c r="F116" s="23" t="e">
        <f t="shared" si="3"/>
        <v>#DIV/0!</v>
      </c>
      <c r="G116" s="45">
        <f t="shared" si="6"/>
        <v>0</v>
      </c>
      <c r="H116" s="45">
        <f t="shared" si="4"/>
        <v>0</v>
      </c>
    </row>
    <row r="117" spans="2:8" ht="14.25" customHeight="1" x14ac:dyDescent="0.25">
      <c r="B117" s="25">
        <f t="shared" si="5"/>
        <v>-0.57000000000000517</v>
      </c>
      <c r="C117" s="23" t="e">
        <f t="shared" si="0"/>
        <v>#N/A</v>
      </c>
      <c r="D117" s="23" t="e">
        <f t="shared" si="1"/>
        <v>#N/A</v>
      </c>
      <c r="E117" s="23" t="e">
        <f t="shared" si="2"/>
        <v>#DIV/0!</v>
      </c>
      <c r="F117" s="23" t="e">
        <f t="shared" si="3"/>
        <v>#DIV/0!</v>
      </c>
      <c r="G117" s="45">
        <f t="shared" si="6"/>
        <v>0</v>
      </c>
      <c r="H117" s="45">
        <f t="shared" si="4"/>
        <v>0</v>
      </c>
    </row>
    <row r="118" spans="2:8" ht="14.25" customHeight="1" x14ac:dyDescent="0.25">
      <c r="B118" s="25">
        <f t="shared" si="5"/>
        <v>-0.54000000000000514</v>
      </c>
      <c r="C118" s="23" t="e">
        <f t="shared" si="0"/>
        <v>#N/A</v>
      </c>
      <c r="D118" s="23" t="e">
        <f t="shared" si="1"/>
        <v>#N/A</v>
      </c>
      <c r="E118" s="23" t="e">
        <f t="shared" si="2"/>
        <v>#DIV/0!</v>
      </c>
      <c r="F118" s="23" t="e">
        <f t="shared" si="3"/>
        <v>#DIV/0!</v>
      </c>
      <c r="G118" s="45">
        <f t="shared" si="6"/>
        <v>0</v>
      </c>
      <c r="H118" s="45">
        <f t="shared" si="4"/>
        <v>0</v>
      </c>
    </row>
    <row r="119" spans="2:8" ht="14.25" customHeight="1" x14ac:dyDescent="0.25">
      <c r="B119" s="25">
        <f t="shared" si="5"/>
        <v>-0.51000000000000512</v>
      </c>
      <c r="C119" s="23" t="e">
        <f t="shared" si="0"/>
        <v>#N/A</v>
      </c>
      <c r="D119" s="23" t="e">
        <f t="shared" si="1"/>
        <v>#N/A</v>
      </c>
      <c r="E119" s="23" t="e">
        <f t="shared" si="2"/>
        <v>#DIV/0!</v>
      </c>
      <c r="F119" s="23" t="e">
        <f t="shared" si="3"/>
        <v>#DIV/0!</v>
      </c>
      <c r="G119" s="45">
        <f t="shared" si="6"/>
        <v>0</v>
      </c>
      <c r="H119" s="45">
        <f t="shared" si="4"/>
        <v>0</v>
      </c>
    </row>
    <row r="120" spans="2:8" ht="14.25" customHeight="1" x14ac:dyDescent="0.25">
      <c r="B120" s="25">
        <f t="shared" si="5"/>
        <v>-0.48000000000000509</v>
      </c>
      <c r="C120" s="23" t="e">
        <f t="shared" si="0"/>
        <v>#N/A</v>
      </c>
      <c r="D120" s="23" t="e">
        <f t="shared" si="1"/>
        <v>#N/A</v>
      </c>
      <c r="E120" s="23" t="e">
        <f t="shared" si="2"/>
        <v>#DIV/0!</v>
      </c>
      <c r="F120" s="23" t="e">
        <f t="shared" si="3"/>
        <v>#DIV/0!</v>
      </c>
      <c r="G120" s="45">
        <f t="shared" si="6"/>
        <v>0</v>
      </c>
      <c r="H120" s="45">
        <f t="shared" si="4"/>
        <v>0</v>
      </c>
    </row>
    <row r="121" spans="2:8" ht="14.25" customHeight="1" x14ac:dyDescent="0.25">
      <c r="B121" s="25">
        <f t="shared" si="5"/>
        <v>-0.45000000000000506</v>
      </c>
      <c r="C121" s="23" t="e">
        <f t="shared" si="0"/>
        <v>#N/A</v>
      </c>
      <c r="D121" s="23" t="e">
        <f t="shared" si="1"/>
        <v>#N/A</v>
      </c>
      <c r="E121" s="23" t="e">
        <f t="shared" si="2"/>
        <v>#DIV/0!</v>
      </c>
      <c r="F121" s="23" t="e">
        <f t="shared" si="3"/>
        <v>#DIV/0!</v>
      </c>
      <c r="G121" s="45">
        <f t="shared" si="6"/>
        <v>0</v>
      </c>
      <c r="H121" s="45">
        <f t="shared" si="4"/>
        <v>0</v>
      </c>
    </row>
    <row r="122" spans="2:8" ht="14.25" customHeight="1" x14ac:dyDescent="0.25">
      <c r="B122" s="25">
        <f t="shared" si="5"/>
        <v>-0.42000000000000504</v>
      </c>
      <c r="C122" s="23" t="e">
        <f t="shared" si="0"/>
        <v>#N/A</v>
      </c>
      <c r="D122" s="23" t="e">
        <f t="shared" si="1"/>
        <v>#N/A</v>
      </c>
      <c r="E122" s="23" t="e">
        <f t="shared" si="2"/>
        <v>#DIV/0!</v>
      </c>
      <c r="F122" s="23" t="e">
        <f t="shared" si="3"/>
        <v>#DIV/0!</v>
      </c>
      <c r="G122" s="45">
        <f t="shared" si="6"/>
        <v>0</v>
      </c>
      <c r="H122" s="45">
        <f t="shared" si="4"/>
        <v>0</v>
      </c>
    </row>
    <row r="123" spans="2:8" ht="14.25" customHeight="1" x14ac:dyDescent="0.25">
      <c r="B123" s="25">
        <f t="shared" si="5"/>
        <v>-0.39000000000000501</v>
      </c>
      <c r="C123" s="23" t="e">
        <f t="shared" si="0"/>
        <v>#N/A</v>
      </c>
      <c r="D123" s="23" t="e">
        <f t="shared" si="1"/>
        <v>#N/A</v>
      </c>
      <c r="E123" s="23" t="e">
        <f t="shared" si="2"/>
        <v>#DIV/0!</v>
      </c>
      <c r="F123" s="23" t="e">
        <f t="shared" si="3"/>
        <v>#DIV/0!</v>
      </c>
      <c r="G123" s="45">
        <f t="shared" si="6"/>
        <v>0</v>
      </c>
      <c r="H123" s="45">
        <f t="shared" si="4"/>
        <v>0</v>
      </c>
    </row>
    <row r="124" spans="2:8" ht="14.25" customHeight="1" x14ac:dyDescent="0.25">
      <c r="B124" s="25">
        <f t="shared" si="5"/>
        <v>-0.36000000000000498</v>
      </c>
      <c r="C124" s="23" t="e">
        <f t="shared" si="0"/>
        <v>#N/A</v>
      </c>
      <c r="D124" s="23" t="e">
        <f t="shared" si="1"/>
        <v>#N/A</v>
      </c>
      <c r="E124" s="23" t="e">
        <f t="shared" si="2"/>
        <v>#DIV/0!</v>
      </c>
      <c r="F124" s="23" t="e">
        <f t="shared" si="3"/>
        <v>#DIV/0!</v>
      </c>
      <c r="G124" s="45">
        <f t="shared" si="6"/>
        <v>0</v>
      </c>
      <c r="H124" s="45">
        <f t="shared" si="4"/>
        <v>0</v>
      </c>
    </row>
    <row r="125" spans="2:8" ht="14.25" customHeight="1" x14ac:dyDescent="0.25">
      <c r="B125" s="25">
        <f t="shared" si="5"/>
        <v>-0.33000000000000496</v>
      </c>
      <c r="C125" s="23" t="e">
        <f t="shared" si="0"/>
        <v>#N/A</v>
      </c>
      <c r="D125" s="23" t="e">
        <f t="shared" si="1"/>
        <v>#N/A</v>
      </c>
      <c r="E125" s="23" t="e">
        <f t="shared" si="2"/>
        <v>#DIV/0!</v>
      </c>
      <c r="F125" s="23" t="e">
        <f t="shared" si="3"/>
        <v>#DIV/0!</v>
      </c>
      <c r="G125" s="45">
        <f t="shared" si="6"/>
        <v>0</v>
      </c>
      <c r="H125" s="45">
        <f t="shared" si="4"/>
        <v>0</v>
      </c>
    </row>
    <row r="126" spans="2:8" ht="14.25" customHeight="1" x14ac:dyDescent="0.25">
      <c r="B126" s="25">
        <f t="shared" si="5"/>
        <v>-0.30000000000000493</v>
      </c>
      <c r="C126" s="23" t="e">
        <f t="shared" si="0"/>
        <v>#N/A</v>
      </c>
      <c r="D126" s="23" t="e">
        <f t="shared" si="1"/>
        <v>#N/A</v>
      </c>
      <c r="E126" s="23" t="e">
        <f t="shared" si="2"/>
        <v>#DIV/0!</v>
      </c>
      <c r="F126" s="23" t="e">
        <f t="shared" si="3"/>
        <v>#DIV/0!</v>
      </c>
      <c r="G126" s="45">
        <f t="shared" si="6"/>
        <v>0</v>
      </c>
      <c r="H126" s="45">
        <f t="shared" si="4"/>
        <v>0</v>
      </c>
    </row>
    <row r="127" spans="2:8" ht="14.25" customHeight="1" x14ac:dyDescent="0.25">
      <c r="B127" s="25">
        <f t="shared" si="5"/>
        <v>-0.2700000000000049</v>
      </c>
      <c r="C127" s="23" t="e">
        <f t="shared" si="0"/>
        <v>#N/A</v>
      </c>
      <c r="D127" s="23" t="e">
        <f t="shared" si="1"/>
        <v>#N/A</v>
      </c>
      <c r="E127" s="23" t="e">
        <f t="shared" si="2"/>
        <v>#DIV/0!</v>
      </c>
      <c r="F127" s="23" t="e">
        <f t="shared" si="3"/>
        <v>#DIV/0!</v>
      </c>
      <c r="G127" s="45">
        <f t="shared" si="6"/>
        <v>0</v>
      </c>
      <c r="H127" s="45">
        <f t="shared" si="4"/>
        <v>0</v>
      </c>
    </row>
    <row r="128" spans="2:8" ht="14.25" customHeight="1" x14ac:dyDescent="0.25">
      <c r="B128" s="25">
        <f t="shared" si="5"/>
        <v>-0.2400000000000049</v>
      </c>
      <c r="C128" s="23" t="e">
        <f t="shared" si="0"/>
        <v>#N/A</v>
      </c>
      <c r="D128" s="23" t="e">
        <f t="shared" si="1"/>
        <v>#N/A</v>
      </c>
      <c r="E128" s="23" t="e">
        <f t="shared" si="2"/>
        <v>#DIV/0!</v>
      </c>
      <c r="F128" s="23" t="e">
        <f t="shared" si="3"/>
        <v>#DIV/0!</v>
      </c>
      <c r="G128" s="45">
        <f t="shared" si="6"/>
        <v>0</v>
      </c>
      <c r="H128" s="45">
        <f t="shared" si="4"/>
        <v>0</v>
      </c>
    </row>
    <row r="129" spans="2:8" ht="14.25" customHeight="1" x14ac:dyDescent="0.25">
      <c r="B129" s="25">
        <f t="shared" si="5"/>
        <v>-0.2100000000000049</v>
      </c>
      <c r="C129" s="23" t="e">
        <f t="shared" si="0"/>
        <v>#N/A</v>
      </c>
      <c r="D129" s="23" t="e">
        <f t="shared" si="1"/>
        <v>#N/A</v>
      </c>
      <c r="E129" s="23" t="e">
        <f t="shared" si="2"/>
        <v>#DIV/0!</v>
      </c>
      <c r="F129" s="23" t="e">
        <f t="shared" si="3"/>
        <v>#DIV/0!</v>
      </c>
      <c r="G129" s="45">
        <f t="shared" si="6"/>
        <v>0</v>
      </c>
      <c r="H129" s="45">
        <f t="shared" si="4"/>
        <v>0</v>
      </c>
    </row>
    <row r="130" spans="2:8" ht="14.25" customHeight="1" x14ac:dyDescent="0.25">
      <c r="B130" s="25">
        <f t="shared" si="5"/>
        <v>-0.18000000000000491</v>
      </c>
      <c r="C130" s="23" t="e">
        <f t="shared" si="0"/>
        <v>#N/A</v>
      </c>
      <c r="D130" s="23" t="e">
        <f t="shared" si="1"/>
        <v>#N/A</v>
      </c>
      <c r="E130" s="23" t="e">
        <f t="shared" si="2"/>
        <v>#DIV/0!</v>
      </c>
      <c r="F130" s="23" t="e">
        <f t="shared" si="3"/>
        <v>#DIV/0!</v>
      </c>
      <c r="G130" s="45">
        <f t="shared" si="6"/>
        <v>0</v>
      </c>
      <c r="H130" s="45">
        <f t="shared" si="4"/>
        <v>0</v>
      </c>
    </row>
    <row r="131" spans="2:8" ht="14.25" customHeight="1" x14ac:dyDescent="0.25">
      <c r="B131" s="25">
        <f t="shared" si="5"/>
        <v>-0.15000000000000491</v>
      </c>
      <c r="C131" s="23" t="e">
        <f t="shared" si="0"/>
        <v>#N/A</v>
      </c>
      <c r="D131" s="23" t="e">
        <f t="shared" si="1"/>
        <v>#N/A</v>
      </c>
      <c r="E131" s="23" t="e">
        <f t="shared" si="2"/>
        <v>#DIV/0!</v>
      </c>
      <c r="F131" s="23" t="e">
        <f t="shared" si="3"/>
        <v>#DIV/0!</v>
      </c>
      <c r="G131" s="45">
        <f t="shared" si="6"/>
        <v>0</v>
      </c>
      <c r="H131" s="45">
        <f t="shared" si="4"/>
        <v>0</v>
      </c>
    </row>
    <row r="132" spans="2:8" ht="14.25" customHeight="1" x14ac:dyDescent="0.25">
      <c r="B132" s="25">
        <f t="shared" si="5"/>
        <v>-0.12000000000000491</v>
      </c>
      <c r="C132" s="23" t="e">
        <f t="shared" si="0"/>
        <v>#N/A</v>
      </c>
      <c r="D132" s="23" t="e">
        <f t="shared" si="1"/>
        <v>#N/A</v>
      </c>
      <c r="E132" s="23" t="e">
        <f t="shared" si="2"/>
        <v>#DIV/0!</v>
      </c>
      <c r="F132" s="23" t="e">
        <f t="shared" si="3"/>
        <v>#DIV/0!</v>
      </c>
      <c r="G132" s="45">
        <f t="shared" si="6"/>
        <v>0</v>
      </c>
      <c r="H132" s="45">
        <f t="shared" si="4"/>
        <v>0</v>
      </c>
    </row>
    <row r="133" spans="2:8" ht="14.25" customHeight="1" x14ac:dyDescent="0.25">
      <c r="B133" s="25">
        <f t="shared" si="5"/>
        <v>-9.0000000000004909E-2</v>
      </c>
      <c r="C133" s="23" t="e">
        <f t="shared" si="0"/>
        <v>#N/A</v>
      </c>
      <c r="D133" s="23" t="e">
        <f t="shared" si="1"/>
        <v>#N/A</v>
      </c>
      <c r="E133" s="23" t="e">
        <f t="shared" si="2"/>
        <v>#DIV/0!</v>
      </c>
      <c r="F133" s="23" t="e">
        <f t="shared" si="3"/>
        <v>#DIV/0!</v>
      </c>
      <c r="G133" s="45">
        <f t="shared" si="6"/>
        <v>0</v>
      </c>
      <c r="H133" s="45">
        <f t="shared" si="4"/>
        <v>0</v>
      </c>
    </row>
    <row r="134" spans="2:8" ht="14.25" customHeight="1" x14ac:dyDescent="0.25">
      <c r="B134" s="25">
        <f t="shared" si="5"/>
        <v>-6.0000000000004911E-2</v>
      </c>
      <c r="C134" s="23" t="e">
        <f t="shared" si="0"/>
        <v>#N/A</v>
      </c>
      <c r="D134" s="23" t="e">
        <f t="shared" si="1"/>
        <v>#N/A</v>
      </c>
      <c r="E134" s="23" t="e">
        <f t="shared" si="2"/>
        <v>#DIV/0!</v>
      </c>
      <c r="F134" s="23" t="e">
        <f t="shared" si="3"/>
        <v>#DIV/0!</v>
      </c>
      <c r="G134" s="45">
        <f t="shared" si="6"/>
        <v>0</v>
      </c>
      <c r="H134" s="45">
        <f t="shared" si="4"/>
        <v>0</v>
      </c>
    </row>
    <row r="135" spans="2:8" ht="14.25" customHeight="1" x14ac:dyDescent="0.25">
      <c r="B135" s="25">
        <f t="shared" si="5"/>
        <v>-3.0000000000004912E-2</v>
      </c>
      <c r="C135" s="23" t="e">
        <f t="shared" si="0"/>
        <v>#N/A</v>
      </c>
      <c r="D135" s="23" t="e">
        <f t="shared" si="1"/>
        <v>#N/A</v>
      </c>
      <c r="E135" s="23" t="e">
        <f t="shared" si="2"/>
        <v>#DIV/0!</v>
      </c>
      <c r="F135" s="23" t="e">
        <f t="shared" si="3"/>
        <v>#DIV/0!</v>
      </c>
      <c r="G135" s="45">
        <f t="shared" si="6"/>
        <v>0</v>
      </c>
      <c r="H135" s="45">
        <f t="shared" si="4"/>
        <v>0</v>
      </c>
    </row>
    <row r="136" spans="2:8" ht="14.25" customHeight="1" x14ac:dyDescent="0.25">
      <c r="B136" s="25">
        <f t="shared" si="5"/>
        <v>-4.9127368839663177E-15</v>
      </c>
      <c r="C136" s="23" t="e">
        <f t="shared" si="0"/>
        <v>#N/A</v>
      </c>
      <c r="D136" s="23" t="e">
        <f t="shared" si="1"/>
        <v>#N/A</v>
      </c>
      <c r="E136" s="23" t="e">
        <f t="shared" si="2"/>
        <v>#DIV/0!</v>
      </c>
      <c r="F136" s="23" t="e">
        <f t="shared" si="3"/>
        <v>#DIV/0!</v>
      </c>
      <c r="G136" s="45">
        <f t="shared" si="6"/>
        <v>0</v>
      </c>
      <c r="H136" s="45">
        <f t="shared" si="4"/>
        <v>0</v>
      </c>
    </row>
    <row r="137" spans="2:8" ht="14.25" customHeight="1" x14ac:dyDescent="0.25">
      <c r="B137" s="25">
        <f t="shared" si="5"/>
        <v>2.9999999999995086E-2</v>
      </c>
      <c r="C137" s="23" t="e">
        <f t="shared" si="0"/>
        <v>#N/A</v>
      </c>
      <c r="D137" s="23" t="e">
        <f t="shared" si="1"/>
        <v>#N/A</v>
      </c>
      <c r="E137" s="23" t="e">
        <f t="shared" si="2"/>
        <v>#DIV/0!</v>
      </c>
      <c r="F137" s="23" t="e">
        <f t="shared" si="3"/>
        <v>#DIV/0!</v>
      </c>
      <c r="G137" s="45">
        <f t="shared" si="6"/>
        <v>0</v>
      </c>
      <c r="H137" s="45">
        <f t="shared" si="4"/>
        <v>0</v>
      </c>
    </row>
    <row r="138" spans="2:8" ht="14.25" customHeight="1" x14ac:dyDescent="0.25">
      <c r="B138" s="25">
        <f t="shared" si="5"/>
        <v>5.9999999999995085E-2</v>
      </c>
      <c r="C138" s="23" t="e">
        <f t="shared" si="0"/>
        <v>#N/A</v>
      </c>
      <c r="D138" s="23" t="e">
        <f t="shared" si="1"/>
        <v>#N/A</v>
      </c>
      <c r="E138" s="23" t="e">
        <f t="shared" si="2"/>
        <v>#DIV/0!</v>
      </c>
      <c r="F138" s="23" t="e">
        <f t="shared" si="3"/>
        <v>#DIV/0!</v>
      </c>
      <c r="G138" s="45">
        <f t="shared" si="6"/>
        <v>0</v>
      </c>
      <c r="H138" s="45">
        <f t="shared" si="4"/>
        <v>0</v>
      </c>
    </row>
    <row r="139" spans="2:8" ht="14.25" customHeight="1" x14ac:dyDescent="0.25">
      <c r="B139" s="25">
        <f t="shared" si="5"/>
        <v>8.9999999999995084E-2</v>
      </c>
      <c r="C139" s="23" t="e">
        <f t="shared" si="0"/>
        <v>#N/A</v>
      </c>
      <c r="D139" s="23" t="e">
        <f t="shared" si="1"/>
        <v>#N/A</v>
      </c>
      <c r="E139" s="23" t="e">
        <f t="shared" si="2"/>
        <v>#DIV/0!</v>
      </c>
      <c r="F139" s="23" t="e">
        <f t="shared" si="3"/>
        <v>#DIV/0!</v>
      </c>
      <c r="G139" s="45">
        <f t="shared" si="6"/>
        <v>0</v>
      </c>
      <c r="H139" s="45">
        <f t="shared" si="4"/>
        <v>0</v>
      </c>
    </row>
    <row r="140" spans="2:8" ht="14.25" customHeight="1" x14ac:dyDescent="0.25">
      <c r="B140" s="25">
        <f t="shared" si="5"/>
        <v>0.11999999999999508</v>
      </c>
      <c r="C140" s="23" t="e">
        <f t="shared" si="0"/>
        <v>#N/A</v>
      </c>
      <c r="D140" s="23" t="e">
        <f t="shared" si="1"/>
        <v>#N/A</v>
      </c>
      <c r="E140" s="23" t="e">
        <f t="shared" si="2"/>
        <v>#DIV/0!</v>
      </c>
      <c r="F140" s="23" t="e">
        <f t="shared" si="3"/>
        <v>#DIV/0!</v>
      </c>
      <c r="G140" s="45">
        <f t="shared" si="6"/>
        <v>0</v>
      </c>
      <c r="H140" s="45">
        <f t="shared" si="4"/>
        <v>0</v>
      </c>
    </row>
    <row r="141" spans="2:8" ht="14.25" customHeight="1" x14ac:dyDescent="0.25">
      <c r="B141" s="25">
        <f t="shared" si="5"/>
        <v>0.14999999999999508</v>
      </c>
      <c r="C141" s="23" t="e">
        <f t="shared" si="0"/>
        <v>#N/A</v>
      </c>
      <c r="D141" s="23" t="e">
        <f t="shared" si="1"/>
        <v>#N/A</v>
      </c>
      <c r="E141" s="23" t="e">
        <f t="shared" si="2"/>
        <v>#DIV/0!</v>
      </c>
      <c r="F141" s="23" t="e">
        <f t="shared" si="3"/>
        <v>#DIV/0!</v>
      </c>
      <c r="G141" s="45">
        <f t="shared" si="6"/>
        <v>0</v>
      </c>
      <c r="H141" s="45">
        <f t="shared" si="4"/>
        <v>0</v>
      </c>
    </row>
    <row r="142" spans="2:8" ht="14.25" customHeight="1" x14ac:dyDescent="0.25">
      <c r="B142" s="25">
        <f t="shared" si="5"/>
        <v>0.17999999999999508</v>
      </c>
      <c r="C142" s="23" t="e">
        <f t="shared" si="0"/>
        <v>#N/A</v>
      </c>
      <c r="D142" s="23" t="e">
        <f t="shared" si="1"/>
        <v>#N/A</v>
      </c>
      <c r="E142" s="23" t="e">
        <f t="shared" si="2"/>
        <v>#DIV/0!</v>
      </c>
      <c r="F142" s="23" t="e">
        <f t="shared" si="3"/>
        <v>#DIV/0!</v>
      </c>
      <c r="G142" s="45">
        <f t="shared" si="6"/>
        <v>0</v>
      </c>
      <c r="H142" s="45">
        <f t="shared" si="4"/>
        <v>0</v>
      </c>
    </row>
    <row r="143" spans="2:8" ht="14.25" customHeight="1" x14ac:dyDescent="0.25">
      <c r="B143" s="25">
        <f t="shared" si="5"/>
        <v>0.20999999999999508</v>
      </c>
      <c r="C143" s="23" t="e">
        <f t="shared" si="0"/>
        <v>#N/A</v>
      </c>
      <c r="D143" s="23" t="e">
        <f t="shared" si="1"/>
        <v>#N/A</v>
      </c>
      <c r="E143" s="23" t="e">
        <f t="shared" si="2"/>
        <v>#DIV/0!</v>
      </c>
      <c r="F143" s="23" t="e">
        <f t="shared" si="3"/>
        <v>#DIV/0!</v>
      </c>
      <c r="G143" s="45">
        <f t="shared" si="6"/>
        <v>0</v>
      </c>
      <c r="H143" s="45">
        <f t="shared" si="4"/>
        <v>0</v>
      </c>
    </row>
    <row r="144" spans="2:8" ht="14.25" customHeight="1" x14ac:dyDescent="0.25">
      <c r="B144" s="25">
        <f t="shared" si="5"/>
        <v>0.23999999999999508</v>
      </c>
      <c r="C144" s="23" t="e">
        <f t="shared" si="0"/>
        <v>#N/A</v>
      </c>
      <c r="D144" s="23" t="e">
        <f t="shared" si="1"/>
        <v>#N/A</v>
      </c>
      <c r="E144" s="23" t="e">
        <f t="shared" si="2"/>
        <v>#DIV/0!</v>
      </c>
      <c r="F144" s="23" t="e">
        <f t="shared" si="3"/>
        <v>#DIV/0!</v>
      </c>
      <c r="G144" s="45">
        <f t="shared" si="6"/>
        <v>0</v>
      </c>
      <c r="H144" s="45">
        <f t="shared" si="4"/>
        <v>0</v>
      </c>
    </row>
    <row r="145" spans="2:8" ht="14.25" customHeight="1" x14ac:dyDescent="0.25">
      <c r="B145" s="25">
        <f t="shared" si="5"/>
        <v>0.26999999999999508</v>
      </c>
      <c r="C145" s="23" t="e">
        <f t="shared" si="0"/>
        <v>#N/A</v>
      </c>
      <c r="D145" s="23" t="e">
        <f t="shared" si="1"/>
        <v>#N/A</v>
      </c>
      <c r="E145" s="23" t="e">
        <f t="shared" si="2"/>
        <v>#DIV/0!</v>
      </c>
      <c r="F145" s="23" t="e">
        <f t="shared" si="3"/>
        <v>#DIV/0!</v>
      </c>
      <c r="G145" s="45">
        <f t="shared" si="6"/>
        <v>0</v>
      </c>
      <c r="H145" s="45">
        <f t="shared" si="4"/>
        <v>0</v>
      </c>
    </row>
    <row r="146" spans="2:8" ht="14.25" customHeight="1" x14ac:dyDescent="0.25">
      <c r="B146" s="25">
        <f t="shared" si="5"/>
        <v>0.29999999999999505</v>
      </c>
      <c r="C146" s="23" t="e">
        <f t="shared" si="0"/>
        <v>#N/A</v>
      </c>
      <c r="D146" s="23" t="e">
        <f t="shared" si="1"/>
        <v>#N/A</v>
      </c>
      <c r="E146" s="23" t="e">
        <f t="shared" si="2"/>
        <v>#DIV/0!</v>
      </c>
      <c r="F146" s="23" t="e">
        <f t="shared" si="3"/>
        <v>#DIV/0!</v>
      </c>
      <c r="G146" s="45">
        <f t="shared" si="6"/>
        <v>0</v>
      </c>
      <c r="H146" s="45">
        <f t="shared" si="4"/>
        <v>0</v>
      </c>
    </row>
    <row r="147" spans="2:8" ht="14.25" customHeight="1" x14ac:dyDescent="0.25">
      <c r="B147" s="25">
        <f t="shared" si="5"/>
        <v>0.32999999999999508</v>
      </c>
      <c r="C147" s="23" t="e">
        <f t="shared" si="0"/>
        <v>#N/A</v>
      </c>
      <c r="D147" s="23" t="e">
        <f t="shared" si="1"/>
        <v>#N/A</v>
      </c>
      <c r="E147" s="23" t="e">
        <f t="shared" si="2"/>
        <v>#DIV/0!</v>
      </c>
      <c r="F147" s="23" t="e">
        <f t="shared" si="3"/>
        <v>#DIV/0!</v>
      </c>
      <c r="G147" s="45">
        <f t="shared" si="6"/>
        <v>0</v>
      </c>
      <c r="H147" s="45">
        <f t="shared" si="4"/>
        <v>0</v>
      </c>
    </row>
    <row r="148" spans="2:8" ht="14.25" customHeight="1" x14ac:dyDescent="0.25">
      <c r="B148" s="25">
        <f t="shared" si="5"/>
        <v>0.3599999999999951</v>
      </c>
      <c r="C148" s="23" t="e">
        <f t="shared" si="0"/>
        <v>#N/A</v>
      </c>
      <c r="D148" s="23" t="e">
        <f t="shared" si="1"/>
        <v>#N/A</v>
      </c>
      <c r="E148" s="23" t="e">
        <f t="shared" si="2"/>
        <v>#DIV/0!</v>
      </c>
      <c r="F148" s="23" t="e">
        <f t="shared" si="3"/>
        <v>#DIV/0!</v>
      </c>
      <c r="G148" s="45">
        <f t="shared" si="6"/>
        <v>0</v>
      </c>
      <c r="H148" s="45">
        <f t="shared" si="4"/>
        <v>0</v>
      </c>
    </row>
    <row r="149" spans="2:8" ht="14.25" customHeight="1" x14ac:dyDescent="0.25">
      <c r="B149" s="25">
        <f t="shared" si="5"/>
        <v>0.38999999999999513</v>
      </c>
      <c r="C149" s="23" t="e">
        <f t="shared" si="0"/>
        <v>#N/A</v>
      </c>
      <c r="D149" s="23" t="e">
        <f t="shared" si="1"/>
        <v>#N/A</v>
      </c>
      <c r="E149" s="23" t="e">
        <f t="shared" si="2"/>
        <v>#DIV/0!</v>
      </c>
      <c r="F149" s="23" t="e">
        <f t="shared" si="3"/>
        <v>#DIV/0!</v>
      </c>
      <c r="G149" s="45">
        <f t="shared" si="6"/>
        <v>0</v>
      </c>
      <c r="H149" s="45">
        <f t="shared" si="4"/>
        <v>0</v>
      </c>
    </row>
    <row r="150" spans="2:8" ht="14.25" customHeight="1" x14ac:dyDescent="0.25">
      <c r="B150" s="25">
        <f t="shared" si="5"/>
        <v>0.41999999999999515</v>
      </c>
      <c r="C150" s="23" t="e">
        <f t="shared" si="0"/>
        <v>#N/A</v>
      </c>
      <c r="D150" s="23" t="e">
        <f t="shared" si="1"/>
        <v>#N/A</v>
      </c>
      <c r="E150" s="23" t="e">
        <f t="shared" si="2"/>
        <v>#DIV/0!</v>
      </c>
      <c r="F150" s="23" t="e">
        <f t="shared" si="3"/>
        <v>#DIV/0!</v>
      </c>
      <c r="G150" s="45">
        <f t="shared" si="6"/>
        <v>0</v>
      </c>
      <c r="H150" s="45">
        <f t="shared" si="4"/>
        <v>0</v>
      </c>
    </row>
    <row r="151" spans="2:8" ht="14.25" customHeight="1" x14ac:dyDescent="0.25">
      <c r="B151" s="25">
        <f t="shared" si="5"/>
        <v>0.44999999999999518</v>
      </c>
      <c r="C151" s="23" t="e">
        <f t="shared" si="0"/>
        <v>#N/A</v>
      </c>
      <c r="D151" s="23" t="e">
        <f t="shared" si="1"/>
        <v>#N/A</v>
      </c>
      <c r="E151" s="23" t="e">
        <f t="shared" si="2"/>
        <v>#DIV/0!</v>
      </c>
      <c r="F151" s="23" t="e">
        <f t="shared" si="3"/>
        <v>#DIV/0!</v>
      </c>
      <c r="G151" s="45">
        <f t="shared" si="6"/>
        <v>0</v>
      </c>
      <c r="H151" s="45">
        <f t="shared" si="4"/>
        <v>0</v>
      </c>
    </row>
    <row r="152" spans="2:8" ht="14.25" customHeight="1" x14ac:dyDescent="0.25">
      <c r="B152" s="25">
        <f t="shared" si="5"/>
        <v>0.47999999999999521</v>
      </c>
      <c r="C152" s="23" t="e">
        <f t="shared" si="0"/>
        <v>#N/A</v>
      </c>
      <c r="D152" s="23" t="e">
        <f t="shared" si="1"/>
        <v>#N/A</v>
      </c>
      <c r="E152" s="23" t="e">
        <f t="shared" si="2"/>
        <v>#DIV/0!</v>
      </c>
      <c r="F152" s="23" t="e">
        <f t="shared" si="3"/>
        <v>#DIV/0!</v>
      </c>
      <c r="G152" s="45">
        <f t="shared" si="6"/>
        <v>0</v>
      </c>
      <c r="H152" s="45">
        <f t="shared" si="4"/>
        <v>0</v>
      </c>
    </row>
    <row r="153" spans="2:8" ht="14.25" customHeight="1" x14ac:dyDescent="0.25">
      <c r="B153" s="25">
        <f t="shared" si="5"/>
        <v>0.50999999999999523</v>
      </c>
      <c r="C153" s="23" t="e">
        <f t="shared" si="0"/>
        <v>#N/A</v>
      </c>
      <c r="D153" s="23" t="e">
        <f t="shared" si="1"/>
        <v>#N/A</v>
      </c>
      <c r="E153" s="23" t="e">
        <f t="shared" si="2"/>
        <v>#DIV/0!</v>
      </c>
      <c r="F153" s="23" t="e">
        <f t="shared" si="3"/>
        <v>#DIV/0!</v>
      </c>
      <c r="G153" s="45">
        <f t="shared" si="6"/>
        <v>0</v>
      </c>
      <c r="H153" s="45">
        <f t="shared" si="4"/>
        <v>0</v>
      </c>
    </row>
    <row r="154" spans="2:8" ht="14.25" customHeight="1" x14ac:dyDescent="0.25">
      <c r="B154" s="25">
        <f t="shared" si="5"/>
        <v>0.53999999999999526</v>
      </c>
      <c r="C154" s="23" t="e">
        <f t="shared" si="0"/>
        <v>#N/A</v>
      </c>
      <c r="D154" s="23" t="e">
        <f t="shared" si="1"/>
        <v>#N/A</v>
      </c>
      <c r="E154" s="23" t="e">
        <f t="shared" si="2"/>
        <v>#DIV/0!</v>
      </c>
      <c r="F154" s="23" t="e">
        <f t="shared" si="3"/>
        <v>#DIV/0!</v>
      </c>
      <c r="G154" s="45">
        <f t="shared" si="6"/>
        <v>0</v>
      </c>
      <c r="H154" s="45">
        <f t="shared" si="4"/>
        <v>0</v>
      </c>
    </row>
    <row r="155" spans="2:8" ht="14.25" customHeight="1" x14ac:dyDescent="0.25">
      <c r="B155" s="25">
        <f t="shared" si="5"/>
        <v>0.56999999999999529</v>
      </c>
      <c r="C155" s="23" t="e">
        <f t="shared" si="0"/>
        <v>#N/A</v>
      </c>
      <c r="D155" s="23" t="e">
        <f t="shared" si="1"/>
        <v>#N/A</v>
      </c>
      <c r="E155" s="23" t="e">
        <f t="shared" si="2"/>
        <v>#DIV/0!</v>
      </c>
      <c r="F155" s="23" t="e">
        <f t="shared" si="3"/>
        <v>#DIV/0!</v>
      </c>
      <c r="G155" s="45">
        <f t="shared" si="6"/>
        <v>0</v>
      </c>
      <c r="H155" s="45">
        <f t="shared" si="4"/>
        <v>0</v>
      </c>
    </row>
    <row r="156" spans="2:8" ht="14.25" customHeight="1" x14ac:dyDescent="0.25">
      <c r="B156" s="25">
        <f t="shared" si="5"/>
        <v>0.59999999999999531</v>
      </c>
      <c r="C156" s="23" t="e">
        <f t="shared" si="0"/>
        <v>#N/A</v>
      </c>
      <c r="D156" s="23" t="e">
        <f t="shared" si="1"/>
        <v>#N/A</v>
      </c>
      <c r="E156" s="23" t="e">
        <f t="shared" si="2"/>
        <v>#DIV/0!</v>
      </c>
      <c r="F156" s="23" t="e">
        <f t="shared" si="3"/>
        <v>#DIV/0!</v>
      </c>
      <c r="G156" s="45">
        <f t="shared" si="6"/>
        <v>0</v>
      </c>
      <c r="H156" s="45">
        <f t="shared" si="4"/>
        <v>0</v>
      </c>
    </row>
    <row r="157" spans="2:8" ht="14.25" customHeight="1" x14ac:dyDescent="0.25">
      <c r="B157" s="25">
        <f t="shared" si="5"/>
        <v>0.62999999999999534</v>
      </c>
      <c r="C157" s="23" t="e">
        <f t="shared" si="0"/>
        <v>#N/A</v>
      </c>
      <c r="D157" s="23" t="e">
        <f t="shared" si="1"/>
        <v>#N/A</v>
      </c>
      <c r="E157" s="23" t="e">
        <f t="shared" si="2"/>
        <v>#DIV/0!</v>
      </c>
      <c r="F157" s="23" t="e">
        <f t="shared" si="3"/>
        <v>#DIV/0!</v>
      </c>
      <c r="G157" s="45">
        <f t="shared" si="6"/>
        <v>0</v>
      </c>
      <c r="H157" s="45">
        <f t="shared" si="4"/>
        <v>0</v>
      </c>
    </row>
    <row r="158" spans="2:8" ht="14.25" customHeight="1" x14ac:dyDescent="0.25">
      <c r="B158" s="25">
        <f t="shared" si="5"/>
        <v>0.65999999999999537</v>
      </c>
      <c r="C158" s="23" t="e">
        <f t="shared" si="0"/>
        <v>#N/A</v>
      </c>
      <c r="D158" s="23" t="e">
        <f t="shared" si="1"/>
        <v>#N/A</v>
      </c>
      <c r="E158" s="23" t="e">
        <f t="shared" si="2"/>
        <v>#DIV/0!</v>
      </c>
      <c r="F158" s="23" t="e">
        <f t="shared" si="3"/>
        <v>#DIV/0!</v>
      </c>
      <c r="G158" s="45">
        <f t="shared" si="6"/>
        <v>0</v>
      </c>
      <c r="H158" s="45">
        <f t="shared" si="4"/>
        <v>0</v>
      </c>
    </row>
    <row r="159" spans="2:8" ht="14.25" customHeight="1" x14ac:dyDescent="0.25">
      <c r="B159" s="25">
        <f t="shared" si="5"/>
        <v>0.68999999999999539</v>
      </c>
      <c r="C159" s="23" t="e">
        <f t="shared" si="0"/>
        <v>#N/A</v>
      </c>
      <c r="D159" s="23" t="e">
        <f t="shared" si="1"/>
        <v>#N/A</v>
      </c>
      <c r="E159" s="23" t="e">
        <f t="shared" si="2"/>
        <v>#DIV/0!</v>
      </c>
      <c r="F159" s="23" t="e">
        <f t="shared" si="3"/>
        <v>#DIV/0!</v>
      </c>
      <c r="G159" s="45">
        <f t="shared" si="6"/>
        <v>0</v>
      </c>
      <c r="H159" s="45">
        <f t="shared" si="4"/>
        <v>0</v>
      </c>
    </row>
    <row r="160" spans="2:8" ht="14.25" customHeight="1" x14ac:dyDescent="0.25">
      <c r="B160" s="25">
        <f t="shared" si="5"/>
        <v>0.71999999999999542</v>
      </c>
      <c r="C160" s="23" t="e">
        <f t="shared" si="0"/>
        <v>#N/A</v>
      </c>
      <c r="D160" s="23" t="e">
        <f t="shared" si="1"/>
        <v>#N/A</v>
      </c>
      <c r="E160" s="23" t="e">
        <f t="shared" si="2"/>
        <v>#DIV/0!</v>
      </c>
      <c r="F160" s="23" t="e">
        <f t="shared" si="3"/>
        <v>#DIV/0!</v>
      </c>
      <c r="G160" s="45">
        <f t="shared" si="6"/>
        <v>0</v>
      </c>
      <c r="H160" s="45">
        <f t="shared" si="4"/>
        <v>0</v>
      </c>
    </row>
    <row r="161" spans="2:8" ht="14.25" customHeight="1" x14ac:dyDescent="0.25">
      <c r="B161" s="25">
        <f t="shared" si="5"/>
        <v>0.74999999999999545</v>
      </c>
      <c r="C161" s="23" t="e">
        <f t="shared" si="0"/>
        <v>#N/A</v>
      </c>
      <c r="D161" s="23" t="e">
        <f t="shared" si="1"/>
        <v>#N/A</v>
      </c>
      <c r="E161" s="23" t="e">
        <f t="shared" si="2"/>
        <v>#DIV/0!</v>
      </c>
      <c r="F161" s="23" t="e">
        <f t="shared" si="3"/>
        <v>#DIV/0!</v>
      </c>
      <c r="G161" s="45">
        <f t="shared" si="6"/>
        <v>0</v>
      </c>
      <c r="H161" s="45">
        <f t="shared" si="4"/>
        <v>0</v>
      </c>
    </row>
    <row r="162" spans="2:8" ht="14.25" customHeight="1" x14ac:dyDescent="0.25">
      <c r="B162" s="25">
        <f t="shared" si="5"/>
        <v>0.77999999999999547</v>
      </c>
      <c r="C162" s="23" t="e">
        <f t="shared" si="0"/>
        <v>#N/A</v>
      </c>
      <c r="D162" s="23" t="e">
        <f t="shared" si="1"/>
        <v>#N/A</v>
      </c>
      <c r="E162" s="23" t="e">
        <f t="shared" si="2"/>
        <v>#DIV/0!</v>
      </c>
      <c r="F162" s="23" t="e">
        <f t="shared" si="3"/>
        <v>#DIV/0!</v>
      </c>
      <c r="G162" s="45">
        <f t="shared" si="6"/>
        <v>0</v>
      </c>
      <c r="H162" s="45">
        <f t="shared" si="4"/>
        <v>0</v>
      </c>
    </row>
    <row r="163" spans="2:8" ht="14.25" customHeight="1" x14ac:dyDescent="0.25">
      <c r="B163" s="25">
        <f t="shared" si="5"/>
        <v>0.8099999999999955</v>
      </c>
      <c r="C163" s="23" t="e">
        <f t="shared" si="0"/>
        <v>#N/A</v>
      </c>
      <c r="D163" s="23" t="e">
        <f t="shared" si="1"/>
        <v>#N/A</v>
      </c>
      <c r="E163" s="23" t="e">
        <f t="shared" si="2"/>
        <v>#DIV/0!</v>
      </c>
      <c r="F163" s="23" t="e">
        <f t="shared" si="3"/>
        <v>#DIV/0!</v>
      </c>
      <c r="G163" s="45">
        <f t="shared" si="6"/>
        <v>0</v>
      </c>
      <c r="H163" s="45">
        <f t="shared" si="4"/>
        <v>0</v>
      </c>
    </row>
    <row r="164" spans="2:8" ht="14.25" customHeight="1" x14ac:dyDescent="0.25">
      <c r="B164" s="25">
        <f t="shared" si="5"/>
        <v>0.83999999999999553</v>
      </c>
      <c r="C164" s="23" t="e">
        <f t="shared" si="0"/>
        <v>#N/A</v>
      </c>
      <c r="D164" s="23" t="e">
        <f t="shared" si="1"/>
        <v>#N/A</v>
      </c>
      <c r="E164" s="23" t="e">
        <f t="shared" si="2"/>
        <v>#DIV/0!</v>
      </c>
      <c r="F164" s="23" t="e">
        <f t="shared" si="3"/>
        <v>#DIV/0!</v>
      </c>
      <c r="G164" s="45">
        <f t="shared" si="6"/>
        <v>0</v>
      </c>
      <c r="H164" s="45">
        <f t="shared" si="4"/>
        <v>0</v>
      </c>
    </row>
    <row r="165" spans="2:8" ht="14.25" customHeight="1" x14ac:dyDescent="0.25">
      <c r="B165" s="25">
        <f t="shared" si="5"/>
        <v>0.86999999999999555</v>
      </c>
      <c r="C165" s="23" t="e">
        <f t="shared" si="0"/>
        <v>#N/A</v>
      </c>
      <c r="D165" s="23" t="e">
        <f t="shared" si="1"/>
        <v>#N/A</v>
      </c>
      <c r="E165" s="23" t="e">
        <f t="shared" si="2"/>
        <v>#DIV/0!</v>
      </c>
      <c r="F165" s="23" t="e">
        <f t="shared" si="3"/>
        <v>#DIV/0!</v>
      </c>
      <c r="G165" s="45">
        <f t="shared" si="6"/>
        <v>0</v>
      </c>
      <c r="H165" s="45">
        <f t="shared" si="4"/>
        <v>0</v>
      </c>
    </row>
    <row r="166" spans="2:8" ht="14.25" customHeight="1" x14ac:dyDescent="0.25">
      <c r="B166" s="25">
        <f t="shared" si="5"/>
        <v>0.89999999999999558</v>
      </c>
      <c r="C166" s="23" t="e">
        <f t="shared" si="0"/>
        <v>#N/A</v>
      </c>
      <c r="D166" s="23" t="e">
        <f t="shared" si="1"/>
        <v>#N/A</v>
      </c>
      <c r="E166" s="23" t="e">
        <f t="shared" si="2"/>
        <v>#DIV/0!</v>
      </c>
      <c r="F166" s="23" t="e">
        <f t="shared" si="3"/>
        <v>#DIV/0!</v>
      </c>
      <c r="G166" s="45">
        <f t="shared" si="6"/>
        <v>0</v>
      </c>
      <c r="H166" s="45">
        <f t="shared" si="4"/>
        <v>0</v>
      </c>
    </row>
    <row r="167" spans="2:8" ht="14.25" customHeight="1" x14ac:dyDescent="0.25">
      <c r="B167" s="25">
        <f t="shared" si="5"/>
        <v>0.92999999999999561</v>
      </c>
      <c r="C167" s="23" t="e">
        <f t="shared" si="0"/>
        <v>#N/A</v>
      </c>
      <c r="D167" s="23" t="e">
        <f t="shared" si="1"/>
        <v>#N/A</v>
      </c>
      <c r="E167" s="23" t="e">
        <f t="shared" si="2"/>
        <v>#DIV/0!</v>
      </c>
      <c r="F167" s="23" t="e">
        <f t="shared" si="3"/>
        <v>#DIV/0!</v>
      </c>
      <c r="G167" s="45">
        <f t="shared" si="6"/>
        <v>0</v>
      </c>
      <c r="H167" s="45">
        <f t="shared" si="4"/>
        <v>0</v>
      </c>
    </row>
    <row r="168" spans="2:8" ht="14.25" customHeight="1" x14ac:dyDescent="0.25">
      <c r="B168" s="25">
        <f t="shared" si="5"/>
        <v>0.95999999999999563</v>
      </c>
      <c r="C168" s="23" t="e">
        <f t="shared" si="0"/>
        <v>#N/A</v>
      </c>
      <c r="D168" s="23" t="e">
        <f t="shared" si="1"/>
        <v>#N/A</v>
      </c>
      <c r="E168" s="23" t="e">
        <f t="shared" si="2"/>
        <v>#DIV/0!</v>
      </c>
      <c r="F168" s="23" t="e">
        <f t="shared" si="3"/>
        <v>#DIV/0!</v>
      </c>
      <c r="G168" s="45">
        <f t="shared" si="6"/>
        <v>0</v>
      </c>
      <c r="H168" s="45">
        <f t="shared" si="4"/>
        <v>0</v>
      </c>
    </row>
    <row r="169" spans="2:8" ht="14.25" customHeight="1" x14ac:dyDescent="0.25">
      <c r="B169" s="25">
        <f t="shared" si="5"/>
        <v>0.98999999999999566</v>
      </c>
      <c r="C169" s="23" t="e">
        <f t="shared" si="0"/>
        <v>#N/A</v>
      </c>
      <c r="D169" s="23" t="e">
        <f t="shared" si="1"/>
        <v>#N/A</v>
      </c>
      <c r="E169" s="23" t="e">
        <f t="shared" si="2"/>
        <v>#DIV/0!</v>
      </c>
      <c r="F169" s="23" t="e">
        <f t="shared" si="3"/>
        <v>#DIV/0!</v>
      </c>
      <c r="G169" s="45">
        <f t="shared" si="6"/>
        <v>0</v>
      </c>
      <c r="H169" s="45">
        <f t="shared" si="4"/>
        <v>0</v>
      </c>
    </row>
    <row r="170" spans="2:8" ht="14.25" customHeight="1" x14ac:dyDescent="0.25">
      <c r="B170" s="25">
        <f t="shared" si="5"/>
        <v>1.0199999999999956</v>
      </c>
      <c r="C170" s="23" t="e">
        <f t="shared" si="0"/>
        <v>#N/A</v>
      </c>
      <c r="D170" s="23" t="e">
        <f t="shared" si="1"/>
        <v>#N/A</v>
      </c>
      <c r="E170" s="23" t="e">
        <f t="shared" si="2"/>
        <v>#DIV/0!</v>
      </c>
      <c r="F170" s="23" t="e">
        <f t="shared" si="3"/>
        <v>#DIV/0!</v>
      </c>
      <c r="G170" s="45">
        <f t="shared" si="6"/>
        <v>0</v>
      </c>
      <c r="H170" s="45">
        <f t="shared" si="4"/>
        <v>0</v>
      </c>
    </row>
    <row r="171" spans="2:8" ht="14.25" customHeight="1" x14ac:dyDescent="0.25">
      <c r="B171" s="25">
        <f t="shared" si="5"/>
        <v>1.0499999999999956</v>
      </c>
      <c r="C171" s="23" t="e">
        <f t="shared" si="0"/>
        <v>#N/A</v>
      </c>
      <c r="D171" s="23" t="e">
        <f t="shared" si="1"/>
        <v>#N/A</v>
      </c>
      <c r="E171" s="23" t="e">
        <f t="shared" si="2"/>
        <v>#DIV/0!</v>
      </c>
      <c r="F171" s="23" t="e">
        <f t="shared" si="3"/>
        <v>#DIV/0!</v>
      </c>
      <c r="G171" s="45">
        <f t="shared" si="6"/>
        <v>0</v>
      </c>
      <c r="H171" s="45">
        <f t="shared" si="4"/>
        <v>0</v>
      </c>
    </row>
    <row r="172" spans="2:8" ht="14.25" customHeight="1" x14ac:dyDescent="0.25">
      <c r="B172" s="25">
        <f t="shared" si="5"/>
        <v>1.0799999999999956</v>
      </c>
      <c r="C172" s="23" t="e">
        <f t="shared" si="0"/>
        <v>#N/A</v>
      </c>
      <c r="D172" s="23" t="e">
        <f t="shared" si="1"/>
        <v>#N/A</v>
      </c>
      <c r="E172" s="23" t="e">
        <f t="shared" si="2"/>
        <v>#DIV/0!</v>
      </c>
      <c r="F172" s="23" t="e">
        <f t="shared" si="3"/>
        <v>#DIV/0!</v>
      </c>
      <c r="G172" s="45">
        <f t="shared" si="6"/>
        <v>0</v>
      </c>
      <c r="H172" s="45">
        <f t="shared" si="4"/>
        <v>0</v>
      </c>
    </row>
    <row r="173" spans="2:8" ht="14.25" customHeight="1" x14ac:dyDescent="0.25">
      <c r="B173" s="25">
        <f t="shared" si="5"/>
        <v>1.1099999999999957</v>
      </c>
      <c r="C173" s="23" t="e">
        <f t="shared" si="0"/>
        <v>#N/A</v>
      </c>
      <c r="D173" s="23" t="e">
        <f t="shared" si="1"/>
        <v>#N/A</v>
      </c>
      <c r="E173" s="23" t="e">
        <f t="shared" si="2"/>
        <v>#DIV/0!</v>
      </c>
      <c r="F173" s="23" t="e">
        <f t="shared" si="3"/>
        <v>#DIV/0!</v>
      </c>
      <c r="G173" s="45">
        <f t="shared" si="6"/>
        <v>0</v>
      </c>
      <c r="H173" s="45">
        <f t="shared" si="4"/>
        <v>0</v>
      </c>
    </row>
    <row r="174" spans="2:8" ht="14.25" customHeight="1" x14ac:dyDescent="0.25">
      <c r="B174" s="25">
        <f t="shared" si="5"/>
        <v>1.1399999999999957</v>
      </c>
      <c r="C174" s="23" t="e">
        <f t="shared" si="0"/>
        <v>#N/A</v>
      </c>
      <c r="D174" s="23" t="e">
        <f t="shared" si="1"/>
        <v>#N/A</v>
      </c>
      <c r="E174" s="23" t="e">
        <f t="shared" si="2"/>
        <v>#DIV/0!</v>
      </c>
      <c r="F174" s="23" t="e">
        <f t="shared" si="3"/>
        <v>#DIV/0!</v>
      </c>
      <c r="G174" s="45">
        <f t="shared" si="6"/>
        <v>0</v>
      </c>
      <c r="H174" s="45">
        <f t="shared" si="4"/>
        <v>0</v>
      </c>
    </row>
    <row r="175" spans="2:8" ht="14.25" customHeight="1" x14ac:dyDescent="0.25">
      <c r="B175" s="25">
        <f t="shared" si="5"/>
        <v>1.1699999999999957</v>
      </c>
      <c r="C175" s="23" t="e">
        <f t="shared" si="0"/>
        <v>#N/A</v>
      </c>
      <c r="D175" s="23" t="e">
        <f t="shared" si="1"/>
        <v>#N/A</v>
      </c>
      <c r="E175" s="23" t="e">
        <f t="shared" si="2"/>
        <v>#DIV/0!</v>
      </c>
      <c r="F175" s="23" t="e">
        <f t="shared" si="3"/>
        <v>#DIV/0!</v>
      </c>
      <c r="G175" s="45">
        <f t="shared" si="6"/>
        <v>0</v>
      </c>
      <c r="H175" s="45">
        <f t="shared" si="4"/>
        <v>0</v>
      </c>
    </row>
    <row r="176" spans="2:8" ht="14.25" customHeight="1" x14ac:dyDescent="0.25">
      <c r="B176" s="25">
        <f t="shared" si="5"/>
        <v>1.1999999999999957</v>
      </c>
      <c r="C176" s="23" t="e">
        <f t="shared" si="0"/>
        <v>#N/A</v>
      </c>
      <c r="D176" s="23" t="e">
        <f t="shared" si="1"/>
        <v>#N/A</v>
      </c>
      <c r="E176" s="23" t="e">
        <f t="shared" si="2"/>
        <v>#DIV/0!</v>
      </c>
      <c r="F176" s="23" t="e">
        <f t="shared" si="3"/>
        <v>#DIV/0!</v>
      </c>
      <c r="G176" s="45">
        <f t="shared" si="6"/>
        <v>0</v>
      </c>
      <c r="H176" s="45">
        <f t="shared" si="4"/>
        <v>0</v>
      </c>
    </row>
    <row r="177" spans="2:8" ht="14.25" customHeight="1" x14ac:dyDescent="0.25">
      <c r="B177" s="25">
        <f t="shared" si="5"/>
        <v>1.2299999999999958</v>
      </c>
      <c r="C177" s="23" t="e">
        <f t="shared" si="0"/>
        <v>#N/A</v>
      </c>
      <c r="D177" s="23" t="e">
        <f t="shared" si="1"/>
        <v>#N/A</v>
      </c>
      <c r="E177" s="23" t="e">
        <f t="shared" si="2"/>
        <v>#DIV/0!</v>
      </c>
      <c r="F177" s="23" t="e">
        <f t="shared" si="3"/>
        <v>#DIV/0!</v>
      </c>
      <c r="G177" s="45">
        <f t="shared" si="6"/>
        <v>0</v>
      </c>
      <c r="H177" s="45">
        <f t="shared" si="4"/>
        <v>0</v>
      </c>
    </row>
    <row r="178" spans="2:8" ht="14.25" customHeight="1" x14ac:dyDescent="0.25">
      <c r="B178" s="25">
        <f t="shared" si="5"/>
        <v>1.2599999999999958</v>
      </c>
      <c r="C178" s="23" t="e">
        <f t="shared" si="0"/>
        <v>#N/A</v>
      </c>
      <c r="D178" s="23" t="e">
        <f t="shared" si="1"/>
        <v>#N/A</v>
      </c>
      <c r="E178" s="23" t="e">
        <f t="shared" si="2"/>
        <v>#DIV/0!</v>
      </c>
      <c r="F178" s="23" t="e">
        <f t="shared" si="3"/>
        <v>#DIV/0!</v>
      </c>
      <c r="G178" s="45">
        <f t="shared" si="6"/>
        <v>0</v>
      </c>
      <c r="H178" s="45">
        <f t="shared" si="4"/>
        <v>0</v>
      </c>
    </row>
    <row r="179" spans="2:8" ht="14.25" customHeight="1" x14ac:dyDescent="0.25">
      <c r="B179" s="25">
        <f t="shared" si="5"/>
        <v>1.2899999999999958</v>
      </c>
      <c r="C179" s="23" t="e">
        <f t="shared" si="0"/>
        <v>#N/A</v>
      </c>
      <c r="D179" s="23" t="e">
        <f t="shared" si="1"/>
        <v>#N/A</v>
      </c>
      <c r="E179" s="23" t="e">
        <f t="shared" si="2"/>
        <v>#DIV/0!</v>
      </c>
      <c r="F179" s="23" t="e">
        <f t="shared" si="3"/>
        <v>#DIV/0!</v>
      </c>
      <c r="G179" s="45">
        <f t="shared" si="6"/>
        <v>0</v>
      </c>
      <c r="H179" s="45">
        <f t="shared" si="4"/>
        <v>0</v>
      </c>
    </row>
    <row r="180" spans="2:8" ht="14.25" customHeight="1" x14ac:dyDescent="0.25">
      <c r="B180" s="25">
        <f t="shared" si="5"/>
        <v>1.3199999999999958</v>
      </c>
      <c r="C180" s="23" t="e">
        <f t="shared" si="0"/>
        <v>#N/A</v>
      </c>
      <c r="D180" s="23" t="e">
        <f t="shared" si="1"/>
        <v>#N/A</v>
      </c>
      <c r="E180" s="23" t="e">
        <f t="shared" si="2"/>
        <v>#DIV/0!</v>
      </c>
      <c r="F180" s="23" t="e">
        <f t="shared" si="3"/>
        <v>#DIV/0!</v>
      </c>
      <c r="G180" s="45">
        <f t="shared" si="6"/>
        <v>0</v>
      </c>
      <c r="H180" s="45">
        <f t="shared" si="4"/>
        <v>0</v>
      </c>
    </row>
    <row r="181" spans="2:8" ht="14.25" customHeight="1" x14ac:dyDescent="0.25">
      <c r="B181" s="25">
        <f t="shared" si="5"/>
        <v>1.3499999999999959</v>
      </c>
      <c r="C181" s="23" t="e">
        <f t="shared" si="0"/>
        <v>#N/A</v>
      </c>
      <c r="D181" s="23" t="e">
        <f t="shared" si="1"/>
        <v>#N/A</v>
      </c>
      <c r="E181" s="23" t="e">
        <f t="shared" si="2"/>
        <v>#DIV/0!</v>
      </c>
      <c r="F181" s="23" t="e">
        <f t="shared" si="3"/>
        <v>#DIV/0!</v>
      </c>
      <c r="G181" s="45">
        <f t="shared" si="6"/>
        <v>0</v>
      </c>
      <c r="H181" s="45">
        <f t="shared" si="4"/>
        <v>0</v>
      </c>
    </row>
    <row r="182" spans="2:8" ht="14.25" customHeight="1" x14ac:dyDescent="0.25">
      <c r="B182" s="25">
        <f t="shared" si="5"/>
        <v>1.3799999999999959</v>
      </c>
      <c r="C182" s="23" t="e">
        <f t="shared" si="0"/>
        <v>#N/A</v>
      </c>
      <c r="D182" s="23" t="e">
        <f t="shared" si="1"/>
        <v>#N/A</v>
      </c>
      <c r="E182" s="23" t="e">
        <f t="shared" si="2"/>
        <v>#DIV/0!</v>
      </c>
      <c r="F182" s="23" t="e">
        <f t="shared" si="3"/>
        <v>#DIV/0!</v>
      </c>
      <c r="G182" s="45">
        <f t="shared" si="6"/>
        <v>0</v>
      </c>
      <c r="H182" s="45">
        <f t="shared" si="4"/>
        <v>0</v>
      </c>
    </row>
    <row r="183" spans="2:8" ht="14.25" customHeight="1" x14ac:dyDescent="0.25">
      <c r="B183" s="25">
        <f t="shared" si="5"/>
        <v>1.4099999999999959</v>
      </c>
      <c r="C183" s="23" t="e">
        <f t="shared" si="0"/>
        <v>#N/A</v>
      </c>
      <c r="D183" s="23" t="e">
        <f t="shared" si="1"/>
        <v>#N/A</v>
      </c>
      <c r="E183" s="23" t="e">
        <f t="shared" si="2"/>
        <v>#DIV/0!</v>
      </c>
      <c r="F183" s="23" t="e">
        <f t="shared" si="3"/>
        <v>#DIV/0!</v>
      </c>
      <c r="G183" s="45">
        <f t="shared" si="6"/>
        <v>0</v>
      </c>
      <c r="H183" s="45">
        <f t="shared" si="4"/>
        <v>0</v>
      </c>
    </row>
    <row r="184" spans="2:8" ht="14.25" customHeight="1" x14ac:dyDescent="0.25">
      <c r="B184" s="25">
        <f t="shared" si="5"/>
        <v>1.4399999999999959</v>
      </c>
      <c r="C184" s="23" t="e">
        <f t="shared" si="0"/>
        <v>#N/A</v>
      </c>
      <c r="D184" s="23" t="e">
        <f t="shared" si="1"/>
        <v>#N/A</v>
      </c>
      <c r="E184" s="23" t="e">
        <f t="shared" si="2"/>
        <v>#DIV/0!</v>
      </c>
      <c r="F184" s="23" t="e">
        <f t="shared" si="3"/>
        <v>#DIV/0!</v>
      </c>
      <c r="G184" s="45">
        <f t="shared" si="6"/>
        <v>0</v>
      </c>
      <c r="H184" s="45">
        <f t="shared" si="4"/>
        <v>0</v>
      </c>
    </row>
    <row r="185" spans="2:8" ht="14.25" customHeight="1" x14ac:dyDescent="0.25">
      <c r="B185" s="25">
        <f t="shared" si="5"/>
        <v>1.469999999999996</v>
      </c>
      <c r="C185" s="23" t="e">
        <f t="shared" si="0"/>
        <v>#N/A</v>
      </c>
      <c r="D185" s="23" t="e">
        <f t="shared" si="1"/>
        <v>#N/A</v>
      </c>
      <c r="E185" s="23" t="e">
        <f t="shared" si="2"/>
        <v>#DIV/0!</v>
      </c>
      <c r="F185" s="23" t="e">
        <f t="shared" si="3"/>
        <v>#DIV/0!</v>
      </c>
      <c r="G185" s="45">
        <f t="shared" si="6"/>
        <v>0</v>
      </c>
      <c r="H185" s="45">
        <f t="shared" si="4"/>
        <v>0</v>
      </c>
    </row>
    <row r="186" spans="2:8" ht="14.25" customHeight="1" x14ac:dyDescent="0.25">
      <c r="B186" s="25">
        <f t="shared" si="5"/>
        <v>1.499999999999996</v>
      </c>
      <c r="C186" s="23" t="e">
        <f t="shared" si="0"/>
        <v>#N/A</v>
      </c>
      <c r="D186" s="23" t="e">
        <f t="shared" si="1"/>
        <v>#N/A</v>
      </c>
      <c r="E186" s="23" t="e">
        <f t="shared" si="2"/>
        <v>#DIV/0!</v>
      </c>
      <c r="F186" s="23" t="e">
        <f t="shared" si="3"/>
        <v>#DIV/0!</v>
      </c>
      <c r="G186" s="45">
        <f t="shared" si="6"/>
        <v>0</v>
      </c>
      <c r="H186" s="45">
        <f t="shared" si="4"/>
        <v>0</v>
      </c>
    </row>
    <row r="187" spans="2:8" ht="14.25" customHeight="1" x14ac:dyDescent="0.25">
      <c r="B187" s="25">
        <f t="shared" si="5"/>
        <v>1.529999999999996</v>
      </c>
      <c r="C187" s="23" t="e">
        <f t="shared" si="0"/>
        <v>#N/A</v>
      </c>
      <c r="D187" s="23" t="e">
        <f t="shared" si="1"/>
        <v>#N/A</v>
      </c>
      <c r="E187" s="23" t="e">
        <f t="shared" si="2"/>
        <v>#DIV/0!</v>
      </c>
      <c r="F187" s="23" t="e">
        <f t="shared" si="3"/>
        <v>#DIV/0!</v>
      </c>
      <c r="G187" s="45">
        <f t="shared" si="6"/>
        <v>0</v>
      </c>
      <c r="H187" s="45">
        <f t="shared" si="4"/>
        <v>0</v>
      </c>
    </row>
    <row r="188" spans="2:8" ht="14.25" customHeight="1" x14ac:dyDescent="0.25">
      <c r="B188" s="25">
        <f t="shared" si="5"/>
        <v>1.5599999999999961</v>
      </c>
      <c r="C188" s="23" t="e">
        <f t="shared" si="0"/>
        <v>#N/A</v>
      </c>
      <c r="D188" s="23" t="e">
        <f t="shared" si="1"/>
        <v>#N/A</v>
      </c>
      <c r="E188" s="23" t="e">
        <f t="shared" si="2"/>
        <v>#DIV/0!</v>
      </c>
      <c r="F188" s="23" t="e">
        <f t="shared" si="3"/>
        <v>#DIV/0!</v>
      </c>
      <c r="G188" s="45">
        <f t="shared" si="6"/>
        <v>0</v>
      </c>
      <c r="H188" s="45">
        <f t="shared" si="4"/>
        <v>0</v>
      </c>
    </row>
    <row r="189" spans="2:8" ht="14.25" customHeight="1" x14ac:dyDescent="0.25">
      <c r="B189" s="25">
        <f t="shared" si="5"/>
        <v>1.5899999999999961</v>
      </c>
      <c r="C189" s="23" t="e">
        <f t="shared" si="0"/>
        <v>#N/A</v>
      </c>
      <c r="D189" s="23" t="e">
        <f t="shared" si="1"/>
        <v>#N/A</v>
      </c>
      <c r="E189" s="23" t="e">
        <f t="shared" si="2"/>
        <v>#DIV/0!</v>
      </c>
      <c r="F189" s="23" t="e">
        <f t="shared" si="3"/>
        <v>#DIV/0!</v>
      </c>
      <c r="G189" s="45">
        <f t="shared" si="6"/>
        <v>0</v>
      </c>
      <c r="H189" s="45">
        <f t="shared" si="4"/>
        <v>0</v>
      </c>
    </row>
    <row r="190" spans="2:8" ht="14.25" customHeight="1" x14ac:dyDescent="0.25">
      <c r="B190" s="25">
        <f t="shared" si="5"/>
        <v>1.6199999999999961</v>
      </c>
      <c r="C190" s="23" t="e">
        <f t="shared" si="0"/>
        <v>#N/A</v>
      </c>
      <c r="D190" s="23" t="e">
        <f t="shared" si="1"/>
        <v>#N/A</v>
      </c>
      <c r="E190" s="23" t="e">
        <f t="shared" si="2"/>
        <v>#DIV/0!</v>
      </c>
      <c r="F190" s="23" t="e">
        <f t="shared" si="3"/>
        <v>#DIV/0!</v>
      </c>
      <c r="G190" s="45">
        <f t="shared" si="6"/>
        <v>0</v>
      </c>
      <c r="H190" s="45">
        <f t="shared" si="4"/>
        <v>0</v>
      </c>
    </row>
    <row r="191" spans="2:8" ht="14.25" customHeight="1" x14ac:dyDescent="0.25">
      <c r="B191" s="25">
        <f t="shared" si="5"/>
        <v>1.6499999999999961</v>
      </c>
      <c r="C191" s="23" t="e">
        <f t="shared" si="0"/>
        <v>#N/A</v>
      </c>
      <c r="D191" s="23" t="e">
        <f t="shared" si="1"/>
        <v>#N/A</v>
      </c>
      <c r="E191" s="23" t="e">
        <f t="shared" si="2"/>
        <v>#DIV/0!</v>
      </c>
      <c r="F191" s="23" t="e">
        <f t="shared" si="3"/>
        <v>#DIV/0!</v>
      </c>
      <c r="G191" s="45">
        <f t="shared" si="6"/>
        <v>0</v>
      </c>
      <c r="H191" s="45">
        <f t="shared" si="4"/>
        <v>0</v>
      </c>
    </row>
    <row r="192" spans="2:8" ht="14.25" customHeight="1" x14ac:dyDescent="0.25">
      <c r="B192" s="25">
        <f t="shared" si="5"/>
        <v>1.6799999999999962</v>
      </c>
      <c r="C192" s="23" t="e">
        <f t="shared" si="0"/>
        <v>#N/A</v>
      </c>
      <c r="D192" s="23" t="e">
        <f t="shared" si="1"/>
        <v>#N/A</v>
      </c>
      <c r="E192" s="23" t="e">
        <f t="shared" si="2"/>
        <v>#DIV/0!</v>
      </c>
      <c r="F192" s="23" t="e">
        <f t="shared" si="3"/>
        <v>#DIV/0!</v>
      </c>
      <c r="G192" s="45">
        <f t="shared" si="6"/>
        <v>0</v>
      </c>
      <c r="H192" s="45">
        <f t="shared" si="4"/>
        <v>0</v>
      </c>
    </row>
    <row r="193" spans="2:8" ht="14.25" customHeight="1" x14ac:dyDescent="0.25">
      <c r="B193" s="25">
        <f t="shared" si="5"/>
        <v>1.7099999999999962</v>
      </c>
      <c r="C193" s="23" t="e">
        <f t="shared" si="0"/>
        <v>#N/A</v>
      </c>
      <c r="D193" s="23" t="e">
        <f t="shared" si="1"/>
        <v>#N/A</v>
      </c>
      <c r="E193" s="23" t="e">
        <f t="shared" si="2"/>
        <v>#DIV/0!</v>
      </c>
      <c r="F193" s="23" t="e">
        <f t="shared" si="3"/>
        <v>#DIV/0!</v>
      </c>
      <c r="G193" s="45">
        <f t="shared" si="6"/>
        <v>0</v>
      </c>
      <c r="H193" s="45">
        <f t="shared" si="4"/>
        <v>0</v>
      </c>
    </row>
    <row r="194" spans="2:8" ht="14.25" customHeight="1" x14ac:dyDescent="0.25">
      <c r="B194" s="25">
        <f t="shared" si="5"/>
        <v>1.7399999999999962</v>
      </c>
      <c r="C194" s="23" t="e">
        <f t="shared" si="0"/>
        <v>#N/A</v>
      </c>
      <c r="D194" s="23" t="e">
        <f t="shared" si="1"/>
        <v>#N/A</v>
      </c>
      <c r="E194" s="23" t="e">
        <f t="shared" si="2"/>
        <v>#DIV/0!</v>
      </c>
      <c r="F194" s="23" t="e">
        <f t="shared" si="3"/>
        <v>#DIV/0!</v>
      </c>
      <c r="G194" s="45">
        <f t="shared" si="6"/>
        <v>0</v>
      </c>
      <c r="H194" s="45">
        <f t="shared" si="4"/>
        <v>0</v>
      </c>
    </row>
    <row r="195" spans="2:8" ht="14.25" customHeight="1" x14ac:dyDescent="0.25">
      <c r="B195" s="25">
        <f t="shared" si="5"/>
        <v>1.7699999999999962</v>
      </c>
      <c r="C195" s="23" t="e">
        <f t="shared" si="0"/>
        <v>#N/A</v>
      </c>
      <c r="D195" s="23" t="e">
        <f t="shared" si="1"/>
        <v>#N/A</v>
      </c>
      <c r="E195" s="23" t="e">
        <f t="shared" si="2"/>
        <v>#DIV/0!</v>
      </c>
      <c r="F195" s="23" t="e">
        <f t="shared" si="3"/>
        <v>#DIV/0!</v>
      </c>
      <c r="G195" s="45">
        <f t="shared" si="6"/>
        <v>0</v>
      </c>
      <c r="H195" s="45">
        <f t="shared" si="4"/>
        <v>0</v>
      </c>
    </row>
    <row r="196" spans="2:8" ht="14.25" customHeight="1" x14ac:dyDescent="0.25">
      <c r="B196" s="25">
        <f t="shared" si="5"/>
        <v>1.7999999999999963</v>
      </c>
      <c r="C196" s="23" t="e">
        <f t="shared" si="0"/>
        <v>#N/A</v>
      </c>
      <c r="D196" s="23" t="e">
        <f t="shared" si="1"/>
        <v>#N/A</v>
      </c>
      <c r="E196" s="23" t="e">
        <f t="shared" si="2"/>
        <v>#DIV/0!</v>
      </c>
      <c r="F196" s="23" t="e">
        <f t="shared" si="3"/>
        <v>#DIV/0!</v>
      </c>
      <c r="G196" s="45">
        <f t="shared" si="6"/>
        <v>0</v>
      </c>
      <c r="H196" s="45">
        <f t="shared" si="4"/>
        <v>0</v>
      </c>
    </row>
    <row r="197" spans="2:8" ht="14.25" customHeight="1" x14ac:dyDescent="0.25">
      <c r="B197" s="25">
        <f t="shared" si="5"/>
        <v>1.8299999999999963</v>
      </c>
      <c r="C197" s="23" t="e">
        <f t="shared" si="0"/>
        <v>#N/A</v>
      </c>
      <c r="D197" s="23" t="e">
        <f t="shared" si="1"/>
        <v>#N/A</v>
      </c>
      <c r="E197" s="23" t="e">
        <f t="shared" si="2"/>
        <v>#DIV/0!</v>
      </c>
      <c r="F197" s="23" t="e">
        <f t="shared" si="3"/>
        <v>#DIV/0!</v>
      </c>
      <c r="G197" s="45">
        <f t="shared" si="6"/>
        <v>0</v>
      </c>
      <c r="H197" s="45">
        <f t="shared" si="4"/>
        <v>0</v>
      </c>
    </row>
    <row r="198" spans="2:8" ht="14.25" customHeight="1" x14ac:dyDescent="0.25">
      <c r="B198" s="25">
        <f t="shared" si="5"/>
        <v>1.8599999999999963</v>
      </c>
      <c r="C198" s="23" t="e">
        <f t="shared" si="0"/>
        <v>#N/A</v>
      </c>
      <c r="D198" s="23" t="e">
        <f t="shared" si="1"/>
        <v>#N/A</v>
      </c>
      <c r="E198" s="23" t="e">
        <f t="shared" si="2"/>
        <v>#DIV/0!</v>
      </c>
      <c r="F198" s="23" t="e">
        <f t="shared" si="3"/>
        <v>#DIV/0!</v>
      </c>
      <c r="G198" s="45">
        <f t="shared" si="6"/>
        <v>0</v>
      </c>
      <c r="H198" s="45">
        <f t="shared" si="4"/>
        <v>0</v>
      </c>
    </row>
    <row r="199" spans="2:8" ht="14.25" customHeight="1" x14ac:dyDescent="0.25">
      <c r="B199" s="25">
        <f t="shared" si="5"/>
        <v>1.8899999999999963</v>
      </c>
      <c r="C199" s="23" t="e">
        <f t="shared" si="0"/>
        <v>#N/A</v>
      </c>
      <c r="D199" s="23" t="e">
        <f t="shared" si="1"/>
        <v>#N/A</v>
      </c>
      <c r="E199" s="23" t="e">
        <f t="shared" si="2"/>
        <v>#DIV/0!</v>
      </c>
      <c r="F199" s="23" t="e">
        <f t="shared" si="3"/>
        <v>#DIV/0!</v>
      </c>
      <c r="G199" s="45">
        <f t="shared" si="6"/>
        <v>0</v>
      </c>
      <c r="H199" s="45">
        <f t="shared" si="4"/>
        <v>0</v>
      </c>
    </row>
    <row r="200" spans="2:8" ht="14.25" customHeight="1" x14ac:dyDescent="0.25">
      <c r="B200" s="25">
        <f t="shared" si="5"/>
        <v>1.9199999999999964</v>
      </c>
      <c r="C200" s="23" t="e">
        <f t="shared" si="0"/>
        <v>#N/A</v>
      </c>
      <c r="D200" s="23" t="e">
        <f t="shared" si="1"/>
        <v>#N/A</v>
      </c>
      <c r="E200" s="23" t="e">
        <f t="shared" si="2"/>
        <v>#DIV/0!</v>
      </c>
      <c r="F200" s="23" t="e">
        <f t="shared" si="3"/>
        <v>#DIV/0!</v>
      </c>
      <c r="G200" s="45">
        <f t="shared" si="6"/>
        <v>0</v>
      </c>
      <c r="H200" s="45">
        <f t="shared" si="4"/>
        <v>0</v>
      </c>
    </row>
    <row r="201" spans="2:8" ht="14.25" customHeight="1" x14ac:dyDescent="0.25">
      <c r="B201" s="25">
        <f t="shared" si="5"/>
        <v>1.9499999999999964</v>
      </c>
      <c r="C201" s="23" t="e">
        <f t="shared" si="0"/>
        <v>#N/A</v>
      </c>
      <c r="D201" s="23" t="e">
        <f t="shared" si="1"/>
        <v>#N/A</v>
      </c>
      <c r="E201" s="23" t="e">
        <f t="shared" si="2"/>
        <v>#DIV/0!</v>
      </c>
      <c r="F201" s="23" t="e">
        <f t="shared" si="3"/>
        <v>#DIV/0!</v>
      </c>
      <c r="G201" s="45">
        <f t="shared" si="6"/>
        <v>0</v>
      </c>
      <c r="H201" s="45">
        <f t="shared" si="4"/>
        <v>0</v>
      </c>
    </row>
    <row r="202" spans="2:8" ht="14.25" customHeight="1" x14ac:dyDescent="0.25">
      <c r="B202" s="25">
        <f t="shared" si="5"/>
        <v>1.9799999999999964</v>
      </c>
      <c r="C202" s="23" t="e">
        <f t="shared" si="0"/>
        <v>#N/A</v>
      </c>
      <c r="D202" s="23" t="e">
        <f t="shared" si="1"/>
        <v>#N/A</v>
      </c>
      <c r="E202" s="23" t="e">
        <f t="shared" si="2"/>
        <v>#DIV/0!</v>
      </c>
      <c r="F202" s="23" t="e">
        <f t="shared" si="3"/>
        <v>#DIV/0!</v>
      </c>
      <c r="G202" s="45">
        <f t="shared" si="6"/>
        <v>0</v>
      </c>
      <c r="H202" s="45">
        <f t="shared" si="4"/>
        <v>0</v>
      </c>
    </row>
    <row r="203" spans="2:8" ht="14.25" customHeight="1" x14ac:dyDescent="0.25">
      <c r="B203" s="25">
        <f t="shared" si="5"/>
        <v>2.0099999999999962</v>
      </c>
      <c r="C203" s="23" t="e">
        <f t="shared" si="0"/>
        <v>#N/A</v>
      </c>
      <c r="D203" s="23" t="e">
        <f t="shared" si="1"/>
        <v>#N/A</v>
      </c>
      <c r="E203" s="23" t="e">
        <f t="shared" si="2"/>
        <v>#DIV/0!</v>
      </c>
      <c r="F203" s="23" t="e">
        <f t="shared" si="3"/>
        <v>#DIV/0!</v>
      </c>
      <c r="G203" s="45">
        <f t="shared" si="6"/>
        <v>0</v>
      </c>
      <c r="H203" s="45">
        <f t="shared" si="4"/>
        <v>0</v>
      </c>
    </row>
    <row r="204" spans="2:8" ht="14.25" customHeight="1" x14ac:dyDescent="0.25">
      <c r="B204" s="25">
        <f t="shared" si="5"/>
        <v>2.039999999999996</v>
      </c>
      <c r="C204" s="23" t="e">
        <f t="shared" si="0"/>
        <v>#N/A</v>
      </c>
      <c r="D204" s="23" t="e">
        <f t="shared" si="1"/>
        <v>#N/A</v>
      </c>
      <c r="E204" s="23" t="e">
        <f t="shared" si="2"/>
        <v>#DIV/0!</v>
      </c>
      <c r="F204" s="23" t="e">
        <f t="shared" si="3"/>
        <v>#DIV/0!</v>
      </c>
      <c r="G204" s="45">
        <f t="shared" si="6"/>
        <v>0</v>
      </c>
      <c r="H204" s="45">
        <f t="shared" si="4"/>
        <v>0</v>
      </c>
    </row>
    <row r="205" spans="2:8" ht="14.25" customHeight="1" x14ac:dyDescent="0.25">
      <c r="B205" s="25">
        <f t="shared" si="5"/>
        <v>2.0699999999999958</v>
      </c>
      <c r="C205" s="23" t="e">
        <f t="shared" si="0"/>
        <v>#N/A</v>
      </c>
      <c r="D205" s="23" t="e">
        <f t="shared" si="1"/>
        <v>#N/A</v>
      </c>
      <c r="E205" s="23" t="e">
        <f t="shared" si="2"/>
        <v>#DIV/0!</v>
      </c>
      <c r="F205" s="23" t="e">
        <f t="shared" si="3"/>
        <v>#DIV/0!</v>
      </c>
      <c r="G205" s="45">
        <f t="shared" si="6"/>
        <v>0</v>
      </c>
      <c r="H205" s="45">
        <f t="shared" si="4"/>
        <v>0</v>
      </c>
    </row>
    <row r="206" spans="2:8" ht="14.25" customHeight="1" x14ac:dyDescent="0.25">
      <c r="B206" s="25">
        <f t="shared" si="5"/>
        <v>2.0999999999999956</v>
      </c>
      <c r="C206" s="23" t="e">
        <f t="shared" si="0"/>
        <v>#N/A</v>
      </c>
      <c r="D206" s="23" t="e">
        <f t="shared" si="1"/>
        <v>#N/A</v>
      </c>
      <c r="E206" s="23" t="e">
        <f t="shared" si="2"/>
        <v>#DIV/0!</v>
      </c>
      <c r="F206" s="23" t="e">
        <f t="shared" si="3"/>
        <v>#DIV/0!</v>
      </c>
      <c r="G206" s="45">
        <f t="shared" si="6"/>
        <v>0</v>
      </c>
      <c r="H206" s="45">
        <f t="shared" si="4"/>
        <v>0</v>
      </c>
    </row>
    <row r="207" spans="2:8" ht="14.25" customHeight="1" x14ac:dyDescent="0.25">
      <c r="B207" s="25">
        <f t="shared" si="5"/>
        <v>2.1299999999999955</v>
      </c>
      <c r="C207" s="23" t="e">
        <f t="shared" si="0"/>
        <v>#N/A</v>
      </c>
      <c r="D207" s="23" t="e">
        <f t="shared" si="1"/>
        <v>#N/A</v>
      </c>
      <c r="E207" s="23" t="e">
        <f t="shared" si="2"/>
        <v>#DIV/0!</v>
      </c>
      <c r="F207" s="23" t="e">
        <f t="shared" si="3"/>
        <v>#DIV/0!</v>
      </c>
      <c r="G207" s="45">
        <f t="shared" si="6"/>
        <v>0</v>
      </c>
      <c r="H207" s="45">
        <f t="shared" si="4"/>
        <v>0</v>
      </c>
    </row>
    <row r="208" spans="2:8" ht="14.25" customHeight="1" x14ac:dyDescent="0.25">
      <c r="B208" s="25">
        <f t="shared" si="5"/>
        <v>2.1599999999999953</v>
      </c>
      <c r="C208" s="23" t="e">
        <f t="shared" si="0"/>
        <v>#N/A</v>
      </c>
      <c r="D208" s="23" t="e">
        <f t="shared" si="1"/>
        <v>#N/A</v>
      </c>
      <c r="E208" s="23" t="e">
        <f t="shared" si="2"/>
        <v>#DIV/0!</v>
      </c>
      <c r="F208" s="23" t="e">
        <f t="shared" si="3"/>
        <v>#DIV/0!</v>
      </c>
      <c r="G208" s="45">
        <f t="shared" si="6"/>
        <v>0</v>
      </c>
      <c r="H208" s="45">
        <f t="shared" si="4"/>
        <v>0</v>
      </c>
    </row>
    <row r="209" spans="2:8" ht="14.25" customHeight="1" x14ac:dyDescent="0.25">
      <c r="B209" s="25">
        <f t="shared" si="5"/>
        <v>2.1899999999999951</v>
      </c>
      <c r="C209" s="23" t="e">
        <f t="shared" si="0"/>
        <v>#N/A</v>
      </c>
      <c r="D209" s="23" t="e">
        <f t="shared" si="1"/>
        <v>#N/A</v>
      </c>
      <c r="E209" s="23" t="e">
        <f t="shared" si="2"/>
        <v>#DIV/0!</v>
      </c>
      <c r="F209" s="23" t="e">
        <f t="shared" si="3"/>
        <v>#DIV/0!</v>
      </c>
      <c r="G209" s="45">
        <f t="shared" si="6"/>
        <v>0</v>
      </c>
      <c r="H209" s="45">
        <f t="shared" si="4"/>
        <v>0</v>
      </c>
    </row>
    <row r="210" spans="2:8" ht="14.25" customHeight="1" x14ac:dyDescent="0.25">
      <c r="B210" s="25">
        <f t="shared" si="5"/>
        <v>2.2199999999999949</v>
      </c>
      <c r="C210" s="23" t="e">
        <f t="shared" si="0"/>
        <v>#N/A</v>
      </c>
      <c r="D210" s="23" t="e">
        <f t="shared" si="1"/>
        <v>#N/A</v>
      </c>
      <c r="E210" s="23" t="e">
        <f t="shared" si="2"/>
        <v>#DIV/0!</v>
      </c>
      <c r="F210" s="23" t="e">
        <f t="shared" si="3"/>
        <v>#DIV/0!</v>
      </c>
      <c r="G210" s="45">
        <f t="shared" si="6"/>
        <v>0</v>
      </c>
      <c r="H210" s="45">
        <f t="shared" si="4"/>
        <v>0</v>
      </c>
    </row>
    <row r="211" spans="2:8" ht="14.25" customHeight="1" x14ac:dyDescent="0.25">
      <c r="B211" s="25">
        <f t="shared" si="5"/>
        <v>2.2499999999999947</v>
      </c>
      <c r="C211" s="23" t="e">
        <f t="shared" si="0"/>
        <v>#N/A</v>
      </c>
      <c r="D211" s="23" t="e">
        <f t="shared" si="1"/>
        <v>#N/A</v>
      </c>
      <c r="E211" s="23" t="e">
        <f t="shared" si="2"/>
        <v>#DIV/0!</v>
      </c>
      <c r="F211" s="23" t="e">
        <f t="shared" si="3"/>
        <v>#DIV/0!</v>
      </c>
      <c r="G211" s="45">
        <f t="shared" si="6"/>
        <v>0</v>
      </c>
      <c r="H211" s="45">
        <f t="shared" si="4"/>
        <v>0</v>
      </c>
    </row>
    <row r="212" spans="2:8" ht="14.25" customHeight="1" x14ac:dyDescent="0.25">
      <c r="B212" s="25">
        <f t="shared" si="5"/>
        <v>2.2799999999999945</v>
      </c>
      <c r="C212" s="23" t="e">
        <f t="shared" si="0"/>
        <v>#N/A</v>
      </c>
      <c r="D212" s="23" t="e">
        <f t="shared" si="1"/>
        <v>#N/A</v>
      </c>
      <c r="E212" s="23" t="e">
        <f t="shared" si="2"/>
        <v>#DIV/0!</v>
      </c>
      <c r="F212" s="23" t="e">
        <f t="shared" si="3"/>
        <v>#DIV/0!</v>
      </c>
      <c r="G212" s="45">
        <f t="shared" si="6"/>
        <v>0</v>
      </c>
      <c r="H212" s="45">
        <f t="shared" si="4"/>
        <v>0</v>
      </c>
    </row>
    <row r="213" spans="2:8" ht="14.25" customHeight="1" x14ac:dyDescent="0.25">
      <c r="B213" s="25">
        <f t="shared" si="5"/>
        <v>2.3099999999999943</v>
      </c>
      <c r="C213" s="23" t="e">
        <f t="shared" si="0"/>
        <v>#N/A</v>
      </c>
      <c r="D213" s="23" t="e">
        <f t="shared" si="1"/>
        <v>#N/A</v>
      </c>
      <c r="E213" s="23" t="e">
        <f t="shared" si="2"/>
        <v>#DIV/0!</v>
      </c>
      <c r="F213" s="23" t="e">
        <f t="shared" si="3"/>
        <v>#DIV/0!</v>
      </c>
      <c r="G213" s="45">
        <f t="shared" si="6"/>
        <v>0</v>
      </c>
      <c r="H213" s="45">
        <f t="shared" si="4"/>
        <v>0</v>
      </c>
    </row>
    <row r="214" spans="2:8" ht="14.25" customHeight="1" x14ac:dyDescent="0.25">
      <c r="B214" s="25">
        <f t="shared" si="5"/>
        <v>2.3399999999999941</v>
      </c>
      <c r="C214" s="23" t="e">
        <f t="shared" si="0"/>
        <v>#N/A</v>
      </c>
      <c r="D214" s="23" t="e">
        <f t="shared" si="1"/>
        <v>#N/A</v>
      </c>
      <c r="E214" s="23" t="e">
        <f t="shared" si="2"/>
        <v>#DIV/0!</v>
      </c>
      <c r="F214" s="23" t="e">
        <f t="shared" si="3"/>
        <v>#DIV/0!</v>
      </c>
      <c r="G214" s="45">
        <f t="shared" si="6"/>
        <v>0</v>
      </c>
      <c r="H214" s="45">
        <f t="shared" si="4"/>
        <v>0</v>
      </c>
    </row>
    <row r="215" spans="2:8" ht="14.25" customHeight="1" x14ac:dyDescent="0.25">
      <c r="B215" s="25">
        <f t="shared" si="5"/>
        <v>2.3699999999999939</v>
      </c>
      <c r="C215" s="23" t="e">
        <f t="shared" si="0"/>
        <v>#N/A</v>
      </c>
      <c r="D215" s="23" t="e">
        <f t="shared" si="1"/>
        <v>#N/A</v>
      </c>
      <c r="E215" s="23" t="e">
        <f t="shared" si="2"/>
        <v>#DIV/0!</v>
      </c>
      <c r="F215" s="23" t="e">
        <f t="shared" si="3"/>
        <v>#DIV/0!</v>
      </c>
      <c r="G215" s="45">
        <f t="shared" si="6"/>
        <v>0</v>
      </c>
      <c r="H215" s="45">
        <f t="shared" si="4"/>
        <v>0</v>
      </c>
    </row>
    <row r="216" spans="2:8" ht="14.25" customHeight="1" x14ac:dyDescent="0.25">
      <c r="B216" s="25">
        <f t="shared" si="5"/>
        <v>2.3999999999999937</v>
      </c>
      <c r="C216" s="23" t="e">
        <f t="shared" si="0"/>
        <v>#N/A</v>
      </c>
      <c r="D216" s="23" t="e">
        <f t="shared" si="1"/>
        <v>#N/A</v>
      </c>
      <c r="E216" s="23" t="e">
        <f t="shared" si="2"/>
        <v>#DIV/0!</v>
      </c>
      <c r="F216" s="23" t="e">
        <f t="shared" si="3"/>
        <v>#DIV/0!</v>
      </c>
      <c r="G216" s="45">
        <f t="shared" si="6"/>
        <v>0</v>
      </c>
      <c r="H216" s="45">
        <f t="shared" si="4"/>
        <v>0</v>
      </c>
    </row>
    <row r="217" spans="2:8" ht="14.25" customHeight="1" x14ac:dyDescent="0.25">
      <c r="B217" s="25">
        <f t="shared" si="5"/>
        <v>2.4299999999999935</v>
      </c>
      <c r="C217" s="23" t="e">
        <f t="shared" si="0"/>
        <v>#N/A</v>
      </c>
      <c r="D217" s="23" t="e">
        <f t="shared" si="1"/>
        <v>#N/A</v>
      </c>
      <c r="E217" s="23" t="e">
        <f t="shared" si="2"/>
        <v>#DIV/0!</v>
      </c>
      <c r="F217" s="23" t="e">
        <f t="shared" si="3"/>
        <v>#DIV/0!</v>
      </c>
      <c r="G217" s="45">
        <f t="shared" si="6"/>
        <v>0</v>
      </c>
      <c r="H217" s="45">
        <f t="shared" si="4"/>
        <v>0</v>
      </c>
    </row>
    <row r="218" spans="2:8" ht="14.25" customHeight="1" x14ac:dyDescent="0.25">
      <c r="B218" s="25">
        <f t="shared" si="5"/>
        <v>2.4599999999999933</v>
      </c>
      <c r="C218" s="23" t="e">
        <f t="shared" si="0"/>
        <v>#N/A</v>
      </c>
      <c r="D218" s="23" t="e">
        <f t="shared" si="1"/>
        <v>#N/A</v>
      </c>
      <c r="E218" s="23" t="e">
        <f t="shared" si="2"/>
        <v>#DIV/0!</v>
      </c>
      <c r="F218" s="23" t="e">
        <f t="shared" si="3"/>
        <v>#DIV/0!</v>
      </c>
      <c r="G218" s="45">
        <f t="shared" si="6"/>
        <v>0</v>
      </c>
      <c r="H218" s="45">
        <f t="shared" si="4"/>
        <v>0</v>
      </c>
    </row>
    <row r="219" spans="2:8" ht="14.25" customHeight="1" x14ac:dyDescent="0.25">
      <c r="B219" s="25">
        <f t="shared" si="5"/>
        <v>2.4899999999999931</v>
      </c>
      <c r="C219" s="23" t="e">
        <f t="shared" si="0"/>
        <v>#N/A</v>
      </c>
      <c r="D219" s="23" t="e">
        <f t="shared" si="1"/>
        <v>#N/A</v>
      </c>
      <c r="E219" s="23" t="e">
        <f t="shared" si="2"/>
        <v>#DIV/0!</v>
      </c>
      <c r="F219" s="23" t="e">
        <f t="shared" si="3"/>
        <v>#DIV/0!</v>
      </c>
      <c r="G219" s="45">
        <f t="shared" si="6"/>
        <v>0</v>
      </c>
      <c r="H219" s="45">
        <f t="shared" si="4"/>
        <v>0</v>
      </c>
    </row>
    <row r="220" spans="2:8" ht="14.25" customHeight="1" x14ac:dyDescent="0.25">
      <c r="B220" s="25">
        <f t="shared" si="5"/>
        <v>2.5199999999999929</v>
      </c>
      <c r="C220" s="23" t="e">
        <f t="shared" si="0"/>
        <v>#N/A</v>
      </c>
      <c r="D220" s="23" t="e">
        <f t="shared" si="1"/>
        <v>#N/A</v>
      </c>
      <c r="E220" s="23" t="e">
        <f t="shared" si="2"/>
        <v>#DIV/0!</v>
      </c>
      <c r="F220" s="23" t="e">
        <f t="shared" si="3"/>
        <v>#DIV/0!</v>
      </c>
      <c r="G220" s="45">
        <f t="shared" si="6"/>
        <v>0</v>
      </c>
      <c r="H220" s="45">
        <f t="shared" si="4"/>
        <v>0</v>
      </c>
    </row>
    <row r="221" spans="2:8" ht="14.25" customHeight="1" x14ac:dyDescent="0.25">
      <c r="B221" s="25">
        <f t="shared" si="5"/>
        <v>2.5499999999999927</v>
      </c>
      <c r="C221" s="23" t="e">
        <f t="shared" si="0"/>
        <v>#N/A</v>
      </c>
      <c r="D221" s="23" t="e">
        <f t="shared" si="1"/>
        <v>#N/A</v>
      </c>
      <c r="E221" s="23" t="e">
        <f t="shared" si="2"/>
        <v>#DIV/0!</v>
      </c>
      <c r="F221" s="23" t="e">
        <f t="shared" si="3"/>
        <v>#DIV/0!</v>
      </c>
      <c r="G221" s="45">
        <f t="shared" si="6"/>
        <v>0</v>
      </c>
      <c r="H221" s="45">
        <f t="shared" si="4"/>
        <v>0</v>
      </c>
    </row>
    <row r="222" spans="2:8" ht="14.25" customHeight="1" x14ac:dyDescent="0.25">
      <c r="B222" s="25">
        <f t="shared" si="5"/>
        <v>2.5799999999999925</v>
      </c>
      <c r="C222" s="23" t="e">
        <f t="shared" si="0"/>
        <v>#N/A</v>
      </c>
      <c r="D222" s="23" t="e">
        <f t="shared" si="1"/>
        <v>#N/A</v>
      </c>
      <c r="E222" s="23" t="e">
        <f t="shared" si="2"/>
        <v>#DIV/0!</v>
      </c>
      <c r="F222" s="23" t="e">
        <f t="shared" si="3"/>
        <v>#DIV/0!</v>
      </c>
      <c r="G222" s="45">
        <f t="shared" si="6"/>
        <v>0</v>
      </c>
      <c r="H222" s="45">
        <f t="shared" si="4"/>
        <v>0</v>
      </c>
    </row>
    <row r="223" spans="2:8" ht="14.25" customHeight="1" x14ac:dyDescent="0.25">
      <c r="B223" s="25">
        <f t="shared" si="5"/>
        <v>2.6099999999999923</v>
      </c>
      <c r="C223" s="23" t="e">
        <f t="shared" si="0"/>
        <v>#N/A</v>
      </c>
      <c r="D223" s="23" t="e">
        <f t="shared" si="1"/>
        <v>#N/A</v>
      </c>
      <c r="E223" s="23" t="e">
        <f t="shared" si="2"/>
        <v>#DIV/0!</v>
      </c>
      <c r="F223" s="23" t="e">
        <f t="shared" si="3"/>
        <v>#DIV/0!</v>
      </c>
      <c r="G223" s="45">
        <f t="shared" si="6"/>
        <v>0</v>
      </c>
      <c r="H223" s="45">
        <f t="shared" si="4"/>
        <v>0</v>
      </c>
    </row>
    <row r="224" spans="2:8" ht="14.25" customHeight="1" x14ac:dyDescent="0.25">
      <c r="B224" s="25">
        <f t="shared" si="5"/>
        <v>2.6399999999999921</v>
      </c>
      <c r="C224" s="23" t="e">
        <f t="shared" si="0"/>
        <v>#N/A</v>
      </c>
      <c r="D224" s="23" t="e">
        <f t="shared" si="1"/>
        <v>#N/A</v>
      </c>
      <c r="E224" s="23" t="e">
        <f t="shared" si="2"/>
        <v>#DIV/0!</v>
      </c>
      <c r="F224" s="23" t="e">
        <f t="shared" si="3"/>
        <v>#DIV/0!</v>
      </c>
      <c r="G224" s="45">
        <f t="shared" si="6"/>
        <v>0</v>
      </c>
      <c r="H224" s="45">
        <f t="shared" si="4"/>
        <v>0</v>
      </c>
    </row>
    <row r="225" spans="2:8" ht="14.25" customHeight="1" x14ac:dyDescent="0.25">
      <c r="B225" s="25">
        <f t="shared" si="5"/>
        <v>2.6699999999999919</v>
      </c>
      <c r="C225" s="23" t="e">
        <f t="shared" si="0"/>
        <v>#N/A</v>
      </c>
      <c r="D225" s="23" t="e">
        <f t="shared" si="1"/>
        <v>#N/A</v>
      </c>
      <c r="E225" s="23" t="e">
        <f t="shared" si="2"/>
        <v>#DIV/0!</v>
      </c>
      <c r="F225" s="23" t="e">
        <f t="shared" si="3"/>
        <v>#DIV/0!</v>
      </c>
      <c r="G225" s="45">
        <f t="shared" si="6"/>
        <v>0</v>
      </c>
      <c r="H225" s="45">
        <f t="shared" si="4"/>
        <v>0</v>
      </c>
    </row>
    <row r="226" spans="2:8" ht="14.25" customHeight="1" x14ac:dyDescent="0.25">
      <c r="B226" s="25">
        <f t="shared" si="5"/>
        <v>2.6999999999999917</v>
      </c>
      <c r="C226" s="23" t="e">
        <f t="shared" si="0"/>
        <v>#N/A</v>
      </c>
      <c r="D226" s="23" t="e">
        <f t="shared" si="1"/>
        <v>#N/A</v>
      </c>
      <c r="E226" s="23" t="e">
        <f t="shared" si="2"/>
        <v>#DIV/0!</v>
      </c>
      <c r="F226" s="23" t="e">
        <f t="shared" si="3"/>
        <v>#DIV/0!</v>
      </c>
      <c r="G226" s="45">
        <f t="shared" si="6"/>
        <v>0</v>
      </c>
      <c r="H226" s="45">
        <f t="shared" si="4"/>
        <v>0</v>
      </c>
    </row>
    <row r="227" spans="2:8" ht="14.25" customHeight="1" x14ac:dyDescent="0.25">
      <c r="B227" s="25">
        <f t="shared" si="5"/>
        <v>2.7299999999999915</v>
      </c>
      <c r="C227" s="23" t="e">
        <f t="shared" si="0"/>
        <v>#N/A</v>
      </c>
      <c r="D227" s="23" t="e">
        <f t="shared" si="1"/>
        <v>#N/A</v>
      </c>
      <c r="E227" s="23" t="e">
        <f t="shared" si="2"/>
        <v>#DIV/0!</v>
      </c>
      <c r="F227" s="23" t="e">
        <f t="shared" si="3"/>
        <v>#DIV/0!</v>
      </c>
      <c r="G227" s="45">
        <f t="shared" si="6"/>
        <v>0</v>
      </c>
      <c r="H227" s="45">
        <f t="shared" si="4"/>
        <v>0</v>
      </c>
    </row>
    <row r="228" spans="2:8" ht="14.25" customHeight="1" x14ac:dyDescent="0.25">
      <c r="B228" s="25">
        <f t="shared" si="5"/>
        <v>2.7599999999999913</v>
      </c>
      <c r="C228" s="23" t="e">
        <f t="shared" si="0"/>
        <v>#N/A</v>
      </c>
      <c r="D228" s="23" t="e">
        <f t="shared" si="1"/>
        <v>#N/A</v>
      </c>
      <c r="E228" s="23" t="e">
        <f t="shared" si="2"/>
        <v>#DIV/0!</v>
      </c>
      <c r="F228" s="23" t="e">
        <f t="shared" si="3"/>
        <v>#DIV/0!</v>
      </c>
      <c r="G228" s="45">
        <f t="shared" si="6"/>
        <v>0</v>
      </c>
      <c r="H228" s="45">
        <f t="shared" si="4"/>
        <v>0</v>
      </c>
    </row>
    <row r="229" spans="2:8" ht="14.25" customHeight="1" x14ac:dyDescent="0.25">
      <c r="B229" s="25">
        <f t="shared" si="5"/>
        <v>2.7899999999999912</v>
      </c>
      <c r="C229" s="23" t="e">
        <f t="shared" si="0"/>
        <v>#N/A</v>
      </c>
      <c r="D229" s="23" t="e">
        <f t="shared" si="1"/>
        <v>#N/A</v>
      </c>
      <c r="E229" s="23" t="e">
        <f t="shared" si="2"/>
        <v>#DIV/0!</v>
      </c>
      <c r="F229" s="23" t="e">
        <f t="shared" si="3"/>
        <v>#DIV/0!</v>
      </c>
      <c r="G229" s="45">
        <f t="shared" si="6"/>
        <v>0</v>
      </c>
      <c r="H229" s="45">
        <f t="shared" si="4"/>
        <v>0</v>
      </c>
    </row>
    <row r="230" spans="2:8" ht="14.25" customHeight="1" x14ac:dyDescent="0.25">
      <c r="B230" s="25">
        <f t="shared" si="5"/>
        <v>2.819999999999991</v>
      </c>
      <c r="C230" s="23" t="e">
        <f t="shared" si="0"/>
        <v>#N/A</v>
      </c>
      <c r="D230" s="23" t="e">
        <f t="shared" si="1"/>
        <v>#N/A</v>
      </c>
      <c r="E230" s="23" t="e">
        <f t="shared" si="2"/>
        <v>#DIV/0!</v>
      </c>
      <c r="F230" s="23" t="e">
        <f t="shared" si="3"/>
        <v>#DIV/0!</v>
      </c>
      <c r="G230" s="45">
        <f t="shared" si="6"/>
        <v>0</v>
      </c>
      <c r="H230" s="45">
        <f t="shared" si="4"/>
        <v>0</v>
      </c>
    </row>
    <row r="231" spans="2:8" ht="14.25" customHeight="1" x14ac:dyDescent="0.25">
      <c r="B231" s="25">
        <f t="shared" si="5"/>
        <v>2.8499999999999908</v>
      </c>
      <c r="C231" s="23" t="e">
        <f t="shared" si="0"/>
        <v>#N/A</v>
      </c>
      <c r="D231" s="23" t="e">
        <f t="shared" si="1"/>
        <v>#N/A</v>
      </c>
      <c r="E231" s="23" t="e">
        <f t="shared" si="2"/>
        <v>#DIV/0!</v>
      </c>
      <c r="F231" s="23" t="e">
        <f t="shared" si="3"/>
        <v>#DIV/0!</v>
      </c>
      <c r="G231" s="45">
        <f t="shared" si="6"/>
        <v>0</v>
      </c>
      <c r="H231" s="45">
        <f t="shared" si="4"/>
        <v>0</v>
      </c>
    </row>
    <row r="232" spans="2:8" ht="14.25" customHeight="1" x14ac:dyDescent="0.25">
      <c r="B232" s="25">
        <f t="shared" si="5"/>
        <v>2.8799999999999906</v>
      </c>
      <c r="C232" s="23" t="e">
        <f t="shared" si="0"/>
        <v>#N/A</v>
      </c>
      <c r="D232" s="23" t="e">
        <f t="shared" si="1"/>
        <v>#N/A</v>
      </c>
      <c r="E232" s="23" t="e">
        <f t="shared" si="2"/>
        <v>#DIV/0!</v>
      </c>
      <c r="F232" s="23" t="e">
        <f t="shared" si="3"/>
        <v>#DIV/0!</v>
      </c>
      <c r="G232" s="45">
        <f t="shared" si="6"/>
        <v>0</v>
      </c>
      <c r="H232" s="45">
        <f t="shared" si="4"/>
        <v>0</v>
      </c>
    </row>
    <row r="233" spans="2:8" ht="14.25" customHeight="1" x14ac:dyDescent="0.25">
      <c r="B233" s="25">
        <f t="shared" si="5"/>
        <v>2.9099999999999904</v>
      </c>
      <c r="C233" s="23" t="e">
        <f t="shared" si="0"/>
        <v>#N/A</v>
      </c>
      <c r="D233" s="23" t="e">
        <f t="shared" si="1"/>
        <v>#N/A</v>
      </c>
      <c r="E233" s="23" t="e">
        <f t="shared" si="2"/>
        <v>#DIV/0!</v>
      </c>
      <c r="F233" s="23" t="e">
        <f t="shared" si="3"/>
        <v>#DIV/0!</v>
      </c>
      <c r="G233" s="45">
        <f t="shared" si="6"/>
        <v>0</v>
      </c>
      <c r="H233" s="45">
        <f t="shared" si="4"/>
        <v>0</v>
      </c>
    </row>
    <row r="234" spans="2:8" ht="14.25" customHeight="1" x14ac:dyDescent="0.25">
      <c r="B234" s="25">
        <f t="shared" si="5"/>
        <v>2.9399999999999902</v>
      </c>
      <c r="C234" s="23" t="e">
        <f t="shared" si="0"/>
        <v>#N/A</v>
      </c>
      <c r="D234" s="23" t="e">
        <f t="shared" si="1"/>
        <v>#N/A</v>
      </c>
      <c r="E234" s="23" t="e">
        <f t="shared" si="2"/>
        <v>#DIV/0!</v>
      </c>
      <c r="F234" s="23" t="e">
        <f t="shared" si="3"/>
        <v>#DIV/0!</v>
      </c>
      <c r="G234" s="45">
        <f t="shared" si="6"/>
        <v>0</v>
      </c>
      <c r="H234" s="45">
        <f t="shared" si="4"/>
        <v>0</v>
      </c>
    </row>
    <row r="235" spans="2:8" ht="14.25" customHeight="1" x14ac:dyDescent="0.25">
      <c r="B235" s="25">
        <f t="shared" si="5"/>
        <v>2.96999999999999</v>
      </c>
      <c r="C235" s="23" t="e">
        <f t="shared" si="0"/>
        <v>#N/A</v>
      </c>
      <c r="D235" s="23" t="e">
        <f t="shared" si="1"/>
        <v>#N/A</v>
      </c>
      <c r="E235" s="23" t="e">
        <f t="shared" si="2"/>
        <v>#DIV/0!</v>
      </c>
      <c r="F235" s="23" t="e">
        <f t="shared" si="3"/>
        <v>#DIV/0!</v>
      </c>
      <c r="G235" s="45">
        <f t="shared" si="6"/>
        <v>0</v>
      </c>
      <c r="H235" s="45">
        <f t="shared" si="4"/>
        <v>0</v>
      </c>
    </row>
    <row r="236" spans="2:8" ht="14.25" customHeight="1" x14ac:dyDescent="0.25">
      <c r="B236" s="25">
        <f t="shared" si="5"/>
        <v>2.9999999999999898</v>
      </c>
      <c r="C236" s="23" t="e">
        <f t="shared" si="0"/>
        <v>#N/A</v>
      </c>
      <c r="D236" s="23" t="e">
        <f t="shared" si="1"/>
        <v>#N/A</v>
      </c>
      <c r="E236" s="23" t="e">
        <f t="shared" si="2"/>
        <v>#DIV/0!</v>
      </c>
      <c r="F236" s="23" t="e">
        <f t="shared" si="3"/>
        <v>#DIV/0!</v>
      </c>
      <c r="G236" s="45">
        <f t="shared" si="6"/>
        <v>0</v>
      </c>
      <c r="H236" s="45">
        <f t="shared" si="4"/>
        <v>0</v>
      </c>
    </row>
    <row r="237" spans="2:8" ht="14.25" customHeight="1" x14ac:dyDescent="0.25">
      <c r="B237" s="25"/>
    </row>
    <row r="238" spans="2:8" ht="14.25" customHeight="1" x14ac:dyDescent="0.25">
      <c r="B238" s="25"/>
    </row>
    <row r="239" spans="2:8" ht="14.25" customHeight="1" x14ac:dyDescent="0.25">
      <c r="B239" s="25"/>
    </row>
    <row r="240" spans="2:8" ht="14.25" customHeight="1" x14ac:dyDescent="0.25">
      <c r="B240" s="25"/>
    </row>
    <row r="241" spans="2:2" ht="14.25" customHeight="1" x14ac:dyDescent="0.25">
      <c r="B241" s="25"/>
    </row>
    <row r="242" spans="2:2" ht="14.25" customHeight="1" x14ac:dyDescent="0.25">
      <c r="B242" s="25"/>
    </row>
    <row r="243" spans="2:2" ht="14.25" customHeight="1" x14ac:dyDescent="0.25">
      <c r="B243" s="25"/>
    </row>
    <row r="244" spans="2:2" ht="14.25" customHeight="1" x14ac:dyDescent="0.25">
      <c r="B244" s="25"/>
    </row>
    <row r="245" spans="2:2" ht="14.25" customHeight="1" x14ac:dyDescent="0.25">
      <c r="B245" s="25"/>
    </row>
    <row r="246" spans="2:2" ht="14.25" customHeight="1" x14ac:dyDescent="0.25">
      <c r="B246" s="25"/>
    </row>
    <row r="247" spans="2:2" ht="14.25" customHeight="1" x14ac:dyDescent="0.25">
      <c r="B247" s="25"/>
    </row>
    <row r="248" spans="2:2" ht="14.25" customHeight="1" x14ac:dyDescent="0.25">
      <c r="B248" s="25"/>
    </row>
    <row r="249" spans="2:2" ht="14.25" customHeight="1" x14ac:dyDescent="0.25">
      <c r="B249" s="25"/>
    </row>
    <row r="250" spans="2:2" ht="14.25" customHeight="1" x14ac:dyDescent="0.25">
      <c r="B250" s="25"/>
    </row>
    <row r="251" spans="2:2" ht="14.25" customHeight="1" x14ac:dyDescent="0.25">
      <c r="B251" s="25"/>
    </row>
    <row r="252" spans="2:2" ht="14.25" customHeight="1" x14ac:dyDescent="0.25">
      <c r="B252" s="25"/>
    </row>
    <row r="253" spans="2:2" ht="14.25" customHeight="1" x14ac:dyDescent="0.25">
      <c r="B253" s="25"/>
    </row>
    <row r="254" spans="2:2" ht="14.25" customHeight="1" x14ac:dyDescent="0.25">
      <c r="B254" s="25"/>
    </row>
    <row r="255" spans="2:2" ht="14.25" customHeight="1" x14ac:dyDescent="0.25">
      <c r="B255" s="25"/>
    </row>
    <row r="256" spans="2:2" ht="14.25" customHeight="1" x14ac:dyDescent="0.25">
      <c r="B256" s="25"/>
    </row>
    <row r="257" spans="2:2" ht="14.25" customHeight="1" x14ac:dyDescent="0.25">
      <c r="B257" s="25"/>
    </row>
    <row r="258" spans="2:2" ht="14.25" customHeight="1" x14ac:dyDescent="0.25">
      <c r="B258" s="25"/>
    </row>
    <row r="259" spans="2:2" ht="14.25" customHeight="1" x14ac:dyDescent="0.25">
      <c r="B259" s="25"/>
    </row>
    <row r="260" spans="2:2" ht="14.25" customHeight="1" x14ac:dyDescent="0.25">
      <c r="B260" s="25"/>
    </row>
    <row r="261" spans="2:2" ht="14.25" customHeight="1" x14ac:dyDescent="0.25">
      <c r="B261" s="25"/>
    </row>
    <row r="262" spans="2:2" ht="14.25" customHeight="1" x14ac:dyDescent="0.25">
      <c r="B262" s="25"/>
    </row>
    <row r="263" spans="2:2" ht="14.25" customHeight="1" x14ac:dyDescent="0.25">
      <c r="B263" s="25"/>
    </row>
    <row r="264" spans="2:2" ht="14.25" customHeight="1" x14ac:dyDescent="0.25">
      <c r="B264" s="25"/>
    </row>
    <row r="265" spans="2:2" ht="14.25" customHeight="1" x14ac:dyDescent="0.25">
      <c r="B265" s="25"/>
    </row>
    <row r="266" spans="2:2" ht="14.25" customHeight="1" x14ac:dyDescent="0.25">
      <c r="B266" s="25"/>
    </row>
    <row r="267" spans="2:2" ht="14.25" customHeight="1" x14ac:dyDescent="0.25">
      <c r="B267" s="25"/>
    </row>
    <row r="268" spans="2:2" ht="14.25" customHeight="1" x14ac:dyDescent="0.25">
      <c r="B268" s="25"/>
    </row>
    <row r="269" spans="2:2" ht="14.25" customHeight="1" x14ac:dyDescent="0.25">
      <c r="B269" s="25"/>
    </row>
    <row r="270" spans="2:2" ht="14.25" customHeight="1" x14ac:dyDescent="0.25">
      <c r="B270" s="25"/>
    </row>
    <row r="271" spans="2:2" ht="14.25" customHeight="1" x14ac:dyDescent="0.25">
      <c r="B271" s="25"/>
    </row>
    <row r="272" spans="2:2" ht="14.25" customHeight="1" x14ac:dyDescent="0.25">
      <c r="B272" s="25"/>
    </row>
    <row r="273" spans="2:2" ht="14.25" customHeight="1" x14ac:dyDescent="0.25">
      <c r="B273" s="25"/>
    </row>
    <row r="274" spans="2:2" ht="14.25" customHeight="1" x14ac:dyDescent="0.25">
      <c r="B274" s="25"/>
    </row>
    <row r="275" spans="2:2" ht="14.25" customHeight="1" x14ac:dyDescent="0.25">
      <c r="B275" s="25"/>
    </row>
    <row r="276" spans="2:2" ht="14.25" customHeight="1" x14ac:dyDescent="0.25">
      <c r="B276" s="25"/>
    </row>
    <row r="277" spans="2:2" ht="14.25" customHeight="1" x14ac:dyDescent="0.25">
      <c r="B277" s="25"/>
    </row>
    <row r="278" spans="2:2" ht="14.25" customHeight="1" x14ac:dyDescent="0.25">
      <c r="B278" s="25"/>
    </row>
    <row r="279" spans="2:2" ht="14.25" customHeight="1" x14ac:dyDescent="0.25">
      <c r="B279" s="25"/>
    </row>
    <row r="280" spans="2:2" ht="14.25" customHeight="1" x14ac:dyDescent="0.25">
      <c r="B280" s="25"/>
    </row>
    <row r="281" spans="2:2" ht="14.25" customHeight="1" x14ac:dyDescent="0.25">
      <c r="B281" s="25"/>
    </row>
    <row r="282" spans="2:2" ht="14.25" customHeight="1" x14ac:dyDescent="0.25">
      <c r="B282" s="25"/>
    </row>
    <row r="283" spans="2:2" ht="14.25" customHeight="1" x14ac:dyDescent="0.25">
      <c r="B283" s="25"/>
    </row>
    <row r="284" spans="2:2" ht="14.25" customHeight="1" x14ac:dyDescent="0.25">
      <c r="B284" s="25"/>
    </row>
    <row r="285" spans="2:2" ht="14.25" customHeight="1" x14ac:dyDescent="0.25">
      <c r="B285" s="25"/>
    </row>
    <row r="286" spans="2:2" ht="14.25" customHeight="1" x14ac:dyDescent="0.25">
      <c r="B286" s="25"/>
    </row>
    <row r="287" spans="2:2" ht="14.25" customHeight="1" x14ac:dyDescent="0.25">
      <c r="B287" s="25"/>
    </row>
    <row r="288" spans="2:2" ht="14.25" customHeight="1" x14ac:dyDescent="0.25">
      <c r="B288" s="25"/>
    </row>
    <row r="289" spans="2:2" ht="14.25" customHeight="1" x14ac:dyDescent="0.25">
      <c r="B289" s="25"/>
    </row>
    <row r="290" spans="2:2" ht="14.25" customHeight="1" x14ac:dyDescent="0.25">
      <c r="B290" s="25"/>
    </row>
    <row r="291" spans="2:2" ht="14.25" customHeight="1" x14ac:dyDescent="0.25">
      <c r="B291" s="25"/>
    </row>
    <row r="292" spans="2:2" ht="14.25" customHeight="1" x14ac:dyDescent="0.25">
      <c r="B292" s="25"/>
    </row>
    <row r="293" spans="2:2" ht="14.25" customHeight="1" x14ac:dyDescent="0.25">
      <c r="B293" s="25"/>
    </row>
    <row r="294" spans="2:2" ht="14.25" customHeight="1" x14ac:dyDescent="0.25">
      <c r="B294" s="25"/>
    </row>
    <row r="295" spans="2:2" ht="14.25" customHeight="1" x14ac:dyDescent="0.25">
      <c r="B295" s="25"/>
    </row>
    <row r="296" spans="2:2" ht="14.25" customHeight="1" x14ac:dyDescent="0.25">
      <c r="B296" s="25"/>
    </row>
    <row r="297" spans="2:2" ht="14.25" customHeight="1" x14ac:dyDescent="0.25">
      <c r="B297" s="25"/>
    </row>
    <row r="298" spans="2:2" ht="14.25" customHeight="1" x14ac:dyDescent="0.25">
      <c r="B298" s="25"/>
    </row>
    <row r="299" spans="2:2" ht="14.25" customHeight="1" x14ac:dyDescent="0.25">
      <c r="B299" s="25"/>
    </row>
    <row r="300" spans="2:2" ht="14.25" customHeight="1" x14ac:dyDescent="0.25">
      <c r="B300" s="25"/>
    </row>
    <row r="301" spans="2:2" ht="14.25" customHeight="1" x14ac:dyDescent="0.25">
      <c r="B301" s="25"/>
    </row>
    <row r="302" spans="2:2" ht="14.25" customHeight="1" x14ac:dyDescent="0.25">
      <c r="B302" s="25"/>
    </row>
    <row r="303" spans="2:2" ht="14.25" customHeight="1" x14ac:dyDescent="0.25">
      <c r="B303" s="25"/>
    </row>
    <row r="304" spans="2:2" ht="14.25" customHeight="1" x14ac:dyDescent="0.25">
      <c r="B304" s="25"/>
    </row>
    <row r="305" spans="2:2" ht="14.25" customHeight="1" x14ac:dyDescent="0.25">
      <c r="B305" s="25"/>
    </row>
    <row r="306" spans="2:2" ht="14.25" customHeight="1" x14ac:dyDescent="0.25">
      <c r="B306" s="25"/>
    </row>
    <row r="307" spans="2:2" ht="14.25" customHeight="1" x14ac:dyDescent="0.25">
      <c r="B307" s="25"/>
    </row>
    <row r="308" spans="2:2" ht="14.25" customHeight="1" x14ac:dyDescent="0.25">
      <c r="B308" s="25"/>
    </row>
    <row r="309" spans="2:2" ht="14.25" customHeight="1" x14ac:dyDescent="0.25">
      <c r="B309" s="25"/>
    </row>
    <row r="310" spans="2:2" ht="14.25" customHeight="1" x14ac:dyDescent="0.25">
      <c r="B310" s="25"/>
    </row>
    <row r="311" spans="2:2" ht="14.25" customHeight="1" x14ac:dyDescent="0.25">
      <c r="B311" s="25"/>
    </row>
    <row r="312" spans="2:2" ht="14.25" customHeight="1" x14ac:dyDescent="0.25">
      <c r="B312" s="25"/>
    </row>
    <row r="313" spans="2:2" ht="14.25" customHeight="1" x14ac:dyDescent="0.25">
      <c r="B313" s="25"/>
    </row>
    <row r="314" spans="2:2" ht="14.25" customHeight="1" x14ac:dyDescent="0.25">
      <c r="B314" s="25"/>
    </row>
    <row r="315" spans="2:2" ht="14.25" customHeight="1" x14ac:dyDescent="0.25">
      <c r="B315" s="25"/>
    </row>
    <row r="316" spans="2:2" ht="14.25" customHeight="1" x14ac:dyDescent="0.25">
      <c r="B316" s="25"/>
    </row>
    <row r="317" spans="2:2" ht="14.25" customHeight="1" x14ac:dyDescent="0.25">
      <c r="B317" s="25"/>
    </row>
    <row r="318" spans="2:2" ht="14.25" customHeight="1" x14ac:dyDescent="0.25">
      <c r="B318" s="25"/>
    </row>
    <row r="319" spans="2:2" ht="14.25" customHeight="1" x14ac:dyDescent="0.25">
      <c r="B319" s="25"/>
    </row>
    <row r="320" spans="2:2" ht="14.25" customHeight="1" x14ac:dyDescent="0.25">
      <c r="B320" s="25"/>
    </row>
    <row r="321" spans="2:2" ht="14.25" customHeight="1" x14ac:dyDescent="0.25">
      <c r="B321" s="25"/>
    </row>
    <row r="322" spans="2:2" ht="14.25" customHeight="1" x14ac:dyDescent="0.25">
      <c r="B322" s="25"/>
    </row>
    <row r="323" spans="2:2" ht="14.25" customHeight="1" x14ac:dyDescent="0.25">
      <c r="B323" s="25"/>
    </row>
    <row r="324" spans="2:2" ht="14.25" customHeight="1" x14ac:dyDescent="0.25">
      <c r="B324" s="25"/>
    </row>
    <row r="325" spans="2:2" ht="14.25" customHeight="1" x14ac:dyDescent="0.25">
      <c r="B325" s="25"/>
    </row>
    <row r="326" spans="2:2" ht="14.25" customHeight="1" x14ac:dyDescent="0.25">
      <c r="B326" s="25"/>
    </row>
    <row r="327" spans="2:2" ht="14.25" customHeight="1" x14ac:dyDescent="0.25">
      <c r="B327" s="25"/>
    </row>
    <row r="328" spans="2:2" ht="14.25" customHeight="1" x14ac:dyDescent="0.25">
      <c r="B328" s="25"/>
    </row>
    <row r="329" spans="2:2" ht="14.25" customHeight="1" x14ac:dyDescent="0.25">
      <c r="B329" s="25"/>
    </row>
    <row r="330" spans="2:2" ht="14.25" customHeight="1" x14ac:dyDescent="0.25">
      <c r="B330" s="25"/>
    </row>
    <row r="331" spans="2:2" ht="14.25" customHeight="1" x14ac:dyDescent="0.25">
      <c r="B331" s="25"/>
    </row>
    <row r="332" spans="2:2" ht="14.25" customHeight="1" x14ac:dyDescent="0.25">
      <c r="B332" s="25"/>
    </row>
    <row r="333" spans="2:2" ht="14.25" customHeight="1" x14ac:dyDescent="0.25">
      <c r="B333" s="25"/>
    </row>
    <row r="334" spans="2:2" ht="14.25" customHeight="1" x14ac:dyDescent="0.25">
      <c r="B334" s="25"/>
    </row>
    <row r="335" spans="2:2" ht="14.25" customHeight="1" x14ac:dyDescent="0.25">
      <c r="B335" s="25"/>
    </row>
    <row r="336" spans="2:2" ht="14.25" customHeight="1" x14ac:dyDescent="0.25">
      <c r="B336" s="25"/>
    </row>
    <row r="337" spans="2:2" ht="14.25" customHeight="1" x14ac:dyDescent="0.25">
      <c r="B337" s="25"/>
    </row>
    <row r="338" spans="2:2" ht="14.25" customHeight="1" x14ac:dyDescent="0.25">
      <c r="B338" s="25"/>
    </row>
    <row r="339" spans="2:2" ht="14.25" customHeight="1" x14ac:dyDescent="0.25">
      <c r="B339" s="25"/>
    </row>
    <row r="340" spans="2:2" ht="14.25" customHeight="1" x14ac:dyDescent="0.25">
      <c r="B340" s="25"/>
    </row>
    <row r="341" spans="2:2" ht="14.25" customHeight="1" x14ac:dyDescent="0.25">
      <c r="B341" s="25"/>
    </row>
    <row r="342" spans="2:2" ht="14.25" customHeight="1" x14ac:dyDescent="0.25">
      <c r="B342" s="25"/>
    </row>
    <row r="343" spans="2:2" ht="14.25" customHeight="1" x14ac:dyDescent="0.25">
      <c r="B343" s="25"/>
    </row>
    <row r="344" spans="2:2" ht="14.25" customHeight="1" x14ac:dyDescent="0.25">
      <c r="B344" s="25"/>
    </row>
    <row r="345" spans="2:2" ht="14.25" customHeight="1" x14ac:dyDescent="0.25">
      <c r="B345" s="25"/>
    </row>
    <row r="346" spans="2:2" ht="14.25" customHeight="1" x14ac:dyDescent="0.25">
      <c r="B346" s="25"/>
    </row>
    <row r="347" spans="2:2" ht="14.25" customHeight="1" x14ac:dyDescent="0.25">
      <c r="B347" s="25"/>
    </row>
    <row r="348" spans="2:2" ht="14.25" customHeight="1" x14ac:dyDescent="0.25">
      <c r="B348" s="25"/>
    </row>
    <row r="349" spans="2:2" ht="14.25" customHeight="1" x14ac:dyDescent="0.25">
      <c r="B349" s="25"/>
    </row>
    <row r="350" spans="2:2" ht="14.25" customHeight="1" x14ac:dyDescent="0.25">
      <c r="B350" s="25"/>
    </row>
    <row r="351" spans="2:2" ht="14.25" customHeight="1" x14ac:dyDescent="0.25">
      <c r="B351" s="25"/>
    </row>
    <row r="352" spans="2:2" ht="14.25" customHeight="1" x14ac:dyDescent="0.25">
      <c r="B352" s="25"/>
    </row>
    <row r="353" spans="2:2" ht="14.25" customHeight="1" x14ac:dyDescent="0.25">
      <c r="B353" s="25"/>
    </row>
    <row r="354" spans="2:2" ht="14.25" customHeight="1" x14ac:dyDescent="0.25">
      <c r="B354" s="25"/>
    </row>
    <row r="355" spans="2:2" ht="14.25" customHeight="1" x14ac:dyDescent="0.25">
      <c r="B355" s="25"/>
    </row>
    <row r="356" spans="2:2" ht="14.25" customHeight="1" x14ac:dyDescent="0.25">
      <c r="B356" s="25"/>
    </row>
    <row r="357" spans="2:2" ht="14.25" customHeight="1" x14ac:dyDescent="0.25">
      <c r="B357" s="25"/>
    </row>
    <row r="358" spans="2:2" ht="14.25" customHeight="1" x14ac:dyDescent="0.25">
      <c r="B358" s="25"/>
    </row>
    <row r="359" spans="2:2" ht="14.25" customHeight="1" x14ac:dyDescent="0.25">
      <c r="B359" s="25"/>
    </row>
    <row r="360" spans="2:2" ht="14.25" customHeight="1" x14ac:dyDescent="0.25">
      <c r="B360" s="25"/>
    </row>
    <row r="361" spans="2:2" ht="14.25" customHeight="1" x14ac:dyDescent="0.25">
      <c r="B361" s="25"/>
    </row>
    <row r="362" spans="2:2" ht="14.25" customHeight="1" x14ac:dyDescent="0.25">
      <c r="B362" s="25"/>
    </row>
    <row r="363" spans="2:2" ht="14.25" customHeight="1" x14ac:dyDescent="0.25">
      <c r="B363" s="25"/>
    </row>
    <row r="364" spans="2:2" ht="14.25" customHeight="1" x14ac:dyDescent="0.25">
      <c r="B364" s="25"/>
    </row>
    <row r="365" spans="2:2" ht="14.25" customHeight="1" x14ac:dyDescent="0.25">
      <c r="B365" s="25"/>
    </row>
    <row r="366" spans="2:2" ht="14.25" customHeight="1" x14ac:dyDescent="0.25">
      <c r="B366" s="25"/>
    </row>
    <row r="367" spans="2:2" ht="14.25" customHeight="1" x14ac:dyDescent="0.25">
      <c r="B367" s="25"/>
    </row>
    <row r="368" spans="2:2" ht="14.25" customHeight="1" x14ac:dyDescent="0.25">
      <c r="B368" s="25"/>
    </row>
    <row r="369" spans="2:2" ht="14.25" customHeight="1" x14ac:dyDescent="0.25">
      <c r="B369" s="25"/>
    </row>
    <row r="370" spans="2:2" ht="14.25" customHeight="1" x14ac:dyDescent="0.25">
      <c r="B370" s="25"/>
    </row>
    <row r="371" spans="2:2" ht="14.25" customHeight="1" x14ac:dyDescent="0.25">
      <c r="B371" s="25"/>
    </row>
    <row r="372" spans="2:2" ht="14.25" customHeight="1" x14ac:dyDescent="0.25">
      <c r="B372" s="25"/>
    </row>
    <row r="373" spans="2:2" ht="14.25" customHeight="1" x14ac:dyDescent="0.25"/>
    <row r="374" spans="2:2" ht="14.25" customHeight="1" x14ac:dyDescent="0.25"/>
    <row r="375" spans="2:2" ht="14.25" customHeight="1" x14ac:dyDescent="0.25"/>
    <row r="376" spans="2:2" ht="14.25" customHeight="1" x14ac:dyDescent="0.25"/>
    <row r="377" spans="2:2" ht="14.25" customHeight="1" x14ac:dyDescent="0.25"/>
    <row r="378" spans="2:2" ht="14.25" customHeight="1" x14ac:dyDescent="0.25"/>
    <row r="379" spans="2:2" ht="14.25" customHeight="1" x14ac:dyDescent="0.25"/>
    <row r="380" spans="2:2" ht="14.25" customHeight="1" x14ac:dyDescent="0.25"/>
    <row r="381" spans="2:2" ht="14.25" customHeight="1" x14ac:dyDescent="0.25"/>
    <row r="382" spans="2:2" ht="14.25" customHeight="1" x14ac:dyDescent="0.25"/>
    <row r="383" spans="2:2" ht="14.25" customHeight="1" x14ac:dyDescent="0.25"/>
    <row r="384" spans="2:2"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6">
    <mergeCell ref="B30:B34"/>
    <mergeCell ref="C2:H2"/>
    <mergeCell ref="C3:H3"/>
    <mergeCell ref="B19:H20"/>
    <mergeCell ref="B21:B25"/>
    <mergeCell ref="B26:B29"/>
  </mergeCells>
  <pageMargins left="0.7" right="0.7" top="0.75" bottom="0.75" header="0" footer="0"/>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Z1000"/>
  <sheetViews>
    <sheetView showGridLines="0" zoomScale="71" workbookViewId="0">
      <selection activeCell="L27" sqref="L27"/>
    </sheetView>
  </sheetViews>
  <sheetFormatPr defaultColWidth="14.42578125" defaultRowHeight="15" customHeight="1" x14ac:dyDescent="0.25"/>
  <cols>
    <col min="1" max="1" width="8.7109375" customWidth="1"/>
    <col min="2" max="15" width="12.42578125" customWidth="1"/>
    <col min="16" max="26" width="12.5703125" customWidth="1"/>
  </cols>
  <sheetData>
    <row r="1" spans="2:14" ht="14.25" customHeight="1" x14ac:dyDescent="0.25"/>
    <row r="2" spans="2:14" ht="14.25" customHeight="1" x14ac:dyDescent="0.25">
      <c r="B2" s="1" t="s">
        <v>84</v>
      </c>
      <c r="C2" s="146"/>
      <c r="D2" s="147"/>
      <c r="E2" s="147"/>
      <c r="F2" s="147"/>
      <c r="G2" s="147"/>
      <c r="H2" s="147"/>
    </row>
    <row r="3" spans="2:14" ht="14.25" customHeight="1" x14ac:dyDescent="0.25">
      <c r="B3" s="1" t="s">
        <v>141</v>
      </c>
      <c r="C3" s="146"/>
      <c r="D3" s="147"/>
      <c r="E3" s="147"/>
      <c r="F3" s="147"/>
      <c r="G3" s="147"/>
      <c r="H3" s="147"/>
      <c r="I3" s="149"/>
      <c r="J3" s="113"/>
      <c r="K3" s="113"/>
      <c r="L3" s="113"/>
      <c r="M3" s="113"/>
      <c r="N3" s="113"/>
    </row>
    <row r="4" spans="2:14" ht="14.25" customHeight="1" x14ac:dyDescent="0.25"/>
    <row r="5" spans="2:14" ht="14.25" customHeight="1" x14ac:dyDescent="0.25"/>
    <row r="6" spans="2:14" ht="14.25" customHeight="1" x14ac:dyDescent="0.25"/>
    <row r="7" spans="2:14" ht="14.25" customHeight="1" x14ac:dyDescent="0.25"/>
    <row r="8" spans="2:14" ht="14.25" customHeight="1" x14ac:dyDescent="0.25"/>
    <row r="9" spans="2:14" ht="14.25" customHeight="1" x14ac:dyDescent="0.25"/>
    <row r="10" spans="2:14" ht="14.25" customHeight="1" x14ac:dyDescent="0.25"/>
    <row r="11" spans="2:14" ht="14.25" customHeight="1" x14ac:dyDescent="0.25"/>
    <row r="12" spans="2:14" ht="14.25" customHeight="1" x14ac:dyDescent="0.25"/>
    <row r="13" spans="2:14" ht="14.25" customHeight="1" x14ac:dyDescent="0.25"/>
    <row r="14" spans="2:14" ht="14.25" customHeight="1" x14ac:dyDescent="0.25"/>
    <row r="15" spans="2:14" ht="14.25" customHeight="1" x14ac:dyDescent="0.25"/>
    <row r="16" spans="2:14" ht="14.25" customHeight="1" x14ac:dyDescent="0.25"/>
    <row r="17" spans="1:26" ht="14.25" customHeight="1" x14ac:dyDescent="0.25"/>
    <row r="18" spans="1:26" ht="14.25" customHeight="1" x14ac:dyDescent="0.25"/>
    <row r="19" spans="1:26" ht="14.25" customHeight="1" x14ac:dyDescent="0.25"/>
    <row r="20" spans="1:26" ht="14.25" customHeight="1" x14ac:dyDescent="0.25"/>
    <row r="21" spans="1:26" ht="14.25" customHeight="1" x14ac:dyDescent="0.25">
      <c r="B21" s="150" t="s">
        <v>111</v>
      </c>
      <c r="C21" s="151"/>
      <c r="D21" s="151"/>
      <c r="E21" s="151"/>
      <c r="F21" s="151"/>
      <c r="G21" s="151"/>
      <c r="H21" s="151"/>
      <c r="I21" s="151"/>
      <c r="J21" s="151"/>
      <c r="K21" s="151"/>
      <c r="L21" s="151"/>
      <c r="M21" s="151"/>
      <c r="N21" s="151"/>
      <c r="O21" s="151"/>
    </row>
    <row r="22" spans="1:26" ht="14.25" customHeight="1" x14ac:dyDescent="0.25">
      <c r="B22" s="113"/>
      <c r="C22" s="113"/>
      <c r="D22" s="113"/>
      <c r="E22" s="113"/>
      <c r="F22" s="113"/>
      <c r="G22" s="113"/>
      <c r="H22" s="113"/>
      <c r="I22" s="113"/>
      <c r="J22" s="113"/>
      <c r="K22" s="113"/>
      <c r="L22" s="113"/>
      <c r="M22" s="113"/>
      <c r="N22" s="113"/>
      <c r="O22" s="113"/>
    </row>
    <row r="23" spans="1:26" ht="14.25" customHeight="1" x14ac:dyDescent="0.25">
      <c r="B23" s="152" t="s">
        <v>112</v>
      </c>
      <c r="C23" s="32" t="s">
        <v>113</v>
      </c>
      <c r="D23" s="34">
        <f>COUNT(B33:B57)</f>
        <v>25</v>
      </c>
      <c r="E23" s="34"/>
      <c r="F23" s="34"/>
      <c r="G23" s="34"/>
      <c r="H23" s="34"/>
      <c r="I23" s="34"/>
      <c r="J23" s="34"/>
      <c r="K23" s="34"/>
      <c r="L23" s="34"/>
      <c r="M23" s="34"/>
      <c r="N23" s="34"/>
      <c r="O23" s="34"/>
    </row>
    <row r="24" spans="1:26" ht="14.25" customHeight="1" x14ac:dyDescent="0.25">
      <c r="B24" s="113"/>
      <c r="C24" s="17" t="s">
        <v>54</v>
      </c>
      <c r="D24" s="14">
        <f>COUNT(C33:G33)</f>
        <v>0</v>
      </c>
      <c r="E24" s="14"/>
      <c r="F24" s="14"/>
      <c r="G24" s="14"/>
      <c r="H24" s="14"/>
      <c r="I24" s="14"/>
      <c r="J24" s="14"/>
      <c r="K24" s="14"/>
      <c r="L24" s="14"/>
      <c r="M24" s="14"/>
      <c r="N24" s="14"/>
      <c r="O24" s="14"/>
    </row>
    <row r="25" spans="1:26" ht="14.25" customHeight="1" x14ac:dyDescent="0.25">
      <c r="B25" s="113"/>
      <c r="C25" s="17" t="s">
        <v>123</v>
      </c>
      <c r="D25" s="37" t="e">
        <f>AVERAGE(H33:H57)</f>
        <v>#DIV/0!</v>
      </c>
      <c r="E25" s="37"/>
      <c r="F25" s="37"/>
      <c r="G25" s="37"/>
      <c r="H25" s="37"/>
      <c r="I25" s="37"/>
      <c r="J25" s="37"/>
      <c r="K25" s="37"/>
      <c r="L25" s="37"/>
      <c r="M25" s="37"/>
      <c r="N25" s="37"/>
      <c r="O25" s="37"/>
    </row>
    <row r="26" spans="1:26" ht="14.25" customHeight="1" x14ac:dyDescent="0.25">
      <c r="B26" s="113"/>
      <c r="C26" s="17" t="s">
        <v>122</v>
      </c>
      <c r="D26" s="37">
        <f>AVERAGE(I33:I57)</f>
        <v>0</v>
      </c>
      <c r="E26" s="37"/>
      <c r="F26" s="37"/>
      <c r="G26" s="37"/>
      <c r="H26" s="37"/>
      <c r="I26" s="37"/>
      <c r="J26" s="37"/>
      <c r="K26" s="37"/>
      <c r="L26" s="37"/>
      <c r="M26" s="37"/>
      <c r="N26" s="37"/>
      <c r="O26" s="37"/>
    </row>
    <row r="27" spans="1:26" ht="14.25" customHeight="1" x14ac:dyDescent="0.25">
      <c r="B27" s="113"/>
      <c r="C27" s="17" t="s">
        <v>116</v>
      </c>
      <c r="D27" s="37" cm="1">
        <f t="array" ref="D27:D30">'Peta Kendali xbar-R'!D33:D36</f>
        <v>0</v>
      </c>
      <c r="E27" s="37"/>
      <c r="F27" s="37"/>
      <c r="G27" s="37"/>
      <c r="H27" s="37"/>
      <c r="I27" s="37"/>
      <c r="J27" s="37"/>
      <c r="K27" s="37"/>
      <c r="L27" s="37"/>
      <c r="M27" s="37"/>
      <c r="N27" s="37"/>
      <c r="O27" s="37"/>
    </row>
    <row r="28" spans="1:26" ht="14.25" customHeight="1" x14ac:dyDescent="0.25">
      <c r="B28" s="113"/>
      <c r="C28" s="17" t="s">
        <v>117</v>
      </c>
      <c r="D28" s="37">
        <v>0</v>
      </c>
      <c r="E28" s="37"/>
      <c r="F28" s="37"/>
      <c r="G28" s="37"/>
      <c r="H28" s="37"/>
      <c r="I28" s="37"/>
      <c r="J28" s="37"/>
      <c r="K28" s="37"/>
      <c r="L28" s="37"/>
      <c r="M28" s="37"/>
      <c r="N28" s="37"/>
      <c r="O28" s="37"/>
    </row>
    <row r="29" spans="1:26" ht="14.25" customHeight="1" x14ac:dyDescent="0.25">
      <c r="B29" s="113"/>
      <c r="C29" s="17" t="s">
        <v>118</v>
      </c>
      <c r="D29" s="37">
        <v>0</v>
      </c>
      <c r="E29" s="37"/>
      <c r="F29" s="37"/>
      <c r="G29" s="37"/>
      <c r="H29" s="37"/>
      <c r="I29" s="37"/>
      <c r="J29" s="37"/>
      <c r="K29" s="37"/>
      <c r="L29" s="37"/>
      <c r="M29" s="37"/>
      <c r="N29" s="37"/>
      <c r="O29" s="37"/>
    </row>
    <row r="30" spans="1:26" ht="14.25" customHeight="1" x14ac:dyDescent="0.25">
      <c r="B30" s="113"/>
      <c r="C30" s="17" t="s">
        <v>119</v>
      </c>
      <c r="D30" s="37">
        <v>0</v>
      </c>
      <c r="E30" s="37"/>
      <c r="F30" s="37"/>
      <c r="G30" s="37"/>
      <c r="H30" s="37"/>
      <c r="I30" s="37"/>
      <c r="J30" s="37"/>
      <c r="K30" s="37"/>
      <c r="L30" s="37"/>
      <c r="M30" s="37"/>
      <c r="N30" s="37"/>
      <c r="O30" s="37"/>
    </row>
    <row r="31" spans="1:26" ht="14.25" customHeight="1" x14ac:dyDescent="0.25">
      <c r="B31" s="17"/>
      <c r="C31" s="17"/>
      <c r="D31" s="17"/>
      <c r="E31" s="17"/>
      <c r="F31" s="17"/>
      <c r="G31" s="17"/>
      <c r="H31" s="17"/>
      <c r="I31" s="17"/>
      <c r="J31" s="17"/>
      <c r="K31" s="17"/>
      <c r="L31" s="17"/>
      <c r="M31" s="17"/>
      <c r="N31" s="17"/>
      <c r="O31" s="17"/>
    </row>
    <row r="32" spans="1:26" ht="14.25" customHeight="1" x14ac:dyDescent="0.25">
      <c r="A32" s="16"/>
      <c r="B32" s="19" t="s">
        <v>29</v>
      </c>
      <c r="C32" s="138" t="s">
        <v>30</v>
      </c>
      <c r="D32" s="139"/>
      <c r="E32" s="139"/>
      <c r="F32" s="139"/>
      <c r="G32" s="139"/>
      <c r="H32" s="19" t="s">
        <v>120</v>
      </c>
      <c r="I32" s="19" t="s">
        <v>121</v>
      </c>
      <c r="J32" s="19" t="s">
        <v>122</v>
      </c>
      <c r="K32" s="19" t="s">
        <v>116</v>
      </c>
      <c r="L32" s="19" t="s">
        <v>117</v>
      </c>
      <c r="M32" s="19" t="s">
        <v>123</v>
      </c>
      <c r="N32" s="19" t="s">
        <v>124</v>
      </c>
      <c r="O32" s="19" t="s">
        <v>125</v>
      </c>
      <c r="P32" s="16"/>
      <c r="Q32" s="16"/>
      <c r="R32" s="16"/>
      <c r="S32" s="16"/>
      <c r="T32" s="16"/>
      <c r="U32" s="16"/>
      <c r="V32" s="16"/>
      <c r="W32" s="16"/>
      <c r="X32" s="16"/>
      <c r="Y32" s="16"/>
      <c r="Z32" s="16"/>
    </row>
    <row r="33" spans="2:15" ht="14.25" customHeight="1" x14ac:dyDescent="0.25">
      <c r="B33" s="17">
        <v>26</v>
      </c>
      <c r="C33" s="41"/>
      <c r="D33" s="41"/>
      <c r="E33" s="41"/>
      <c r="F33" s="41"/>
      <c r="G33" s="41"/>
      <c r="H33" s="23" t="e">
        <f t="shared" ref="H33:H57" si="0">AVERAGE(C33:G33)</f>
        <v>#DIV/0!</v>
      </c>
      <c r="I33" s="23">
        <f t="shared" ref="I33:I57" si="1">MAX(C33:G33)-MIN(C33:G33)</f>
        <v>0</v>
      </c>
      <c r="J33" s="23">
        <f t="shared" ref="J33:J57" si="2">$D$26</f>
        <v>0</v>
      </c>
      <c r="K33" s="23">
        <f t="shared" ref="K33:K57" si="3">$D$27</f>
        <v>0</v>
      </c>
      <c r="L33" s="23">
        <f t="shared" ref="L33:L57" si="4">$D$28</f>
        <v>0</v>
      </c>
      <c r="M33" s="23" t="e">
        <f t="shared" ref="M33:M57" si="5">$D$25</f>
        <v>#DIV/0!</v>
      </c>
      <c r="N33" s="23">
        <f t="shared" ref="N33:N57" si="6">$D$29</f>
        <v>0</v>
      </c>
      <c r="O33" s="23">
        <f t="shared" ref="O33:O57" si="7">$D$30</f>
        <v>0</v>
      </c>
    </row>
    <row r="34" spans="2:15" ht="14.25" customHeight="1" x14ac:dyDescent="0.25">
      <c r="B34" s="17">
        <v>27</v>
      </c>
      <c r="C34" s="41"/>
      <c r="D34" s="41"/>
      <c r="E34" s="41"/>
      <c r="F34" s="41"/>
      <c r="G34" s="41"/>
      <c r="H34" s="23" t="e">
        <f t="shared" si="0"/>
        <v>#DIV/0!</v>
      </c>
      <c r="I34" s="23">
        <f t="shared" si="1"/>
        <v>0</v>
      </c>
      <c r="J34" s="23">
        <f t="shared" si="2"/>
        <v>0</v>
      </c>
      <c r="K34" s="23">
        <f t="shared" si="3"/>
        <v>0</v>
      </c>
      <c r="L34" s="23">
        <f t="shared" si="4"/>
        <v>0</v>
      </c>
      <c r="M34" s="23" t="e">
        <f t="shared" si="5"/>
        <v>#DIV/0!</v>
      </c>
      <c r="N34" s="23">
        <f t="shared" si="6"/>
        <v>0</v>
      </c>
      <c r="O34" s="23">
        <f t="shared" si="7"/>
        <v>0</v>
      </c>
    </row>
    <row r="35" spans="2:15" ht="14.25" customHeight="1" x14ac:dyDescent="0.25">
      <c r="B35" s="17">
        <v>28</v>
      </c>
      <c r="C35" s="41"/>
      <c r="D35" s="41"/>
      <c r="E35" s="41"/>
      <c r="F35" s="41"/>
      <c r="G35" s="41"/>
      <c r="H35" s="23" t="e">
        <f t="shared" si="0"/>
        <v>#DIV/0!</v>
      </c>
      <c r="I35" s="23">
        <f t="shared" si="1"/>
        <v>0</v>
      </c>
      <c r="J35" s="23">
        <f t="shared" si="2"/>
        <v>0</v>
      </c>
      <c r="K35" s="23">
        <f t="shared" si="3"/>
        <v>0</v>
      </c>
      <c r="L35" s="23">
        <f t="shared" si="4"/>
        <v>0</v>
      </c>
      <c r="M35" s="23" t="e">
        <f t="shared" si="5"/>
        <v>#DIV/0!</v>
      </c>
      <c r="N35" s="23">
        <f t="shared" si="6"/>
        <v>0</v>
      </c>
      <c r="O35" s="23">
        <f t="shared" si="7"/>
        <v>0</v>
      </c>
    </row>
    <row r="36" spans="2:15" ht="14.25" customHeight="1" x14ac:dyDescent="0.25">
      <c r="B36" s="17">
        <v>29</v>
      </c>
      <c r="C36" s="41"/>
      <c r="D36" s="41"/>
      <c r="E36" s="41"/>
      <c r="F36" s="41"/>
      <c r="G36" s="41"/>
      <c r="H36" s="23" t="e">
        <f t="shared" si="0"/>
        <v>#DIV/0!</v>
      </c>
      <c r="I36" s="23">
        <f t="shared" si="1"/>
        <v>0</v>
      </c>
      <c r="J36" s="23">
        <f t="shared" si="2"/>
        <v>0</v>
      </c>
      <c r="K36" s="23">
        <f t="shared" si="3"/>
        <v>0</v>
      </c>
      <c r="L36" s="23">
        <f t="shared" si="4"/>
        <v>0</v>
      </c>
      <c r="M36" s="23" t="e">
        <f t="shared" si="5"/>
        <v>#DIV/0!</v>
      </c>
      <c r="N36" s="23">
        <f t="shared" si="6"/>
        <v>0</v>
      </c>
      <c r="O36" s="23">
        <f t="shared" si="7"/>
        <v>0</v>
      </c>
    </row>
    <row r="37" spans="2:15" ht="14.25" customHeight="1" x14ac:dyDescent="0.25">
      <c r="B37" s="17">
        <v>30</v>
      </c>
      <c r="C37" s="41"/>
      <c r="D37" s="41"/>
      <c r="E37" s="41"/>
      <c r="F37" s="41"/>
      <c r="G37" s="41"/>
      <c r="H37" s="23" t="e">
        <f t="shared" si="0"/>
        <v>#DIV/0!</v>
      </c>
      <c r="I37" s="23">
        <f t="shared" si="1"/>
        <v>0</v>
      </c>
      <c r="J37" s="23">
        <f t="shared" si="2"/>
        <v>0</v>
      </c>
      <c r="K37" s="23">
        <f t="shared" si="3"/>
        <v>0</v>
      </c>
      <c r="L37" s="23">
        <f t="shared" si="4"/>
        <v>0</v>
      </c>
      <c r="M37" s="23" t="e">
        <f t="shared" si="5"/>
        <v>#DIV/0!</v>
      </c>
      <c r="N37" s="23">
        <f t="shared" si="6"/>
        <v>0</v>
      </c>
      <c r="O37" s="23">
        <f t="shared" si="7"/>
        <v>0</v>
      </c>
    </row>
    <row r="38" spans="2:15" ht="14.25" customHeight="1" x14ac:dyDescent="0.25">
      <c r="B38" s="17">
        <v>31</v>
      </c>
      <c r="C38" s="41"/>
      <c r="D38" s="41"/>
      <c r="E38" s="41"/>
      <c r="F38" s="41"/>
      <c r="G38" s="41"/>
      <c r="H38" s="23" t="e">
        <f t="shared" si="0"/>
        <v>#DIV/0!</v>
      </c>
      <c r="I38" s="23">
        <f t="shared" si="1"/>
        <v>0</v>
      </c>
      <c r="J38" s="23">
        <f t="shared" si="2"/>
        <v>0</v>
      </c>
      <c r="K38" s="23">
        <f t="shared" si="3"/>
        <v>0</v>
      </c>
      <c r="L38" s="23">
        <f t="shared" si="4"/>
        <v>0</v>
      </c>
      <c r="M38" s="23" t="e">
        <f t="shared" si="5"/>
        <v>#DIV/0!</v>
      </c>
      <c r="N38" s="23">
        <f t="shared" si="6"/>
        <v>0</v>
      </c>
      <c r="O38" s="23">
        <f t="shared" si="7"/>
        <v>0</v>
      </c>
    </row>
    <row r="39" spans="2:15" ht="14.25" customHeight="1" x14ac:dyDescent="0.25">
      <c r="B39" s="17">
        <v>32</v>
      </c>
      <c r="C39" s="41"/>
      <c r="D39" s="41"/>
      <c r="E39" s="41"/>
      <c r="F39" s="41"/>
      <c r="G39" s="41"/>
      <c r="H39" s="23" t="e">
        <f t="shared" si="0"/>
        <v>#DIV/0!</v>
      </c>
      <c r="I39" s="23">
        <f t="shared" si="1"/>
        <v>0</v>
      </c>
      <c r="J39" s="23">
        <f t="shared" si="2"/>
        <v>0</v>
      </c>
      <c r="K39" s="23">
        <f t="shared" si="3"/>
        <v>0</v>
      </c>
      <c r="L39" s="23">
        <f t="shared" si="4"/>
        <v>0</v>
      </c>
      <c r="M39" s="23" t="e">
        <f t="shared" si="5"/>
        <v>#DIV/0!</v>
      </c>
      <c r="N39" s="23">
        <f t="shared" si="6"/>
        <v>0</v>
      </c>
      <c r="O39" s="23">
        <f t="shared" si="7"/>
        <v>0</v>
      </c>
    </row>
    <row r="40" spans="2:15" ht="14.25" customHeight="1" x14ac:dyDescent="0.25">
      <c r="B40" s="17">
        <v>33</v>
      </c>
      <c r="C40" s="41"/>
      <c r="D40" s="41"/>
      <c r="E40" s="41"/>
      <c r="F40" s="41"/>
      <c r="G40" s="41"/>
      <c r="H40" s="23" t="e">
        <f t="shared" si="0"/>
        <v>#DIV/0!</v>
      </c>
      <c r="I40" s="23">
        <f t="shared" si="1"/>
        <v>0</v>
      </c>
      <c r="J40" s="23">
        <f t="shared" si="2"/>
        <v>0</v>
      </c>
      <c r="K40" s="23">
        <f t="shared" si="3"/>
        <v>0</v>
      </c>
      <c r="L40" s="23">
        <f t="shared" si="4"/>
        <v>0</v>
      </c>
      <c r="M40" s="23" t="e">
        <f t="shared" si="5"/>
        <v>#DIV/0!</v>
      </c>
      <c r="N40" s="23">
        <f t="shared" si="6"/>
        <v>0</v>
      </c>
      <c r="O40" s="23">
        <f t="shared" si="7"/>
        <v>0</v>
      </c>
    </row>
    <row r="41" spans="2:15" ht="14.25" customHeight="1" x14ac:dyDescent="0.25">
      <c r="B41" s="17">
        <v>34</v>
      </c>
      <c r="C41" s="41"/>
      <c r="D41" s="41"/>
      <c r="E41" s="41"/>
      <c r="F41" s="41"/>
      <c r="G41" s="41"/>
      <c r="H41" s="23" t="e">
        <f t="shared" si="0"/>
        <v>#DIV/0!</v>
      </c>
      <c r="I41" s="23">
        <f t="shared" si="1"/>
        <v>0</v>
      </c>
      <c r="J41" s="23">
        <f t="shared" si="2"/>
        <v>0</v>
      </c>
      <c r="K41" s="23">
        <f t="shared" si="3"/>
        <v>0</v>
      </c>
      <c r="L41" s="23">
        <f t="shared" si="4"/>
        <v>0</v>
      </c>
      <c r="M41" s="23" t="e">
        <f t="shared" si="5"/>
        <v>#DIV/0!</v>
      </c>
      <c r="N41" s="23">
        <f t="shared" si="6"/>
        <v>0</v>
      </c>
      <c r="O41" s="23">
        <f t="shared" si="7"/>
        <v>0</v>
      </c>
    </row>
    <row r="42" spans="2:15" ht="14.25" customHeight="1" x14ac:dyDescent="0.25">
      <c r="B42" s="17">
        <v>35</v>
      </c>
      <c r="C42" s="41"/>
      <c r="D42" s="41"/>
      <c r="E42" s="41"/>
      <c r="F42" s="41"/>
      <c r="G42" s="41"/>
      <c r="H42" s="23" t="e">
        <f t="shared" si="0"/>
        <v>#DIV/0!</v>
      </c>
      <c r="I42" s="23">
        <f t="shared" si="1"/>
        <v>0</v>
      </c>
      <c r="J42" s="23">
        <f t="shared" si="2"/>
        <v>0</v>
      </c>
      <c r="K42" s="23">
        <f t="shared" si="3"/>
        <v>0</v>
      </c>
      <c r="L42" s="23">
        <f t="shared" si="4"/>
        <v>0</v>
      </c>
      <c r="M42" s="23" t="e">
        <f t="shared" si="5"/>
        <v>#DIV/0!</v>
      </c>
      <c r="N42" s="23">
        <f t="shared" si="6"/>
        <v>0</v>
      </c>
      <c r="O42" s="23">
        <f t="shared" si="7"/>
        <v>0</v>
      </c>
    </row>
    <row r="43" spans="2:15" ht="14.25" customHeight="1" x14ac:dyDescent="0.25">
      <c r="B43" s="17">
        <v>36</v>
      </c>
      <c r="C43" s="41"/>
      <c r="D43" s="41"/>
      <c r="E43" s="41"/>
      <c r="F43" s="41"/>
      <c r="G43" s="41"/>
      <c r="H43" s="23" t="e">
        <f t="shared" si="0"/>
        <v>#DIV/0!</v>
      </c>
      <c r="I43" s="23">
        <f t="shared" si="1"/>
        <v>0</v>
      </c>
      <c r="J43" s="23">
        <f t="shared" si="2"/>
        <v>0</v>
      </c>
      <c r="K43" s="23">
        <f t="shared" si="3"/>
        <v>0</v>
      </c>
      <c r="L43" s="23">
        <f t="shared" si="4"/>
        <v>0</v>
      </c>
      <c r="M43" s="23" t="e">
        <f t="shared" si="5"/>
        <v>#DIV/0!</v>
      </c>
      <c r="N43" s="23">
        <f t="shared" si="6"/>
        <v>0</v>
      </c>
      <c r="O43" s="23">
        <f t="shared" si="7"/>
        <v>0</v>
      </c>
    </row>
    <row r="44" spans="2:15" ht="14.25" customHeight="1" x14ac:dyDescent="0.25">
      <c r="B44" s="17">
        <v>37</v>
      </c>
      <c r="C44" s="41"/>
      <c r="D44" s="41"/>
      <c r="E44" s="41"/>
      <c r="F44" s="41"/>
      <c r="G44" s="41"/>
      <c r="H44" s="23" t="e">
        <f t="shared" si="0"/>
        <v>#DIV/0!</v>
      </c>
      <c r="I44" s="23">
        <f t="shared" si="1"/>
        <v>0</v>
      </c>
      <c r="J44" s="23">
        <f t="shared" si="2"/>
        <v>0</v>
      </c>
      <c r="K44" s="23">
        <f t="shared" si="3"/>
        <v>0</v>
      </c>
      <c r="L44" s="23">
        <f t="shared" si="4"/>
        <v>0</v>
      </c>
      <c r="M44" s="23" t="e">
        <f t="shared" si="5"/>
        <v>#DIV/0!</v>
      </c>
      <c r="N44" s="23">
        <f t="shared" si="6"/>
        <v>0</v>
      </c>
      <c r="O44" s="23">
        <f t="shared" si="7"/>
        <v>0</v>
      </c>
    </row>
    <row r="45" spans="2:15" ht="14.25" customHeight="1" x14ac:dyDescent="0.25">
      <c r="B45" s="17">
        <v>38</v>
      </c>
      <c r="C45" s="41"/>
      <c r="D45" s="41"/>
      <c r="E45" s="41"/>
      <c r="F45" s="41"/>
      <c r="G45" s="41"/>
      <c r="H45" s="23" t="e">
        <f t="shared" si="0"/>
        <v>#DIV/0!</v>
      </c>
      <c r="I45" s="23">
        <f t="shared" si="1"/>
        <v>0</v>
      </c>
      <c r="J45" s="23">
        <f t="shared" si="2"/>
        <v>0</v>
      </c>
      <c r="K45" s="23">
        <f t="shared" si="3"/>
        <v>0</v>
      </c>
      <c r="L45" s="23">
        <f t="shared" si="4"/>
        <v>0</v>
      </c>
      <c r="M45" s="23" t="e">
        <f t="shared" si="5"/>
        <v>#DIV/0!</v>
      </c>
      <c r="N45" s="23">
        <f t="shared" si="6"/>
        <v>0</v>
      </c>
      <c r="O45" s="23">
        <f t="shared" si="7"/>
        <v>0</v>
      </c>
    </row>
    <row r="46" spans="2:15" ht="14.25" customHeight="1" x14ac:dyDescent="0.25">
      <c r="B46" s="17">
        <v>39</v>
      </c>
      <c r="C46" s="41"/>
      <c r="D46" s="41"/>
      <c r="E46" s="41"/>
      <c r="F46" s="41"/>
      <c r="G46" s="41"/>
      <c r="H46" s="23" t="e">
        <f t="shared" si="0"/>
        <v>#DIV/0!</v>
      </c>
      <c r="I46" s="23">
        <f t="shared" si="1"/>
        <v>0</v>
      </c>
      <c r="J46" s="23">
        <f t="shared" si="2"/>
        <v>0</v>
      </c>
      <c r="K46" s="23">
        <f t="shared" si="3"/>
        <v>0</v>
      </c>
      <c r="L46" s="23">
        <f t="shared" si="4"/>
        <v>0</v>
      </c>
      <c r="M46" s="23" t="e">
        <f t="shared" si="5"/>
        <v>#DIV/0!</v>
      </c>
      <c r="N46" s="23">
        <f t="shared" si="6"/>
        <v>0</v>
      </c>
      <c r="O46" s="23">
        <f t="shared" si="7"/>
        <v>0</v>
      </c>
    </row>
    <row r="47" spans="2:15" ht="14.25" customHeight="1" x14ac:dyDescent="0.25">
      <c r="B47" s="17">
        <v>40</v>
      </c>
      <c r="C47" s="41"/>
      <c r="D47" s="41"/>
      <c r="E47" s="41"/>
      <c r="F47" s="41"/>
      <c r="G47" s="41"/>
      <c r="H47" s="23" t="e">
        <f t="shared" si="0"/>
        <v>#DIV/0!</v>
      </c>
      <c r="I47" s="23">
        <f t="shared" si="1"/>
        <v>0</v>
      </c>
      <c r="J47" s="23">
        <f t="shared" si="2"/>
        <v>0</v>
      </c>
      <c r="K47" s="23">
        <f t="shared" si="3"/>
        <v>0</v>
      </c>
      <c r="L47" s="23">
        <f t="shared" si="4"/>
        <v>0</v>
      </c>
      <c r="M47" s="23" t="e">
        <f t="shared" si="5"/>
        <v>#DIV/0!</v>
      </c>
      <c r="N47" s="23">
        <f t="shared" si="6"/>
        <v>0</v>
      </c>
      <c r="O47" s="23">
        <f t="shared" si="7"/>
        <v>0</v>
      </c>
    </row>
    <row r="48" spans="2:15" ht="14.25" customHeight="1" x14ac:dyDescent="0.25">
      <c r="B48" s="17">
        <v>41</v>
      </c>
      <c r="C48" s="41"/>
      <c r="D48" s="41"/>
      <c r="E48" s="41"/>
      <c r="F48" s="41"/>
      <c r="G48" s="41"/>
      <c r="H48" s="23" t="e">
        <f t="shared" si="0"/>
        <v>#DIV/0!</v>
      </c>
      <c r="I48" s="23">
        <f t="shared" si="1"/>
        <v>0</v>
      </c>
      <c r="J48" s="23">
        <f t="shared" si="2"/>
        <v>0</v>
      </c>
      <c r="K48" s="23">
        <f t="shared" si="3"/>
        <v>0</v>
      </c>
      <c r="L48" s="23">
        <f t="shared" si="4"/>
        <v>0</v>
      </c>
      <c r="M48" s="23" t="e">
        <f t="shared" si="5"/>
        <v>#DIV/0!</v>
      </c>
      <c r="N48" s="23">
        <f t="shared" si="6"/>
        <v>0</v>
      </c>
      <c r="O48" s="23">
        <f t="shared" si="7"/>
        <v>0</v>
      </c>
    </row>
    <row r="49" spans="2:15" ht="14.25" customHeight="1" x14ac:dyDescent="0.25">
      <c r="B49" s="17">
        <v>42</v>
      </c>
      <c r="C49" s="41"/>
      <c r="D49" s="41"/>
      <c r="E49" s="41"/>
      <c r="F49" s="41"/>
      <c r="G49" s="41"/>
      <c r="H49" s="23" t="e">
        <f t="shared" si="0"/>
        <v>#DIV/0!</v>
      </c>
      <c r="I49" s="23">
        <f t="shared" si="1"/>
        <v>0</v>
      </c>
      <c r="J49" s="23">
        <f t="shared" si="2"/>
        <v>0</v>
      </c>
      <c r="K49" s="23">
        <f t="shared" si="3"/>
        <v>0</v>
      </c>
      <c r="L49" s="23">
        <f t="shared" si="4"/>
        <v>0</v>
      </c>
      <c r="M49" s="23" t="e">
        <f t="shared" si="5"/>
        <v>#DIV/0!</v>
      </c>
      <c r="N49" s="23">
        <f t="shared" si="6"/>
        <v>0</v>
      </c>
      <c r="O49" s="23">
        <f t="shared" si="7"/>
        <v>0</v>
      </c>
    </row>
    <row r="50" spans="2:15" ht="14.25" customHeight="1" x14ac:dyDescent="0.25">
      <c r="B50" s="17">
        <v>43</v>
      </c>
      <c r="C50" s="41"/>
      <c r="D50" s="41"/>
      <c r="E50" s="41"/>
      <c r="F50" s="41"/>
      <c r="G50" s="41"/>
      <c r="H50" s="23" t="e">
        <f t="shared" si="0"/>
        <v>#DIV/0!</v>
      </c>
      <c r="I50" s="23">
        <f t="shared" si="1"/>
        <v>0</v>
      </c>
      <c r="J50" s="23">
        <f t="shared" si="2"/>
        <v>0</v>
      </c>
      <c r="K50" s="23">
        <f t="shared" si="3"/>
        <v>0</v>
      </c>
      <c r="L50" s="23">
        <f t="shared" si="4"/>
        <v>0</v>
      </c>
      <c r="M50" s="23" t="e">
        <f t="shared" si="5"/>
        <v>#DIV/0!</v>
      </c>
      <c r="N50" s="23">
        <f t="shared" si="6"/>
        <v>0</v>
      </c>
      <c r="O50" s="23">
        <f t="shared" si="7"/>
        <v>0</v>
      </c>
    </row>
    <row r="51" spans="2:15" ht="14.25" customHeight="1" x14ac:dyDescent="0.25">
      <c r="B51" s="17">
        <v>44</v>
      </c>
      <c r="C51" s="41"/>
      <c r="D51" s="41"/>
      <c r="E51" s="41"/>
      <c r="F51" s="41"/>
      <c r="G51" s="41"/>
      <c r="H51" s="23" t="e">
        <f t="shared" si="0"/>
        <v>#DIV/0!</v>
      </c>
      <c r="I51" s="23">
        <f t="shared" si="1"/>
        <v>0</v>
      </c>
      <c r="J51" s="23">
        <f t="shared" si="2"/>
        <v>0</v>
      </c>
      <c r="K51" s="23">
        <f t="shared" si="3"/>
        <v>0</v>
      </c>
      <c r="L51" s="23">
        <f t="shared" si="4"/>
        <v>0</v>
      </c>
      <c r="M51" s="23" t="e">
        <f t="shared" si="5"/>
        <v>#DIV/0!</v>
      </c>
      <c r="N51" s="23">
        <f t="shared" si="6"/>
        <v>0</v>
      </c>
      <c r="O51" s="23">
        <f t="shared" si="7"/>
        <v>0</v>
      </c>
    </row>
    <row r="52" spans="2:15" ht="14.25" customHeight="1" x14ac:dyDescent="0.25">
      <c r="B52" s="17">
        <v>45</v>
      </c>
      <c r="C52" s="41"/>
      <c r="D52" s="41"/>
      <c r="E52" s="41"/>
      <c r="F52" s="41"/>
      <c r="G52" s="41"/>
      <c r="H52" s="23" t="e">
        <f t="shared" si="0"/>
        <v>#DIV/0!</v>
      </c>
      <c r="I52" s="23">
        <f t="shared" si="1"/>
        <v>0</v>
      </c>
      <c r="J52" s="23">
        <f t="shared" si="2"/>
        <v>0</v>
      </c>
      <c r="K52" s="23">
        <f t="shared" si="3"/>
        <v>0</v>
      </c>
      <c r="L52" s="23">
        <f t="shared" si="4"/>
        <v>0</v>
      </c>
      <c r="M52" s="23" t="e">
        <f t="shared" si="5"/>
        <v>#DIV/0!</v>
      </c>
      <c r="N52" s="23">
        <f t="shared" si="6"/>
        <v>0</v>
      </c>
      <c r="O52" s="23">
        <f t="shared" si="7"/>
        <v>0</v>
      </c>
    </row>
    <row r="53" spans="2:15" ht="14.25" customHeight="1" x14ac:dyDescent="0.25">
      <c r="B53" s="17">
        <v>46</v>
      </c>
      <c r="C53" s="41"/>
      <c r="D53" s="41"/>
      <c r="E53" s="41"/>
      <c r="F53" s="41"/>
      <c r="G53" s="41"/>
      <c r="H53" s="23" t="e">
        <f t="shared" si="0"/>
        <v>#DIV/0!</v>
      </c>
      <c r="I53" s="23">
        <f t="shared" si="1"/>
        <v>0</v>
      </c>
      <c r="J53" s="23">
        <f t="shared" si="2"/>
        <v>0</v>
      </c>
      <c r="K53" s="23">
        <f t="shared" si="3"/>
        <v>0</v>
      </c>
      <c r="L53" s="23">
        <f t="shared" si="4"/>
        <v>0</v>
      </c>
      <c r="M53" s="23" t="e">
        <f t="shared" si="5"/>
        <v>#DIV/0!</v>
      </c>
      <c r="N53" s="23">
        <f t="shared" si="6"/>
        <v>0</v>
      </c>
      <c r="O53" s="23">
        <f t="shared" si="7"/>
        <v>0</v>
      </c>
    </row>
    <row r="54" spans="2:15" ht="14.25" customHeight="1" x14ac:dyDescent="0.25">
      <c r="B54" s="17">
        <v>47</v>
      </c>
      <c r="C54" s="41"/>
      <c r="D54" s="41"/>
      <c r="E54" s="41"/>
      <c r="F54" s="41"/>
      <c r="G54" s="41"/>
      <c r="H54" s="23" t="e">
        <f t="shared" si="0"/>
        <v>#DIV/0!</v>
      </c>
      <c r="I54" s="23">
        <f t="shared" si="1"/>
        <v>0</v>
      </c>
      <c r="J54" s="23">
        <f t="shared" si="2"/>
        <v>0</v>
      </c>
      <c r="K54" s="23">
        <f t="shared" si="3"/>
        <v>0</v>
      </c>
      <c r="L54" s="23">
        <f t="shared" si="4"/>
        <v>0</v>
      </c>
      <c r="M54" s="23" t="e">
        <f t="shared" si="5"/>
        <v>#DIV/0!</v>
      </c>
      <c r="N54" s="23">
        <f t="shared" si="6"/>
        <v>0</v>
      </c>
      <c r="O54" s="23">
        <f t="shared" si="7"/>
        <v>0</v>
      </c>
    </row>
    <row r="55" spans="2:15" ht="14.25" customHeight="1" x14ac:dyDescent="0.25">
      <c r="B55" s="17">
        <v>48</v>
      </c>
      <c r="C55" s="41"/>
      <c r="D55" s="41"/>
      <c r="E55" s="41"/>
      <c r="F55" s="41"/>
      <c r="G55" s="41"/>
      <c r="H55" s="23" t="e">
        <f t="shared" si="0"/>
        <v>#DIV/0!</v>
      </c>
      <c r="I55" s="23">
        <f t="shared" si="1"/>
        <v>0</v>
      </c>
      <c r="J55" s="23">
        <f t="shared" si="2"/>
        <v>0</v>
      </c>
      <c r="K55" s="23">
        <f t="shared" si="3"/>
        <v>0</v>
      </c>
      <c r="L55" s="23">
        <f t="shared" si="4"/>
        <v>0</v>
      </c>
      <c r="M55" s="23" t="e">
        <f t="shared" si="5"/>
        <v>#DIV/0!</v>
      </c>
      <c r="N55" s="23">
        <f t="shared" si="6"/>
        <v>0</v>
      </c>
      <c r="O55" s="23">
        <f t="shared" si="7"/>
        <v>0</v>
      </c>
    </row>
    <row r="56" spans="2:15" ht="14.25" customHeight="1" x14ac:dyDescent="0.25">
      <c r="B56" s="17">
        <v>49</v>
      </c>
      <c r="C56" s="41"/>
      <c r="D56" s="41"/>
      <c r="E56" s="41"/>
      <c r="F56" s="41"/>
      <c r="G56" s="41"/>
      <c r="H56" s="23" t="e">
        <f t="shared" si="0"/>
        <v>#DIV/0!</v>
      </c>
      <c r="I56" s="23">
        <f t="shared" si="1"/>
        <v>0</v>
      </c>
      <c r="J56" s="23">
        <f t="shared" si="2"/>
        <v>0</v>
      </c>
      <c r="K56" s="23">
        <f t="shared" si="3"/>
        <v>0</v>
      </c>
      <c r="L56" s="23">
        <f t="shared" si="4"/>
        <v>0</v>
      </c>
      <c r="M56" s="23" t="e">
        <f t="shared" si="5"/>
        <v>#DIV/0!</v>
      </c>
      <c r="N56" s="23">
        <f t="shared" si="6"/>
        <v>0</v>
      </c>
      <c r="O56" s="23">
        <f t="shared" si="7"/>
        <v>0</v>
      </c>
    </row>
    <row r="57" spans="2:15" ht="14.25" customHeight="1" x14ac:dyDescent="0.25">
      <c r="B57" s="17">
        <v>50</v>
      </c>
      <c r="C57" s="41"/>
      <c r="D57" s="41"/>
      <c r="E57" s="41"/>
      <c r="F57" s="41"/>
      <c r="G57" s="41"/>
      <c r="H57" s="23" t="e">
        <f t="shared" si="0"/>
        <v>#DIV/0!</v>
      </c>
      <c r="I57" s="23">
        <f t="shared" si="1"/>
        <v>0</v>
      </c>
      <c r="J57" s="23">
        <f t="shared" si="2"/>
        <v>0</v>
      </c>
      <c r="K57" s="23">
        <f t="shared" si="3"/>
        <v>0</v>
      </c>
      <c r="L57" s="23">
        <f t="shared" si="4"/>
        <v>0</v>
      </c>
      <c r="M57" s="23" t="e">
        <f t="shared" si="5"/>
        <v>#DIV/0!</v>
      </c>
      <c r="N57" s="23">
        <f t="shared" si="6"/>
        <v>0</v>
      </c>
      <c r="O57" s="23">
        <f t="shared" si="7"/>
        <v>0</v>
      </c>
    </row>
    <row r="58" spans="2:15" ht="14.25" customHeight="1" x14ac:dyDescent="0.25">
      <c r="B58" s="42"/>
      <c r="C58" s="42"/>
      <c r="D58" s="42"/>
      <c r="E58" s="42"/>
      <c r="F58" s="42"/>
      <c r="G58" s="42"/>
      <c r="H58" s="42"/>
      <c r="I58" s="42"/>
      <c r="J58" s="42"/>
      <c r="K58" s="42"/>
      <c r="L58" s="42"/>
      <c r="M58" s="42"/>
      <c r="N58" s="42"/>
      <c r="O58" s="42"/>
    </row>
    <row r="59" spans="2:15" ht="14.25" customHeight="1" x14ac:dyDescent="0.25"/>
    <row r="60" spans="2:15" ht="14.25" customHeight="1" x14ac:dyDescent="0.25"/>
    <row r="61" spans="2:15" ht="14.25" customHeight="1" x14ac:dyDescent="0.25"/>
    <row r="62" spans="2:15" ht="14.25" customHeight="1" x14ac:dyDescent="0.25"/>
    <row r="63" spans="2:15" ht="14.25" customHeight="1" x14ac:dyDescent="0.25"/>
    <row r="64" spans="2: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6">
    <mergeCell ref="C32:G32"/>
    <mergeCell ref="C2:H2"/>
    <mergeCell ref="C3:H3"/>
    <mergeCell ref="I3:N3"/>
    <mergeCell ref="B21:O22"/>
    <mergeCell ref="B23:B30"/>
  </mergeCells>
  <conditionalFormatting sqref="H33:H57">
    <cfRule type="cellIs" dxfId="20" priority="1" operator="greaterThan">
      <formula>$N$33</formula>
    </cfRule>
    <cfRule type="cellIs" dxfId="19" priority="2" operator="lessThan">
      <formula>$O$33</formula>
    </cfRule>
  </conditionalFormatting>
  <conditionalFormatting sqref="I33:I57">
    <cfRule type="cellIs" dxfId="18" priority="3" operator="greaterThan">
      <formula>$K$33</formula>
    </cfRule>
    <cfRule type="cellIs" dxfId="17" priority="4" operator="lessThan">
      <formula>$L$33</formula>
    </cfRule>
  </conditionalFormatting>
  <pageMargins left="0.7" right="0.7" top="0.75" bottom="0.75" header="0" footer="0"/>
  <pageSetup orientation="portrait"/>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472C4"/>
  </sheetPr>
  <dimension ref="A1:Z1000"/>
  <sheetViews>
    <sheetView showGridLines="0" zoomScale="75" workbookViewId="0">
      <selection activeCell="L17" sqref="L17"/>
    </sheetView>
  </sheetViews>
  <sheetFormatPr defaultColWidth="14.42578125" defaultRowHeight="15" customHeight="1" x14ac:dyDescent="0.25"/>
  <cols>
    <col min="1" max="1" width="8.7109375" customWidth="1"/>
    <col min="2" max="11" width="12.42578125" customWidth="1"/>
    <col min="12" max="26" width="12.5703125" customWidth="1"/>
  </cols>
  <sheetData>
    <row r="1" spans="2:11" ht="14.25" customHeight="1" x14ac:dyDescent="0.25"/>
    <row r="2" spans="2:11" ht="14.25" customHeight="1" x14ac:dyDescent="0.25">
      <c r="B2" s="1" t="s">
        <v>84</v>
      </c>
      <c r="C2" s="146"/>
      <c r="D2" s="147"/>
      <c r="E2" s="147"/>
      <c r="F2" s="147"/>
    </row>
    <row r="3" spans="2:11" ht="14.25" customHeight="1" x14ac:dyDescent="0.25">
      <c r="B3" s="3" t="s">
        <v>102</v>
      </c>
    </row>
    <row r="4" spans="2:11" ht="14.25" customHeight="1" x14ac:dyDescent="0.25">
      <c r="B4" s="148" t="s">
        <v>157</v>
      </c>
      <c r="C4" s="113"/>
      <c r="D4" s="113"/>
      <c r="E4" s="113"/>
      <c r="G4" s="148" t="s">
        <v>158</v>
      </c>
      <c r="H4" s="113"/>
      <c r="I4" s="113"/>
      <c r="J4" s="113"/>
      <c r="K4" s="113"/>
    </row>
    <row r="5" spans="2:11" ht="14.25" customHeight="1" x14ac:dyDescent="0.25">
      <c r="B5" s="145" t="s">
        <v>106</v>
      </c>
      <c r="C5" s="113"/>
      <c r="D5" s="113"/>
      <c r="E5" s="113"/>
      <c r="F5" s="17"/>
      <c r="G5" s="145" t="s">
        <v>106</v>
      </c>
      <c r="H5" s="113"/>
      <c r="I5" s="113"/>
      <c r="J5" s="113"/>
      <c r="K5" s="17"/>
    </row>
    <row r="6" spans="2:11" ht="14.25" customHeight="1" x14ac:dyDescent="0.25">
      <c r="B6" s="145" t="s">
        <v>107</v>
      </c>
      <c r="C6" s="113"/>
      <c r="D6" s="113"/>
      <c r="E6" s="113"/>
      <c r="F6" s="17"/>
      <c r="G6" s="145" t="s">
        <v>107</v>
      </c>
      <c r="H6" s="113"/>
      <c r="I6" s="113"/>
      <c r="J6" s="113"/>
      <c r="K6" s="17"/>
    </row>
    <row r="7" spans="2:11" ht="14.25" customHeight="1" x14ac:dyDescent="0.25">
      <c r="B7" s="149" t="s">
        <v>108</v>
      </c>
      <c r="C7" s="113"/>
      <c r="D7" s="113"/>
      <c r="E7" s="113"/>
      <c r="F7" s="17"/>
      <c r="G7" s="149" t="s">
        <v>108</v>
      </c>
      <c r="H7" s="113"/>
      <c r="I7" s="113"/>
      <c r="J7" s="113"/>
      <c r="K7" s="17"/>
    </row>
    <row r="8" spans="2:11" ht="14.25" customHeight="1" x14ac:dyDescent="0.25">
      <c r="B8" s="149" t="s">
        <v>109</v>
      </c>
      <c r="C8" s="113"/>
      <c r="D8" s="113"/>
      <c r="E8" s="113"/>
      <c r="F8" s="17"/>
      <c r="G8" s="149" t="s">
        <v>109</v>
      </c>
      <c r="H8" s="113"/>
      <c r="I8" s="113"/>
      <c r="J8" s="113"/>
      <c r="K8" s="17"/>
    </row>
    <row r="9" spans="2:11" ht="14.25" customHeight="1" x14ac:dyDescent="0.25">
      <c r="B9" s="149" t="s">
        <v>110</v>
      </c>
      <c r="C9" s="113"/>
      <c r="D9" s="113"/>
      <c r="E9" s="113"/>
      <c r="F9" s="17"/>
      <c r="G9" s="149" t="s">
        <v>110</v>
      </c>
      <c r="H9" s="113"/>
      <c r="I9" s="113"/>
      <c r="J9" s="113"/>
      <c r="K9" s="17"/>
    </row>
    <row r="10" spans="2:11" ht="14.25" customHeight="1" x14ac:dyDescent="0.25"/>
    <row r="11" spans="2:11" ht="14.25" customHeight="1" x14ac:dyDescent="0.25"/>
    <row r="12" spans="2:11" ht="14.25" customHeight="1" x14ac:dyDescent="0.25"/>
    <row r="13" spans="2:11" ht="14.25" customHeight="1" x14ac:dyDescent="0.25"/>
    <row r="14" spans="2:11" ht="14.25" customHeight="1" x14ac:dyDescent="0.25"/>
    <row r="15" spans="2:11" ht="14.25" customHeight="1" x14ac:dyDescent="0.25"/>
    <row r="16" spans="2:11" ht="14.25" customHeight="1" x14ac:dyDescent="0.25"/>
    <row r="17" spans="2:11" ht="14.25" customHeight="1" x14ac:dyDescent="0.25"/>
    <row r="18" spans="2:11" ht="14.25" customHeight="1" x14ac:dyDescent="0.25"/>
    <row r="19" spans="2:11" ht="14.25" customHeight="1" x14ac:dyDescent="0.25"/>
    <row r="20" spans="2:11" ht="14.25" customHeight="1" x14ac:dyDescent="0.25"/>
    <row r="21" spans="2:11" ht="14.25" customHeight="1" x14ac:dyDescent="0.25"/>
    <row r="22" spans="2:11" ht="14.25" customHeight="1" x14ac:dyDescent="0.25"/>
    <row r="23" spans="2:11" ht="14.25" customHeight="1" x14ac:dyDescent="0.25"/>
    <row r="24" spans="2:11" ht="14.25" customHeight="1" x14ac:dyDescent="0.25"/>
    <row r="25" spans="2:11" ht="14.25" customHeight="1" x14ac:dyDescent="0.25"/>
    <row r="26" spans="2:11" ht="14.25" customHeight="1" x14ac:dyDescent="0.25"/>
    <row r="27" spans="2:11" ht="14.25" customHeight="1" x14ac:dyDescent="0.25">
      <c r="B27" s="150" t="s">
        <v>159</v>
      </c>
      <c r="C27" s="151"/>
      <c r="D27" s="151"/>
      <c r="E27" s="151"/>
      <c r="F27" s="151"/>
      <c r="G27" s="151"/>
      <c r="H27" s="151"/>
      <c r="I27" s="151"/>
      <c r="J27" s="151"/>
      <c r="K27" s="151"/>
    </row>
    <row r="28" spans="2:11" ht="14.25" customHeight="1" x14ac:dyDescent="0.25">
      <c r="B28" s="113"/>
      <c r="C28" s="113"/>
      <c r="D28" s="113"/>
      <c r="E28" s="113"/>
      <c r="F28" s="113"/>
      <c r="G28" s="113"/>
      <c r="H28" s="113"/>
      <c r="I28" s="113"/>
      <c r="J28" s="113"/>
      <c r="K28" s="113"/>
    </row>
    <row r="29" spans="2:11" ht="14.25" customHeight="1" x14ac:dyDescent="0.25">
      <c r="B29" s="152" t="s">
        <v>112</v>
      </c>
      <c r="C29" s="32" t="s">
        <v>113</v>
      </c>
      <c r="D29" s="33"/>
      <c r="E29" s="34"/>
      <c r="F29" s="34"/>
      <c r="G29" s="34"/>
      <c r="H29" s="34"/>
      <c r="I29" s="34"/>
      <c r="J29" s="34"/>
      <c r="K29" s="34"/>
    </row>
    <row r="30" spans="2:11" ht="14.25" customHeight="1" x14ac:dyDescent="0.25">
      <c r="B30" s="113"/>
      <c r="C30" s="17" t="s">
        <v>54</v>
      </c>
      <c r="D30" s="14">
        <v>2</v>
      </c>
      <c r="E30" s="14"/>
      <c r="F30" s="14"/>
      <c r="G30" s="14"/>
      <c r="H30" s="14"/>
      <c r="I30" s="14"/>
      <c r="J30" s="14"/>
      <c r="K30" s="14"/>
    </row>
    <row r="31" spans="2:11" ht="14.25" customHeight="1" x14ac:dyDescent="0.25">
      <c r="B31" s="113"/>
      <c r="C31" s="17" t="s">
        <v>160</v>
      </c>
      <c r="D31" s="36" t="e">
        <f>AVERAGE(C42:C66)</f>
        <v>#DIV/0!</v>
      </c>
      <c r="E31" s="37"/>
      <c r="F31" s="37"/>
      <c r="G31" s="37"/>
      <c r="H31" s="37"/>
      <c r="I31" s="37"/>
      <c r="J31" s="37"/>
      <c r="K31" s="37"/>
    </row>
    <row r="32" spans="2:11" ht="14.25" customHeight="1" x14ac:dyDescent="0.25">
      <c r="B32" s="113"/>
      <c r="C32" s="17" t="s">
        <v>161</v>
      </c>
      <c r="D32" s="36" t="e">
        <f>AVERAGE(E43:E66)</f>
        <v>#DIV/0!</v>
      </c>
      <c r="E32" s="37"/>
      <c r="F32" s="37"/>
      <c r="G32" s="37"/>
      <c r="H32" s="37"/>
      <c r="I32" s="37"/>
      <c r="J32" s="37"/>
      <c r="K32" s="37"/>
    </row>
    <row r="33" spans="1:26" ht="14.25" customHeight="1" x14ac:dyDescent="0.25">
      <c r="B33" s="113"/>
      <c r="C33" s="17" t="s">
        <v>162</v>
      </c>
      <c r="D33" s="36" t="e">
        <f>D38*D32</f>
        <v>#DIV/0!</v>
      </c>
      <c r="E33" s="37"/>
      <c r="F33" s="37"/>
      <c r="G33" s="37"/>
      <c r="H33" s="37"/>
      <c r="I33" s="37"/>
      <c r="J33" s="37"/>
      <c r="K33" s="37"/>
    </row>
    <row r="34" spans="1:26" ht="14.25" customHeight="1" x14ac:dyDescent="0.25">
      <c r="B34" s="113"/>
      <c r="C34" s="17" t="s">
        <v>163</v>
      </c>
      <c r="D34" s="36" t="e">
        <f>D39*D32</f>
        <v>#DIV/0!</v>
      </c>
      <c r="E34" s="37"/>
      <c r="F34" s="37"/>
      <c r="G34" s="37"/>
      <c r="H34" s="37"/>
      <c r="I34" s="37"/>
      <c r="J34" s="37"/>
      <c r="K34" s="37"/>
    </row>
    <row r="35" spans="1:26" ht="14.25" customHeight="1" x14ac:dyDescent="0.25">
      <c r="B35" s="113"/>
      <c r="C35" s="17" t="s">
        <v>164</v>
      </c>
      <c r="D35" s="36" t="e">
        <f>D31+(3*D32/D37)</f>
        <v>#DIV/0!</v>
      </c>
      <c r="E35" s="37"/>
      <c r="F35" s="37"/>
      <c r="G35" s="37"/>
      <c r="H35" s="37"/>
      <c r="I35" s="37"/>
      <c r="J35" s="37"/>
      <c r="K35" s="37"/>
    </row>
    <row r="36" spans="1:26" ht="14.25" customHeight="1" x14ac:dyDescent="0.25">
      <c r="B36" s="113"/>
      <c r="C36" s="17" t="s">
        <v>165</v>
      </c>
      <c r="D36" s="84" t="e">
        <f>D31-(3*D32/D37)</f>
        <v>#DIV/0!</v>
      </c>
      <c r="E36" s="37"/>
      <c r="F36" s="37"/>
      <c r="G36" s="37"/>
      <c r="H36" s="37"/>
      <c r="I36" s="37"/>
      <c r="J36" s="37"/>
      <c r="K36" s="37"/>
    </row>
    <row r="37" spans="1:26" ht="14.25" customHeight="1" x14ac:dyDescent="0.25">
      <c r="B37" s="113"/>
      <c r="C37" s="17" t="s">
        <v>63</v>
      </c>
      <c r="D37" s="37">
        <f t="array" ref="D37">INDEX('Tabel Faktor'!$A$1:$Q$25,MATCH(D30,'Tabel Faktor'!$A$1:$A$25,0),MATCH(C37,'Tabel Faktor'!$A$1:$Q$1,0))</f>
        <v>1.1279999999999999</v>
      </c>
      <c r="E37" s="37"/>
      <c r="F37" s="37"/>
      <c r="G37" s="37"/>
      <c r="H37" s="37"/>
      <c r="I37" s="37"/>
      <c r="J37" s="37"/>
      <c r="K37" s="37"/>
    </row>
    <row r="38" spans="1:26" ht="14.25" customHeight="1" x14ac:dyDescent="0.25">
      <c r="B38" s="113"/>
      <c r="C38" s="17" t="s">
        <v>69</v>
      </c>
      <c r="D38" s="37">
        <f t="array" ref="D38">INDEX('Tabel Faktor'!$A$1:$Q$25,MATCH(D30,'Tabel Faktor'!$A$1:$A$25,0),MATCH(C38,'Tabel Faktor'!$A$1:$Q$1,0))</f>
        <v>3.2669999999999999</v>
      </c>
      <c r="E38" s="37"/>
      <c r="F38" s="37"/>
      <c r="G38" s="37"/>
      <c r="H38" s="37"/>
      <c r="I38" s="37"/>
      <c r="J38" s="37"/>
      <c r="K38" s="37"/>
    </row>
    <row r="39" spans="1:26" ht="14.25" customHeight="1" x14ac:dyDescent="0.25">
      <c r="B39" s="147"/>
      <c r="C39" s="38" t="s">
        <v>68</v>
      </c>
      <c r="D39" s="39">
        <f t="array" ref="D39">INDEX('Tabel Faktor'!$A$1:$Q$25,MATCH(D30,'Tabel Faktor'!$A$1:$A$25,0),MATCH(C39,'Tabel Faktor'!$A$1:$Q$1,0))</f>
        <v>0</v>
      </c>
      <c r="E39" s="40"/>
      <c r="F39" s="40"/>
      <c r="G39" s="40"/>
      <c r="H39" s="40"/>
      <c r="I39" s="40"/>
      <c r="J39" s="40"/>
      <c r="K39" s="63"/>
      <c r="L39" s="64"/>
      <c r="M39" s="64"/>
    </row>
    <row r="40" spans="1:26" ht="14.25" customHeight="1" x14ac:dyDescent="0.25">
      <c r="B40" s="17"/>
      <c r="C40" s="17"/>
      <c r="D40" s="17"/>
      <c r="E40" s="17"/>
      <c r="F40" s="17"/>
      <c r="G40" s="17"/>
      <c r="H40" s="17"/>
      <c r="I40" s="17"/>
      <c r="J40" s="17"/>
      <c r="K40" s="65"/>
      <c r="L40" s="66"/>
      <c r="M40" s="66"/>
    </row>
    <row r="41" spans="1:26" ht="14.25" customHeight="1" x14ac:dyDescent="0.25">
      <c r="A41" s="16"/>
      <c r="B41" s="19" t="s">
        <v>29</v>
      </c>
      <c r="C41" s="20" t="s">
        <v>30</v>
      </c>
      <c r="D41" s="19" t="s">
        <v>166</v>
      </c>
      <c r="E41" s="19" t="s">
        <v>89</v>
      </c>
      <c r="F41" s="19" t="s">
        <v>167</v>
      </c>
      <c r="G41" s="19" t="s">
        <v>162</v>
      </c>
      <c r="H41" s="19" t="s">
        <v>163</v>
      </c>
      <c r="I41" s="19" t="s">
        <v>168</v>
      </c>
      <c r="J41" s="19" t="s">
        <v>164</v>
      </c>
      <c r="K41" s="51" t="s">
        <v>165</v>
      </c>
      <c r="L41" s="67" t="s">
        <v>169</v>
      </c>
      <c r="M41" s="67" t="s">
        <v>170</v>
      </c>
      <c r="N41" s="16"/>
      <c r="O41" s="16"/>
      <c r="P41" s="16"/>
      <c r="Q41" s="16"/>
      <c r="R41" s="16"/>
      <c r="S41" s="16"/>
      <c r="T41" s="16"/>
      <c r="U41" s="16"/>
      <c r="V41" s="16"/>
      <c r="W41" s="16"/>
      <c r="X41" s="16"/>
      <c r="Y41" s="16"/>
      <c r="Z41" s="16"/>
    </row>
    <row r="42" spans="1:26" ht="14.25" customHeight="1" x14ac:dyDescent="0.25">
      <c r="B42" s="17">
        <v>1</v>
      </c>
      <c r="C42" s="41"/>
      <c r="D42" s="23">
        <f>C42</f>
        <v>0</v>
      </c>
      <c r="E42" s="41"/>
      <c r="F42" s="23" t="e">
        <f t="shared" ref="F42:F66" si="0">$D$32</f>
        <v>#DIV/0!</v>
      </c>
      <c r="G42" s="23" t="e">
        <f t="shared" ref="G42:G66" si="1">$D$33</f>
        <v>#DIV/0!</v>
      </c>
      <c r="H42" s="23" t="e">
        <f t="shared" ref="H42:H66" si="2">$D$34</f>
        <v>#DIV/0!</v>
      </c>
      <c r="I42" s="23" t="e">
        <f t="shared" ref="I42:I66" si="3">$D$31</f>
        <v>#DIV/0!</v>
      </c>
      <c r="J42" s="23" t="e">
        <f t="shared" ref="J42:J66" si="4">$D$35</f>
        <v>#DIV/0!</v>
      </c>
      <c r="K42" s="23" t="e">
        <f>$D$36</f>
        <v>#DIV/0!</v>
      </c>
      <c r="L42" s="62" t="e">
        <f>I42+(J42-I42)/2</f>
        <v>#DIV/0!</v>
      </c>
      <c r="M42" s="62" t="e">
        <f>I42-(I42-K42)/2</f>
        <v>#DIV/0!</v>
      </c>
    </row>
    <row r="43" spans="1:26" ht="14.25" customHeight="1" x14ac:dyDescent="0.25">
      <c r="B43" s="17">
        <v>2</v>
      </c>
      <c r="C43" s="41"/>
      <c r="D43" s="23">
        <f t="shared" ref="D43:D66" si="5">C43</f>
        <v>0</v>
      </c>
      <c r="E43" s="41"/>
      <c r="F43" s="23" t="e">
        <f t="shared" si="0"/>
        <v>#DIV/0!</v>
      </c>
      <c r="G43" s="23" t="e">
        <f t="shared" si="1"/>
        <v>#DIV/0!</v>
      </c>
      <c r="H43" s="23" t="e">
        <f t="shared" si="2"/>
        <v>#DIV/0!</v>
      </c>
      <c r="I43" s="23" t="e">
        <f t="shared" si="3"/>
        <v>#DIV/0!</v>
      </c>
      <c r="J43" s="23" t="e">
        <f t="shared" si="4"/>
        <v>#DIV/0!</v>
      </c>
      <c r="K43" s="23" t="e">
        <f t="shared" ref="K43:K66" si="6">$D$36</f>
        <v>#DIV/0!</v>
      </c>
      <c r="L43" s="62" t="e">
        <f>L42</f>
        <v>#DIV/0!</v>
      </c>
      <c r="M43" s="62" t="e">
        <f>M42</f>
        <v>#DIV/0!</v>
      </c>
    </row>
    <row r="44" spans="1:26" ht="14.25" customHeight="1" x14ac:dyDescent="0.25">
      <c r="B44" s="17">
        <v>3</v>
      </c>
      <c r="C44" s="41"/>
      <c r="D44" s="23">
        <f t="shared" si="5"/>
        <v>0</v>
      </c>
      <c r="E44" s="41"/>
      <c r="F44" s="23" t="e">
        <f t="shared" si="0"/>
        <v>#DIV/0!</v>
      </c>
      <c r="G44" s="23" t="e">
        <f t="shared" si="1"/>
        <v>#DIV/0!</v>
      </c>
      <c r="H44" s="23" t="e">
        <f t="shared" si="2"/>
        <v>#DIV/0!</v>
      </c>
      <c r="I44" s="23" t="e">
        <f t="shared" si="3"/>
        <v>#DIV/0!</v>
      </c>
      <c r="J44" s="23" t="e">
        <f t="shared" si="4"/>
        <v>#DIV/0!</v>
      </c>
      <c r="K44" s="23" t="e">
        <f t="shared" si="6"/>
        <v>#DIV/0!</v>
      </c>
      <c r="L44" s="62" t="e">
        <f t="shared" ref="L44:M59" si="7">L43</f>
        <v>#DIV/0!</v>
      </c>
      <c r="M44" s="62" t="e">
        <f t="shared" si="7"/>
        <v>#DIV/0!</v>
      </c>
    </row>
    <row r="45" spans="1:26" ht="14.25" customHeight="1" x14ac:dyDescent="0.25">
      <c r="B45" s="17">
        <v>4</v>
      </c>
      <c r="C45" s="41"/>
      <c r="D45" s="23">
        <f t="shared" si="5"/>
        <v>0</v>
      </c>
      <c r="E45" s="41"/>
      <c r="F45" s="23" t="e">
        <f t="shared" si="0"/>
        <v>#DIV/0!</v>
      </c>
      <c r="G45" s="23" t="e">
        <f t="shared" si="1"/>
        <v>#DIV/0!</v>
      </c>
      <c r="H45" s="23" t="e">
        <f t="shared" si="2"/>
        <v>#DIV/0!</v>
      </c>
      <c r="I45" s="23" t="e">
        <f t="shared" si="3"/>
        <v>#DIV/0!</v>
      </c>
      <c r="J45" s="23" t="e">
        <f t="shared" si="4"/>
        <v>#DIV/0!</v>
      </c>
      <c r="K45" s="23" t="e">
        <f t="shared" si="6"/>
        <v>#DIV/0!</v>
      </c>
      <c r="L45" s="62" t="e">
        <f t="shared" si="7"/>
        <v>#DIV/0!</v>
      </c>
      <c r="M45" s="62" t="e">
        <f t="shared" si="7"/>
        <v>#DIV/0!</v>
      </c>
    </row>
    <row r="46" spans="1:26" ht="14.25" customHeight="1" x14ac:dyDescent="0.25">
      <c r="B46" s="17">
        <v>5</v>
      </c>
      <c r="C46" s="41"/>
      <c r="D46" s="23">
        <f t="shared" si="5"/>
        <v>0</v>
      </c>
      <c r="E46" s="41"/>
      <c r="F46" s="23" t="e">
        <f t="shared" si="0"/>
        <v>#DIV/0!</v>
      </c>
      <c r="G46" s="23" t="e">
        <f t="shared" si="1"/>
        <v>#DIV/0!</v>
      </c>
      <c r="H46" s="23" t="e">
        <f t="shared" si="2"/>
        <v>#DIV/0!</v>
      </c>
      <c r="I46" s="23" t="e">
        <f t="shared" si="3"/>
        <v>#DIV/0!</v>
      </c>
      <c r="J46" s="23" t="e">
        <f t="shared" si="4"/>
        <v>#DIV/0!</v>
      </c>
      <c r="K46" s="23" t="e">
        <f t="shared" si="6"/>
        <v>#DIV/0!</v>
      </c>
      <c r="L46" s="62" t="e">
        <f t="shared" si="7"/>
        <v>#DIV/0!</v>
      </c>
      <c r="M46" s="62" t="e">
        <f t="shared" si="7"/>
        <v>#DIV/0!</v>
      </c>
    </row>
    <row r="47" spans="1:26" ht="14.25" customHeight="1" x14ac:dyDescent="0.25">
      <c r="B47" s="17">
        <v>6</v>
      </c>
      <c r="C47" s="41"/>
      <c r="D47" s="23">
        <f t="shared" si="5"/>
        <v>0</v>
      </c>
      <c r="E47" s="41"/>
      <c r="F47" s="23" t="e">
        <f t="shared" si="0"/>
        <v>#DIV/0!</v>
      </c>
      <c r="G47" s="23" t="e">
        <f t="shared" si="1"/>
        <v>#DIV/0!</v>
      </c>
      <c r="H47" s="23" t="e">
        <f t="shared" si="2"/>
        <v>#DIV/0!</v>
      </c>
      <c r="I47" s="23" t="e">
        <f t="shared" si="3"/>
        <v>#DIV/0!</v>
      </c>
      <c r="J47" s="23" t="e">
        <f t="shared" si="4"/>
        <v>#DIV/0!</v>
      </c>
      <c r="K47" s="23" t="e">
        <f t="shared" si="6"/>
        <v>#DIV/0!</v>
      </c>
      <c r="L47" s="62" t="e">
        <f t="shared" si="7"/>
        <v>#DIV/0!</v>
      </c>
      <c r="M47" s="62" t="e">
        <f t="shared" si="7"/>
        <v>#DIV/0!</v>
      </c>
    </row>
    <row r="48" spans="1:26" ht="14.25" customHeight="1" x14ac:dyDescent="0.25">
      <c r="B48" s="17">
        <v>7</v>
      </c>
      <c r="C48" s="41"/>
      <c r="D48" s="23">
        <f t="shared" si="5"/>
        <v>0</v>
      </c>
      <c r="E48" s="41"/>
      <c r="F48" s="23" t="e">
        <f t="shared" si="0"/>
        <v>#DIV/0!</v>
      </c>
      <c r="G48" s="23" t="e">
        <f t="shared" si="1"/>
        <v>#DIV/0!</v>
      </c>
      <c r="H48" s="23" t="e">
        <f t="shared" si="2"/>
        <v>#DIV/0!</v>
      </c>
      <c r="I48" s="23" t="e">
        <f t="shared" si="3"/>
        <v>#DIV/0!</v>
      </c>
      <c r="J48" s="23" t="e">
        <f t="shared" si="4"/>
        <v>#DIV/0!</v>
      </c>
      <c r="K48" s="23" t="e">
        <f t="shared" si="6"/>
        <v>#DIV/0!</v>
      </c>
      <c r="L48" s="62" t="e">
        <f t="shared" si="7"/>
        <v>#DIV/0!</v>
      </c>
      <c r="M48" s="62" t="e">
        <f t="shared" si="7"/>
        <v>#DIV/0!</v>
      </c>
    </row>
    <row r="49" spans="2:13" ht="14.25" customHeight="1" x14ac:dyDescent="0.25">
      <c r="B49" s="17">
        <v>8</v>
      </c>
      <c r="C49" s="41"/>
      <c r="D49" s="23">
        <f t="shared" si="5"/>
        <v>0</v>
      </c>
      <c r="E49" s="41"/>
      <c r="F49" s="23" t="e">
        <f t="shared" si="0"/>
        <v>#DIV/0!</v>
      </c>
      <c r="G49" s="23" t="e">
        <f t="shared" si="1"/>
        <v>#DIV/0!</v>
      </c>
      <c r="H49" s="23" t="e">
        <f t="shared" si="2"/>
        <v>#DIV/0!</v>
      </c>
      <c r="I49" s="23" t="e">
        <f t="shared" si="3"/>
        <v>#DIV/0!</v>
      </c>
      <c r="J49" s="23" t="e">
        <f t="shared" si="4"/>
        <v>#DIV/0!</v>
      </c>
      <c r="K49" s="23" t="e">
        <f t="shared" si="6"/>
        <v>#DIV/0!</v>
      </c>
      <c r="L49" s="62" t="e">
        <f t="shared" si="7"/>
        <v>#DIV/0!</v>
      </c>
      <c r="M49" s="62" t="e">
        <f t="shared" si="7"/>
        <v>#DIV/0!</v>
      </c>
    </row>
    <row r="50" spans="2:13" ht="14.25" customHeight="1" x14ac:dyDescent="0.25">
      <c r="B50" s="17">
        <v>9</v>
      </c>
      <c r="C50" s="41"/>
      <c r="D50" s="23">
        <f t="shared" si="5"/>
        <v>0</v>
      </c>
      <c r="E50" s="41"/>
      <c r="F50" s="23" t="e">
        <f t="shared" si="0"/>
        <v>#DIV/0!</v>
      </c>
      <c r="G50" s="23" t="e">
        <f t="shared" si="1"/>
        <v>#DIV/0!</v>
      </c>
      <c r="H50" s="23" t="e">
        <f t="shared" si="2"/>
        <v>#DIV/0!</v>
      </c>
      <c r="I50" s="23" t="e">
        <f t="shared" si="3"/>
        <v>#DIV/0!</v>
      </c>
      <c r="J50" s="23" t="e">
        <f t="shared" si="4"/>
        <v>#DIV/0!</v>
      </c>
      <c r="K50" s="23" t="e">
        <f t="shared" si="6"/>
        <v>#DIV/0!</v>
      </c>
      <c r="L50" s="62" t="e">
        <f t="shared" si="7"/>
        <v>#DIV/0!</v>
      </c>
      <c r="M50" s="62" t="e">
        <f t="shared" si="7"/>
        <v>#DIV/0!</v>
      </c>
    </row>
    <row r="51" spans="2:13" ht="14.25" customHeight="1" x14ac:dyDescent="0.25">
      <c r="B51" s="17">
        <v>10</v>
      </c>
      <c r="C51" s="41"/>
      <c r="D51" s="23">
        <f t="shared" si="5"/>
        <v>0</v>
      </c>
      <c r="E51" s="41"/>
      <c r="F51" s="23" t="e">
        <f t="shared" si="0"/>
        <v>#DIV/0!</v>
      </c>
      <c r="G51" s="23" t="e">
        <f t="shared" si="1"/>
        <v>#DIV/0!</v>
      </c>
      <c r="H51" s="23" t="e">
        <f t="shared" si="2"/>
        <v>#DIV/0!</v>
      </c>
      <c r="I51" s="23" t="e">
        <f t="shared" si="3"/>
        <v>#DIV/0!</v>
      </c>
      <c r="J51" s="23" t="e">
        <f t="shared" si="4"/>
        <v>#DIV/0!</v>
      </c>
      <c r="K51" s="23" t="e">
        <f t="shared" si="6"/>
        <v>#DIV/0!</v>
      </c>
      <c r="L51" s="62" t="e">
        <f t="shared" si="7"/>
        <v>#DIV/0!</v>
      </c>
      <c r="M51" s="62" t="e">
        <f t="shared" si="7"/>
        <v>#DIV/0!</v>
      </c>
    </row>
    <row r="52" spans="2:13" ht="14.25" customHeight="1" x14ac:dyDescent="0.25">
      <c r="B52" s="17">
        <v>11</v>
      </c>
      <c r="C52" s="41"/>
      <c r="D52" s="23">
        <f t="shared" si="5"/>
        <v>0</v>
      </c>
      <c r="E52" s="41"/>
      <c r="F52" s="23" t="e">
        <f t="shared" si="0"/>
        <v>#DIV/0!</v>
      </c>
      <c r="G52" s="23" t="e">
        <f t="shared" si="1"/>
        <v>#DIV/0!</v>
      </c>
      <c r="H52" s="23" t="e">
        <f t="shared" si="2"/>
        <v>#DIV/0!</v>
      </c>
      <c r="I52" s="23" t="e">
        <f t="shared" si="3"/>
        <v>#DIV/0!</v>
      </c>
      <c r="J52" s="23" t="e">
        <f t="shared" si="4"/>
        <v>#DIV/0!</v>
      </c>
      <c r="K52" s="23" t="e">
        <f t="shared" si="6"/>
        <v>#DIV/0!</v>
      </c>
      <c r="L52" s="62" t="e">
        <f t="shared" si="7"/>
        <v>#DIV/0!</v>
      </c>
      <c r="M52" s="62" t="e">
        <f t="shared" si="7"/>
        <v>#DIV/0!</v>
      </c>
    </row>
    <row r="53" spans="2:13" ht="14.25" customHeight="1" x14ac:dyDescent="0.25">
      <c r="B53" s="17">
        <v>12</v>
      </c>
      <c r="C53" s="41"/>
      <c r="D53" s="23">
        <f t="shared" si="5"/>
        <v>0</v>
      </c>
      <c r="E53" s="41"/>
      <c r="F53" s="23" t="e">
        <f t="shared" si="0"/>
        <v>#DIV/0!</v>
      </c>
      <c r="G53" s="23" t="e">
        <f t="shared" si="1"/>
        <v>#DIV/0!</v>
      </c>
      <c r="H53" s="23" t="e">
        <f t="shared" si="2"/>
        <v>#DIV/0!</v>
      </c>
      <c r="I53" s="23" t="e">
        <f t="shared" si="3"/>
        <v>#DIV/0!</v>
      </c>
      <c r="J53" s="23" t="e">
        <f t="shared" si="4"/>
        <v>#DIV/0!</v>
      </c>
      <c r="K53" s="23" t="e">
        <f t="shared" si="6"/>
        <v>#DIV/0!</v>
      </c>
      <c r="L53" s="62" t="e">
        <f t="shared" si="7"/>
        <v>#DIV/0!</v>
      </c>
      <c r="M53" s="62" t="e">
        <f t="shared" si="7"/>
        <v>#DIV/0!</v>
      </c>
    </row>
    <row r="54" spans="2:13" ht="14.25" customHeight="1" x14ac:dyDescent="0.25">
      <c r="B54" s="17">
        <v>13</v>
      </c>
      <c r="C54" s="41"/>
      <c r="D54" s="23">
        <f t="shared" si="5"/>
        <v>0</v>
      </c>
      <c r="E54" s="41"/>
      <c r="F54" s="23" t="e">
        <f t="shared" si="0"/>
        <v>#DIV/0!</v>
      </c>
      <c r="G54" s="23" t="e">
        <f t="shared" si="1"/>
        <v>#DIV/0!</v>
      </c>
      <c r="H54" s="23" t="e">
        <f t="shared" si="2"/>
        <v>#DIV/0!</v>
      </c>
      <c r="I54" s="23" t="e">
        <f t="shared" si="3"/>
        <v>#DIV/0!</v>
      </c>
      <c r="J54" s="23" t="e">
        <f t="shared" si="4"/>
        <v>#DIV/0!</v>
      </c>
      <c r="K54" s="23" t="e">
        <f t="shared" si="6"/>
        <v>#DIV/0!</v>
      </c>
      <c r="L54" s="62" t="e">
        <f t="shared" si="7"/>
        <v>#DIV/0!</v>
      </c>
      <c r="M54" s="62" t="e">
        <f t="shared" si="7"/>
        <v>#DIV/0!</v>
      </c>
    </row>
    <row r="55" spans="2:13" ht="14.25" customHeight="1" x14ac:dyDescent="0.25">
      <c r="B55" s="17">
        <v>14</v>
      </c>
      <c r="C55" s="41"/>
      <c r="D55" s="23">
        <f t="shared" si="5"/>
        <v>0</v>
      </c>
      <c r="E55" s="41"/>
      <c r="F55" s="23" t="e">
        <f t="shared" si="0"/>
        <v>#DIV/0!</v>
      </c>
      <c r="G55" s="23" t="e">
        <f t="shared" si="1"/>
        <v>#DIV/0!</v>
      </c>
      <c r="H55" s="23" t="e">
        <f t="shared" si="2"/>
        <v>#DIV/0!</v>
      </c>
      <c r="I55" s="23" t="e">
        <f t="shared" si="3"/>
        <v>#DIV/0!</v>
      </c>
      <c r="J55" s="23" t="e">
        <f t="shared" si="4"/>
        <v>#DIV/0!</v>
      </c>
      <c r="K55" s="23" t="e">
        <f t="shared" si="6"/>
        <v>#DIV/0!</v>
      </c>
      <c r="L55" s="62" t="e">
        <f t="shared" si="7"/>
        <v>#DIV/0!</v>
      </c>
      <c r="M55" s="62" t="e">
        <f t="shared" si="7"/>
        <v>#DIV/0!</v>
      </c>
    </row>
    <row r="56" spans="2:13" ht="14.25" customHeight="1" x14ac:dyDescent="0.25">
      <c r="B56" s="17">
        <v>15</v>
      </c>
      <c r="C56" s="41"/>
      <c r="D56" s="23">
        <f t="shared" si="5"/>
        <v>0</v>
      </c>
      <c r="E56" s="41"/>
      <c r="F56" s="23" t="e">
        <f t="shared" si="0"/>
        <v>#DIV/0!</v>
      </c>
      <c r="G56" s="23" t="e">
        <f t="shared" si="1"/>
        <v>#DIV/0!</v>
      </c>
      <c r="H56" s="23" t="e">
        <f t="shared" si="2"/>
        <v>#DIV/0!</v>
      </c>
      <c r="I56" s="23" t="e">
        <f t="shared" si="3"/>
        <v>#DIV/0!</v>
      </c>
      <c r="J56" s="23" t="e">
        <f t="shared" si="4"/>
        <v>#DIV/0!</v>
      </c>
      <c r="K56" s="23" t="e">
        <f t="shared" si="6"/>
        <v>#DIV/0!</v>
      </c>
      <c r="L56" s="62" t="e">
        <f t="shared" si="7"/>
        <v>#DIV/0!</v>
      </c>
      <c r="M56" s="62" t="e">
        <f t="shared" si="7"/>
        <v>#DIV/0!</v>
      </c>
    </row>
    <row r="57" spans="2:13" ht="14.25" customHeight="1" x14ac:dyDescent="0.25">
      <c r="B57" s="17">
        <v>16</v>
      </c>
      <c r="C57" s="41"/>
      <c r="D57" s="23">
        <f t="shared" si="5"/>
        <v>0</v>
      </c>
      <c r="E57" s="41"/>
      <c r="F57" s="23" t="e">
        <f t="shared" si="0"/>
        <v>#DIV/0!</v>
      </c>
      <c r="G57" s="23" t="e">
        <f t="shared" si="1"/>
        <v>#DIV/0!</v>
      </c>
      <c r="H57" s="23" t="e">
        <f t="shared" si="2"/>
        <v>#DIV/0!</v>
      </c>
      <c r="I57" s="23" t="e">
        <f t="shared" si="3"/>
        <v>#DIV/0!</v>
      </c>
      <c r="J57" s="23" t="e">
        <f t="shared" si="4"/>
        <v>#DIV/0!</v>
      </c>
      <c r="K57" s="23" t="e">
        <f t="shared" si="6"/>
        <v>#DIV/0!</v>
      </c>
      <c r="L57" s="62" t="e">
        <f t="shared" si="7"/>
        <v>#DIV/0!</v>
      </c>
      <c r="M57" s="62" t="e">
        <f t="shared" si="7"/>
        <v>#DIV/0!</v>
      </c>
    </row>
    <row r="58" spans="2:13" ht="14.25" customHeight="1" x14ac:dyDescent="0.25">
      <c r="B58" s="17">
        <v>17</v>
      </c>
      <c r="C58" s="41"/>
      <c r="D58" s="23">
        <f t="shared" si="5"/>
        <v>0</v>
      </c>
      <c r="E58" s="41"/>
      <c r="F58" s="23" t="e">
        <f t="shared" si="0"/>
        <v>#DIV/0!</v>
      </c>
      <c r="G58" s="23" t="e">
        <f t="shared" si="1"/>
        <v>#DIV/0!</v>
      </c>
      <c r="H58" s="23" t="e">
        <f t="shared" si="2"/>
        <v>#DIV/0!</v>
      </c>
      <c r="I58" s="23" t="e">
        <f t="shared" si="3"/>
        <v>#DIV/0!</v>
      </c>
      <c r="J58" s="23" t="e">
        <f t="shared" si="4"/>
        <v>#DIV/0!</v>
      </c>
      <c r="K58" s="23" t="e">
        <f t="shared" si="6"/>
        <v>#DIV/0!</v>
      </c>
      <c r="L58" s="62" t="e">
        <f t="shared" si="7"/>
        <v>#DIV/0!</v>
      </c>
      <c r="M58" s="62" t="e">
        <f t="shared" si="7"/>
        <v>#DIV/0!</v>
      </c>
    </row>
    <row r="59" spans="2:13" ht="14.25" customHeight="1" x14ac:dyDescent="0.25">
      <c r="B59" s="17">
        <v>18</v>
      </c>
      <c r="C59" s="41"/>
      <c r="D59" s="23">
        <f t="shared" si="5"/>
        <v>0</v>
      </c>
      <c r="E59" s="41"/>
      <c r="F59" s="23" t="e">
        <f t="shared" si="0"/>
        <v>#DIV/0!</v>
      </c>
      <c r="G59" s="23" t="e">
        <f t="shared" si="1"/>
        <v>#DIV/0!</v>
      </c>
      <c r="H59" s="23" t="e">
        <f t="shared" si="2"/>
        <v>#DIV/0!</v>
      </c>
      <c r="I59" s="23" t="e">
        <f t="shared" si="3"/>
        <v>#DIV/0!</v>
      </c>
      <c r="J59" s="23" t="e">
        <f t="shared" si="4"/>
        <v>#DIV/0!</v>
      </c>
      <c r="K59" s="23" t="e">
        <f t="shared" si="6"/>
        <v>#DIV/0!</v>
      </c>
      <c r="L59" s="62" t="e">
        <f t="shared" si="7"/>
        <v>#DIV/0!</v>
      </c>
      <c r="M59" s="62" t="e">
        <f t="shared" si="7"/>
        <v>#DIV/0!</v>
      </c>
    </row>
    <row r="60" spans="2:13" ht="14.25" customHeight="1" x14ac:dyDescent="0.25">
      <c r="B60" s="17">
        <v>19</v>
      </c>
      <c r="C60" s="41"/>
      <c r="D60" s="23">
        <f t="shared" si="5"/>
        <v>0</v>
      </c>
      <c r="E60" s="41"/>
      <c r="F60" s="23" t="e">
        <f t="shared" si="0"/>
        <v>#DIV/0!</v>
      </c>
      <c r="G60" s="23" t="e">
        <f t="shared" si="1"/>
        <v>#DIV/0!</v>
      </c>
      <c r="H60" s="23" t="e">
        <f t="shared" si="2"/>
        <v>#DIV/0!</v>
      </c>
      <c r="I60" s="23" t="e">
        <f t="shared" si="3"/>
        <v>#DIV/0!</v>
      </c>
      <c r="J60" s="23" t="e">
        <f t="shared" si="4"/>
        <v>#DIV/0!</v>
      </c>
      <c r="K60" s="23" t="e">
        <f t="shared" si="6"/>
        <v>#DIV/0!</v>
      </c>
      <c r="L60" s="62" t="e">
        <f t="shared" ref="L60:M66" si="8">L59</f>
        <v>#DIV/0!</v>
      </c>
      <c r="M60" s="62" t="e">
        <f t="shared" si="8"/>
        <v>#DIV/0!</v>
      </c>
    </row>
    <row r="61" spans="2:13" ht="14.25" customHeight="1" x14ac:dyDescent="0.25">
      <c r="B61" s="17">
        <v>20</v>
      </c>
      <c r="C61" s="41"/>
      <c r="D61" s="23">
        <f t="shared" si="5"/>
        <v>0</v>
      </c>
      <c r="E61" s="41"/>
      <c r="F61" s="23" t="e">
        <f t="shared" si="0"/>
        <v>#DIV/0!</v>
      </c>
      <c r="G61" s="23" t="e">
        <f t="shared" si="1"/>
        <v>#DIV/0!</v>
      </c>
      <c r="H61" s="23" t="e">
        <f t="shared" si="2"/>
        <v>#DIV/0!</v>
      </c>
      <c r="I61" s="23" t="e">
        <f t="shared" si="3"/>
        <v>#DIV/0!</v>
      </c>
      <c r="J61" s="23" t="e">
        <f t="shared" si="4"/>
        <v>#DIV/0!</v>
      </c>
      <c r="K61" s="23" t="e">
        <f t="shared" si="6"/>
        <v>#DIV/0!</v>
      </c>
      <c r="L61" s="62" t="e">
        <f t="shared" si="8"/>
        <v>#DIV/0!</v>
      </c>
      <c r="M61" s="62" t="e">
        <f t="shared" si="8"/>
        <v>#DIV/0!</v>
      </c>
    </row>
    <row r="62" spans="2:13" ht="14.25" customHeight="1" x14ac:dyDescent="0.25">
      <c r="B62" s="17">
        <v>21</v>
      </c>
      <c r="C62" s="41"/>
      <c r="D62" s="23">
        <f t="shared" si="5"/>
        <v>0</v>
      </c>
      <c r="E62" s="41"/>
      <c r="F62" s="23" t="e">
        <f t="shared" si="0"/>
        <v>#DIV/0!</v>
      </c>
      <c r="G62" s="23" t="e">
        <f t="shared" si="1"/>
        <v>#DIV/0!</v>
      </c>
      <c r="H62" s="23" t="e">
        <f t="shared" si="2"/>
        <v>#DIV/0!</v>
      </c>
      <c r="I62" s="23" t="e">
        <f t="shared" si="3"/>
        <v>#DIV/0!</v>
      </c>
      <c r="J62" s="23" t="e">
        <f t="shared" si="4"/>
        <v>#DIV/0!</v>
      </c>
      <c r="K62" s="23" t="e">
        <f t="shared" si="6"/>
        <v>#DIV/0!</v>
      </c>
      <c r="L62" s="62" t="e">
        <f t="shared" si="8"/>
        <v>#DIV/0!</v>
      </c>
      <c r="M62" s="62" t="e">
        <f t="shared" si="8"/>
        <v>#DIV/0!</v>
      </c>
    </row>
    <row r="63" spans="2:13" ht="14.25" customHeight="1" x14ac:dyDescent="0.25">
      <c r="B63" s="17">
        <v>22</v>
      </c>
      <c r="C63" s="41"/>
      <c r="D63" s="23">
        <f t="shared" si="5"/>
        <v>0</v>
      </c>
      <c r="E63" s="41"/>
      <c r="F63" s="23" t="e">
        <f t="shared" si="0"/>
        <v>#DIV/0!</v>
      </c>
      <c r="G63" s="23" t="e">
        <f t="shared" si="1"/>
        <v>#DIV/0!</v>
      </c>
      <c r="H63" s="23" t="e">
        <f t="shared" si="2"/>
        <v>#DIV/0!</v>
      </c>
      <c r="I63" s="23" t="e">
        <f t="shared" si="3"/>
        <v>#DIV/0!</v>
      </c>
      <c r="J63" s="23" t="e">
        <f t="shared" si="4"/>
        <v>#DIV/0!</v>
      </c>
      <c r="K63" s="23" t="e">
        <f t="shared" si="6"/>
        <v>#DIV/0!</v>
      </c>
      <c r="L63" s="62" t="e">
        <f t="shared" si="8"/>
        <v>#DIV/0!</v>
      </c>
      <c r="M63" s="62" t="e">
        <f t="shared" si="8"/>
        <v>#DIV/0!</v>
      </c>
    </row>
    <row r="64" spans="2:13" ht="14.25" customHeight="1" x14ac:dyDescent="0.25">
      <c r="B64" s="17">
        <v>23</v>
      </c>
      <c r="C64" s="41"/>
      <c r="D64" s="23">
        <f t="shared" si="5"/>
        <v>0</v>
      </c>
      <c r="E64" s="41"/>
      <c r="F64" s="23" t="e">
        <f t="shared" si="0"/>
        <v>#DIV/0!</v>
      </c>
      <c r="G64" s="23" t="e">
        <f t="shared" si="1"/>
        <v>#DIV/0!</v>
      </c>
      <c r="H64" s="23" t="e">
        <f t="shared" si="2"/>
        <v>#DIV/0!</v>
      </c>
      <c r="I64" s="23" t="e">
        <f t="shared" si="3"/>
        <v>#DIV/0!</v>
      </c>
      <c r="J64" s="23" t="e">
        <f t="shared" si="4"/>
        <v>#DIV/0!</v>
      </c>
      <c r="K64" s="23" t="e">
        <f t="shared" si="6"/>
        <v>#DIV/0!</v>
      </c>
      <c r="L64" s="62" t="e">
        <f t="shared" si="8"/>
        <v>#DIV/0!</v>
      </c>
      <c r="M64" s="62" t="e">
        <f t="shared" si="8"/>
        <v>#DIV/0!</v>
      </c>
    </row>
    <row r="65" spans="2:13" ht="14.25" customHeight="1" x14ac:dyDescent="0.25">
      <c r="B65" s="17">
        <v>24</v>
      </c>
      <c r="C65" s="41"/>
      <c r="D65" s="23">
        <f t="shared" si="5"/>
        <v>0</v>
      </c>
      <c r="E65" s="41"/>
      <c r="F65" s="23" t="e">
        <f t="shared" si="0"/>
        <v>#DIV/0!</v>
      </c>
      <c r="G65" s="23" t="e">
        <f t="shared" si="1"/>
        <v>#DIV/0!</v>
      </c>
      <c r="H65" s="23" t="e">
        <f t="shared" si="2"/>
        <v>#DIV/0!</v>
      </c>
      <c r="I65" s="23" t="e">
        <f t="shared" si="3"/>
        <v>#DIV/0!</v>
      </c>
      <c r="J65" s="23" t="e">
        <f t="shared" si="4"/>
        <v>#DIV/0!</v>
      </c>
      <c r="K65" s="23" t="e">
        <f t="shared" si="6"/>
        <v>#DIV/0!</v>
      </c>
      <c r="L65" s="62" t="e">
        <f t="shared" si="8"/>
        <v>#DIV/0!</v>
      </c>
      <c r="M65" s="62" t="e">
        <f t="shared" si="8"/>
        <v>#DIV/0!</v>
      </c>
    </row>
    <row r="66" spans="2:13" ht="14.25" customHeight="1" x14ac:dyDescent="0.25">
      <c r="B66" s="17">
        <v>25</v>
      </c>
      <c r="C66" s="41"/>
      <c r="D66" s="23">
        <f t="shared" si="5"/>
        <v>0</v>
      </c>
      <c r="E66" s="41"/>
      <c r="F66" s="23" t="e">
        <f t="shared" si="0"/>
        <v>#DIV/0!</v>
      </c>
      <c r="G66" s="23" t="e">
        <f t="shared" si="1"/>
        <v>#DIV/0!</v>
      </c>
      <c r="H66" s="23" t="e">
        <f t="shared" si="2"/>
        <v>#DIV/0!</v>
      </c>
      <c r="I66" s="23" t="e">
        <f t="shared" si="3"/>
        <v>#DIV/0!</v>
      </c>
      <c r="J66" s="23" t="e">
        <f t="shared" si="4"/>
        <v>#DIV/0!</v>
      </c>
      <c r="K66" s="23" t="e">
        <f t="shared" si="6"/>
        <v>#DIV/0!</v>
      </c>
      <c r="L66" s="62" t="e">
        <f t="shared" si="8"/>
        <v>#DIV/0!</v>
      </c>
      <c r="M66" s="62" t="e">
        <f t="shared" si="8"/>
        <v>#DIV/0!</v>
      </c>
    </row>
    <row r="67" spans="2:13" ht="14.25" customHeight="1" x14ac:dyDescent="0.25">
      <c r="B67" s="42"/>
      <c r="C67" s="42"/>
      <c r="D67" s="42"/>
      <c r="E67" s="42"/>
      <c r="F67" s="42"/>
      <c r="G67" s="42"/>
      <c r="H67" s="42"/>
      <c r="I67" s="42"/>
      <c r="J67" s="42"/>
      <c r="K67" s="42"/>
    </row>
    <row r="68" spans="2:13" ht="14.25" customHeight="1" x14ac:dyDescent="0.25"/>
    <row r="69" spans="2:13" ht="14.25" customHeight="1" x14ac:dyDescent="0.25">
      <c r="D69" s="45"/>
    </row>
    <row r="70" spans="2:13" ht="14.25" customHeight="1" x14ac:dyDescent="0.25">
      <c r="D70" s="45"/>
    </row>
    <row r="71" spans="2:13" ht="14.25" customHeight="1" x14ac:dyDescent="0.25">
      <c r="D71" s="45"/>
    </row>
    <row r="72" spans="2:13" ht="14.25" customHeight="1" x14ac:dyDescent="0.25">
      <c r="D72" s="45"/>
    </row>
    <row r="73" spans="2:13" ht="14.25" customHeight="1" x14ac:dyDescent="0.25">
      <c r="D73" s="45"/>
    </row>
    <row r="74" spans="2:13" ht="14.25" customHeight="1" x14ac:dyDescent="0.25">
      <c r="D74" s="45"/>
    </row>
    <row r="75" spans="2:13" ht="14.25" customHeight="1" x14ac:dyDescent="0.25">
      <c r="D75" s="45"/>
    </row>
    <row r="76" spans="2:13" ht="14.25" customHeight="1" x14ac:dyDescent="0.25">
      <c r="D76" s="45"/>
    </row>
    <row r="77" spans="2:13" ht="14.25" customHeight="1" x14ac:dyDescent="0.25">
      <c r="D77" s="45"/>
    </row>
    <row r="78" spans="2:13" ht="14.25" customHeight="1" x14ac:dyDescent="0.25">
      <c r="D78" s="45"/>
    </row>
    <row r="79" spans="2:13" ht="14.25" customHeight="1" x14ac:dyDescent="0.25">
      <c r="D79" s="45"/>
    </row>
    <row r="80" spans="2:13" ht="14.25" customHeight="1" x14ac:dyDescent="0.25">
      <c r="D80" s="45"/>
    </row>
    <row r="81" spans="4:4" ht="14.25" customHeight="1" x14ac:dyDescent="0.25">
      <c r="D81" s="45"/>
    </row>
    <row r="82" spans="4:4" ht="14.25" customHeight="1" x14ac:dyDescent="0.25">
      <c r="D82" s="45"/>
    </row>
    <row r="83" spans="4:4" ht="14.25" customHeight="1" x14ac:dyDescent="0.25">
      <c r="D83" s="45"/>
    </row>
    <row r="84" spans="4:4" ht="14.25" customHeight="1" x14ac:dyDescent="0.25">
      <c r="D84" s="45"/>
    </row>
    <row r="85" spans="4:4" ht="14.25" customHeight="1" x14ac:dyDescent="0.25">
      <c r="D85" s="45"/>
    </row>
    <row r="86" spans="4:4" ht="14.25" customHeight="1" x14ac:dyDescent="0.25">
      <c r="D86" s="45"/>
    </row>
    <row r="87" spans="4:4" ht="14.25" customHeight="1" x14ac:dyDescent="0.25">
      <c r="D87" s="45"/>
    </row>
    <row r="88" spans="4:4" ht="14.25" customHeight="1" x14ac:dyDescent="0.25">
      <c r="D88" s="45"/>
    </row>
    <row r="89" spans="4:4" ht="14.25" customHeight="1" x14ac:dyDescent="0.25">
      <c r="D89" s="45"/>
    </row>
    <row r="90" spans="4:4" ht="14.25" customHeight="1" x14ac:dyDescent="0.25">
      <c r="D90" s="45"/>
    </row>
    <row r="91" spans="4:4" ht="14.25" customHeight="1" x14ac:dyDescent="0.25">
      <c r="D91" s="45"/>
    </row>
    <row r="92" spans="4:4" ht="14.25" customHeight="1" x14ac:dyDescent="0.25">
      <c r="D92" s="45"/>
    </row>
    <row r="93" spans="4:4" ht="14.25" customHeight="1" x14ac:dyDescent="0.25">
      <c r="D93" s="45"/>
    </row>
    <row r="94" spans="4:4" ht="14.25" customHeight="1" x14ac:dyDescent="0.25"/>
    <row r="95" spans="4:4" ht="14.25" customHeight="1" x14ac:dyDescent="0.25"/>
    <row r="96" spans="4:4"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5">
    <mergeCell ref="B27:K28"/>
    <mergeCell ref="B29:B39"/>
    <mergeCell ref="C2:F2"/>
    <mergeCell ref="B4:E4"/>
    <mergeCell ref="G4:K4"/>
    <mergeCell ref="B5:E5"/>
    <mergeCell ref="G5:J5"/>
    <mergeCell ref="B6:E6"/>
    <mergeCell ref="B7:E7"/>
    <mergeCell ref="G6:J6"/>
    <mergeCell ref="G7:J7"/>
    <mergeCell ref="B8:E8"/>
    <mergeCell ref="G8:J8"/>
    <mergeCell ref="B9:E9"/>
    <mergeCell ref="G9:J9"/>
  </mergeCells>
  <conditionalFormatting sqref="D42:D66">
    <cfRule type="cellIs" dxfId="16" priority="1" operator="lessThan">
      <formula>$K$42</formula>
    </cfRule>
    <cfRule type="cellIs" dxfId="15" priority="2" operator="greaterThan">
      <formula>$J$42</formula>
    </cfRule>
  </conditionalFormatting>
  <conditionalFormatting sqref="E42:E66">
    <cfRule type="cellIs" dxfId="14" priority="3" operator="lessThan">
      <formula>$H$42</formula>
    </cfRule>
    <cfRule type="cellIs" dxfId="13" priority="4" operator="greaterThan">
      <formula>$G$42</formula>
    </cfRule>
  </conditionalFormatting>
  <pageMargins left="0.7" right="0.7" top="0.75" bottom="0.75" header="0" footer="0"/>
  <pageSetup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12289" r:id="rId3" name="Check Box 1">
              <controlPr defaultSize="0" autoFill="0" autoLine="0" autoPict="0">
                <anchor moveWithCells="1">
                  <from>
                    <xdr:col>5</xdr:col>
                    <xdr:colOff>66675</xdr:colOff>
                    <xdr:row>3</xdr:row>
                    <xdr:rowOff>180975</xdr:rowOff>
                  </from>
                  <to>
                    <xdr:col>5</xdr:col>
                    <xdr:colOff>790575</xdr:colOff>
                    <xdr:row>5</xdr:row>
                    <xdr:rowOff>28575</xdr:rowOff>
                  </to>
                </anchor>
              </controlPr>
            </control>
          </mc:Choice>
        </mc:AlternateContent>
        <mc:AlternateContent xmlns:mc="http://schemas.openxmlformats.org/markup-compatibility/2006">
          <mc:Choice Requires="x14">
            <control shapeId="12290" r:id="rId4" name="Check Box 2">
              <controlPr defaultSize="0" autoFill="0" autoLine="0" autoPict="0">
                <anchor moveWithCells="1">
                  <from>
                    <xdr:col>5</xdr:col>
                    <xdr:colOff>66675</xdr:colOff>
                    <xdr:row>4</xdr:row>
                    <xdr:rowOff>180975</xdr:rowOff>
                  </from>
                  <to>
                    <xdr:col>5</xdr:col>
                    <xdr:colOff>790575</xdr:colOff>
                    <xdr:row>6</xdr:row>
                    <xdr:rowOff>28575</xdr:rowOff>
                  </to>
                </anchor>
              </controlPr>
            </control>
          </mc:Choice>
        </mc:AlternateContent>
        <mc:AlternateContent xmlns:mc="http://schemas.openxmlformats.org/markup-compatibility/2006">
          <mc:Choice Requires="x14">
            <control shapeId="12291" r:id="rId5" name="Check Box 3">
              <controlPr defaultSize="0" autoFill="0" autoLine="0" autoPict="0">
                <anchor moveWithCells="1">
                  <from>
                    <xdr:col>5</xdr:col>
                    <xdr:colOff>66675</xdr:colOff>
                    <xdr:row>5</xdr:row>
                    <xdr:rowOff>180975</xdr:rowOff>
                  </from>
                  <to>
                    <xdr:col>5</xdr:col>
                    <xdr:colOff>790575</xdr:colOff>
                    <xdr:row>7</xdr:row>
                    <xdr:rowOff>28575</xdr:rowOff>
                  </to>
                </anchor>
              </controlPr>
            </control>
          </mc:Choice>
        </mc:AlternateContent>
        <mc:AlternateContent xmlns:mc="http://schemas.openxmlformats.org/markup-compatibility/2006">
          <mc:Choice Requires="x14">
            <control shapeId="12292" r:id="rId6" name="Check Box 4">
              <controlPr defaultSize="0" autoFill="0" autoLine="0" autoPict="0">
                <anchor moveWithCells="1">
                  <from>
                    <xdr:col>5</xdr:col>
                    <xdr:colOff>66675</xdr:colOff>
                    <xdr:row>6</xdr:row>
                    <xdr:rowOff>180975</xdr:rowOff>
                  </from>
                  <to>
                    <xdr:col>5</xdr:col>
                    <xdr:colOff>790575</xdr:colOff>
                    <xdr:row>8</xdr:row>
                    <xdr:rowOff>28575</xdr:rowOff>
                  </to>
                </anchor>
              </controlPr>
            </control>
          </mc:Choice>
        </mc:AlternateContent>
        <mc:AlternateContent xmlns:mc="http://schemas.openxmlformats.org/markup-compatibility/2006">
          <mc:Choice Requires="x14">
            <control shapeId="12293" r:id="rId7" name="Check Box 5">
              <controlPr defaultSize="0" autoFill="0" autoLine="0" autoPict="0">
                <anchor moveWithCells="1">
                  <from>
                    <xdr:col>5</xdr:col>
                    <xdr:colOff>66675</xdr:colOff>
                    <xdr:row>7</xdr:row>
                    <xdr:rowOff>180975</xdr:rowOff>
                  </from>
                  <to>
                    <xdr:col>5</xdr:col>
                    <xdr:colOff>790575</xdr:colOff>
                    <xdr:row>9</xdr:row>
                    <xdr:rowOff>28575</xdr:rowOff>
                  </to>
                </anchor>
              </controlPr>
            </control>
          </mc:Choice>
        </mc:AlternateContent>
        <mc:AlternateContent xmlns:mc="http://schemas.openxmlformats.org/markup-compatibility/2006">
          <mc:Choice Requires="x14">
            <control shapeId="12294" r:id="rId8" name="Check Box 6">
              <controlPr defaultSize="0" autoFill="0" autoLine="0" autoPict="0">
                <anchor moveWithCells="1">
                  <from>
                    <xdr:col>10</xdr:col>
                    <xdr:colOff>66675</xdr:colOff>
                    <xdr:row>3</xdr:row>
                    <xdr:rowOff>180975</xdr:rowOff>
                  </from>
                  <to>
                    <xdr:col>10</xdr:col>
                    <xdr:colOff>790575</xdr:colOff>
                    <xdr:row>5</xdr:row>
                    <xdr:rowOff>28575</xdr:rowOff>
                  </to>
                </anchor>
              </controlPr>
            </control>
          </mc:Choice>
        </mc:AlternateContent>
        <mc:AlternateContent xmlns:mc="http://schemas.openxmlformats.org/markup-compatibility/2006">
          <mc:Choice Requires="x14">
            <control shapeId="12295" r:id="rId9" name="Check Box 7">
              <controlPr defaultSize="0" autoFill="0" autoLine="0" autoPict="0">
                <anchor moveWithCells="1">
                  <from>
                    <xdr:col>10</xdr:col>
                    <xdr:colOff>66675</xdr:colOff>
                    <xdr:row>4</xdr:row>
                    <xdr:rowOff>180975</xdr:rowOff>
                  </from>
                  <to>
                    <xdr:col>10</xdr:col>
                    <xdr:colOff>790575</xdr:colOff>
                    <xdr:row>6</xdr:row>
                    <xdr:rowOff>28575</xdr:rowOff>
                  </to>
                </anchor>
              </controlPr>
            </control>
          </mc:Choice>
        </mc:AlternateContent>
        <mc:AlternateContent xmlns:mc="http://schemas.openxmlformats.org/markup-compatibility/2006">
          <mc:Choice Requires="x14">
            <control shapeId="12296" r:id="rId10" name="Check Box 8">
              <controlPr defaultSize="0" autoFill="0" autoLine="0" autoPict="0">
                <anchor moveWithCells="1">
                  <from>
                    <xdr:col>10</xdr:col>
                    <xdr:colOff>66675</xdr:colOff>
                    <xdr:row>5</xdr:row>
                    <xdr:rowOff>180975</xdr:rowOff>
                  </from>
                  <to>
                    <xdr:col>10</xdr:col>
                    <xdr:colOff>790575</xdr:colOff>
                    <xdr:row>7</xdr:row>
                    <xdr:rowOff>28575</xdr:rowOff>
                  </to>
                </anchor>
              </controlPr>
            </control>
          </mc:Choice>
        </mc:AlternateContent>
        <mc:AlternateContent xmlns:mc="http://schemas.openxmlformats.org/markup-compatibility/2006">
          <mc:Choice Requires="x14">
            <control shapeId="12297" r:id="rId11" name="Check Box 9">
              <controlPr defaultSize="0" autoFill="0" autoLine="0" autoPict="0">
                <anchor moveWithCells="1">
                  <from>
                    <xdr:col>10</xdr:col>
                    <xdr:colOff>66675</xdr:colOff>
                    <xdr:row>6</xdr:row>
                    <xdr:rowOff>180975</xdr:rowOff>
                  </from>
                  <to>
                    <xdr:col>10</xdr:col>
                    <xdr:colOff>790575</xdr:colOff>
                    <xdr:row>8</xdr:row>
                    <xdr:rowOff>28575</xdr:rowOff>
                  </to>
                </anchor>
              </controlPr>
            </control>
          </mc:Choice>
        </mc:AlternateContent>
        <mc:AlternateContent xmlns:mc="http://schemas.openxmlformats.org/markup-compatibility/2006">
          <mc:Choice Requires="x14">
            <control shapeId="12298" r:id="rId12" name="Check Box 10">
              <controlPr defaultSize="0" autoFill="0" autoLine="0" autoPict="0">
                <anchor moveWithCells="1">
                  <from>
                    <xdr:col>10</xdr:col>
                    <xdr:colOff>66675</xdr:colOff>
                    <xdr:row>7</xdr:row>
                    <xdr:rowOff>180975</xdr:rowOff>
                  </from>
                  <to>
                    <xdr:col>10</xdr:col>
                    <xdr:colOff>790575</xdr:colOff>
                    <xdr:row>9</xdr:row>
                    <xdr:rowOff>28575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472C4"/>
  </sheetPr>
  <dimension ref="A1:Z1000"/>
  <sheetViews>
    <sheetView showGridLines="0" topLeftCell="A16" zoomScale="110" workbookViewId="0">
      <selection activeCell="I33" sqref="I33"/>
    </sheetView>
  </sheetViews>
  <sheetFormatPr defaultColWidth="14.42578125" defaultRowHeight="15" customHeight="1" x14ac:dyDescent="0.25"/>
  <cols>
    <col min="1" max="1" width="8.7109375" customWidth="1"/>
    <col min="2" max="11" width="12.42578125" customWidth="1"/>
    <col min="12" max="26" width="12.5703125" customWidth="1"/>
  </cols>
  <sheetData>
    <row r="1" spans="2:11" ht="14.25" customHeight="1" x14ac:dyDescent="0.25"/>
    <row r="2" spans="2:11" ht="14.25" customHeight="1" x14ac:dyDescent="0.25">
      <c r="B2" s="1" t="s">
        <v>84</v>
      </c>
      <c r="C2" s="146"/>
      <c r="D2" s="147"/>
      <c r="E2" s="147"/>
      <c r="F2" s="147"/>
    </row>
    <row r="3" spans="2:11" ht="14.25" customHeight="1" x14ac:dyDescent="0.25">
      <c r="B3" s="3"/>
    </row>
    <row r="4" spans="2:11" ht="14.25" customHeight="1" x14ac:dyDescent="0.25">
      <c r="B4" s="148" t="s">
        <v>171</v>
      </c>
      <c r="C4" s="113"/>
      <c r="D4" s="113"/>
      <c r="E4" s="113"/>
      <c r="G4" s="148" t="s">
        <v>172</v>
      </c>
      <c r="H4" s="113"/>
      <c r="I4" s="113"/>
      <c r="J4" s="113"/>
      <c r="K4" s="113"/>
    </row>
    <row r="5" spans="2:11" ht="14.25" customHeight="1" x14ac:dyDescent="0.25">
      <c r="B5" s="145" t="s">
        <v>106</v>
      </c>
      <c r="C5" s="113"/>
      <c r="D5" s="113"/>
      <c r="E5" s="113"/>
      <c r="F5" s="17"/>
      <c r="G5" s="145" t="s">
        <v>106</v>
      </c>
      <c r="H5" s="113"/>
      <c r="I5" s="113"/>
      <c r="J5" s="113"/>
      <c r="K5" s="17"/>
    </row>
    <row r="6" spans="2:11" ht="14.25" customHeight="1" x14ac:dyDescent="0.25">
      <c r="B6" s="145" t="s">
        <v>107</v>
      </c>
      <c r="C6" s="113"/>
      <c r="D6" s="113"/>
      <c r="E6" s="113"/>
      <c r="F6" s="17"/>
      <c r="G6" s="145" t="s">
        <v>107</v>
      </c>
      <c r="H6" s="113"/>
      <c r="I6" s="113"/>
      <c r="J6" s="113"/>
      <c r="K6" s="17"/>
    </row>
    <row r="7" spans="2:11" ht="14.25" customHeight="1" x14ac:dyDescent="0.25">
      <c r="B7" s="149" t="s">
        <v>108</v>
      </c>
      <c r="C7" s="113"/>
      <c r="D7" s="113"/>
      <c r="E7" s="113"/>
      <c r="F7" s="17"/>
      <c r="G7" s="149" t="s">
        <v>108</v>
      </c>
      <c r="H7" s="113"/>
      <c r="I7" s="113"/>
      <c r="J7" s="113"/>
      <c r="K7" s="17"/>
    </row>
    <row r="8" spans="2:11" ht="14.25" customHeight="1" x14ac:dyDescent="0.25">
      <c r="B8" s="149" t="s">
        <v>109</v>
      </c>
      <c r="C8" s="113"/>
      <c r="D8" s="113"/>
      <c r="E8" s="113"/>
      <c r="F8" s="17"/>
      <c r="G8" s="149" t="s">
        <v>109</v>
      </c>
      <c r="H8" s="113"/>
      <c r="I8" s="113"/>
      <c r="J8" s="113"/>
      <c r="K8" s="17"/>
    </row>
    <row r="9" spans="2:11" ht="14.25" customHeight="1" x14ac:dyDescent="0.25">
      <c r="B9" s="149" t="s">
        <v>110</v>
      </c>
      <c r="C9" s="113"/>
      <c r="D9" s="113"/>
      <c r="E9" s="113"/>
      <c r="F9" s="17"/>
      <c r="G9" s="149" t="s">
        <v>110</v>
      </c>
      <c r="H9" s="113"/>
      <c r="I9" s="113"/>
      <c r="J9" s="113"/>
      <c r="K9" s="17"/>
    </row>
    <row r="10" spans="2:11" ht="14.25" customHeight="1" x14ac:dyDescent="0.25"/>
    <row r="11" spans="2:11" ht="14.25" customHeight="1" x14ac:dyDescent="0.25"/>
    <row r="12" spans="2:11" ht="14.25" customHeight="1" x14ac:dyDescent="0.25"/>
    <row r="13" spans="2:11" ht="14.25" customHeight="1" x14ac:dyDescent="0.25"/>
    <row r="14" spans="2:11" ht="14.25" customHeight="1" x14ac:dyDescent="0.25"/>
    <row r="15" spans="2:11" ht="14.25" customHeight="1" x14ac:dyDescent="0.25"/>
    <row r="16" spans="2:11" ht="14.25" customHeight="1" x14ac:dyDescent="0.25"/>
    <row r="17" spans="2:11" ht="14.25" customHeight="1" x14ac:dyDescent="0.25"/>
    <row r="18" spans="2:11" ht="14.25" customHeight="1" x14ac:dyDescent="0.25"/>
    <row r="19" spans="2:11" ht="14.25" customHeight="1" x14ac:dyDescent="0.25"/>
    <row r="20" spans="2:11" ht="14.25" customHeight="1" x14ac:dyDescent="0.25"/>
    <row r="21" spans="2:11" ht="14.25" customHeight="1" x14ac:dyDescent="0.25"/>
    <row r="22" spans="2:11" ht="14.25" customHeight="1" x14ac:dyDescent="0.25"/>
    <row r="23" spans="2:11" ht="14.25" customHeight="1" x14ac:dyDescent="0.25"/>
    <row r="24" spans="2:11" ht="14.25" customHeight="1" x14ac:dyDescent="0.25"/>
    <row r="25" spans="2:11" ht="14.25" customHeight="1" x14ac:dyDescent="0.25"/>
    <row r="26" spans="2:11" ht="14.25" customHeight="1" x14ac:dyDescent="0.25"/>
    <row r="27" spans="2:11" ht="14.25" customHeight="1" x14ac:dyDescent="0.25">
      <c r="B27" s="150" t="s">
        <v>173</v>
      </c>
      <c r="C27" s="151"/>
      <c r="D27" s="151"/>
      <c r="E27" s="151"/>
      <c r="F27" s="151"/>
      <c r="G27" s="151"/>
      <c r="H27" s="151"/>
      <c r="I27" s="151"/>
      <c r="J27" s="151"/>
      <c r="K27" s="151"/>
    </row>
    <row r="28" spans="2:11" ht="14.25" customHeight="1" x14ac:dyDescent="0.25">
      <c r="B28" s="113"/>
      <c r="C28" s="113"/>
      <c r="D28" s="113"/>
      <c r="E28" s="113"/>
      <c r="F28" s="113"/>
      <c r="G28" s="113"/>
      <c r="H28" s="113"/>
      <c r="I28" s="113"/>
      <c r="J28" s="113"/>
      <c r="K28" s="113"/>
    </row>
    <row r="29" spans="2:11" ht="14.25" customHeight="1" x14ac:dyDescent="0.25">
      <c r="B29" s="152" t="s">
        <v>112</v>
      </c>
      <c r="C29" s="32" t="s">
        <v>113</v>
      </c>
      <c r="D29" s="33">
        <v>1</v>
      </c>
      <c r="E29" s="34"/>
      <c r="F29" s="34"/>
      <c r="G29" s="34"/>
      <c r="H29" s="34"/>
      <c r="I29" s="34"/>
      <c r="J29" s="34"/>
      <c r="K29" s="34"/>
    </row>
    <row r="30" spans="2:11" ht="14.25" customHeight="1" x14ac:dyDescent="0.25">
      <c r="B30" s="154"/>
      <c r="C30" s="93" t="s">
        <v>54</v>
      </c>
      <c r="D30" s="94">
        <v>20</v>
      </c>
      <c r="E30" s="95"/>
      <c r="F30" s="95"/>
      <c r="G30" s="14"/>
      <c r="H30" s="14"/>
      <c r="I30" s="14"/>
      <c r="J30" s="14"/>
      <c r="K30" s="14"/>
    </row>
    <row r="31" spans="2:11" ht="14.25" customHeight="1" x14ac:dyDescent="0.25">
      <c r="B31" s="154"/>
      <c r="C31" s="93" t="s">
        <v>174</v>
      </c>
      <c r="D31" s="63"/>
      <c r="E31" s="96"/>
      <c r="F31" s="96"/>
      <c r="G31" s="37"/>
      <c r="H31" s="37"/>
      <c r="I31" s="37"/>
      <c r="J31" s="37"/>
      <c r="K31" s="37"/>
    </row>
    <row r="32" spans="2:11" ht="14.25" customHeight="1" x14ac:dyDescent="0.25">
      <c r="B32" s="154"/>
      <c r="C32" s="93" t="s">
        <v>175</v>
      </c>
      <c r="D32" s="63"/>
      <c r="E32" s="96"/>
      <c r="F32" s="96"/>
      <c r="G32" s="37"/>
      <c r="H32" s="37"/>
      <c r="I32" s="37"/>
      <c r="J32" s="37"/>
      <c r="K32" s="37"/>
    </row>
    <row r="33" spans="1:26" ht="14.25" customHeight="1" x14ac:dyDescent="0.25">
      <c r="B33" s="154"/>
      <c r="C33" s="93" t="s">
        <v>176</v>
      </c>
      <c r="D33" s="63"/>
      <c r="E33" s="96"/>
      <c r="F33" s="96"/>
      <c r="G33" s="37"/>
      <c r="H33" s="37"/>
      <c r="I33" s="37"/>
      <c r="J33" s="37"/>
      <c r="K33" s="37"/>
    </row>
    <row r="34" spans="1:26" ht="14.25" customHeight="1" x14ac:dyDescent="0.25">
      <c r="B34" s="154"/>
      <c r="C34" s="93" t="s">
        <v>177</v>
      </c>
      <c r="D34" s="63"/>
      <c r="E34" s="96"/>
      <c r="F34" s="96"/>
      <c r="G34" s="37"/>
      <c r="H34" s="37"/>
      <c r="I34" s="37"/>
      <c r="J34" s="37"/>
      <c r="K34" s="37"/>
    </row>
    <row r="35" spans="1:26" ht="14.25" customHeight="1" x14ac:dyDescent="0.25">
      <c r="B35" s="154"/>
      <c r="C35" s="93" t="s">
        <v>178</v>
      </c>
      <c r="D35" s="63"/>
      <c r="E35" s="96"/>
      <c r="F35" s="96"/>
      <c r="G35" s="37"/>
      <c r="H35" s="37"/>
      <c r="I35" s="37"/>
      <c r="J35" s="37"/>
      <c r="K35" s="37"/>
    </row>
    <row r="36" spans="1:26" ht="14.25" customHeight="1" x14ac:dyDescent="0.25">
      <c r="B36" s="155"/>
      <c r="C36" s="68" t="s">
        <v>179</v>
      </c>
      <c r="D36" s="97"/>
      <c r="E36" s="98"/>
      <c r="F36" s="98"/>
      <c r="G36" s="39"/>
      <c r="H36" s="39"/>
      <c r="I36" s="39"/>
      <c r="J36" s="39"/>
      <c r="K36" s="39"/>
    </row>
    <row r="37" spans="1:26" ht="14.25" customHeight="1" x14ac:dyDescent="0.25">
      <c r="B37" s="17"/>
      <c r="C37" s="17"/>
      <c r="D37" s="17"/>
      <c r="E37" s="17"/>
      <c r="F37" s="17"/>
      <c r="G37" s="17"/>
      <c r="H37" s="17"/>
      <c r="I37" s="17"/>
      <c r="J37" s="17"/>
      <c r="K37" s="17"/>
    </row>
    <row r="38" spans="1:26" ht="14.25" customHeight="1" x14ac:dyDescent="0.25">
      <c r="A38" s="16"/>
      <c r="B38" s="19" t="s">
        <v>29</v>
      </c>
      <c r="C38" s="19" t="s">
        <v>180</v>
      </c>
      <c r="D38" s="19" t="s">
        <v>181</v>
      </c>
      <c r="E38" s="19" t="s">
        <v>182</v>
      </c>
      <c r="F38" s="19" t="s">
        <v>183</v>
      </c>
      <c r="G38" s="19" t="s">
        <v>176</v>
      </c>
      <c r="H38" s="19" t="s">
        <v>177</v>
      </c>
      <c r="I38" s="19" t="s">
        <v>184</v>
      </c>
      <c r="J38" s="19" t="s">
        <v>178</v>
      </c>
      <c r="K38" s="19" t="s">
        <v>179</v>
      </c>
      <c r="L38" s="16"/>
      <c r="M38" s="16"/>
      <c r="N38" s="16"/>
      <c r="O38" s="16"/>
      <c r="P38" s="16"/>
      <c r="Q38" s="16"/>
      <c r="R38" s="16"/>
      <c r="S38" s="16"/>
      <c r="T38" s="16"/>
      <c r="U38" s="16"/>
      <c r="V38" s="16"/>
      <c r="W38" s="16"/>
      <c r="X38" s="16"/>
      <c r="Y38" s="16"/>
      <c r="Z38" s="16"/>
    </row>
    <row r="39" spans="1:26" ht="14.25" customHeight="1" x14ac:dyDescent="0.25">
      <c r="B39" s="17">
        <v>1</v>
      </c>
      <c r="C39" s="53"/>
      <c r="D39" s="41">
        <f>C39/$D$30</f>
        <v>0</v>
      </c>
      <c r="E39" s="41">
        <f>D39*$D$30</f>
        <v>0</v>
      </c>
      <c r="F39" s="23">
        <f>$D$31</f>
        <v>0</v>
      </c>
      <c r="G39" s="23">
        <f t="shared" ref="G39:G63" si="0">$D$33</f>
        <v>0</v>
      </c>
      <c r="H39" s="23">
        <f>$D$34</f>
        <v>0</v>
      </c>
      <c r="I39" s="23">
        <f t="shared" ref="I39:I63" si="1">$D$32</f>
        <v>0</v>
      </c>
      <c r="J39" s="23">
        <f>$D$35</f>
        <v>0</v>
      </c>
      <c r="K39" s="23">
        <f t="shared" ref="K39:K63" si="2">$D$36</f>
        <v>0</v>
      </c>
    </row>
    <row r="40" spans="1:26" ht="14.25" customHeight="1" x14ac:dyDescent="0.25">
      <c r="B40" s="17">
        <v>2</v>
      </c>
      <c r="C40" s="53"/>
      <c r="D40" s="41">
        <f t="shared" ref="D40:D63" si="3">C40/$D$30</f>
        <v>0</v>
      </c>
      <c r="E40" s="41">
        <f t="shared" ref="E40:E63" si="4">D40*$D$30</f>
        <v>0</v>
      </c>
      <c r="F40" s="23">
        <f t="shared" ref="F40:F63" si="5">$D$31</f>
        <v>0</v>
      </c>
      <c r="G40" s="23">
        <f t="shared" si="0"/>
        <v>0</v>
      </c>
      <c r="H40" s="23">
        <f t="shared" ref="H40:H63" si="6">$D$34</f>
        <v>0</v>
      </c>
      <c r="I40" s="23">
        <f t="shared" si="1"/>
        <v>0</v>
      </c>
      <c r="J40" s="23">
        <f t="shared" ref="J40:J63" si="7">$D$35</f>
        <v>0</v>
      </c>
      <c r="K40" s="23">
        <f t="shared" si="2"/>
        <v>0</v>
      </c>
    </row>
    <row r="41" spans="1:26" ht="14.25" customHeight="1" x14ac:dyDescent="0.25">
      <c r="B41" s="17">
        <v>3</v>
      </c>
      <c r="C41" s="53"/>
      <c r="D41" s="41">
        <f t="shared" si="3"/>
        <v>0</v>
      </c>
      <c r="E41" s="41">
        <f t="shared" si="4"/>
        <v>0</v>
      </c>
      <c r="F41" s="23">
        <f t="shared" si="5"/>
        <v>0</v>
      </c>
      <c r="G41" s="23">
        <f t="shared" si="0"/>
        <v>0</v>
      </c>
      <c r="H41" s="23">
        <f t="shared" si="6"/>
        <v>0</v>
      </c>
      <c r="I41" s="23">
        <f t="shared" si="1"/>
        <v>0</v>
      </c>
      <c r="J41" s="23">
        <f t="shared" si="7"/>
        <v>0</v>
      </c>
      <c r="K41" s="23">
        <f t="shared" si="2"/>
        <v>0</v>
      </c>
    </row>
    <row r="42" spans="1:26" ht="14.25" customHeight="1" x14ac:dyDescent="0.25">
      <c r="B42" s="17">
        <v>4</v>
      </c>
      <c r="C42" s="53"/>
      <c r="D42" s="41">
        <f t="shared" si="3"/>
        <v>0</v>
      </c>
      <c r="E42" s="41">
        <f t="shared" si="4"/>
        <v>0</v>
      </c>
      <c r="F42" s="23">
        <f t="shared" si="5"/>
        <v>0</v>
      </c>
      <c r="G42" s="23">
        <f t="shared" si="0"/>
        <v>0</v>
      </c>
      <c r="H42" s="23">
        <f t="shared" si="6"/>
        <v>0</v>
      </c>
      <c r="I42" s="23">
        <f t="shared" si="1"/>
        <v>0</v>
      </c>
      <c r="J42" s="23">
        <f t="shared" si="7"/>
        <v>0</v>
      </c>
      <c r="K42" s="23">
        <f t="shared" si="2"/>
        <v>0</v>
      </c>
    </row>
    <row r="43" spans="1:26" ht="14.25" customHeight="1" x14ac:dyDescent="0.25">
      <c r="B43" s="17">
        <v>5</v>
      </c>
      <c r="C43" s="53"/>
      <c r="D43" s="41">
        <f t="shared" si="3"/>
        <v>0</v>
      </c>
      <c r="E43" s="41">
        <f t="shared" si="4"/>
        <v>0</v>
      </c>
      <c r="F43" s="23">
        <f t="shared" si="5"/>
        <v>0</v>
      </c>
      <c r="G43" s="23">
        <f t="shared" si="0"/>
        <v>0</v>
      </c>
      <c r="H43" s="23">
        <f t="shared" si="6"/>
        <v>0</v>
      </c>
      <c r="I43" s="23">
        <f t="shared" si="1"/>
        <v>0</v>
      </c>
      <c r="J43" s="23">
        <f t="shared" si="7"/>
        <v>0</v>
      </c>
      <c r="K43" s="23">
        <f t="shared" si="2"/>
        <v>0</v>
      </c>
    </row>
    <row r="44" spans="1:26" ht="14.25" customHeight="1" x14ac:dyDescent="0.25">
      <c r="B44" s="17">
        <v>6</v>
      </c>
      <c r="C44" s="53"/>
      <c r="D44" s="41">
        <f t="shared" si="3"/>
        <v>0</v>
      </c>
      <c r="E44" s="41">
        <f t="shared" si="4"/>
        <v>0</v>
      </c>
      <c r="F44" s="23">
        <f t="shared" si="5"/>
        <v>0</v>
      </c>
      <c r="G44" s="23">
        <f t="shared" si="0"/>
        <v>0</v>
      </c>
      <c r="H44" s="23">
        <f t="shared" si="6"/>
        <v>0</v>
      </c>
      <c r="I44" s="23">
        <f t="shared" si="1"/>
        <v>0</v>
      </c>
      <c r="J44" s="23">
        <f t="shared" si="7"/>
        <v>0</v>
      </c>
      <c r="K44" s="23">
        <f t="shared" si="2"/>
        <v>0</v>
      </c>
    </row>
    <row r="45" spans="1:26" ht="14.25" customHeight="1" x14ac:dyDescent="0.25">
      <c r="B45" s="17">
        <v>7</v>
      </c>
      <c r="C45" s="53"/>
      <c r="D45" s="41">
        <f t="shared" si="3"/>
        <v>0</v>
      </c>
      <c r="E45" s="41">
        <f t="shared" si="4"/>
        <v>0</v>
      </c>
      <c r="F45" s="23">
        <f t="shared" si="5"/>
        <v>0</v>
      </c>
      <c r="G45" s="23">
        <f t="shared" si="0"/>
        <v>0</v>
      </c>
      <c r="H45" s="23">
        <f t="shared" si="6"/>
        <v>0</v>
      </c>
      <c r="I45" s="23">
        <f t="shared" si="1"/>
        <v>0</v>
      </c>
      <c r="J45" s="23">
        <f t="shared" si="7"/>
        <v>0</v>
      </c>
      <c r="K45" s="23">
        <f t="shared" si="2"/>
        <v>0</v>
      </c>
    </row>
    <row r="46" spans="1:26" ht="14.25" customHeight="1" x14ac:dyDescent="0.25">
      <c r="B46" s="17">
        <v>8</v>
      </c>
      <c r="C46" s="53"/>
      <c r="D46" s="41">
        <f t="shared" si="3"/>
        <v>0</v>
      </c>
      <c r="E46" s="41">
        <f t="shared" si="4"/>
        <v>0</v>
      </c>
      <c r="F46" s="23">
        <f t="shared" si="5"/>
        <v>0</v>
      </c>
      <c r="G46" s="23">
        <f t="shared" si="0"/>
        <v>0</v>
      </c>
      <c r="H46" s="23">
        <f t="shared" si="6"/>
        <v>0</v>
      </c>
      <c r="I46" s="23">
        <f t="shared" si="1"/>
        <v>0</v>
      </c>
      <c r="J46" s="23">
        <f t="shared" si="7"/>
        <v>0</v>
      </c>
      <c r="K46" s="23">
        <f t="shared" si="2"/>
        <v>0</v>
      </c>
    </row>
    <row r="47" spans="1:26" ht="14.25" customHeight="1" x14ac:dyDescent="0.25">
      <c r="B47" s="17">
        <v>9</v>
      </c>
      <c r="C47" s="53"/>
      <c r="D47" s="41">
        <f t="shared" si="3"/>
        <v>0</v>
      </c>
      <c r="E47" s="41">
        <f t="shared" si="4"/>
        <v>0</v>
      </c>
      <c r="F47" s="23">
        <f t="shared" si="5"/>
        <v>0</v>
      </c>
      <c r="G47" s="23">
        <f t="shared" si="0"/>
        <v>0</v>
      </c>
      <c r="H47" s="23">
        <f t="shared" si="6"/>
        <v>0</v>
      </c>
      <c r="I47" s="23">
        <f t="shared" si="1"/>
        <v>0</v>
      </c>
      <c r="J47" s="23">
        <f t="shared" si="7"/>
        <v>0</v>
      </c>
      <c r="K47" s="23">
        <f t="shared" si="2"/>
        <v>0</v>
      </c>
    </row>
    <row r="48" spans="1:26" ht="14.25" customHeight="1" x14ac:dyDescent="0.25">
      <c r="B48" s="17">
        <v>10</v>
      </c>
      <c r="C48" s="53"/>
      <c r="D48" s="41">
        <f t="shared" si="3"/>
        <v>0</v>
      </c>
      <c r="E48" s="41">
        <f t="shared" si="4"/>
        <v>0</v>
      </c>
      <c r="F48" s="23">
        <f t="shared" si="5"/>
        <v>0</v>
      </c>
      <c r="G48" s="23">
        <f t="shared" si="0"/>
        <v>0</v>
      </c>
      <c r="H48" s="23">
        <f t="shared" si="6"/>
        <v>0</v>
      </c>
      <c r="I48" s="23">
        <f t="shared" si="1"/>
        <v>0</v>
      </c>
      <c r="J48" s="23">
        <f t="shared" si="7"/>
        <v>0</v>
      </c>
      <c r="K48" s="23">
        <f t="shared" si="2"/>
        <v>0</v>
      </c>
    </row>
    <row r="49" spans="2:11" ht="14.25" customHeight="1" x14ac:dyDescent="0.25">
      <c r="B49" s="17">
        <v>11</v>
      </c>
      <c r="C49" s="53"/>
      <c r="D49" s="41">
        <f t="shared" si="3"/>
        <v>0</v>
      </c>
      <c r="E49" s="41">
        <f t="shared" si="4"/>
        <v>0</v>
      </c>
      <c r="F49" s="23">
        <f t="shared" si="5"/>
        <v>0</v>
      </c>
      <c r="G49" s="23">
        <f t="shared" si="0"/>
        <v>0</v>
      </c>
      <c r="H49" s="23">
        <f t="shared" si="6"/>
        <v>0</v>
      </c>
      <c r="I49" s="23">
        <f t="shared" si="1"/>
        <v>0</v>
      </c>
      <c r="J49" s="23">
        <f t="shared" si="7"/>
        <v>0</v>
      </c>
      <c r="K49" s="23">
        <f t="shared" si="2"/>
        <v>0</v>
      </c>
    </row>
    <row r="50" spans="2:11" ht="14.25" customHeight="1" x14ac:dyDescent="0.25">
      <c r="B50" s="17">
        <v>12</v>
      </c>
      <c r="C50" s="53"/>
      <c r="D50" s="41">
        <f t="shared" si="3"/>
        <v>0</v>
      </c>
      <c r="E50" s="41">
        <f t="shared" si="4"/>
        <v>0</v>
      </c>
      <c r="F50" s="23">
        <f t="shared" si="5"/>
        <v>0</v>
      </c>
      <c r="G50" s="23">
        <f t="shared" si="0"/>
        <v>0</v>
      </c>
      <c r="H50" s="23">
        <f t="shared" si="6"/>
        <v>0</v>
      </c>
      <c r="I50" s="23">
        <f t="shared" si="1"/>
        <v>0</v>
      </c>
      <c r="J50" s="23">
        <f t="shared" si="7"/>
        <v>0</v>
      </c>
      <c r="K50" s="23">
        <f t="shared" si="2"/>
        <v>0</v>
      </c>
    </row>
    <row r="51" spans="2:11" ht="14.25" customHeight="1" x14ac:dyDescent="0.25">
      <c r="B51" s="17">
        <v>13</v>
      </c>
      <c r="C51" s="53"/>
      <c r="D51" s="41">
        <f t="shared" si="3"/>
        <v>0</v>
      </c>
      <c r="E51" s="41">
        <f t="shared" si="4"/>
        <v>0</v>
      </c>
      <c r="F51" s="23">
        <f t="shared" si="5"/>
        <v>0</v>
      </c>
      <c r="G51" s="23">
        <f t="shared" si="0"/>
        <v>0</v>
      </c>
      <c r="H51" s="23">
        <f t="shared" si="6"/>
        <v>0</v>
      </c>
      <c r="I51" s="23">
        <f t="shared" si="1"/>
        <v>0</v>
      </c>
      <c r="J51" s="23">
        <f t="shared" si="7"/>
        <v>0</v>
      </c>
      <c r="K51" s="23">
        <f t="shared" si="2"/>
        <v>0</v>
      </c>
    </row>
    <row r="52" spans="2:11" ht="14.25" customHeight="1" x14ac:dyDescent="0.25">
      <c r="B52" s="17">
        <v>14</v>
      </c>
      <c r="C52" s="53"/>
      <c r="D52" s="41">
        <f t="shared" si="3"/>
        <v>0</v>
      </c>
      <c r="E52" s="41">
        <f t="shared" si="4"/>
        <v>0</v>
      </c>
      <c r="F52" s="23">
        <f t="shared" si="5"/>
        <v>0</v>
      </c>
      <c r="G52" s="23">
        <f t="shared" si="0"/>
        <v>0</v>
      </c>
      <c r="H52" s="23">
        <f t="shared" si="6"/>
        <v>0</v>
      </c>
      <c r="I52" s="23">
        <f t="shared" si="1"/>
        <v>0</v>
      </c>
      <c r="J52" s="23">
        <f t="shared" si="7"/>
        <v>0</v>
      </c>
      <c r="K52" s="23">
        <f t="shared" si="2"/>
        <v>0</v>
      </c>
    </row>
    <row r="53" spans="2:11" ht="14.25" customHeight="1" x14ac:dyDescent="0.25">
      <c r="B53" s="17">
        <v>15</v>
      </c>
      <c r="C53" s="53"/>
      <c r="D53" s="41">
        <f t="shared" si="3"/>
        <v>0</v>
      </c>
      <c r="E53" s="41">
        <f t="shared" si="4"/>
        <v>0</v>
      </c>
      <c r="F53" s="23">
        <f t="shared" si="5"/>
        <v>0</v>
      </c>
      <c r="G53" s="23">
        <f t="shared" si="0"/>
        <v>0</v>
      </c>
      <c r="H53" s="23">
        <f t="shared" si="6"/>
        <v>0</v>
      </c>
      <c r="I53" s="23">
        <f t="shared" si="1"/>
        <v>0</v>
      </c>
      <c r="J53" s="23">
        <f t="shared" si="7"/>
        <v>0</v>
      </c>
      <c r="K53" s="23">
        <f t="shared" si="2"/>
        <v>0</v>
      </c>
    </row>
    <row r="54" spans="2:11" ht="14.25" customHeight="1" x14ac:dyDescent="0.25">
      <c r="B54" s="17">
        <v>16</v>
      </c>
      <c r="C54" s="53"/>
      <c r="D54" s="41">
        <f t="shared" si="3"/>
        <v>0</v>
      </c>
      <c r="E54" s="41">
        <f t="shared" si="4"/>
        <v>0</v>
      </c>
      <c r="F54" s="23">
        <f t="shared" si="5"/>
        <v>0</v>
      </c>
      <c r="G54" s="23">
        <f t="shared" si="0"/>
        <v>0</v>
      </c>
      <c r="H54" s="23">
        <f t="shared" si="6"/>
        <v>0</v>
      </c>
      <c r="I54" s="23">
        <f t="shared" si="1"/>
        <v>0</v>
      </c>
      <c r="J54" s="23">
        <f t="shared" si="7"/>
        <v>0</v>
      </c>
      <c r="K54" s="23">
        <f t="shared" si="2"/>
        <v>0</v>
      </c>
    </row>
    <row r="55" spans="2:11" ht="14.25" customHeight="1" x14ac:dyDescent="0.25">
      <c r="B55" s="17">
        <v>17</v>
      </c>
      <c r="C55" s="53"/>
      <c r="D55" s="41">
        <f t="shared" si="3"/>
        <v>0</v>
      </c>
      <c r="E55" s="41">
        <f t="shared" si="4"/>
        <v>0</v>
      </c>
      <c r="F55" s="23">
        <f t="shared" si="5"/>
        <v>0</v>
      </c>
      <c r="G55" s="23">
        <f t="shared" si="0"/>
        <v>0</v>
      </c>
      <c r="H55" s="23">
        <f t="shared" si="6"/>
        <v>0</v>
      </c>
      <c r="I55" s="23">
        <f t="shared" si="1"/>
        <v>0</v>
      </c>
      <c r="J55" s="23">
        <f t="shared" si="7"/>
        <v>0</v>
      </c>
      <c r="K55" s="23">
        <f t="shared" si="2"/>
        <v>0</v>
      </c>
    </row>
    <row r="56" spans="2:11" ht="14.25" customHeight="1" x14ac:dyDescent="0.25">
      <c r="B56" s="17">
        <v>18</v>
      </c>
      <c r="C56" s="53"/>
      <c r="D56" s="41">
        <f t="shared" si="3"/>
        <v>0</v>
      </c>
      <c r="E56" s="41">
        <f t="shared" si="4"/>
        <v>0</v>
      </c>
      <c r="F56" s="23">
        <f t="shared" si="5"/>
        <v>0</v>
      </c>
      <c r="G56" s="23">
        <f t="shared" si="0"/>
        <v>0</v>
      </c>
      <c r="H56" s="23">
        <f t="shared" si="6"/>
        <v>0</v>
      </c>
      <c r="I56" s="23">
        <f t="shared" si="1"/>
        <v>0</v>
      </c>
      <c r="J56" s="23">
        <f t="shared" si="7"/>
        <v>0</v>
      </c>
      <c r="K56" s="23">
        <f t="shared" si="2"/>
        <v>0</v>
      </c>
    </row>
    <row r="57" spans="2:11" ht="14.25" customHeight="1" x14ac:dyDescent="0.25">
      <c r="B57" s="17">
        <v>19</v>
      </c>
      <c r="C57" s="53"/>
      <c r="D57" s="41">
        <f t="shared" si="3"/>
        <v>0</v>
      </c>
      <c r="E57" s="41">
        <f t="shared" si="4"/>
        <v>0</v>
      </c>
      <c r="F57" s="23">
        <f t="shared" si="5"/>
        <v>0</v>
      </c>
      <c r="G57" s="23">
        <f t="shared" si="0"/>
        <v>0</v>
      </c>
      <c r="H57" s="23">
        <f t="shared" si="6"/>
        <v>0</v>
      </c>
      <c r="I57" s="23">
        <f t="shared" si="1"/>
        <v>0</v>
      </c>
      <c r="J57" s="23">
        <f t="shared" si="7"/>
        <v>0</v>
      </c>
      <c r="K57" s="23">
        <f t="shared" si="2"/>
        <v>0</v>
      </c>
    </row>
    <row r="58" spans="2:11" ht="14.25" customHeight="1" x14ac:dyDescent="0.25">
      <c r="B58" s="17">
        <v>20</v>
      </c>
      <c r="C58" s="53"/>
      <c r="D58" s="41">
        <f t="shared" si="3"/>
        <v>0</v>
      </c>
      <c r="E58" s="41">
        <f t="shared" si="4"/>
        <v>0</v>
      </c>
      <c r="F58" s="23">
        <f t="shared" si="5"/>
        <v>0</v>
      </c>
      <c r="G58" s="23">
        <f t="shared" si="0"/>
        <v>0</v>
      </c>
      <c r="H58" s="23">
        <f t="shared" si="6"/>
        <v>0</v>
      </c>
      <c r="I58" s="23">
        <f t="shared" si="1"/>
        <v>0</v>
      </c>
      <c r="J58" s="23">
        <f t="shared" si="7"/>
        <v>0</v>
      </c>
      <c r="K58" s="23">
        <f t="shared" si="2"/>
        <v>0</v>
      </c>
    </row>
    <row r="59" spans="2:11" ht="14.25" customHeight="1" x14ac:dyDescent="0.25">
      <c r="B59" s="17">
        <v>21</v>
      </c>
      <c r="C59" s="53"/>
      <c r="D59" s="41">
        <f t="shared" si="3"/>
        <v>0</v>
      </c>
      <c r="E59" s="41">
        <f t="shared" si="4"/>
        <v>0</v>
      </c>
      <c r="F59" s="23">
        <f t="shared" si="5"/>
        <v>0</v>
      </c>
      <c r="G59" s="23">
        <f t="shared" si="0"/>
        <v>0</v>
      </c>
      <c r="H59" s="23">
        <f t="shared" si="6"/>
        <v>0</v>
      </c>
      <c r="I59" s="23">
        <f t="shared" si="1"/>
        <v>0</v>
      </c>
      <c r="J59" s="23">
        <f t="shared" si="7"/>
        <v>0</v>
      </c>
      <c r="K59" s="23">
        <f t="shared" si="2"/>
        <v>0</v>
      </c>
    </row>
    <row r="60" spans="2:11" ht="14.25" customHeight="1" x14ac:dyDescent="0.25">
      <c r="B60" s="17">
        <v>22</v>
      </c>
      <c r="C60" s="53"/>
      <c r="D60" s="41">
        <f t="shared" si="3"/>
        <v>0</v>
      </c>
      <c r="E60" s="41">
        <f t="shared" si="4"/>
        <v>0</v>
      </c>
      <c r="F60" s="23">
        <f t="shared" si="5"/>
        <v>0</v>
      </c>
      <c r="G60" s="23">
        <f t="shared" si="0"/>
        <v>0</v>
      </c>
      <c r="H60" s="23">
        <f t="shared" si="6"/>
        <v>0</v>
      </c>
      <c r="I60" s="23">
        <f t="shared" si="1"/>
        <v>0</v>
      </c>
      <c r="J60" s="23">
        <f t="shared" si="7"/>
        <v>0</v>
      </c>
      <c r="K60" s="23">
        <f t="shared" si="2"/>
        <v>0</v>
      </c>
    </row>
    <row r="61" spans="2:11" ht="14.25" customHeight="1" x14ac:dyDescent="0.25">
      <c r="B61" s="17">
        <v>23</v>
      </c>
      <c r="C61" s="53"/>
      <c r="D61" s="41">
        <f t="shared" si="3"/>
        <v>0</v>
      </c>
      <c r="E61" s="41">
        <f t="shared" si="4"/>
        <v>0</v>
      </c>
      <c r="F61" s="23">
        <f t="shared" si="5"/>
        <v>0</v>
      </c>
      <c r="G61" s="23">
        <f t="shared" si="0"/>
        <v>0</v>
      </c>
      <c r="H61" s="23">
        <f t="shared" si="6"/>
        <v>0</v>
      </c>
      <c r="I61" s="23">
        <f t="shared" si="1"/>
        <v>0</v>
      </c>
      <c r="J61" s="23">
        <f t="shared" si="7"/>
        <v>0</v>
      </c>
      <c r="K61" s="23">
        <f t="shared" si="2"/>
        <v>0</v>
      </c>
    </row>
    <row r="62" spans="2:11" ht="14.25" customHeight="1" x14ac:dyDescent="0.25">
      <c r="B62" s="17">
        <v>24</v>
      </c>
      <c r="C62" s="53"/>
      <c r="D62" s="41">
        <f t="shared" si="3"/>
        <v>0</v>
      </c>
      <c r="E62" s="41">
        <f t="shared" si="4"/>
        <v>0</v>
      </c>
      <c r="F62" s="23">
        <f t="shared" si="5"/>
        <v>0</v>
      </c>
      <c r="G62" s="23">
        <f t="shared" si="0"/>
        <v>0</v>
      </c>
      <c r="H62" s="23">
        <f t="shared" si="6"/>
        <v>0</v>
      </c>
      <c r="I62" s="23">
        <f t="shared" si="1"/>
        <v>0</v>
      </c>
      <c r="J62" s="23">
        <f t="shared" si="7"/>
        <v>0</v>
      </c>
      <c r="K62" s="23">
        <f t="shared" si="2"/>
        <v>0</v>
      </c>
    </row>
    <row r="63" spans="2:11" ht="14.25" customHeight="1" x14ac:dyDescent="0.25">
      <c r="B63" s="17">
        <v>25</v>
      </c>
      <c r="C63" s="53"/>
      <c r="D63" s="41">
        <f t="shared" si="3"/>
        <v>0</v>
      </c>
      <c r="E63" s="41">
        <f t="shared" si="4"/>
        <v>0</v>
      </c>
      <c r="F63" s="23">
        <f t="shared" si="5"/>
        <v>0</v>
      </c>
      <c r="G63" s="23">
        <f t="shared" si="0"/>
        <v>0</v>
      </c>
      <c r="H63" s="23">
        <f t="shared" si="6"/>
        <v>0</v>
      </c>
      <c r="I63" s="23">
        <f t="shared" si="1"/>
        <v>0</v>
      </c>
      <c r="J63" s="23">
        <f t="shared" si="7"/>
        <v>0</v>
      </c>
      <c r="K63" s="23">
        <f t="shared" si="2"/>
        <v>0</v>
      </c>
    </row>
    <row r="64" spans="2:11" ht="14.25" customHeight="1" x14ac:dyDescent="0.25">
      <c r="B64" s="42"/>
      <c r="C64" s="42"/>
      <c r="D64" s="42"/>
      <c r="E64" s="42"/>
      <c r="F64" s="42"/>
      <c r="G64" s="42"/>
      <c r="H64" s="42"/>
      <c r="I64" s="42"/>
      <c r="J64" s="42"/>
      <c r="K64" s="42"/>
    </row>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5">
    <mergeCell ref="B27:K28"/>
    <mergeCell ref="B29:B36"/>
    <mergeCell ref="C2:F2"/>
    <mergeCell ref="B4:E4"/>
    <mergeCell ref="G4:K4"/>
    <mergeCell ref="B5:E5"/>
    <mergeCell ref="G5:J5"/>
    <mergeCell ref="B6:E6"/>
    <mergeCell ref="B7:E7"/>
    <mergeCell ref="G6:J6"/>
    <mergeCell ref="G7:J7"/>
    <mergeCell ref="B8:E8"/>
    <mergeCell ref="G8:J8"/>
    <mergeCell ref="B9:E9"/>
    <mergeCell ref="G9:J9"/>
  </mergeCells>
  <conditionalFormatting sqref="D39:D63">
    <cfRule type="cellIs" dxfId="12" priority="1" operator="lessThan">
      <formula>$H$39</formula>
    </cfRule>
    <cfRule type="cellIs" dxfId="11" priority="2" operator="greaterThan">
      <formula>$G$39</formula>
    </cfRule>
  </conditionalFormatting>
  <conditionalFormatting sqref="E39:E63">
    <cfRule type="cellIs" dxfId="10" priority="3" operator="lessThan">
      <formula>$K$39</formula>
    </cfRule>
    <cfRule type="cellIs" dxfId="9" priority="4" operator="greaterThan">
      <formula>$J$39</formula>
    </cfRule>
  </conditionalFormatting>
  <pageMargins left="0.7" right="0.7" top="0.75" bottom="0.75" header="0" footer="0"/>
  <pageSetup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13313" r:id="rId3" name="Check Box 1">
              <controlPr defaultSize="0" autoFill="0" autoLine="0" autoPict="0">
                <anchor moveWithCells="1">
                  <from>
                    <xdr:col>5</xdr:col>
                    <xdr:colOff>66675</xdr:colOff>
                    <xdr:row>3</xdr:row>
                    <xdr:rowOff>180975</xdr:rowOff>
                  </from>
                  <to>
                    <xdr:col>5</xdr:col>
                    <xdr:colOff>790575</xdr:colOff>
                    <xdr:row>5</xdr:row>
                    <xdr:rowOff>28575</xdr:rowOff>
                  </to>
                </anchor>
              </controlPr>
            </control>
          </mc:Choice>
        </mc:AlternateContent>
        <mc:AlternateContent xmlns:mc="http://schemas.openxmlformats.org/markup-compatibility/2006">
          <mc:Choice Requires="x14">
            <control shapeId="13314" r:id="rId4" name="Check Box 2">
              <controlPr defaultSize="0" autoFill="0" autoLine="0" autoPict="0">
                <anchor moveWithCells="1">
                  <from>
                    <xdr:col>5</xdr:col>
                    <xdr:colOff>66675</xdr:colOff>
                    <xdr:row>4</xdr:row>
                    <xdr:rowOff>180975</xdr:rowOff>
                  </from>
                  <to>
                    <xdr:col>5</xdr:col>
                    <xdr:colOff>790575</xdr:colOff>
                    <xdr:row>6</xdr:row>
                    <xdr:rowOff>28575</xdr:rowOff>
                  </to>
                </anchor>
              </controlPr>
            </control>
          </mc:Choice>
        </mc:AlternateContent>
        <mc:AlternateContent xmlns:mc="http://schemas.openxmlformats.org/markup-compatibility/2006">
          <mc:Choice Requires="x14">
            <control shapeId="13315" r:id="rId5" name="Check Box 3">
              <controlPr defaultSize="0" autoFill="0" autoLine="0" autoPict="0">
                <anchor moveWithCells="1">
                  <from>
                    <xdr:col>5</xdr:col>
                    <xdr:colOff>66675</xdr:colOff>
                    <xdr:row>5</xdr:row>
                    <xdr:rowOff>180975</xdr:rowOff>
                  </from>
                  <to>
                    <xdr:col>5</xdr:col>
                    <xdr:colOff>790575</xdr:colOff>
                    <xdr:row>7</xdr:row>
                    <xdr:rowOff>28575</xdr:rowOff>
                  </to>
                </anchor>
              </controlPr>
            </control>
          </mc:Choice>
        </mc:AlternateContent>
        <mc:AlternateContent xmlns:mc="http://schemas.openxmlformats.org/markup-compatibility/2006">
          <mc:Choice Requires="x14">
            <control shapeId="13316" r:id="rId6" name="Check Box 4">
              <controlPr defaultSize="0" autoFill="0" autoLine="0" autoPict="0">
                <anchor moveWithCells="1">
                  <from>
                    <xdr:col>5</xdr:col>
                    <xdr:colOff>66675</xdr:colOff>
                    <xdr:row>6</xdr:row>
                    <xdr:rowOff>180975</xdr:rowOff>
                  </from>
                  <to>
                    <xdr:col>5</xdr:col>
                    <xdr:colOff>790575</xdr:colOff>
                    <xdr:row>8</xdr:row>
                    <xdr:rowOff>28575</xdr:rowOff>
                  </to>
                </anchor>
              </controlPr>
            </control>
          </mc:Choice>
        </mc:AlternateContent>
        <mc:AlternateContent xmlns:mc="http://schemas.openxmlformats.org/markup-compatibility/2006">
          <mc:Choice Requires="x14">
            <control shapeId="13317" r:id="rId7" name="Check Box 5">
              <controlPr defaultSize="0" autoFill="0" autoLine="0" autoPict="0">
                <anchor moveWithCells="1">
                  <from>
                    <xdr:col>5</xdr:col>
                    <xdr:colOff>66675</xdr:colOff>
                    <xdr:row>7</xdr:row>
                    <xdr:rowOff>180975</xdr:rowOff>
                  </from>
                  <to>
                    <xdr:col>5</xdr:col>
                    <xdr:colOff>790575</xdr:colOff>
                    <xdr:row>9</xdr:row>
                    <xdr:rowOff>28575</xdr:rowOff>
                  </to>
                </anchor>
              </controlPr>
            </control>
          </mc:Choice>
        </mc:AlternateContent>
        <mc:AlternateContent xmlns:mc="http://schemas.openxmlformats.org/markup-compatibility/2006">
          <mc:Choice Requires="x14">
            <control shapeId="13318" r:id="rId8" name="Check Box 6">
              <controlPr defaultSize="0" autoFill="0" autoLine="0" autoPict="0">
                <anchor moveWithCells="1">
                  <from>
                    <xdr:col>10</xdr:col>
                    <xdr:colOff>66675</xdr:colOff>
                    <xdr:row>3</xdr:row>
                    <xdr:rowOff>180975</xdr:rowOff>
                  </from>
                  <to>
                    <xdr:col>10</xdr:col>
                    <xdr:colOff>790575</xdr:colOff>
                    <xdr:row>5</xdr:row>
                    <xdr:rowOff>28575</xdr:rowOff>
                  </to>
                </anchor>
              </controlPr>
            </control>
          </mc:Choice>
        </mc:AlternateContent>
        <mc:AlternateContent xmlns:mc="http://schemas.openxmlformats.org/markup-compatibility/2006">
          <mc:Choice Requires="x14">
            <control shapeId="13319" r:id="rId9" name="Check Box 7">
              <controlPr defaultSize="0" autoFill="0" autoLine="0" autoPict="0">
                <anchor moveWithCells="1">
                  <from>
                    <xdr:col>10</xdr:col>
                    <xdr:colOff>66675</xdr:colOff>
                    <xdr:row>4</xdr:row>
                    <xdr:rowOff>180975</xdr:rowOff>
                  </from>
                  <to>
                    <xdr:col>10</xdr:col>
                    <xdr:colOff>790575</xdr:colOff>
                    <xdr:row>6</xdr:row>
                    <xdr:rowOff>28575</xdr:rowOff>
                  </to>
                </anchor>
              </controlPr>
            </control>
          </mc:Choice>
        </mc:AlternateContent>
        <mc:AlternateContent xmlns:mc="http://schemas.openxmlformats.org/markup-compatibility/2006">
          <mc:Choice Requires="x14">
            <control shapeId="13320" r:id="rId10" name="Check Box 8">
              <controlPr defaultSize="0" autoFill="0" autoLine="0" autoPict="0">
                <anchor moveWithCells="1">
                  <from>
                    <xdr:col>10</xdr:col>
                    <xdr:colOff>66675</xdr:colOff>
                    <xdr:row>5</xdr:row>
                    <xdr:rowOff>180975</xdr:rowOff>
                  </from>
                  <to>
                    <xdr:col>10</xdr:col>
                    <xdr:colOff>790575</xdr:colOff>
                    <xdr:row>7</xdr:row>
                    <xdr:rowOff>28575</xdr:rowOff>
                  </to>
                </anchor>
              </controlPr>
            </control>
          </mc:Choice>
        </mc:AlternateContent>
        <mc:AlternateContent xmlns:mc="http://schemas.openxmlformats.org/markup-compatibility/2006">
          <mc:Choice Requires="x14">
            <control shapeId="13321" r:id="rId11" name="Check Box 9">
              <controlPr defaultSize="0" autoFill="0" autoLine="0" autoPict="0">
                <anchor moveWithCells="1">
                  <from>
                    <xdr:col>10</xdr:col>
                    <xdr:colOff>66675</xdr:colOff>
                    <xdr:row>6</xdr:row>
                    <xdr:rowOff>180975</xdr:rowOff>
                  </from>
                  <to>
                    <xdr:col>10</xdr:col>
                    <xdr:colOff>790575</xdr:colOff>
                    <xdr:row>8</xdr:row>
                    <xdr:rowOff>28575</xdr:rowOff>
                  </to>
                </anchor>
              </controlPr>
            </control>
          </mc:Choice>
        </mc:AlternateContent>
        <mc:AlternateContent xmlns:mc="http://schemas.openxmlformats.org/markup-compatibility/2006">
          <mc:Choice Requires="x14">
            <control shapeId="13322" r:id="rId12" name="Check Box 10">
              <controlPr defaultSize="0" autoFill="0" autoLine="0" autoPict="0">
                <anchor moveWithCells="1">
                  <from>
                    <xdr:col>10</xdr:col>
                    <xdr:colOff>66675</xdr:colOff>
                    <xdr:row>7</xdr:row>
                    <xdr:rowOff>180975</xdr:rowOff>
                  </from>
                  <to>
                    <xdr:col>10</xdr:col>
                    <xdr:colOff>790575</xdr:colOff>
                    <xdr:row>9</xdr:row>
                    <xdr:rowOff>28575</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4472C4"/>
  </sheetPr>
  <dimension ref="A1:Z1000"/>
  <sheetViews>
    <sheetView showGridLines="0" zoomScale="79" workbookViewId="0">
      <selection activeCell="F53" sqref="F53"/>
    </sheetView>
  </sheetViews>
  <sheetFormatPr defaultColWidth="14.42578125" defaultRowHeight="15" customHeight="1" x14ac:dyDescent="0.25"/>
  <cols>
    <col min="1" max="1" width="8.7109375" customWidth="1"/>
    <col min="2" max="6" width="12.42578125" customWidth="1"/>
    <col min="7" max="26" width="12.5703125" customWidth="1"/>
  </cols>
  <sheetData>
    <row r="1" spans="2:6" ht="14.25" customHeight="1" x14ac:dyDescent="0.25"/>
    <row r="2" spans="2:6" ht="14.25" customHeight="1" x14ac:dyDescent="0.25">
      <c r="B2" s="1" t="s">
        <v>84</v>
      </c>
      <c r="C2" s="146"/>
      <c r="D2" s="147"/>
      <c r="E2" s="147"/>
      <c r="F2" s="147"/>
    </row>
    <row r="3" spans="2:6" ht="14.25" customHeight="1" x14ac:dyDescent="0.25">
      <c r="B3" s="3" t="s">
        <v>102</v>
      </c>
    </row>
    <row r="4" spans="2:6" ht="14.25" customHeight="1" x14ac:dyDescent="0.25">
      <c r="B4" s="148" t="s">
        <v>185</v>
      </c>
      <c r="C4" s="113"/>
      <c r="D4" s="113"/>
      <c r="E4" s="113"/>
    </row>
    <row r="5" spans="2:6" ht="14.25" customHeight="1" x14ac:dyDescent="0.25">
      <c r="B5" s="145" t="s">
        <v>106</v>
      </c>
      <c r="C5" s="113"/>
      <c r="D5" s="113"/>
      <c r="E5" s="113"/>
      <c r="F5" s="17"/>
    </row>
    <row r="6" spans="2:6" ht="14.25" customHeight="1" x14ac:dyDescent="0.25">
      <c r="B6" s="145" t="s">
        <v>107</v>
      </c>
      <c r="C6" s="113"/>
      <c r="D6" s="113"/>
      <c r="E6" s="113"/>
      <c r="F6" s="17"/>
    </row>
    <row r="7" spans="2:6" ht="14.25" customHeight="1" x14ac:dyDescent="0.25">
      <c r="B7" s="149" t="s">
        <v>108</v>
      </c>
      <c r="C7" s="113"/>
      <c r="D7" s="113"/>
      <c r="E7" s="113"/>
      <c r="F7" s="17"/>
    </row>
    <row r="8" spans="2:6" ht="14.25" customHeight="1" x14ac:dyDescent="0.25">
      <c r="B8" s="149" t="s">
        <v>109</v>
      </c>
      <c r="C8" s="113"/>
      <c r="D8" s="113"/>
      <c r="E8" s="113"/>
      <c r="F8" s="17"/>
    </row>
    <row r="9" spans="2:6" ht="14.25" customHeight="1" x14ac:dyDescent="0.25">
      <c r="B9" s="149" t="s">
        <v>110</v>
      </c>
      <c r="C9" s="113"/>
      <c r="D9" s="113"/>
      <c r="E9" s="113"/>
      <c r="F9" s="17"/>
    </row>
    <row r="10" spans="2:6" ht="14.25" customHeight="1" x14ac:dyDescent="0.25"/>
    <row r="11" spans="2:6" ht="14.25" customHeight="1" x14ac:dyDescent="0.25"/>
    <row r="12" spans="2:6" ht="14.25" customHeight="1" x14ac:dyDescent="0.25"/>
    <row r="13" spans="2:6" ht="14.25" customHeight="1" x14ac:dyDescent="0.25"/>
    <row r="14" spans="2:6" ht="14.25" customHeight="1" x14ac:dyDescent="0.25"/>
    <row r="15" spans="2:6" ht="14.25" customHeight="1" x14ac:dyDescent="0.25"/>
    <row r="16" spans="2:6" ht="14.25" customHeight="1" x14ac:dyDescent="0.25"/>
    <row r="17" spans="2:6" ht="14.25" customHeight="1" x14ac:dyDescent="0.25"/>
    <row r="18" spans="2:6" ht="14.25" customHeight="1" x14ac:dyDescent="0.25"/>
    <row r="19" spans="2:6" ht="14.25" customHeight="1" x14ac:dyDescent="0.25"/>
    <row r="20" spans="2:6" ht="14.25" customHeight="1" x14ac:dyDescent="0.25"/>
    <row r="21" spans="2:6" ht="14.25" customHeight="1" x14ac:dyDescent="0.25"/>
    <row r="22" spans="2:6" ht="14.25" customHeight="1" x14ac:dyDescent="0.25"/>
    <row r="23" spans="2:6" ht="14.25" customHeight="1" x14ac:dyDescent="0.25"/>
    <row r="24" spans="2:6" ht="14.25" customHeight="1" x14ac:dyDescent="0.25"/>
    <row r="25" spans="2:6" ht="14.25" customHeight="1" x14ac:dyDescent="0.25"/>
    <row r="26" spans="2:6" ht="14.25" customHeight="1" x14ac:dyDescent="0.25"/>
    <row r="27" spans="2:6" ht="14.25" customHeight="1" x14ac:dyDescent="0.25">
      <c r="B27" s="150" t="s">
        <v>186</v>
      </c>
      <c r="C27" s="151"/>
      <c r="D27" s="151"/>
      <c r="E27" s="151"/>
      <c r="F27" s="151"/>
    </row>
    <row r="28" spans="2:6" ht="14.25" customHeight="1" x14ac:dyDescent="0.25">
      <c r="B28" s="113"/>
      <c r="C28" s="113"/>
      <c r="D28" s="113"/>
      <c r="E28" s="113"/>
      <c r="F28" s="113"/>
    </row>
    <row r="29" spans="2:6" ht="14.25" customHeight="1" x14ac:dyDescent="0.25">
      <c r="B29" s="152" t="s">
        <v>112</v>
      </c>
      <c r="C29" s="32" t="s">
        <v>113</v>
      </c>
      <c r="D29" s="33"/>
      <c r="E29" s="34"/>
      <c r="F29" s="34"/>
    </row>
    <row r="30" spans="2:6" ht="14.25" customHeight="1" x14ac:dyDescent="0.25">
      <c r="B30" s="113"/>
      <c r="C30" s="17" t="s">
        <v>54</v>
      </c>
      <c r="D30" s="35"/>
      <c r="E30" s="14"/>
      <c r="F30" s="14"/>
    </row>
    <row r="31" spans="2:6" ht="14.25" customHeight="1" x14ac:dyDescent="0.25">
      <c r="B31" s="113"/>
      <c r="C31" s="17" t="s">
        <v>187</v>
      </c>
      <c r="D31" s="36"/>
      <c r="E31" s="37"/>
      <c r="F31" s="37"/>
    </row>
    <row r="32" spans="2:6" ht="14.25" customHeight="1" x14ac:dyDescent="0.25">
      <c r="B32" s="113"/>
      <c r="C32" s="17" t="s">
        <v>188</v>
      </c>
      <c r="D32" s="36"/>
      <c r="E32" s="37"/>
      <c r="F32" s="37"/>
    </row>
    <row r="33" spans="1:26" ht="14.25" customHeight="1" x14ac:dyDescent="0.25">
      <c r="B33" s="113"/>
      <c r="C33" s="17" t="s">
        <v>189</v>
      </c>
      <c r="D33" s="36"/>
      <c r="E33" s="37"/>
      <c r="F33" s="37"/>
    </row>
    <row r="34" spans="1:26" ht="14.25" customHeight="1" x14ac:dyDescent="0.25">
      <c r="B34" s="17"/>
      <c r="C34" s="17"/>
      <c r="D34" s="17"/>
      <c r="E34" s="17"/>
      <c r="F34" s="17"/>
    </row>
    <row r="35" spans="1:26" ht="14.25" customHeight="1" x14ac:dyDescent="0.25">
      <c r="A35" s="16"/>
      <c r="B35" s="19" t="s">
        <v>29</v>
      </c>
      <c r="C35" s="19" t="s">
        <v>190</v>
      </c>
      <c r="D35" s="19" t="s">
        <v>191</v>
      </c>
      <c r="E35" s="19" t="s">
        <v>188</v>
      </c>
      <c r="F35" s="19" t="s">
        <v>189</v>
      </c>
      <c r="G35" s="16"/>
      <c r="H35" s="16"/>
      <c r="I35" s="16"/>
      <c r="J35" s="16"/>
      <c r="K35" s="16"/>
      <c r="L35" s="16"/>
      <c r="M35" s="16"/>
      <c r="N35" s="16"/>
      <c r="O35" s="16"/>
      <c r="P35" s="16"/>
      <c r="Q35" s="16"/>
      <c r="R35" s="16"/>
      <c r="S35" s="16"/>
      <c r="T35" s="16"/>
      <c r="U35" s="16"/>
      <c r="V35" s="16"/>
      <c r="W35" s="16"/>
      <c r="X35" s="16"/>
      <c r="Y35" s="16"/>
      <c r="Z35" s="16"/>
    </row>
    <row r="36" spans="1:26" ht="14.25" customHeight="1" x14ac:dyDescent="0.25">
      <c r="B36" s="17">
        <v>1</v>
      </c>
      <c r="C36" s="53"/>
      <c r="D36" s="23">
        <f t="shared" ref="D36:D60" si="0">$D$31</f>
        <v>0</v>
      </c>
      <c r="E36" s="23">
        <f>$D$32</f>
        <v>0</v>
      </c>
      <c r="F36" s="23">
        <f t="shared" ref="F36:F60" si="1">$D$33</f>
        <v>0</v>
      </c>
    </row>
    <row r="37" spans="1:26" ht="14.25" customHeight="1" x14ac:dyDescent="0.25">
      <c r="B37" s="17">
        <v>2</v>
      </c>
      <c r="C37" s="53"/>
      <c r="D37" s="23">
        <f t="shared" si="0"/>
        <v>0</v>
      </c>
      <c r="E37" s="23">
        <f t="shared" ref="E37:E60" si="2">$D$32</f>
        <v>0</v>
      </c>
      <c r="F37" s="23">
        <f t="shared" si="1"/>
        <v>0</v>
      </c>
    </row>
    <row r="38" spans="1:26" ht="14.25" customHeight="1" x14ac:dyDescent="0.25">
      <c r="B38" s="17">
        <v>3</v>
      </c>
      <c r="C38" s="53"/>
      <c r="D38" s="23">
        <f t="shared" si="0"/>
        <v>0</v>
      </c>
      <c r="E38" s="23">
        <f t="shared" si="2"/>
        <v>0</v>
      </c>
      <c r="F38" s="23">
        <f t="shared" si="1"/>
        <v>0</v>
      </c>
    </row>
    <row r="39" spans="1:26" ht="14.25" customHeight="1" x14ac:dyDescent="0.25">
      <c r="B39" s="17">
        <v>4</v>
      </c>
      <c r="C39" s="53"/>
      <c r="D39" s="23">
        <f t="shared" si="0"/>
        <v>0</v>
      </c>
      <c r="E39" s="23">
        <f t="shared" si="2"/>
        <v>0</v>
      </c>
      <c r="F39" s="23">
        <f t="shared" si="1"/>
        <v>0</v>
      </c>
    </row>
    <row r="40" spans="1:26" ht="14.25" customHeight="1" x14ac:dyDescent="0.25">
      <c r="B40" s="17">
        <v>5</v>
      </c>
      <c r="C40" s="53"/>
      <c r="D40" s="23">
        <f t="shared" si="0"/>
        <v>0</v>
      </c>
      <c r="E40" s="23">
        <f t="shared" si="2"/>
        <v>0</v>
      </c>
      <c r="F40" s="23">
        <f t="shared" si="1"/>
        <v>0</v>
      </c>
    </row>
    <row r="41" spans="1:26" ht="14.25" customHeight="1" x14ac:dyDescent="0.25">
      <c r="B41" s="17">
        <v>6</v>
      </c>
      <c r="C41" s="53"/>
      <c r="D41" s="23">
        <f t="shared" si="0"/>
        <v>0</v>
      </c>
      <c r="E41" s="23">
        <f t="shared" si="2"/>
        <v>0</v>
      </c>
      <c r="F41" s="23">
        <f t="shared" si="1"/>
        <v>0</v>
      </c>
    </row>
    <row r="42" spans="1:26" ht="14.25" customHeight="1" x14ac:dyDescent="0.25">
      <c r="B42" s="17">
        <v>7</v>
      </c>
      <c r="C42" s="53"/>
      <c r="D42" s="23">
        <f t="shared" si="0"/>
        <v>0</v>
      </c>
      <c r="E42" s="23">
        <f t="shared" si="2"/>
        <v>0</v>
      </c>
      <c r="F42" s="23">
        <f t="shared" si="1"/>
        <v>0</v>
      </c>
    </row>
    <row r="43" spans="1:26" ht="14.25" customHeight="1" x14ac:dyDescent="0.25">
      <c r="B43" s="17">
        <v>8</v>
      </c>
      <c r="C43" s="53"/>
      <c r="D43" s="23">
        <f t="shared" si="0"/>
        <v>0</v>
      </c>
      <c r="E43" s="23">
        <f t="shared" si="2"/>
        <v>0</v>
      </c>
      <c r="F43" s="23">
        <f t="shared" si="1"/>
        <v>0</v>
      </c>
    </row>
    <row r="44" spans="1:26" ht="14.25" customHeight="1" x14ac:dyDescent="0.25">
      <c r="B44" s="17">
        <v>9</v>
      </c>
      <c r="C44" s="53"/>
      <c r="D44" s="23">
        <f t="shared" si="0"/>
        <v>0</v>
      </c>
      <c r="E44" s="23">
        <f t="shared" si="2"/>
        <v>0</v>
      </c>
      <c r="F44" s="23">
        <f t="shared" si="1"/>
        <v>0</v>
      </c>
    </row>
    <row r="45" spans="1:26" ht="14.25" customHeight="1" x14ac:dyDescent="0.25">
      <c r="B45" s="17">
        <v>10</v>
      </c>
      <c r="C45" s="53"/>
      <c r="D45" s="23">
        <f t="shared" si="0"/>
        <v>0</v>
      </c>
      <c r="E45" s="23">
        <f t="shared" si="2"/>
        <v>0</v>
      </c>
      <c r="F45" s="23">
        <f t="shared" si="1"/>
        <v>0</v>
      </c>
    </row>
    <row r="46" spans="1:26" ht="14.25" customHeight="1" x14ac:dyDescent="0.25">
      <c r="B46" s="17">
        <v>11</v>
      </c>
      <c r="C46" s="53"/>
      <c r="D46" s="23">
        <f t="shared" si="0"/>
        <v>0</v>
      </c>
      <c r="E46" s="23">
        <f t="shared" si="2"/>
        <v>0</v>
      </c>
      <c r="F46" s="23">
        <f t="shared" si="1"/>
        <v>0</v>
      </c>
    </row>
    <row r="47" spans="1:26" ht="14.25" customHeight="1" x14ac:dyDescent="0.25">
      <c r="B47" s="17">
        <v>12</v>
      </c>
      <c r="C47" s="53"/>
      <c r="D47" s="23">
        <f t="shared" si="0"/>
        <v>0</v>
      </c>
      <c r="E47" s="23">
        <f t="shared" si="2"/>
        <v>0</v>
      </c>
      <c r="F47" s="23">
        <f t="shared" si="1"/>
        <v>0</v>
      </c>
    </row>
    <row r="48" spans="1:26" ht="14.25" customHeight="1" x14ac:dyDescent="0.25">
      <c r="B48" s="17">
        <v>13</v>
      </c>
      <c r="C48" s="53"/>
      <c r="D48" s="23">
        <f t="shared" si="0"/>
        <v>0</v>
      </c>
      <c r="E48" s="23">
        <f t="shared" si="2"/>
        <v>0</v>
      </c>
      <c r="F48" s="23">
        <f t="shared" si="1"/>
        <v>0</v>
      </c>
    </row>
    <row r="49" spans="2:6" ht="14.25" customHeight="1" x14ac:dyDescent="0.25">
      <c r="B49" s="17">
        <v>14</v>
      </c>
      <c r="C49" s="53"/>
      <c r="D49" s="23">
        <f t="shared" si="0"/>
        <v>0</v>
      </c>
      <c r="E49" s="23">
        <f t="shared" si="2"/>
        <v>0</v>
      </c>
      <c r="F49" s="23">
        <f t="shared" si="1"/>
        <v>0</v>
      </c>
    </row>
    <row r="50" spans="2:6" ht="14.25" customHeight="1" x14ac:dyDescent="0.25">
      <c r="B50" s="17">
        <v>15</v>
      </c>
      <c r="C50" s="53"/>
      <c r="D50" s="23">
        <f t="shared" si="0"/>
        <v>0</v>
      </c>
      <c r="E50" s="23">
        <f t="shared" si="2"/>
        <v>0</v>
      </c>
      <c r="F50" s="23">
        <f t="shared" si="1"/>
        <v>0</v>
      </c>
    </row>
    <row r="51" spans="2:6" ht="14.25" customHeight="1" x14ac:dyDescent="0.25">
      <c r="B51" s="17">
        <v>16</v>
      </c>
      <c r="C51" s="53"/>
      <c r="D51" s="23">
        <f t="shared" si="0"/>
        <v>0</v>
      </c>
      <c r="E51" s="23">
        <f t="shared" si="2"/>
        <v>0</v>
      </c>
      <c r="F51" s="23">
        <f t="shared" si="1"/>
        <v>0</v>
      </c>
    </row>
    <row r="52" spans="2:6" ht="14.25" customHeight="1" x14ac:dyDescent="0.25">
      <c r="B52" s="17">
        <v>17</v>
      </c>
      <c r="C52" s="53"/>
      <c r="D52" s="23">
        <f t="shared" si="0"/>
        <v>0</v>
      </c>
      <c r="E52" s="23">
        <f t="shared" si="2"/>
        <v>0</v>
      </c>
      <c r="F52" s="23">
        <f t="shared" si="1"/>
        <v>0</v>
      </c>
    </row>
    <row r="53" spans="2:6" ht="14.25" customHeight="1" x14ac:dyDescent="0.25">
      <c r="B53" s="17">
        <v>18</v>
      </c>
      <c r="C53" s="53"/>
      <c r="D53" s="23">
        <f t="shared" si="0"/>
        <v>0</v>
      </c>
      <c r="E53" s="23">
        <f t="shared" si="2"/>
        <v>0</v>
      </c>
      <c r="F53" s="23">
        <f t="shared" si="1"/>
        <v>0</v>
      </c>
    </row>
    <row r="54" spans="2:6" ht="14.25" customHeight="1" x14ac:dyDescent="0.25">
      <c r="B54" s="17">
        <v>19</v>
      </c>
      <c r="C54" s="53"/>
      <c r="D54" s="23">
        <f t="shared" si="0"/>
        <v>0</v>
      </c>
      <c r="E54" s="23">
        <f t="shared" si="2"/>
        <v>0</v>
      </c>
      <c r="F54" s="23">
        <f t="shared" si="1"/>
        <v>0</v>
      </c>
    </row>
    <row r="55" spans="2:6" ht="14.25" customHeight="1" x14ac:dyDescent="0.25">
      <c r="B55" s="17">
        <v>20</v>
      </c>
      <c r="C55" s="53"/>
      <c r="D55" s="23">
        <f t="shared" si="0"/>
        <v>0</v>
      </c>
      <c r="E55" s="23">
        <f t="shared" si="2"/>
        <v>0</v>
      </c>
      <c r="F55" s="23">
        <f t="shared" si="1"/>
        <v>0</v>
      </c>
    </row>
    <row r="56" spans="2:6" ht="14.25" customHeight="1" x14ac:dyDescent="0.25">
      <c r="B56" s="17">
        <v>21</v>
      </c>
      <c r="C56" s="53"/>
      <c r="D56" s="23">
        <f t="shared" si="0"/>
        <v>0</v>
      </c>
      <c r="E56" s="23">
        <f t="shared" si="2"/>
        <v>0</v>
      </c>
      <c r="F56" s="23">
        <f t="shared" si="1"/>
        <v>0</v>
      </c>
    </row>
    <row r="57" spans="2:6" ht="14.25" customHeight="1" x14ac:dyDescent="0.25">
      <c r="B57" s="17">
        <v>22</v>
      </c>
      <c r="C57" s="53"/>
      <c r="D57" s="23">
        <f t="shared" si="0"/>
        <v>0</v>
      </c>
      <c r="E57" s="23">
        <f t="shared" si="2"/>
        <v>0</v>
      </c>
      <c r="F57" s="23">
        <f t="shared" si="1"/>
        <v>0</v>
      </c>
    </row>
    <row r="58" spans="2:6" ht="14.25" customHeight="1" x14ac:dyDescent="0.25">
      <c r="B58" s="17">
        <v>23</v>
      </c>
      <c r="C58" s="53"/>
      <c r="D58" s="23">
        <f t="shared" si="0"/>
        <v>0</v>
      </c>
      <c r="E58" s="23">
        <f t="shared" si="2"/>
        <v>0</v>
      </c>
      <c r="F58" s="23">
        <f t="shared" si="1"/>
        <v>0</v>
      </c>
    </row>
    <row r="59" spans="2:6" ht="14.25" customHeight="1" x14ac:dyDescent="0.25">
      <c r="B59" s="17">
        <v>24</v>
      </c>
      <c r="C59" s="53"/>
      <c r="D59" s="23">
        <f t="shared" si="0"/>
        <v>0</v>
      </c>
      <c r="E59" s="23">
        <f t="shared" si="2"/>
        <v>0</v>
      </c>
      <c r="F59" s="23">
        <f t="shared" si="1"/>
        <v>0</v>
      </c>
    </row>
    <row r="60" spans="2:6" ht="14.25" customHeight="1" x14ac:dyDescent="0.25">
      <c r="B60" s="17">
        <v>25</v>
      </c>
      <c r="C60" s="53"/>
      <c r="D60" s="23">
        <f t="shared" si="0"/>
        <v>0</v>
      </c>
      <c r="E60" s="23">
        <f t="shared" si="2"/>
        <v>0</v>
      </c>
      <c r="F60" s="23">
        <f t="shared" si="1"/>
        <v>0</v>
      </c>
    </row>
    <row r="61" spans="2:6" ht="14.25" customHeight="1" x14ac:dyDescent="0.25">
      <c r="B61" s="42"/>
      <c r="C61" s="42"/>
      <c r="D61" s="42"/>
      <c r="E61" s="42"/>
      <c r="F61" s="42"/>
    </row>
    <row r="62" spans="2:6" ht="14.25" customHeight="1" x14ac:dyDescent="0.25"/>
    <row r="63" spans="2:6" ht="14.25" customHeight="1" x14ac:dyDescent="0.25"/>
    <row r="64" spans="2:6"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9">
    <mergeCell ref="B27:F28"/>
    <mergeCell ref="B29:B33"/>
    <mergeCell ref="C2:F2"/>
    <mergeCell ref="B4:E4"/>
    <mergeCell ref="B5:E5"/>
    <mergeCell ref="B6:E6"/>
    <mergeCell ref="B7:E7"/>
    <mergeCell ref="B8:E8"/>
    <mergeCell ref="B9:E9"/>
  </mergeCells>
  <conditionalFormatting sqref="C36:C60">
    <cfRule type="cellIs" dxfId="8" priority="1" operator="lessThan">
      <formula>$F$36</formula>
    </cfRule>
    <cfRule type="cellIs" dxfId="7" priority="2" operator="greaterThan">
      <formula>$E$36</formula>
    </cfRule>
  </conditionalFormatting>
  <pageMargins left="0.7" right="0.7" top="0.75" bottom="0.75" header="0" footer="0"/>
  <pageSetup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14337" r:id="rId3" name="Check Box 1">
              <controlPr defaultSize="0" autoFill="0" autoLine="0" autoPict="0">
                <anchor moveWithCells="1">
                  <from>
                    <xdr:col>5</xdr:col>
                    <xdr:colOff>66675</xdr:colOff>
                    <xdr:row>3</xdr:row>
                    <xdr:rowOff>180975</xdr:rowOff>
                  </from>
                  <to>
                    <xdr:col>5</xdr:col>
                    <xdr:colOff>790575</xdr:colOff>
                    <xdr:row>5</xdr:row>
                    <xdr:rowOff>28575</xdr:rowOff>
                  </to>
                </anchor>
              </controlPr>
            </control>
          </mc:Choice>
        </mc:AlternateContent>
        <mc:AlternateContent xmlns:mc="http://schemas.openxmlformats.org/markup-compatibility/2006">
          <mc:Choice Requires="x14">
            <control shapeId="14338" r:id="rId4" name="Check Box 2">
              <controlPr defaultSize="0" autoFill="0" autoLine="0" autoPict="0">
                <anchor moveWithCells="1">
                  <from>
                    <xdr:col>5</xdr:col>
                    <xdr:colOff>66675</xdr:colOff>
                    <xdr:row>4</xdr:row>
                    <xdr:rowOff>180975</xdr:rowOff>
                  </from>
                  <to>
                    <xdr:col>5</xdr:col>
                    <xdr:colOff>790575</xdr:colOff>
                    <xdr:row>6</xdr:row>
                    <xdr:rowOff>28575</xdr:rowOff>
                  </to>
                </anchor>
              </controlPr>
            </control>
          </mc:Choice>
        </mc:AlternateContent>
        <mc:AlternateContent xmlns:mc="http://schemas.openxmlformats.org/markup-compatibility/2006">
          <mc:Choice Requires="x14">
            <control shapeId="14339" r:id="rId5" name="Check Box 3">
              <controlPr defaultSize="0" autoFill="0" autoLine="0" autoPict="0">
                <anchor moveWithCells="1">
                  <from>
                    <xdr:col>5</xdr:col>
                    <xdr:colOff>66675</xdr:colOff>
                    <xdr:row>5</xdr:row>
                    <xdr:rowOff>180975</xdr:rowOff>
                  </from>
                  <to>
                    <xdr:col>5</xdr:col>
                    <xdr:colOff>790575</xdr:colOff>
                    <xdr:row>7</xdr:row>
                    <xdr:rowOff>28575</xdr:rowOff>
                  </to>
                </anchor>
              </controlPr>
            </control>
          </mc:Choice>
        </mc:AlternateContent>
        <mc:AlternateContent xmlns:mc="http://schemas.openxmlformats.org/markup-compatibility/2006">
          <mc:Choice Requires="x14">
            <control shapeId="14340" r:id="rId6" name="Check Box 4">
              <controlPr defaultSize="0" autoFill="0" autoLine="0" autoPict="0">
                <anchor moveWithCells="1">
                  <from>
                    <xdr:col>5</xdr:col>
                    <xdr:colOff>66675</xdr:colOff>
                    <xdr:row>6</xdr:row>
                    <xdr:rowOff>180975</xdr:rowOff>
                  </from>
                  <to>
                    <xdr:col>5</xdr:col>
                    <xdr:colOff>790575</xdr:colOff>
                    <xdr:row>8</xdr:row>
                    <xdr:rowOff>28575</xdr:rowOff>
                  </to>
                </anchor>
              </controlPr>
            </control>
          </mc:Choice>
        </mc:AlternateContent>
        <mc:AlternateContent xmlns:mc="http://schemas.openxmlformats.org/markup-compatibility/2006">
          <mc:Choice Requires="x14">
            <control shapeId="14341" r:id="rId7" name="Check Box 5">
              <controlPr defaultSize="0" autoFill="0" autoLine="0" autoPict="0">
                <anchor moveWithCells="1">
                  <from>
                    <xdr:col>5</xdr:col>
                    <xdr:colOff>66675</xdr:colOff>
                    <xdr:row>7</xdr:row>
                    <xdr:rowOff>180975</xdr:rowOff>
                  </from>
                  <to>
                    <xdr:col>5</xdr:col>
                    <xdr:colOff>790575</xdr:colOff>
                    <xdr:row>9</xdr:row>
                    <xdr:rowOff>28575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4472C4"/>
  </sheetPr>
  <dimension ref="A1:Z1000"/>
  <sheetViews>
    <sheetView showGridLines="0" topLeftCell="A43" zoomScale="127" workbookViewId="0">
      <selection activeCell="D29" sqref="D29:D33"/>
    </sheetView>
  </sheetViews>
  <sheetFormatPr defaultColWidth="14.42578125" defaultRowHeight="15" customHeight="1" x14ac:dyDescent="0.25"/>
  <cols>
    <col min="1" max="1" width="8.7109375" customWidth="1"/>
    <col min="2" max="7" width="12.42578125" customWidth="1"/>
    <col min="8" max="26" width="12.5703125" customWidth="1"/>
  </cols>
  <sheetData>
    <row r="1" spans="2:7" ht="14.25" customHeight="1" x14ac:dyDescent="0.25"/>
    <row r="2" spans="2:7" ht="14.25" customHeight="1" x14ac:dyDescent="0.25">
      <c r="B2" s="1" t="s">
        <v>84</v>
      </c>
      <c r="C2" s="146"/>
      <c r="D2" s="147"/>
      <c r="E2" s="147"/>
      <c r="F2" s="147"/>
    </row>
    <row r="3" spans="2:7" ht="14.25" customHeight="1" x14ac:dyDescent="0.25">
      <c r="B3" s="3" t="s">
        <v>102</v>
      </c>
    </row>
    <row r="4" spans="2:7" ht="14.25" customHeight="1" x14ac:dyDescent="0.25">
      <c r="B4" s="148" t="s">
        <v>192</v>
      </c>
      <c r="C4" s="113"/>
      <c r="D4" s="113"/>
      <c r="E4" s="113"/>
      <c r="F4" s="113"/>
    </row>
    <row r="5" spans="2:7" ht="14.25" customHeight="1" x14ac:dyDescent="0.25">
      <c r="B5" s="145" t="s">
        <v>106</v>
      </c>
      <c r="C5" s="113"/>
      <c r="D5" s="113"/>
      <c r="E5" s="113"/>
      <c r="F5" s="113"/>
      <c r="G5" s="17"/>
    </row>
    <row r="6" spans="2:7" ht="14.25" customHeight="1" x14ac:dyDescent="0.25">
      <c r="B6" s="145" t="s">
        <v>107</v>
      </c>
      <c r="C6" s="113"/>
      <c r="D6" s="113"/>
      <c r="E6" s="113"/>
      <c r="F6" s="113"/>
      <c r="G6" s="17"/>
    </row>
    <row r="7" spans="2:7" ht="14.25" customHeight="1" x14ac:dyDescent="0.25">
      <c r="B7" s="149" t="s">
        <v>108</v>
      </c>
      <c r="C7" s="113"/>
      <c r="D7" s="113"/>
      <c r="E7" s="113"/>
      <c r="F7" s="113"/>
      <c r="G7" s="17"/>
    </row>
    <row r="8" spans="2:7" ht="14.25" customHeight="1" x14ac:dyDescent="0.25">
      <c r="B8" s="149" t="s">
        <v>109</v>
      </c>
      <c r="C8" s="113"/>
      <c r="D8" s="113"/>
      <c r="E8" s="113"/>
      <c r="F8" s="113"/>
      <c r="G8" s="17"/>
    </row>
    <row r="9" spans="2:7" ht="14.25" customHeight="1" x14ac:dyDescent="0.25">
      <c r="B9" s="149" t="s">
        <v>110</v>
      </c>
      <c r="C9" s="113"/>
      <c r="D9" s="113"/>
      <c r="E9" s="113"/>
      <c r="F9" s="113"/>
      <c r="G9" s="17"/>
    </row>
    <row r="10" spans="2:7" ht="14.25" customHeight="1" x14ac:dyDescent="0.25"/>
    <row r="11" spans="2:7" ht="14.25" customHeight="1" x14ac:dyDescent="0.25"/>
    <row r="12" spans="2:7" ht="14.25" customHeight="1" x14ac:dyDescent="0.25"/>
    <row r="13" spans="2:7" ht="14.25" customHeight="1" x14ac:dyDescent="0.25"/>
    <row r="14" spans="2:7" ht="14.25" customHeight="1" x14ac:dyDescent="0.25"/>
    <row r="15" spans="2:7" ht="14.25" customHeight="1" x14ac:dyDescent="0.25"/>
    <row r="16" spans="2:7" ht="14.25" customHeight="1" x14ac:dyDescent="0.25"/>
    <row r="17" spans="2:7" ht="14.25" customHeight="1" x14ac:dyDescent="0.25"/>
    <row r="18" spans="2:7" ht="14.25" customHeight="1" x14ac:dyDescent="0.25"/>
    <row r="19" spans="2:7" ht="14.25" customHeight="1" x14ac:dyDescent="0.25"/>
    <row r="20" spans="2:7" ht="14.25" customHeight="1" x14ac:dyDescent="0.25"/>
    <row r="21" spans="2:7" ht="14.25" customHeight="1" x14ac:dyDescent="0.25"/>
    <row r="22" spans="2:7" ht="14.25" customHeight="1" x14ac:dyDescent="0.25"/>
    <row r="23" spans="2:7" ht="14.25" customHeight="1" x14ac:dyDescent="0.25"/>
    <row r="24" spans="2:7" ht="14.25" customHeight="1" x14ac:dyDescent="0.25"/>
    <row r="25" spans="2:7" ht="14.25" customHeight="1" x14ac:dyDescent="0.25"/>
    <row r="26" spans="2:7" ht="14.25" customHeight="1" x14ac:dyDescent="0.25"/>
    <row r="27" spans="2:7" ht="14.25" customHeight="1" x14ac:dyDescent="0.25">
      <c r="B27" s="150" t="s">
        <v>193</v>
      </c>
      <c r="C27" s="151"/>
      <c r="D27" s="151"/>
      <c r="E27" s="151"/>
      <c r="F27" s="151"/>
      <c r="G27" s="151"/>
    </row>
    <row r="28" spans="2:7" ht="14.25" customHeight="1" x14ac:dyDescent="0.25">
      <c r="B28" s="113"/>
      <c r="C28" s="113"/>
      <c r="D28" s="113"/>
      <c r="E28" s="113"/>
      <c r="F28" s="113"/>
      <c r="G28" s="113"/>
    </row>
    <row r="29" spans="2:7" ht="14.25" customHeight="1" x14ac:dyDescent="0.25">
      <c r="B29" s="152" t="s">
        <v>112</v>
      </c>
      <c r="C29" s="32" t="s">
        <v>113</v>
      </c>
      <c r="D29" s="33"/>
      <c r="E29" s="34"/>
      <c r="F29" s="34"/>
      <c r="G29" s="34"/>
    </row>
    <row r="30" spans="2:7" ht="14.25" customHeight="1" x14ac:dyDescent="0.25">
      <c r="B30" s="154"/>
      <c r="C30" s="93" t="s">
        <v>54</v>
      </c>
      <c r="D30" s="94"/>
      <c r="E30" s="95"/>
      <c r="F30" s="95"/>
      <c r="G30" s="95"/>
    </row>
    <row r="31" spans="2:7" ht="14.25" customHeight="1" x14ac:dyDescent="0.25">
      <c r="B31" s="154"/>
      <c r="C31" s="93" t="s">
        <v>194</v>
      </c>
      <c r="D31" s="63"/>
      <c r="E31" s="96"/>
      <c r="F31" s="96"/>
      <c r="G31" s="96"/>
    </row>
    <row r="32" spans="2:7" ht="14.25" customHeight="1" x14ac:dyDescent="0.25">
      <c r="B32" s="154"/>
      <c r="C32" s="93" t="s">
        <v>195</v>
      </c>
      <c r="D32" s="63"/>
      <c r="E32" s="96"/>
      <c r="F32" s="96"/>
      <c r="G32" s="96"/>
    </row>
    <row r="33" spans="1:26" ht="14.25" customHeight="1" x14ac:dyDescent="0.25">
      <c r="B33" s="155"/>
      <c r="C33" s="68" t="s">
        <v>196</v>
      </c>
      <c r="D33" s="97"/>
      <c r="E33" s="98"/>
      <c r="F33" s="98"/>
      <c r="G33" s="98"/>
    </row>
    <row r="34" spans="1:26" ht="14.25" customHeight="1" x14ac:dyDescent="0.25">
      <c r="B34" s="17"/>
      <c r="C34" s="17"/>
      <c r="D34" s="17"/>
      <c r="E34" s="17"/>
      <c r="F34" s="17"/>
      <c r="G34" s="17"/>
    </row>
    <row r="35" spans="1:26" ht="14.25" customHeight="1" x14ac:dyDescent="0.25">
      <c r="A35" s="16"/>
      <c r="B35" s="19" t="s">
        <v>29</v>
      </c>
      <c r="C35" s="19" t="s">
        <v>197</v>
      </c>
      <c r="D35" s="19" t="s">
        <v>198</v>
      </c>
      <c r="E35" s="19" t="s">
        <v>199</v>
      </c>
      <c r="F35" s="19" t="s">
        <v>195</v>
      </c>
      <c r="G35" s="19" t="s">
        <v>196</v>
      </c>
      <c r="H35" s="16"/>
      <c r="I35" s="16"/>
      <c r="J35" s="16"/>
      <c r="K35" s="16"/>
      <c r="L35" s="16"/>
      <c r="M35" s="16"/>
      <c r="N35" s="16"/>
      <c r="O35" s="16"/>
      <c r="P35" s="16"/>
      <c r="Q35" s="16"/>
      <c r="R35" s="16"/>
      <c r="S35" s="16"/>
      <c r="T35" s="16"/>
      <c r="U35" s="16"/>
      <c r="V35" s="16"/>
      <c r="W35" s="16"/>
      <c r="X35" s="16"/>
      <c r="Y35" s="16"/>
      <c r="Z35" s="16"/>
    </row>
    <row r="36" spans="1:26" ht="14.25" customHeight="1" x14ac:dyDescent="0.25">
      <c r="B36" s="17">
        <v>1</v>
      </c>
      <c r="C36" s="53"/>
      <c r="D36" s="41"/>
      <c r="E36" s="23">
        <f t="shared" ref="E36:E60" si="0">$D$31</f>
        <v>0</v>
      </c>
      <c r="F36" s="23">
        <f t="shared" ref="F36:F60" si="1">$D$32</f>
        <v>0</v>
      </c>
      <c r="G36" s="23">
        <f t="shared" ref="G36:G60" si="2">$D$33</f>
        <v>0</v>
      </c>
    </row>
    <row r="37" spans="1:26" ht="14.25" customHeight="1" x14ac:dyDescent="0.25">
      <c r="B37" s="17">
        <v>2</v>
      </c>
      <c r="C37" s="53"/>
      <c r="D37" s="41"/>
      <c r="E37" s="23">
        <f t="shared" si="0"/>
        <v>0</v>
      </c>
      <c r="F37" s="23">
        <f t="shared" si="1"/>
        <v>0</v>
      </c>
      <c r="G37" s="23">
        <f t="shared" si="2"/>
        <v>0</v>
      </c>
    </row>
    <row r="38" spans="1:26" ht="14.25" customHeight="1" x14ac:dyDescent="0.25">
      <c r="B38" s="17">
        <v>3</v>
      </c>
      <c r="C38" s="53"/>
      <c r="D38" s="41"/>
      <c r="E38" s="23">
        <f t="shared" si="0"/>
        <v>0</v>
      </c>
      <c r="F38" s="23">
        <f t="shared" si="1"/>
        <v>0</v>
      </c>
      <c r="G38" s="23">
        <f t="shared" si="2"/>
        <v>0</v>
      </c>
    </row>
    <row r="39" spans="1:26" ht="14.25" customHeight="1" x14ac:dyDescent="0.25">
      <c r="B39" s="17">
        <v>4</v>
      </c>
      <c r="C39" s="53"/>
      <c r="D39" s="41"/>
      <c r="E39" s="23">
        <f t="shared" si="0"/>
        <v>0</v>
      </c>
      <c r="F39" s="23">
        <f t="shared" si="1"/>
        <v>0</v>
      </c>
      <c r="G39" s="23">
        <f t="shared" si="2"/>
        <v>0</v>
      </c>
    </row>
    <row r="40" spans="1:26" ht="14.25" customHeight="1" x14ac:dyDescent="0.25">
      <c r="B40" s="17">
        <v>5</v>
      </c>
      <c r="C40" s="53"/>
      <c r="D40" s="41"/>
      <c r="E40" s="23">
        <f t="shared" si="0"/>
        <v>0</v>
      </c>
      <c r="F40" s="23">
        <f t="shared" si="1"/>
        <v>0</v>
      </c>
      <c r="G40" s="23">
        <f t="shared" si="2"/>
        <v>0</v>
      </c>
    </row>
    <row r="41" spans="1:26" ht="14.25" customHeight="1" x14ac:dyDescent="0.25">
      <c r="B41" s="17">
        <v>6</v>
      </c>
      <c r="C41" s="53"/>
      <c r="D41" s="41"/>
      <c r="E41" s="23">
        <f t="shared" si="0"/>
        <v>0</v>
      </c>
      <c r="F41" s="23">
        <f t="shared" si="1"/>
        <v>0</v>
      </c>
      <c r="G41" s="23">
        <f t="shared" si="2"/>
        <v>0</v>
      </c>
    </row>
    <row r="42" spans="1:26" ht="14.25" customHeight="1" x14ac:dyDescent="0.25">
      <c r="B42" s="17">
        <v>7</v>
      </c>
      <c r="C42" s="53"/>
      <c r="D42" s="41"/>
      <c r="E42" s="23">
        <f t="shared" si="0"/>
        <v>0</v>
      </c>
      <c r="F42" s="23">
        <f t="shared" si="1"/>
        <v>0</v>
      </c>
      <c r="G42" s="23">
        <f t="shared" si="2"/>
        <v>0</v>
      </c>
    </row>
    <row r="43" spans="1:26" ht="14.25" customHeight="1" x14ac:dyDescent="0.25">
      <c r="B43" s="17">
        <v>8</v>
      </c>
      <c r="C43" s="53"/>
      <c r="D43" s="41"/>
      <c r="E43" s="23">
        <f t="shared" si="0"/>
        <v>0</v>
      </c>
      <c r="F43" s="23">
        <f t="shared" si="1"/>
        <v>0</v>
      </c>
      <c r="G43" s="23">
        <f t="shared" si="2"/>
        <v>0</v>
      </c>
    </row>
    <row r="44" spans="1:26" ht="14.25" customHeight="1" x14ac:dyDescent="0.25">
      <c r="B44" s="17">
        <v>9</v>
      </c>
      <c r="C44" s="53"/>
      <c r="D44" s="41"/>
      <c r="E44" s="23">
        <f t="shared" si="0"/>
        <v>0</v>
      </c>
      <c r="F44" s="23">
        <f t="shared" si="1"/>
        <v>0</v>
      </c>
      <c r="G44" s="23">
        <f t="shared" si="2"/>
        <v>0</v>
      </c>
    </row>
    <row r="45" spans="1:26" ht="14.25" customHeight="1" x14ac:dyDescent="0.25">
      <c r="B45" s="17">
        <v>10</v>
      </c>
      <c r="C45" s="53"/>
      <c r="D45" s="41"/>
      <c r="E45" s="23">
        <f t="shared" si="0"/>
        <v>0</v>
      </c>
      <c r="F45" s="23">
        <f t="shared" si="1"/>
        <v>0</v>
      </c>
      <c r="G45" s="23">
        <f t="shared" si="2"/>
        <v>0</v>
      </c>
    </row>
    <row r="46" spans="1:26" ht="14.25" customHeight="1" x14ac:dyDescent="0.25">
      <c r="B46" s="17">
        <v>11</v>
      </c>
      <c r="C46" s="53"/>
      <c r="D46" s="41"/>
      <c r="E46" s="23">
        <f t="shared" si="0"/>
        <v>0</v>
      </c>
      <c r="F46" s="23">
        <f t="shared" si="1"/>
        <v>0</v>
      </c>
      <c r="G46" s="23">
        <f t="shared" si="2"/>
        <v>0</v>
      </c>
    </row>
    <row r="47" spans="1:26" ht="14.25" customHeight="1" x14ac:dyDescent="0.25">
      <c r="B47" s="17">
        <v>12</v>
      </c>
      <c r="C47" s="53"/>
      <c r="D47" s="41"/>
      <c r="E47" s="23">
        <f t="shared" si="0"/>
        <v>0</v>
      </c>
      <c r="F47" s="23">
        <f t="shared" si="1"/>
        <v>0</v>
      </c>
      <c r="G47" s="23">
        <f t="shared" si="2"/>
        <v>0</v>
      </c>
    </row>
    <row r="48" spans="1:26" ht="14.25" customHeight="1" x14ac:dyDescent="0.25">
      <c r="B48" s="17">
        <v>13</v>
      </c>
      <c r="C48" s="53"/>
      <c r="D48" s="41"/>
      <c r="E48" s="23">
        <f t="shared" si="0"/>
        <v>0</v>
      </c>
      <c r="F48" s="23">
        <f t="shared" si="1"/>
        <v>0</v>
      </c>
      <c r="G48" s="23">
        <f t="shared" si="2"/>
        <v>0</v>
      </c>
    </row>
    <row r="49" spans="2:7" ht="14.25" customHeight="1" x14ac:dyDescent="0.25">
      <c r="B49" s="17">
        <v>14</v>
      </c>
      <c r="C49" s="53"/>
      <c r="D49" s="41"/>
      <c r="E49" s="23">
        <f t="shared" si="0"/>
        <v>0</v>
      </c>
      <c r="F49" s="23">
        <f t="shared" si="1"/>
        <v>0</v>
      </c>
      <c r="G49" s="23">
        <f t="shared" si="2"/>
        <v>0</v>
      </c>
    </row>
    <row r="50" spans="2:7" ht="14.25" customHeight="1" x14ac:dyDescent="0.25">
      <c r="B50" s="17">
        <v>15</v>
      </c>
      <c r="C50" s="53"/>
      <c r="D50" s="41"/>
      <c r="E50" s="23">
        <f t="shared" si="0"/>
        <v>0</v>
      </c>
      <c r="F50" s="23">
        <f t="shared" si="1"/>
        <v>0</v>
      </c>
      <c r="G50" s="23">
        <f t="shared" si="2"/>
        <v>0</v>
      </c>
    </row>
    <row r="51" spans="2:7" ht="14.25" customHeight="1" x14ac:dyDescent="0.25">
      <c r="B51" s="17">
        <v>16</v>
      </c>
      <c r="C51" s="53"/>
      <c r="D51" s="41"/>
      <c r="E51" s="23">
        <f t="shared" si="0"/>
        <v>0</v>
      </c>
      <c r="F51" s="23">
        <f t="shared" si="1"/>
        <v>0</v>
      </c>
      <c r="G51" s="23">
        <f t="shared" si="2"/>
        <v>0</v>
      </c>
    </row>
    <row r="52" spans="2:7" ht="14.25" customHeight="1" x14ac:dyDescent="0.25">
      <c r="B52" s="17">
        <v>17</v>
      </c>
      <c r="C52" s="53"/>
      <c r="D52" s="41"/>
      <c r="E52" s="23">
        <f t="shared" si="0"/>
        <v>0</v>
      </c>
      <c r="F52" s="23">
        <f t="shared" si="1"/>
        <v>0</v>
      </c>
      <c r="G52" s="23">
        <f t="shared" si="2"/>
        <v>0</v>
      </c>
    </row>
    <row r="53" spans="2:7" ht="14.25" customHeight="1" x14ac:dyDescent="0.25">
      <c r="B53" s="17">
        <v>18</v>
      </c>
      <c r="C53" s="53"/>
      <c r="D53" s="41"/>
      <c r="E53" s="23">
        <f t="shared" si="0"/>
        <v>0</v>
      </c>
      <c r="F53" s="23">
        <f t="shared" si="1"/>
        <v>0</v>
      </c>
      <c r="G53" s="23">
        <f t="shared" si="2"/>
        <v>0</v>
      </c>
    </row>
    <row r="54" spans="2:7" ht="14.25" customHeight="1" x14ac:dyDescent="0.25">
      <c r="B54" s="17">
        <v>19</v>
      </c>
      <c r="C54" s="53"/>
      <c r="D54" s="41"/>
      <c r="E54" s="23">
        <f t="shared" si="0"/>
        <v>0</v>
      </c>
      <c r="F54" s="23">
        <f t="shared" si="1"/>
        <v>0</v>
      </c>
      <c r="G54" s="23">
        <f t="shared" si="2"/>
        <v>0</v>
      </c>
    </row>
    <row r="55" spans="2:7" ht="14.25" customHeight="1" x14ac:dyDescent="0.25">
      <c r="B55" s="17">
        <v>20</v>
      </c>
      <c r="C55" s="53"/>
      <c r="D55" s="41"/>
      <c r="E55" s="23">
        <f t="shared" si="0"/>
        <v>0</v>
      </c>
      <c r="F55" s="23">
        <f t="shared" si="1"/>
        <v>0</v>
      </c>
      <c r="G55" s="23">
        <f t="shared" si="2"/>
        <v>0</v>
      </c>
    </row>
    <row r="56" spans="2:7" ht="14.25" customHeight="1" x14ac:dyDescent="0.25">
      <c r="B56" s="17">
        <v>21</v>
      </c>
      <c r="C56" s="53"/>
      <c r="D56" s="41"/>
      <c r="E56" s="23">
        <f t="shared" si="0"/>
        <v>0</v>
      </c>
      <c r="F56" s="23">
        <f t="shared" si="1"/>
        <v>0</v>
      </c>
      <c r="G56" s="23">
        <f t="shared" si="2"/>
        <v>0</v>
      </c>
    </row>
    <row r="57" spans="2:7" ht="14.25" customHeight="1" x14ac:dyDescent="0.25">
      <c r="B57" s="17">
        <v>22</v>
      </c>
      <c r="C57" s="53"/>
      <c r="D57" s="41"/>
      <c r="E57" s="23">
        <f t="shared" si="0"/>
        <v>0</v>
      </c>
      <c r="F57" s="23">
        <f t="shared" si="1"/>
        <v>0</v>
      </c>
      <c r="G57" s="23">
        <f t="shared" si="2"/>
        <v>0</v>
      </c>
    </row>
    <row r="58" spans="2:7" ht="14.25" customHeight="1" x14ac:dyDescent="0.25">
      <c r="B58" s="17">
        <v>23</v>
      </c>
      <c r="C58" s="53"/>
      <c r="D58" s="41"/>
      <c r="E58" s="23">
        <f t="shared" si="0"/>
        <v>0</v>
      </c>
      <c r="F58" s="23">
        <f t="shared" si="1"/>
        <v>0</v>
      </c>
      <c r="G58" s="23">
        <f t="shared" si="2"/>
        <v>0</v>
      </c>
    </row>
    <row r="59" spans="2:7" ht="14.25" customHeight="1" x14ac:dyDescent="0.25">
      <c r="B59" s="17">
        <v>24</v>
      </c>
      <c r="C59" s="53"/>
      <c r="D59" s="41"/>
      <c r="E59" s="23">
        <f t="shared" si="0"/>
        <v>0</v>
      </c>
      <c r="F59" s="23">
        <f t="shared" si="1"/>
        <v>0</v>
      </c>
      <c r="G59" s="23">
        <f t="shared" si="2"/>
        <v>0</v>
      </c>
    </row>
    <row r="60" spans="2:7" ht="14.25" customHeight="1" x14ac:dyDescent="0.25">
      <c r="B60" s="17">
        <v>25</v>
      </c>
      <c r="C60" s="53"/>
      <c r="D60" s="41"/>
      <c r="E60" s="23">
        <f t="shared" si="0"/>
        <v>0</v>
      </c>
      <c r="F60" s="23">
        <f t="shared" si="1"/>
        <v>0</v>
      </c>
      <c r="G60" s="23">
        <f t="shared" si="2"/>
        <v>0</v>
      </c>
    </row>
    <row r="61" spans="2:7" ht="14.25" customHeight="1" x14ac:dyDescent="0.25">
      <c r="B61" s="42"/>
      <c r="C61" s="42"/>
      <c r="D61" s="42"/>
      <c r="E61" s="42"/>
      <c r="F61" s="42"/>
      <c r="G61" s="42"/>
    </row>
    <row r="62" spans="2:7" ht="14.25" customHeight="1" x14ac:dyDescent="0.25"/>
    <row r="63" spans="2:7" ht="14.25" customHeight="1" x14ac:dyDescent="0.25"/>
    <row r="64" spans="2:7"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9">
    <mergeCell ref="B27:G28"/>
    <mergeCell ref="B29:B33"/>
    <mergeCell ref="C2:F2"/>
    <mergeCell ref="B4:F4"/>
    <mergeCell ref="B5:F5"/>
    <mergeCell ref="B6:F6"/>
    <mergeCell ref="B7:F7"/>
    <mergeCell ref="B8:F8"/>
    <mergeCell ref="B9:F9"/>
  </mergeCells>
  <conditionalFormatting sqref="D36:D60">
    <cfRule type="cellIs" dxfId="6" priority="1" operator="lessThan">
      <formula>$G$36</formula>
    </cfRule>
    <cfRule type="cellIs" dxfId="5" priority="2" operator="greaterThan">
      <formula>$F$36</formula>
    </cfRule>
  </conditionalFormatting>
  <pageMargins left="0.7" right="0.7" top="0.75" bottom="0.75" header="0" footer="0"/>
  <pageSetup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15361" r:id="rId3" name="Check Box 1">
              <controlPr defaultSize="0" autoFill="0" autoLine="0" autoPict="0">
                <anchor moveWithCells="1">
                  <from>
                    <xdr:col>6</xdr:col>
                    <xdr:colOff>66675</xdr:colOff>
                    <xdr:row>3</xdr:row>
                    <xdr:rowOff>180975</xdr:rowOff>
                  </from>
                  <to>
                    <xdr:col>6</xdr:col>
                    <xdr:colOff>790575</xdr:colOff>
                    <xdr:row>5</xdr:row>
                    <xdr:rowOff>28575</xdr:rowOff>
                  </to>
                </anchor>
              </controlPr>
            </control>
          </mc:Choice>
        </mc:AlternateContent>
        <mc:AlternateContent xmlns:mc="http://schemas.openxmlformats.org/markup-compatibility/2006">
          <mc:Choice Requires="x14">
            <control shapeId="15362" r:id="rId4" name="Check Box 2">
              <controlPr defaultSize="0" autoFill="0" autoLine="0" autoPict="0">
                <anchor moveWithCells="1">
                  <from>
                    <xdr:col>6</xdr:col>
                    <xdr:colOff>66675</xdr:colOff>
                    <xdr:row>4</xdr:row>
                    <xdr:rowOff>180975</xdr:rowOff>
                  </from>
                  <to>
                    <xdr:col>6</xdr:col>
                    <xdr:colOff>790575</xdr:colOff>
                    <xdr:row>6</xdr:row>
                    <xdr:rowOff>28575</xdr:rowOff>
                  </to>
                </anchor>
              </controlPr>
            </control>
          </mc:Choice>
        </mc:AlternateContent>
        <mc:AlternateContent xmlns:mc="http://schemas.openxmlformats.org/markup-compatibility/2006">
          <mc:Choice Requires="x14">
            <control shapeId="15363" r:id="rId5" name="Check Box 3">
              <controlPr defaultSize="0" autoFill="0" autoLine="0" autoPict="0">
                <anchor moveWithCells="1">
                  <from>
                    <xdr:col>6</xdr:col>
                    <xdr:colOff>66675</xdr:colOff>
                    <xdr:row>5</xdr:row>
                    <xdr:rowOff>180975</xdr:rowOff>
                  </from>
                  <to>
                    <xdr:col>6</xdr:col>
                    <xdr:colOff>790575</xdr:colOff>
                    <xdr:row>7</xdr:row>
                    <xdr:rowOff>28575</xdr:rowOff>
                  </to>
                </anchor>
              </controlPr>
            </control>
          </mc:Choice>
        </mc:AlternateContent>
        <mc:AlternateContent xmlns:mc="http://schemas.openxmlformats.org/markup-compatibility/2006">
          <mc:Choice Requires="x14">
            <control shapeId="15364" r:id="rId6" name="Check Box 4">
              <controlPr defaultSize="0" autoFill="0" autoLine="0" autoPict="0">
                <anchor moveWithCells="1">
                  <from>
                    <xdr:col>6</xdr:col>
                    <xdr:colOff>66675</xdr:colOff>
                    <xdr:row>6</xdr:row>
                    <xdr:rowOff>180975</xdr:rowOff>
                  </from>
                  <to>
                    <xdr:col>6</xdr:col>
                    <xdr:colOff>790575</xdr:colOff>
                    <xdr:row>8</xdr:row>
                    <xdr:rowOff>28575</xdr:rowOff>
                  </to>
                </anchor>
              </controlPr>
            </control>
          </mc:Choice>
        </mc:AlternateContent>
        <mc:AlternateContent xmlns:mc="http://schemas.openxmlformats.org/markup-compatibility/2006">
          <mc:Choice Requires="x14">
            <control shapeId="15365" r:id="rId7" name="Check Box 5">
              <controlPr defaultSize="0" autoFill="0" autoLine="0" autoPict="0">
                <anchor moveWithCells="1">
                  <from>
                    <xdr:col>6</xdr:col>
                    <xdr:colOff>66675</xdr:colOff>
                    <xdr:row>7</xdr:row>
                    <xdr:rowOff>180975</xdr:rowOff>
                  </from>
                  <to>
                    <xdr:col>6</xdr:col>
                    <xdr:colOff>790575</xdr:colOff>
                    <xdr:row>9</xdr:row>
                    <xdr:rowOff>28575</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4472C4"/>
  </sheetPr>
  <dimension ref="A1:Z1000"/>
  <sheetViews>
    <sheetView showGridLines="0" zoomScale="101" workbookViewId="0">
      <selection activeCell="C2" sqref="C2:H2"/>
    </sheetView>
  </sheetViews>
  <sheetFormatPr defaultColWidth="14.42578125" defaultRowHeight="15" customHeight="1" x14ac:dyDescent="0.25"/>
  <cols>
    <col min="1" max="1" width="8.7109375" customWidth="1"/>
    <col min="2" max="3" width="12.42578125" customWidth="1"/>
    <col min="4" max="4" width="15.42578125" customWidth="1"/>
    <col min="5" max="6" width="12.42578125" customWidth="1"/>
    <col min="7" max="7" width="13.7109375" customWidth="1"/>
    <col min="8" max="9" width="12.42578125" customWidth="1"/>
    <col min="10" max="10" width="7.7109375" bestFit="1" customWidth="1"/>
    <col min="11" max="11" width="5.85546875" bestFit="1" customWidth="1"/>
    <col min="12" max="12" width="6.5703125" bestFit="1" customWidth="1"/>
    <col min="13" max="26" width="12.5703125" customWidth="1"/>
  </cols>
  <sheetData>
    <row r="1" spans="2:8" ht="14.25" customHeight="1" x14ac:dyDescent="0.25"/>
    <row r="2" spans="2:8" ht="14.25" customHeight="1" x14ac:dyDescent="0.25">
      <c r="B2" s="1" t="s">
        <v>84</v>
      </c>
      <c r="C2" s="146"/>
      <c r="D2" s="147"/>
      <c r="E2" s="147"/>
      <c r="F2" s="147"/>
      <c r="G2" s="147"/>
      <c r="H2" s="147"/>
    </row>
    <row r="3" spans="2:8" ht="14.25" customHeight="1" x14ac:dyDescent="0.25"/>
    <row r="4" spans="2:8" ht="14.25" customHeight="1" x14ac:dyDescent="0.25"/>
    <row r="5" spans="2:8" ht="14.25" customHeight="1" x14ac:dyDescent="0.25"/>
    <row r="6" spans="2:8" ht="14.25" customHeight="1" x14ac:dyDescent="0.25"/>
    <row r="7" spans="2:8" ht="14.25" customHeight="1" x14ac:dyDescent="0.25"/>
    <row r="8" spans="2:8" ht="14.25" customHeight="1" x14ac:dyDescent="0.25"/>
    <row r="9" spans="2:8" ht="14.25" customHeight="1" x14ac:dyDescent="0.25"/>
    <row r="10" spans="2:8" ht="14.25" customHeight="1" x14ac:dyDescent="0.25"/>
    <row r="11" spans="2:8" ht="14.25" customHeight="1" x14ac:dyDescent="0.25"/>
    <row r="12" spans="2:8" ht="14.25" customHeight="1" x14ac:dyDescent="0.25"/>
    <row r="13" spans="2:8" ht="14.25" customHeight="1" x14ac:dyDescent="0.25"/>
    <row r="14" spans="2:8" ht="14.25" customHeight="1" x14ac:dyDescent="0.25"/>
    <row r="15" spans="2:8" ht="14.25" customHeight="1" x14ac:dyDescent="0.25"/>
    <row r="16" spans="2:8" ht="14.25" customHeight="1" x14ac:dyDescent="0.25"/>
    <row r="17" spans="1:26" ht="14.25" customHeight="1" x14ac:dyDescent="0.25"/>
    <row r="18" spans="1:26" ht="14.25" customHeight="1" x14ac:dyDescent="0.25"/>
    <row r="19" spans="1:26" ht="14.25" customHeight="1" x14ac:dyDescent="0.25"/>
    <row r="20" spans="1:26" ht="14.25" customHeight="1" x14ac:dyDescent="0.25">
      <c r="B20" s="150" t="s">
        <v>200</v>
      </c>
      <c r="C20" s="151"/>
      <c r="D20" s="151"/>
      <c r="E20" s="151"/>
      <c r="F20" s="151"/>
      <c r="G20" s="151"/>
      <c r="H20" s="151"/>
      <c r="I20" s="151"/>
      <c r="J20" s="151"/>
      <c r="K20" s="151"/>
      <c r="L20" s="151"/>
    </row>
    <row r="21" spans="1:26" ht="14.25" customHeight="1" x14ac:dyDescent="0.25">
      <c r="B21" s="147"/>
      <c r="C21" s="147"/>
      <c r="D21" s="147"/>
      <c r="E21" s="147"/>
      <c r="F21" s="147"/>
      <c r="G21" s="147"/>
      <c r="H21" s="147"/>
      <c r="I21" s="147"/>
      <c r="J21" s="147"/>
      <c r="K21" s="147"/>
      <c r="L21" s="147"/>
    </row>
    <row r="22" spans="1:26" ht="14.25" customHeight="1" x14ac:dyDescent="0.25">
      <c r="B22" s="152" t="s">
        <v>112</v>
      </c>
      <c r="C22" s="32" t="s">
        <v>42</v>
      </c>
      <c r="D22" s="54">
        <f>0.5*D25</f>
        <v>0.05</v>
      </c>
      <c r="E22" s="34"/>
      <c r="F22" s="34"/>
      <c r="G22" s="152" t="s">
        <v>201</v>
      </c>
      <c r="H22" s="34" t="s">
        <v>202</v>
      </c>
      <c r="I22" s="33"/>
      <c r="J22" s="34"/>
      <c r="K22" s="34"/>
      <c r="L22" s="34"/>
    </row>
    <row r="23" spans="1:26" ht="14.25" customHeight="1" x14ac:dyDescent="0.25">
      <c r="B23" s="113"/>
      <c r="C23" s="17" t="s">
        <v>46</v>
      </c>
      <c r="D23" s="45">
        <f>5*D25</f>
        <v>0.5</v>
      </c>
      <c r="E23" s="14"/>
      <c r="F23" s="14"/>
      <c r="G23" s="113"/>
      <c r="H23" s="14" t="s">
        <v>203</v>
      </c>
      <c r="I23" s="36"/>
      <c r="J23" s="14"/>
      <c r="K23" s="14"/>
      <c r="L23" s="14"/>
    </row>
    <row r="24" spans="1:26" ht="14.25" customHeight="1" x14ac:dyDescent="0.25">
      <c r="B24" s="113"/>
      <c r="C24" s="17" t="s">
        <v>204</v>
      </c>
      <c r="D24" s="45">
        <v>1</v>
      </c>
      <c r="E24" s="14"/>
      <c r="F24" s="14"/>
      <c r="G24" s="113"/>
      <c r="H24" s="14" t="s">
        <v>205</v>
      </c>
      <c r="I24" s="35"/>
      <c r="J24" s="14"/>
      <c r="K24" s="14"/>
      <c r="L24" s="14"/>
    </row>
    <row r="25" spans="1:26" ht="14.25" customHeight="1" x14ac:dyDescent="0.25">
      <c r="B25" s="147"/>
      <c r="C25" s="38" t="s">
        <v>136</v>
      </c>
      <c r="D25" s="55">
        <v>0.1</v>
      </c>
      <c r="E25" s="56"/>
      <c r="F25" s="56"/>
      <c r="G25" s="147"/>
      <c r="H25" s="56" t="s">
        <v>206</v>
      </c>
      <c r="I25" s="40"/>
      <c r="J25" s="56"/>
      <c r="K25" s="56"/>
      <c r="L25" s="56"/>
    </row>
    <row r="26" spans="1:26" ht="14.25" customHeight="1" x14ac:dyDescent="0.25">
      <c r="B26" s="17"/>
      <c r="C26" s="17"/>
      <c r="D26" s="17"/>
      <c r="E26" s="17"/>
      <c r="F26" s="17"/>
      <c r="G26" s="17"/>
      <c r="H26" s="17"/>
      <c r="I26" s="17"/>
      <c r="J26" s="17"/>
      <c r="K26" s="17"/>
      <c r="L26" s="17"/>
    </row>
    <row r="27" spans="1:26" ht="14.25" customHeight="1" x14ac:dyDescent="0.25">
      <c r="A27" s="16"/>
      <c r="B27" s="19" t="s">
        <v>207</v>
      </c>
      <c r="C27" s="19" t="s">
        <v>208</v>
      </c>
      <c r="D27" s="19" t="s">
        <v>209</v>
      </c>
      <c r="E27" s="19" t="s">
        <v>210</v>
      </c>
      <c r="F27" s="19" t="s">
        <v>211</v>
      </c>
      <c r="G27" s="19" t="s">
        <v>212</v>
      </c>
      <c r="H27" s="19" t="s">
        <v>213</v>
      </c>
      <c r="I27" s="19" t="s">
        <v>214</v>
      </c>
      <c r="J27" s="57" t="s">
        <v>215</v>
      </c>
      <c r="K27" s="19" t="s">
        <v>46</v>
      </c>
      <c r="L27" s="57" t="s">
        <v>216</v>
      </c>
      <c r="M27" s="16"/>
      <c r="N27" s="16"/>
      <c r="O27" s="16"/>
      <c r="P27" s="16"/>
      <c r="Q27" s="16"/>
      <c r="R27" s="16"/>
      <c r="S27" s="16"/>
      <c r="T27" s="16"/>
      <c r="U27" s="16"/>
      <c r="V27" s="16"/>
      <c r="W27" s="16"/>
      <c r="X27" s="16"/>
      <c r="Y27" s="16"/>
      <c r="Z27" s="16"/>
    </row>
    <row r="28" spans="1:26" ht="14.25" customHeight="1" x14ac:dyDescent="0.25">
      <c r="B28" s="17">
        <v>1</v>
      </c>
      <c r="C28" s="41"/>
      <c r="D28" s="41"/>
      <c r="E28" s="85"/>
      <c r="F28" s="86"/>
      <c r="G28" s="41"/>
      <c r="H28" s="41"/>
      <c r="I28" s="53"/>
      <c r="J28" s="37">
        <f>-H28</f>
        <v>0</v>
      </c>
      <c r="K28" s="23">
        <f>$D$23</f>
        <v>0.5</v>
      </c>
      <c r="L28" s="23">
        <f t="shared" ref="L28:L57" si="0">-$D$23</f>
        <v>-0.5</v>
      </c>
    </row>
    <row r="29" spans="1:26" ht="14.25" customHeight="1" x14ac:dyDescent="0.25">
      <c r="B29" s="17">
        <v>2</v>
      </c>
      <c r="C29" s="41"/>
      <c r="D29" s="41"/>
      <c r="E29" s="85"/>
      <c r="F29" s="86"/>
      <c r="G29" s="41"/>
      <c r="H29" s="41"/>
      <c r="I29" s="53"/>
      <c r="J29" s="37">
        <f t="shared" ref="J29:J57" si="1">-H29</f>
        <v>0</v>
      </c>
      <c r="K29" s="23">
        <f t="shared" ref="K29:K57" si="2">$D$23</f>
        <v>0.5</v>
      </c>
      <c r="L29" s="23">
        <f t="shared" si="0"/>
        <v>-0.5</v>
      </c>
    </row>
    <row r="30" spans="1:26" ht="14.25" customHeight="1" x14ac:dyDescent="0.25">
      <c r="B30" s="17">
        <v>3</v>
      </c>
      <c r="C30" s="41"/>
      <c r="D30" s="41"/>
      <c r="E30" s="85"/>
      <c r="F30" s="86"/>
      <c r="G30" s="41"/>
      <c r="H30" s="41"/>
      <c r="I30" s="53"/>
      <c r="J30" s="37">
        <f t="shared" si="1"/>
        <v>0</v>
      </c>
      <c r="K30" s="23">
        <f t="shared" si="2"/>
        <v>0.5</v>
      </c>
      <c r="L30" s="23">
        <f t="shared" si="0"/>
        <v>-0.5</v>
      </c>
    </row>
    <row r="31" spans="1:26" ht="14.25" customHeight="1" x14ac:dyDescent="0.25">
      <c r="B31" s="17">
        <v>4</v>
      </c>
      <c r="C31" s="41"/>
      <c r="D31" s="41"/>
      <c r="E31" s="85"/>
      <c r="F31" s="86"/>
      <c r="G31" s="41"/>
      <c r="H31" s="41"/>
      <c r="I31" s="53"/>
      <c r="J31" s="37">
        <f t="shared" si="1"/>
        <v>0</v>
      </c>
      <c r="K31" s="23">
        <f t="shared" si="2"/>
        <v>0.5</v>
      </c>
      <c r="L31" s="23">
        <f t="shared" si="0"/>
        <v>-0.5</v>
      </c>
    </row>
    <row r="32" spans="1:26" ht="14.25" customHeight="1" x14ac:dyDescent="0.25">
      <c r="B32" s="17">
        <v>5</v>
      </c>
      <c r="C32" s="41"/>
      <c r="D32" s="41"/>
      <c r="E32" s="85"/>
      <c r="F32" s="86"/>
      <c r="G32" s="41"/>
      <c r="H32" s="41"/>
      <c r="I32" s="53"/>
      <c r="J32" s="37">
        <f t="shared" si="1"/>
        <v>0</v>
      </c>
      <c r="K32" s="23">
        <f t="shared" si="2"/>
        <v>0.5</v>
      </c>
      <c r="L32" s="23">
        <f t="shared" si="0"/>
        <v>-0.5</v>
      </c>
    </row>
    <row r="33" spans="2:12" ht="14.25" customHeight="1" x14ac:dyDescent="0.25">
      <c r="B33" s="17">
        <v>6</v>
      </c>
      <c r="C33" s="41"/>
      <c r="D33" s="41"/>
      <c r="E33" s="85"/>
      <c r="F33" s="86"/>
      <c r="G33" s="41"/>
      <c r="H33" s="41"/>
      <c r="I33" s="53"/>
      <c r="J33" s="37">
        <f t="shared" si="1"/>
        <v>0</v>
      </c>
      <c r="K33" s="23">
        <f t="shared" si="2"/>
        <v>0.5</v>
      </c>
      <c r="L33" s="23">
        <f t="shared" si="0"/>
        <v>-0.5</v>
      </c>
    </row>
    <row r="34" spans="2:12" ht="14.25" customHeight="1" x14ac:dyDescent="0.25">
      <c r="B34" s="17">
        <v>7</v>
      </c>
      <c r="C34" s="41"/>
      <c r="D34" s="41"/>
      <c r="E34" s="85"/>
      <c r="F34" s="86"/>
      <c r="G34" s="41"/>
      <c r="H34" s="41"/>
      <c r="I34" s="53"/>
      <c r="J34" s="37">
        <f t="shared" si="1"/>
        <v>0</v>
      </c>
      <c r="K34" s="23">
        <f t="shared" si="2"/>
        <v>0.5</v>
      </c>
      <c r="L34" s="23">
        <f t="shared" si="0"/>
        <v>-0.5</v>
      </c>
    </row>
    <row r="35" spans="2:12" ht="14.25" customHeight="1" x14ac:dyDescent="0.25">
      <c r="B35" s="17">
        <v>8</v>
      </c>
      <c r="C35" s="41"/>
      <c r="D35" s="41"/>
      <c r="E35" s="85"/>
      <c r="F35" s="86"/>
      <c r="G35" s="41"/>
      <c r="H35" s="41"/>
      <c r="I35" s="53"/>
      <c r="J35" s="37">
        <f t="shared" si="1"/>
        <v>0</v>
      </c>
      <c r="K35" s="23">
        <f t="shared" si="2"/>
        <v>0.5</v>
      </c>
      <c r="L35" s="23">
        <f t="shared" si="0"/>
        <v>-0.5</v>
      </c>
    </row>
    <row r="36" spans="2:12" ht="14.25" customHeight="1" x14ac:dyDescent="0.25">
      <c r="B36" s="17">
        <v>9</v>
      </c>
      <c r="C36" s="41"/>
      <c r="D36" s="41"/>
      <c r="E36" s="85"/>
      <c r="F36" s="86"/>
      <c r="G36" s="41"/>
      <c r="H36" s="41"/>
      <c r="I36" s="53"/>
      <c r="J36" s="37">
        <f t="shared" si="1"/>
        <v>0</v>
      </c>
      <c r="K36" s="23">
        <f t="shared" si="2"/>
        <v>0.5</v>
      </c>
      <c r="L36" s="23">
        <f t="shared" si="0"/>
        <v>-0.5</v>
      </c>
    </row>
    <row r="37" spans="2:12" ht="14.25" customHeight="1" x14ac:dyDescent="0.25">
      <c r="B37" s="17">
        <v>10</v>
      </c>
      <c r="C37" s="41"/>
      <c r="D37" s="41"/>
      <c r="E37" s="85"/>
      <c r="F37" s="86"/>
      <c r="G37" s="41"/>
      <c r="H37" s="41"/>
      <c r="I37" s="53"/>
      <c r="J37" s="37">
        <f t="shared" si="1"/>
        <v>0</v>
      </c>
      <c r="K37" s="23">
        <f t="shared" si="2"/>
        <v>0.5</v>
      </c>
      <c r="L37" s="23">
        <f t="shared" si="0"/>
        <v>-0.5</v>
      </c>
    </row>
    <row r="38" spans="2:12" ht="14.25" customHeight="1" x14ac:dyDescent="0.25">
      <c r="B38" s="17">
        <v>11</v>
      </c>
      <c r="C38" s="41"/>
      <c r="D38" s="41"/>
      <c r="E38" s="85"/>
      <c r="F38" s="86"/>
      <c r="G38" s="41"/>
      <c r="H38" s="41"/>
      <c r="I38" s="53"/>
      <c r="J38" s="37">
        <f t="shared" si="1"/>
        <v>0</v>
      </c>
      <c r="K38" s="23">
        <f t="shared" si="2"/>
        <v>0.5</v>
      </c>
      <c r="L38" s="23">
        <f t="shared" si="0"/>
        <v>-0.5</v>
      </c>
    </row>
    <row r="39" spans="2:12" ht="14.25" customHeight="1" x14ac:dyDescent="0.25">
      <c r="B39" s="17">
        <v>12</v>
      </c>
      <c r="C39" s="41"/>
      <c r="D39" s="41"/>
      <c r="E39" s="85"/>
      <c r="F39" s="86"/>
      <c r="G39" s="41"/>
      <c r="H39" s="41"/>
      <c r="I39" s="53"/>
      <c r="J39" s="37">
        <f t="shared" si="1"/>
        <v>0</v>
      </c>
      <c r="K39" s="23">
        <f t="shared" si="2"/>
        <v>0.5</v>
      </c>
      <c r="L39" s="23">
        <f t="shared" si="0"/>
        <v>-0.5</v>
      </c>
    </row>
    <row r="40" spans="2:12" ht="14.25" customHeight="1" x14ac:dyDescent="0.25">
      <c r="B40" s="17">
        <v>13</v>
      </c>
      <c r="C40" s="41"/>
      <c r="D40" s="41"/>
      <c r="E40" s="85"/>
      <c r="F40" s="86"/>
      <c r="G40" s="41"/>
      <c r="H40" s="41"/>
      <c r="I40" s="53"/>
      <c r="J40" s="37">
        <f t="shared" si="1"/>
        <v>0</v>
      </c>
      <c r="K40" s="23">
        <f t="shared" si="2"/>
        <v>0.5</v>
      </c>
      <c r="L40" s="23">
        <f t="shared" si="0"/>
        <v>-0.5</v>
      </c>
    </row>
    <row r="41" spans="2:12" ht="14.25" customHeight="1" x14ac:dyDescent="0.25">
      <c r="B41" s="17">
        <v>14</v>
      </c>
      <c r="C41" s="41"/>
      <c r="D41" s="41"/>
      <c r="E41" s="85"/>
      <c r="F41" s="86"/>
      <c r="G41" s="41"/>
      <c r="H41" s="41"/>
      <c r="I41" s="53"/>
      <c r="J41" s="37">
        <f t="shared" si="1"/>
        <v>0</v>
      </c>
      <c r="K41" s="23">
        <f t="shared" si="2"/>
        <v>0.5</v>
      </c>
      <c r="L41" s="23">
        <f t="shared" si="0"/>
        <v>-0.5</v>
      </c>
    </row>
    <row r="42" spans="2:12" ht="14.25" customHeight="1" x14ac:dyDescent="0.25">
      <c r="B42" s="17">
        <v>15</v>
      </c>
      <c r="C42" s="41"/>
      <c r="D42" s="41"/>
      <c r="E42" s="85"/>
      <c r="F42" s="86"/>
      <c r="G42" s="41"/>
      <c r="H42" s="41"/>
      <c r="I42" s="53"/>
      <c r="J42" s="37">
        <f t="shared" si="1"/>
        <v>0</v>
      </c>
      <c r="K42" s="23">
        <f t="shared" si="2"/>
        <v>0.5</v>
      </c>
      <c r="L42" s="23">
        <f t="shared" si="0"/>
        <v>-0.5</v>
      </c>
    </row>
    <row r="43" spans="2:12" ht="14.25" customHeight="1" x14ac:dyDescent="0.25">
      <c r="B43" s="17">
        <v>16</v>
      </c>
      <c r="C43" s="41"/>
      <c r="D43" s="41"/>
      <c r="E43" s="85"/>
      <c r="F43" s="86"/>
      <c r="G43" s="41"/>
      <c r="H43" s="41"/>
      <c r="I43" s="53"/>
      <c r="J43" s="37">
        <f t="shared" si="1"/>
        <v>0</v>
      </c>
      <c r="K43" s="23">
        <f t="shared" si="2"/>
        <v>0.5</v>
      </c>
      <c r="L43" s="23">
        <f t="shared" si="0"/>
        <v>-0.5</v>
      </c>
    </row>
    <row r="44" spans="2:12" ht="14.25" customHeight="1" x14ac:dyDescent="0.25">
      <c r="B44" s="17">
        <v>17</v>
      </c>
      <c r="C44" s="41"/>
      <c r="D44" s="41"/>
      <c r="E44" s="85"/>
      <c r="F44" s="86"/>
      <c r="G44" s="41"/>
      <c r="H44" s="41"/>
      <c r="I44" s="53"/>
      <c r="J44" s="37">
        <f t="shared" si="1"/>
        <v>0</v>
      </c>
      <c r="K44" s="23">
        <f t="shared" si="2"/>
        <v>0.5</v>
      </c>
      <c r="L44" s="23">
        <f t="shared" si="0"/>
        <v>-0.5</v>
      </c>
    </row>
    <row r="45" spans="2:12" ht="14.25" customHeight="1" x14ac:dyDescent="0.25">
      <c r="B45" s="17">
        <v>18</v>
      </c>
      <c r="C45" s="41"/>
      <c r="D45" s="41"/>
      <c r="E45" s="85"/>
      <c r="F45" s="86"/>
      <c r="G45" s="41"/>
      <c r="H45" s="41"/>
      <c r="I45" s="53"/>
      <c r="J45" s="37">
        <f t="shared" si="1"/>
        <v>0</v>
      </c>
      <c r="K45" s="23">
        <f t="shared" si="2"/>
        <v>0.5</v>
      </c>
      <c r="L45" s="23">
        <f t="shared" si="0"/>
        <v>-0.5</v>
      </c>
    </row>
    <row r="46" spans="2:12" ht="14.25" customHeight="1" x14ac:dyDescent="0.25">
      <c r="B46" s="17">
        <v>19</v>
      </c>
      <c r="C46" s="41"/>
      <c r="D46" s="41"/>
      <c r="E46" s="85"/>
      <c r="F46" s="86"/>
      <c r="G46" s="41"/>
      <c r="H46" s="41"/>
      <c r="I46" s="53"/>
      <c r="J46" s="37">
        <f t="shared" si="1"/>
        <v>0</v>
      </c>
      <c r="K46" s="23">
        <f t="shared" si="2"/>
        <v>0.5</v>
      </c>
      <c r="L46" s="23">
        <f t="shared" si="0"/>
        <v>-0.5</v>
      </c>
    </row>
    <row r="47" spans="2:12" ht="14.25" customHeight="1" x14ac:dyDescent="0.25">
      <c r="B47" s="17">
        <v>20</v>
      </c>
      <c r="C47" s="41"/>
      <c r="D47" s="41"/>
      <c r="E47" s="85"/>
      <c r="F47" s="86"/>
      <c r="G47" s="41"/>
      <c r="H47" s="41"/>
      <c r="I47" s="53"/>
      <c r="J47" s="37">
        <f t="shared" si="1"/>
        <v>0</v>
      </c>
      <c r="K47" s="23">
        <f t="shared" si="2"/>
        <v>0.5</v>
      </c>
      <c r="L47" s="23">
        <f t="shared" si="0"/>
        <v>-0.5</v>
      </c>
    </row>
    <row r="48" spans="2:12" ht="14.25" customHeight="1" x14ac:dyDescent="0.25">
      <c r="B48" s="17">
        <v>21</v>
      </c>
      <c r="C48" s="41"/>
      <c r="D48" s="41"/>
      <c r="E48" s="85"/>
      <c r="F48" s="86"/>
      <c r="G48" s="41"/>
      <c r="H48" s="41"/>
      <c r="I48" s="53"/>
      <c r="J48" s="37">
        <f t="shared" si="1"/>
        <v>0</v>
      </c>
      <c r="K48" s="23">
        <f t="shared" si="2"/>
        <v>0.5</v>
      </c>
      <c r="L48" s="23">
        <f t="shared" si="0"/>
        <v>-0.5</v>
      </c>
    </row>
    <row r="49" spans="2:12" ht="14.25" customHeight="1" x14ac:dyDescent="0.25">
      <c r="B49" s="17">
        <v>22</v>
      </c>
      <c r="C49" s="41"/>
      <c r="D49" s="41"/>
      <c r="E49" s="85"/>
      <c r="F49" s="86"/>
      <c r="G49" s="41"/>
      <c r="H49" s="41"/>
      <c r="I49" s="53"/>
      <c r="J49" s="37">
        <f t="shared" si="1"/>
        <v>0</v>
      </c>
      <c r="K49" s="23">
        <f t="shared" si="2"/>
        <v>0.5</v>
      </c>
      <c r="L49" s="23">
        <f t="shared" si="0"/>
        <v>-0.5</v>
      </c>
    </row>
    <row r="50" spans="2:12" ht="14.25" customHeight="1" x14ac:dyDescent="0.25">
      <c r="B50" s="17">
        <v>23</v>
      </c>
      <c r="C50" s="41"/>
      <c r="D50" s="41"/>
      <c r="E50" s="85"/>
      <c r="F50" s="86"/>
      <c r="G50" s="41"/>
      <c r="H50" s="41"/>
      <c r="I50" s="53"/>
      <c r="J50" s="37">
        <f t="shared" si="1"/>
        <v>0</v>
      </c>
      <c r="K50" s="23">
        <f t="shared" si="2"/>
        <v>0.5</v>
      </c>
      <c r="L50" s="23">
        <f t="shared" si="0"/>
        <v>-0.5</v>
      </c>
    </row>
    <row r="51" spans="2:12" ht="14.25" customHeight="1" x14ac:dyDescent="0.25">
      <c r="B51" s="17">
        <v>24</v>
      </c>
      <c r="C51" s="41"/>
      <c r="D51" s="41"/>
      <c r="E51" s="85"/>
      <c r="F51" s="86"/>
      <c r="G51" s="41"/>
      <c r="H51" s="41"/>
      <c r="I51" s="53"/>
      <c r="J51" s="37">
        <f t="shared" si="1"/>
        <v>0</v>
      </c>
      <c r="K51" s="23">
        <f t="shared" si="2"/>
        <v>0.5</v>
      </c>
      <c r="L51" s="23">
        <f t="shared" si="0"/>
        <v>-0.5</v>
      </c>
    </row>
    <row r="52" spans="2:12" ht="14.25" customHeight="1" x14ac:dyDescent="0.25">
      <c r="B52" s="17">
        <v>25</v>
      </c>
      <c r="C52" s="41"/>
      <c r="D52" s="41"/>
      <c r="E52" s="85"/>
      <c r="F52" s="86"/>
      <c r="G52" s="41"/>
      <c r="H52" s="41"/>
      <c r="I52" s="53"/>
      <c r="J52" s="37">
        <f t="shared" si="1"/>
        <v>0</v>
      </c>
      <c r="K52" s="23">
        <f t="shared" si="2"/>
        <v>0.5</v>
      </c>
      <c r="L52" s="23">
        <f t="shared" si="0"/>
        <v>-0.5</v>
      </c>
    </row>
    <row r="53" spans="2:12" ht="14.25" customHeight="1" x14ac:dyDescent="0.25">
      <c r="B53" s="17">
        <v>26</v>
      </c>
      <c r="C53" s="41"/>
      <c r="D53" s="41"/>
      <c r="E53" s="85"/>
      <c r="F53" s="86"/>
      <c r="G53" s="41"/>
      <c r="H53" s="41"/>
      <c r="I53" s="53"/>
      <c r="J53" s="37">
        <f t="shared" si="1"/>
        <v>0</v>
      </c>
      <c r="K53" s="23">
        <f t="shared" si="2"/>
        <v>0.5</v>
      </c>
      <c r="L53" s="23">
        <f t="shared" si="0"/>
        <v>-0.5</v>
      </c>
    </row>
    <row r="54" spans="2:12" ht="14.25" customHeight="1" x14ac:dyDescent="0.25">
      <c r="B54" s="17">
        <v>27</v>
      </c>
      <c r="C54" s="41"/>
      <c r="D54" s="41"/>
      <c r="E54" s="85"/>
      <c r="F54" s="86"/>
      <c r="G54" s="41"/>
      <c r="H54" s="41"/>
      <c r="I54" s="53"/>
      <c r="J54" s="37">
        <f t="shared" si="1"/>
        <v>0</v>
      </c>
      <c r="K54" s="23">
        <f t="shared" si="2"/>
        <v>0.5</v>
      </c>
      <c r="L54" s="23">
        <f t="shared" si="0"/>
        <v>-0.5</v>
      </c>
    </row>
    <row r="55" spans="2:12" ht="14.25" customHeight="1" x14ac:dyDescent="0.25">
      <c r="B55" s="17">
        <v>28</v>
      </c>
      <c r="C55" s="41"/>
      <c r="D55" s="41"/>
      <c r="E55" s="85"/>
      <c r="F55" s="86"/>
      <c r="G55" s="41"/>
      <c r="H55" s="41"/>
      <c r="I55" s="53"/>
      <c r="J55" s="37">
        <f t="shared" si="1"/>
        <v>0</v>
      </c>
      <c r="K55" s="23">
        <f t="shared" si="2"/>
        <v>0.5</v>
      </c>
      <c r="L55" s="23">
        <f t="shared" si="0"/>
        <v>-0.5</v>
      </c>
    </row>
    <row r="56" spans="2:12" ht="14.25" customHeight="1" x14ac:dyDescent="0.25">
      <c r="B56" s="17">
        <v>29</v>
      </c>
      <c r="C56" s="41"/>
      <c r="D56" s="41"/>
      <c r="E56" s="85"/>
      <c r="F56" s="86"/>
      <c r="G56" s="41"/>
      <c r="H56" s="41"/>
      <c r="I56" s="53"/>
      <c r="J56" s="37">
        <f t="shared" si="1"/>
        <v>0</v>
      </c>
      <c r="K56" s="23">
        <f t="shared" si="2"/>
        <v>0.5</v>
      </c>
      <c r="L56" s="23">
        <f t="shared" si="0"/>
        <v>-0.5</v>
      </c>
    </row>
    <row r="57" spans="2:12" ht="14.25" customHeight="1" x14ac:dyDescent="0.25">
      <c r="B57" s="17">
        <v>30</v>
      </c>
      <c r="C57" s="41"/>
      <c r="D57" s="41"/>
      <c r="E57" s="85"/>
      <c r="F57" s="86"/>
      <c r="G57" s="41"/>
      <c r="H57" s="41"/>
      <c r="I57" s="53"/>
      <c r="J57" s="37">
        <f t="shared" si="1"/>
        <v>0</v>
      </c>
      <c r="K57" s="23">
        <f t="shared" si="2"/>
        <v>0.5</v>
      </c>
      <c r="L57" s="23">
        <f t="shared" si="0"/>
        <v>-0.5</v>
      </c>
    </row>
    <row r="58" spans="2:12" ht="14.25" customHeight="1" x14ac:dyDescent="0.25">
      <c r="B58" s="42"/>
      <c r="C58" s="42"/>
      <c r="D58" s="42"/>
      <c r="E58" s="42"/>
      <c r="F58" s="42"/>
      <c r="G58" s="42"/>
      <c r="H58" s="42"/>
      <c r="I58" s="42"/>
      <c r="J58" s="42"/>
      <c r="K58" s="42"/>
      <c r="L58" s="42"/>
    </row>
    <row r="59" spans="2:12" ht="14.25" customHeight="1" x14ac:dyDescent="0.25"/>
    <row r="60" spans="2:12" ht="14.25" customHeight="1" x14ac:dyDescent="0.25"/>
    <row r="61" spans="2:12" ht="14.25" customHeight="1" x14ac:dyDescent="0.25"/>
    <row r="62" spans="2:12" ht="14.25" customHeight="1" x14ac:dyDescent="0.25"/>
    <row r="63" spans="2:12" ht="14.25" customHeight="1" x14ac:dyDescent="0.25"/>
    <row r="64" spans="2:12"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4">
    <mergeCell ref="C2:H2"/>
    <mergeCell ref="B20:L21"/>
    <mergeCell ref="B22:B25"/>
    <mergeCell ref="G22:G25"/>
  </mergeCells>
  <conditionalFormatting sqref="E28:E57 H28:H57">
    <cfRule type="cellIs" dxfId="4" priority="1" operator="greaterThan">
      <formula>$D$23</formula>
    </cfRule>
  </conditionalFormatting>
  <pageMargins left="0.7" right="0.7" top="0.75" bottom="0.75" header="0" footer="0"/>
  <pageSetup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4472C4"/>
  </sheetPr>
  <dimension ref="A1:Z1000"/>
  <sheetViews>
    <sheetView showGridLines="0" topLeftCell="A17" zoomScale="119" workbookViewId="0">
      <selection activeCell="I31" sqref="I31"/>
    </sheetView>
  </sheetViews>
  <sheetFormatPr defaultColWidth="14.42578125" defaultRowHeight="15" customHeight="1" x14ac:dyDescent="0.25"/>
  <cols>
    <col min="1" max="1" width="8.7109375" customWidth="1"/>
    <col min="2" max="6" width="12.42578125" customWidth="1"/>
    <col min="7" max="26" width="12.5703125" customWidth="1"/>
  </cols>
  <sheetData>
    <row r="1" spans="2:6" ht="14.25" customHeight="1" x14ac:dyDescent="0.25"/>
    <row r="2" spans="2:6" ht="14.25" customHeight="1" x14ac:dyDescent="0.25">
      <c r="B2" s="1" t="s">
        <v>84</v>
      </c>
      <c r="C2" s="146"/>
      <c r="D2" s="147"/>
      <c r="E2" s="147"/>
      <c r="F2" s="147"/>
    </row>
    <row r="3" spans="2:6" ht="14.25" customHeight="1" x14ac:dyDescent="0.25"/>
    <row r="4" spans="2:6" ht="14.25" customHeight="1" x14ac:dyDescent="0.25"/>
    <row r="5" spans="2:6" ht="14.25" customHeight="1" x14ac:dyDescent="0.25"/>
    <row r="6" spans="2:6" ht="14.25" customHeight="1" x14ac:dyDescent="0.25"/>
    <row r="7" spans="2:6" ht="14.25" customHeight="1" x14ac:dyDescent="0.25"/>
    <row r="8" spans="2:6" ht="14.25" customHeight="1" x14ac:dyDescent="0.25"/>
    <row r="9" spans="2:6" ht="14.25" customHeight="1" x14ac:dyDescent="0.25"/>
    <row r="10" spans="2:6" ht="14.25" customHeight="1" x14ac:dyDescent="0.25"/>
    <row r="11" spans="2:6" ht="14.25" customHeight="1" x14ac:dyDescent="0.25"/>
    <row r="12" spans="2:6" ht="14.25" customHeight="1" x14ac:dyDescent="0.25"/>
    <row r="13" spans="2:6" ht="14.25" customHeight="1" x14ac:dyDescent="0.25"/>
    <row r="14" spans="2:6" ht="14.25" customHeight="1" x14ac:dyDescent="0.25"/>
    <row r="15" spans="2:6" ht="14.25" customHeight="1" x14ac:dyDescent="0.25"/>
    <row r="16" spans="2:6" ht="14.25" customHeight="1" x14ac:dyDescent="0.25"/>
    <row r="17" spans="1:26" ht="14.25" customHeight="1" x14ac:dyDescent="0.25"/>
    <row r="18" spans="1:26" ht="14.25" customHeight="1" x14ac:dyDescent="0.25"/>
    <row r="19" spans="1:26" ht="14.25" customHeight="1" x14ac:dyDescent="0.25"/>
    <row r="20" spans="1:26" ht="14.25" customHeight="1" x14ac:dyDescent="0.25">
      <c r="B20" s="150" t="s">
        <v>217</v>
      </c>
      <c r="C20" s="151"/>
      <c r="D20" s="151"/>
      <c r="E20" s="151"/>
      <c r="F20" s="151"/>
    </row>
    <row r="21" spans="1:26" ht="14.25" customHeight="1" x14ac:dyDescent="0.25">
      <c r="B21" s="147"/>
      <c r="C21" s="147"/>
      <c r="D21" s="147"/>
      <c r="E21" s="147"/>
      <c r="F21" s="147"/>
    </row>
    <row r="22" spans="1:26" ht="14.25" customHeight="1" x14ac:dyDescent="0.25">
      <c r="B22" s="152" t="s">
        <v>112</v>
      </c>
      <c r="C22" s="32" t="s">
        <v>49</v>
      </c>
      <c r="D22" s="54">
        <v>0.1</v>
      </c>
      <c r="E22" s="34"/>
      <c r="F22" s="34"/>
    </row>
    <row r="23" spans="1:26" ht="14.25" customHeight="1" x14ac:dyDescent="0.25">
      <c r="B23" s="113"/>
      <c r="C23" s="17" t="s">
        <v>51</v>
      </c>
      <c r="D23" s="45">
        <v>2.7</v>
      </c>
      <c r="E23" s="14"/>
      <c r="F23" s="14"/>
    </row>
    <row r="24" spans="1:26" ht="14.25" customHeight="1" x14ac:dyDescent="0.25">
      <c r="B24" s="113"/>
      <c r="C24" s="17" t="s">
        <v>204</v>
      </c>
      <c r="D24" s="14">
        <v>1</v>
      </c>
      <c r="E24" s="14"/>
      <c r="F24" s="14"/>
    </row>
    <row r="25" spans="1:26" ht="14.25" customHeight="1" x14ac:dyDescent="0.25">
      <c r="B25" s="113"/>
      <c r="C25" s="17" t="s">
        <v>136</v>
      </c>
      <c r="D25" s="58">
        <v>0.1</v>
      </c>
      <c r="E25" s="14"/>
      <c r="F25" s="14"/>
    </row>
    <row r="26" spans="1:26" ht="14.25" customHeight="1" x14ac:dyDescent="0.25">
      <c r="B26" s="113"/>
      <c r="C26" s="17" t="s">
        <v>218</v>
      </c>
      <c r="D26" s="37">
        <f>$D$24+$D$23*$D$25*SQRT($D$22/(2-$D$22))</f>
        <v>1.0619422481450518</v>
      </c>
      <c r="E26" s="14"/>
      <c r="F26" s="14"/>
    </row>
    <row r="27" spans="1:26" ht="14.25" customHeight="1" x14ac:dyDescent="0.25">
      <c r="B27" s="147"/>
      <c r="C27" s="38" t="s">
        <v>219</v>
      </c>
      <c r="D27" s="39">
        <f>$D$24-$D$23*$D$25*SQRT($D$22/(2-$D$22))</f>
        <v>0.93805775185494833</v>
      </c>
      <c r="E27" s="56"/>
      <c r="F27" s="56"/>
    </row>
    <row r="28" spans="1:26" ht="14.25" customHeight="1" x14ac:dyDescent="0.25">
      <c r="B28" s="17"/>
      <c r="C28" s="17"/>
      <c r="D28" s="17"/>
      <c r="E28" s="17"/>
      <c r="F28" s="17"/>
    </row>
    <row r="29" spans="1:26" ht="14.25" customHeight="1" x14ac:dyDescent="0.25">
      <c r="A29" s="16"/>
      <c r="B29" s="19" t="s">
        <v>207</v>
      </c>
      <c r="C29" s="19" t="s">
        <v>208</v>
      </c>
      <c r="D29" s="19" t="s">
        <v>220</v>
      </c>
      <c r="E29" s="19" t="s">
        <v>221</v>
      </c>
      <c r="F29" s="57" t="s">
        <v>222</v>
      </c>
      <c r="G29" s="20" t="s">
        <v>223</v>
      </c>
      <c r="H29" s="16"/>
      <c r="I29" s="16"/>
      <c r="J29" s="16"/>
      <c r="K29" s="16"/>
      <c r="L29" s="16"/>
      <c r="M29" s="16"/>
      <c r="N29" s="16"/>
      <c r="O29" s="16"/>
      <c r="P29" s="16"/>
      <c r="Q29" s="16"/>
      <c r="R29" s="16"/>
      <c r="S29" s="16"/>
      <c r="T29" s="16"/>
      <c r="U29" s="16"/>
      <c r="V29" s="16"/>
      <c r="W29" s="16"/>
      <c r="X29" s="16"/>
      <c r="Y29" s="16"/>
      <c r="Z29" s="16"/>
    </row>
    <row r="30" spans="1:26" ht="14.25" customHeight="1" x14ac:dyDescent="0.25">
      <c r="B30" s="17">
        <v>1</v>
      </c>
      <c r="C30" s="41"/>
      <c r="D30" s="41"/>
      <c r="E30" s="23">
        <f>$D$24+$D$23*$D$25*SQRT($D$22/(2-$D$22)*(1-(1-$D$22)^(2*B30)))</f>
        <v>1.0269999999999999</v>
      </c>
      <c r="F30" s="23">
        <f t="shared" ref="F30:F59" si="0">$D$24-$D$23*$D$25*SQRT($D$22/(2-$D$22)*(1-(1-$D$22)^(2*B30)))</f>
        <v>0.97299999999999998</v>
      </c>
      <c r="G30" s="1" t="str">
        <f t="shared" ref="G30:G59" si="1">IF(OR(D30&lt;F30,D30&gt;E30),"Yes","No")</f>
        <v>Yes</v>
      </c>
    </row>
    <row r="31" spans="1:26" ht="14.25" customHeight="1" x14ac:dyDescent="0.25">
      <c r="B31" s="17">
        <v>2</v>
      </c>
      <c r="C31" s="41"/>
      <c r="D31" s="41"/>
      <c r="E31" s="23">
        <f>$D$24+$D$23*$D$25*SQRT($D$22/(2-$D$22)*(1-(1-$D$22)^(2*B31)))</f>
        <v>1.0363247849270991</v>
      </c>
      <c r="F31" s="23">
        <f t="shared" si="0"/>
        <v>0.96367521507290099</v>
      </c>
      <c r="G31" s="1" t="str">
        <f t="shared" si="1"/>
        <v>Yes</v>
      </c>
    </row>
    <row r="32" spans="1:26" ht="14.25" customHeight="1" x14ac:dyDescent="0.25">
      <c r="B32" s="17">
        <v>3</v>
      </c>
      <c r="C32" s="41"/>
      <c r="D32" s="41"/>
      <c r="E32" s="23">
        <f>$D$24+$D$23*$D$25*SQRT($D$22/(2-$D$22)*(1-(1-$D$22)^(2*B32)))</f>
        <v>1.0424003172157945</v>
      </c>
      <c r="F32" s="23">
        <f t="shared" si="0"/>
        <v>0.95759968278420549</v>
      </c>
      <c r="G32" s="1" t="str">
        <f t="shared" si="1"/>
        <v>Yes</v>
      </c>
    </row>
    <row r="33" spans="2:7" ht="14.25" customHeight="1" x14ac:dyDescent="0.25">
      <c r="B33" s="17">
        <v>4</v>
      </c>
      <c r="C33" s="41"/>
      <c r="D33" s="41"/>
      <c r="E33" s="23">
        <f t="shared" ref="E33:E59" si="2">$D$24+$D$23*$D$25*SQRT($D$22/(2-$D$22)*(1-(1-$D$22)^(2*B33)))</f>
        <v>1.0467462018671037</v>
      </c>
      <c r="F33" s="23">
        <f t="shared" si="0"/>
        <v>0.95325379813289646</v>
      </c>
      <c r="G33" s="1" t="str">
        <f t="shared" si="1"/>
        <v>Yes</v>
      </c>
    </row>
    <row r="34" spans="2:7" ht="14.25" customHeight="1" x14ac:dyDescent="0.25">
      <c r="B34" s="17">
        <v>5</v>
      </c>
      <c r="C34" s="41"/>
      <c r="D34" s="41"/>
      <c r="E34" s="23">
        <f t="shared" si="2"/>
        <v>1.0499901788863573</v>
      </c>
      <c r="F34" s="23">
        <f t="shared" si="0"/>
        <v>0.95000982111364274</v>
      </c>
      <c r="G34" s="1" t="str">
        <f t="shared" si="1"/>
        <v>Yes</v>
      </c>
    </row>
    <row r="35" spans="2:7" ht="14.25" customHeight="1" x14ac:dyDescent="0.25">
      <c r="B35" s="17">
        <v>6</v>
      </c>
      <c r="C35" s="41"/>
      <c r="D35" s="41"/>
      <c r="E35" s="23">
        <f t="shared" si="2"/>
        <v>1.0524709878687537</v>
      </c>
      <c r="F35" s="23">
        <f t="shared" si="0"/>
        <v>0.9475290121312463</v>
      </c>
      <c r="G35" s="1" t="str">
        <f t="shared" si="1"/>
        <v>Yes</v>
      </c>
    </row>
    <row r="36" spans="2:7" ht="14.25" customHeight="1" x14ac:dyDescent="0.25">
      <c r="B36" s="17">
        <v>7</v>
      </c>
      <c r="C36" s="41"/>
      <c r="D36" s="41"/>
      <c r="E36" s="23">
        <f t="shared" si="2"/>
        <v>1.0543975707179791</v>
      </c>
      <c r="F36" s="23">
        <f t="shared" si="0"/>
        <v>0.94560242928202076</v>
      </c>
      <c r="G36" s="1" t="str">
        <f t="shared" si="1"/>
        <v>Yes</v>
      </c>
    </row>
    <row r="37" spans="2:7" ht="14.25" customHeight="1" x14ac:dyDescent="0.25">
      <c r="B37" s="17">
        <v>8</v>
      </c>
      <c r="C37" s="41"/>
      <c r="D37" s="41"/>
      <c r="E37" s="23">
        <f t="shared" si="2"/>
        <v>1.0559094582071247</v>
      </c>
      <c r="F37" s="23">
        <f t="shared" si="0"/>
        <v>0.94409054179287533</v>
      </c>
      <c r="G37" s="1" t="str">
        <f t="shared" si="1"/>
        <v>Yes</v>
      </c>
    </row>
    <row r="38" spans="2:7" ht="14.25" customHeight="1" x14ac:dyDescent="0.25">
      <c r="B38" s="17">
        <v>9</v>
      </c>
      <c r="C38" s="41"/>
      <c r="D38" s="41"/>
      <c r="E38" s="23">
        <f t="shared" si="2"/>
        <v>1.0571047518931789</v>
      </c>
      <c r="F38" s="23">
        <f t="shared" si="0"/>
        <v>0.94289524810682113</v>
      </c>
      <c r="G38" s="1" t="str">
        <f t="shared" si="1"/>
        <v>Yes</v>
      </c>
    </row>
    <row r="39" spans="2:7" ht="14.25" customHeight="1" x14ac:dyDescent="0.25">
      <c r="B39" s="17">
        <v>10</v>
      </c>
      <c r="C39" s="41"/>
      <c r="D39" s="41"/>
      <c r="E39" s="23">
        <f t="shared" si="2"/>
        <v>1.0580549022728747</v>
      </c>
      <c r="F39" s="23">
        <f t="shared" si="0"/>
        <v>0.94194509772712531</v>
      </c>
      <c r="G39" s="1" t="str">
        <f t="shared" si="1"/>
        <v>Yes</v>
      </c>
    </row>
    <row r="40" spans="2:7" ht="14.25" customHeight="1" x14ac:dyDescent="0.25">
      <c r="B40" s="17">
        <v>11</v>
      </c>
      <c r="C40" s="41"/>
      <c r="D40" s="41"/>
      <c r="E40" s="23">
        <f t="shared" si="2"/>
        <v>1.0588132728141322</v>
      </c>
      <c r="F40" s="23">
        <f t="shared" si="0"/>
        <v>0.94118672718586771</v>
      </c>
      <c r="G40" s="1" t="str">
        <f t="shared" si="1"/>
        <v>Yes</v>
      </c>
    </row>
    <row r="41" spans="2:7" ht="14.25" customHeight="1" x14ac:dyDescent="0.25">
      <c r="B41" s="17">
        <v>12</v>
      </c>
      <c r="C41" s="41"/>
      <c r="D41" s="41"/>
      <c r="E41" s="23">
        <f t="shared" si="2"/>
        <v>1.0594204582435944</v>
      </c>
      <c r="F41" s="23">
        <f t="shared" si="0"/>
        <v>0.94057954175640568</v>
      </c>
      <c r="G41" s="1" t="str">
        <f t="shared" si="1"/>
        <v>Yes</v>
      </c>
    </row>
    <row r="42" spans="2:7" ht="14.25" customHeight="1" x14ac:dyDescent="0.25">
      <c r="B42" s="17">
        <v>13</v>
      </c>
      <c r="C42" s="41"/>
      <c r="D42" s="41"/>
      <c r="E42" s="23">
        <f t="shared" si="2"/>
        <v>1.0599077674002444</v>
      </c>
      <c r="F42" s="23">
        <f t="shared" si="0"/>
        <v>0.94009223259975572</v>
      </c>
      <c r="G42" s="1" t="str">
        <f t="shared" si="1"/>
        <v>Yes</v>
      </c>
    </row>
    <row r="43" spans="2:7" ht="14.25" customHeight="1" x14ac:dyDescent="0.25">
      <c r="B43" s="17">
        <v>14</v>
      </c>
      <c r="C43" s="41"/>
      <c r="D43" s="41"/>
      <c r="E43" s="23">
        <f t="shared" si="2"/>
        <v>1.0602996010090799</v>
      </c>
      <c r="F43" s="23">
        <f t="shared" si="0"/>
        <v>0.93970039899092006</v>
      </c>
      <c r="G43" s="1" t="str">
        <f t="shared" si="1"/>
        <v>Yes</v>
      </c>
    </row>
    <row r="44" spans="2:7" ht="14.25" customHeight="1" x14ac:dyDescent="0.25">
      <c r="B44" s="17">
        <v>15</v>
      </c>
      <c r="C44" s="41"/>
      <c r="D44" s="41"/>
      <c r="E44" s="23">
        <f t="shared" si="2"/>
        <v>1.0606151295000013</v>
      </c>
      <c r="F44" s="23">
        <f t="shared" si="0"/>
        <v>0.93938487049999864</v>
      </c>
      <c r="G44" s="1" t="str">
        <f t="shared" si="1"/>
        <v>Yes</v>
      </c>
    </row>
    <row r="45" spans="2:7" ht="14.25" customHeight="1" x14ac:dyDescent="0.25">
      <c r="B45" s="17">
        <v>16</v>
      </c>
      <c r="C45" s="41"/>
      <c r="D45" s="41"/>
      <c r="E45" s="23">
        <f t="shared" si="2"/>
        <v>1.0608695086121498</v>
      </c>
      <c r="F45" s="23">
        <f t="shared" si="0"/>
        <v>0.93913049138785032</v>
      </c>
      <c r="G45" s="1" t="str">
        <f t="shared" si="1"/>
        <v>Yes</v>
      </c>
    </row>
    <row r="46" spans="2:7" ht="14.25" customHeight="1" x14ac:dyDescent="0.25">
      <c r="B46" s="17">
        <v>17</v>
      </c>
      <c r="C46" s="41"/>
      <c r="D46" s="41"/>
      <c r="E46" s="23">
        <f t="shared" si="2"/>
        <v>1.0610747790314012</v>
      </c>
      <c r="F46" s="23">
        <f t="shared" si="0"/>
        <v>0.93892522096859865</v>
      </c>
      <c r="G46" s="1" t="str">
        <f t="shared" si="1"/>
        <v>Yes</v>
      </c>
    </row>
    <row r="47" spans="2:7" ht="14.25" customHeight="1" x14ac:dyDescent="0.25">
      <c r="B47" s="17">
        <v>18</v>
      </c>
      <c r="C47" s="41"/>
      <c r="D47" s="41"/>
      <c r="E47" s="23">
        <f t="shared" si="2"/>
        <v>1.0612405437053343</v>
      </c>
      <c r="F47" s="23">
        <f t="shared" si="0"/>
        <v>0.93875945629466584</v>
      </c>
      <c r="G47" s="1" t="str">
        <f t="shared" si="1"/>
        <v>Yes</v>
      </c>
    </row>
    <row r="48" spans="2:7" ht="14.25" customHeight="1" x14ac:dyDescent="0.25">
      <c r="B48" s="17">
        <v>19</v>
      </c>
      <c r="C48" s="41"/>
      <c r="D48" s="41"/>
      <c r="E48" s="23">
        <f t="shared" si="2"/>
        <v>1.0613744848988014</v>
      </c>
      <c r="F48" s="23">
        <f t="shared" si="0"/>
        <v>0.93862551510119863</v>
      </c>
      <c r="G48" s="1" t="str">
        <f t="shared" si="1"/>
        <v>Yes</v>
      </c>
    </row>
    <row r="49" spans="2:7" ht="14.25" customHeight="1" x14ac:dyDescent="0.25">
      <c r="B49" s="17">
        <v>20</v>
      </c>
      <c r="C49" s="41"/>
      <c r="D49" s="41"/>
      <c r="E49" s="23">
        <f t="shared" si="2"/>
        <v>1.0614827633669837</v>
      </c>
      <c r="F49" s="23">
        <f t="shared" si="0"/>
        <v>0.93851723663301645</v>
      </c>
      <c r="G49" s="1" t="str">
        <f t="shared" si="1"/>
        <v>Yes</v>
      </c>
    </row>
    <row r="50" spans="2:7" ht="14.25" customHeight="1" x14ac:dyDescent="0.25">
      <c r="B50" s="17">
        <v>21</v>
      </c>
      <c r="C50" s="41"/>
      <c r="D50" s="41"/>
      <c r="E50" s="23">
        <f t="shared" si="2"/>
        <v>1.061570329338934</v>
      </c>
      <c r="F50" s="23">
        <f t="shared" si="0"/>
        <v>0.93842967066106597</v>
      </c>
      <c r="G50" s="1" t="str">
        <f t="shared" si="1"/>
        <v>Yes</v>
      </c>
    </row>
    <row r="51" spans="2:7" ht="14.25" customHeight="1" x14ac:dyDescent="0.25">
      <c r="B51" s="17">
        <v>22</v>
      </c>
      <c r="C51" s="41"/>
      <c r="D51" s="41"/>
      <c r="E51" s="23">
        <f t="shared" si="2"/>
        <v>1.0616411665891625</v>
      </c>
      <c r="F51" s="23">
        <f t="shared" si="0"/>
        <v>0.93835883341083748</v>
      </c>
      <c r="G51" s="1" t="str">
        <f t="shared" si="1"/>
        <v>Yes</v>
      </c>
    </row>
    <row r="52" spans="2:7" ht="14.25" customHeight="1" x14ac:dyDescent="0.25">
      <c r="B52" s="17">
        <v>23</v>
      </c>
      <c r="C52" s="41"/>
      <c r="D52" s="41"/>
      <c r="E52" s="23">
        <f t="shared" si="2"/>
        <v>1.0616984851431788</v>
      </c>
      <c r="F52" s="23">
        <f t="shared" si="0"/>
        <v>0.93830151485682134</v>
      </c>
      <c r="G52" s="1" t="str">
        <f t="shared" si="1"/>
        <v>Yes</v>
      </c>
    </row>
    <row r="53" spans="2:7" ht="14.25" customHeight="1" x14ac:dyDescent="0.25">
      <c r="B53" s="17">
        <v>24</v>
      </c>
      <c r="C53" s="41"/>
      <c r="D53" s="41"/>
      <c r="E53" s="23">
        <f t="shared" si="2"/>
        <v>1.0617448741666875</v>
      </c>
      <c r="F53" s="23">
        <f t="shared" si="0"/>
        <v>0.93825512583331261</v>
      </c>
      <c r="G53" s="1" t="str">
        <f t="shared" si="1"/>
        <v>Yes</v>
      </c>
    </row>
    <row r="54" spans="2:7" ht="14.25" customHeight="1" x14ac:dyDescent="0.25">
      <c r="B54" s="17">
        <v>25</v>
      </c>
      <c r="C54" s="41"/>
      <c r="D54" s="41"/>
      <c r="E54" s="23">
        <f t="shared" si="2"/>
        <v>1.0617824237428952</v>
      </c>
      <c r="F54" s="23">
        <f t="shared" si="0"/>
        <v>0.93821757625710489</v>
      </c>
      <c r="G54" s="1" t="str">
        <f t="shared" si="1"/>
        <v>Yes</v>
      </c>
    </row>
    <row r="55" spans="2:7" ht="14.25" customHeight="1" x14ac:dyDescent="0.25">
      <c r="B55" s="17">
        <v>26</v>
      </c>
      <c r="C55" s="41"/>
      <c r="D55" s="41"/>
      <c r="E55" s="23">
        <f t="shared" si="2"/>
        <v>1.0618128221785157</v>
      </c>
      <c r="F55" s="23">
        <f t="shared" si="0"/>
        <v>0.93818717782148442</v>
      </c>
      <c r="G55" s="1" t="str">
        <f t="shared" si="1"/>
        <v>Yes</v>
      </c>
    </row>
    <row r="56" spans="2:7" ht="14.25" customHeight="1" x14ac:dyDescent="0.25">
      <c r="B56" s="17">
        <v>27</v>
      </c>
      <c r="C56" s="41"/>
      <c r="D56" s="41"/>
      <c r="E56" s="23">
        <f t="shared" si="2"/>
        <v>1.0618374339570698</v>
      </c>
      <c r="F56" s="23">
        <f t="shared" si="0"/>
        <v>0.93816256604293025</v>
      </c>
      <c r="G56" s="1" t="str">
        <f t="shared" si="1"/>
        <v>Yes</v>
      </c>
    </row>
    <row r="57" spans="2:7" ht="14.25" customHeight="1" x14ac:dyDescent="0.25">
      <c r="B57" s="17">
        <v>28</v>
      </c>
      <c r="C57" s="41"/>
      <c r="D57" s="41"/>
      <c r="E57" s="23">
        <f t="shared" si="2"/>
        <v>1.06185736231929</v>
      </c>
      <c r="F57" s="23">
        <f t="shared" si="0"/>
        <v>0.93814263768071005</v>
      </c>
      <c r="G57" s="1" t="str">
        <f t="shared" si="1"/>
        <v>Yes</v>
      </c>
    </row>
    <row r="58" spans="2:7" ht="14.25" customHeight="1" x14ac:dyDescent="0.25">
      <c r="B58" s="17">
        <v>29</v>
      </c>
      <c r="C58" s="41"/>
      <c r="D58" s="41"/>
      <c r="E58" s="23">
        <f t="shared" si="2"/>
        <v>1.0618734995875532</v>
      </c>
      <c r="F58" s="23">
        <f t="shared" si="0"/>
        <v>0.93812650041244694</v>
      </c>
      <c r="G58" s="1" t="str">
        <f t="shared" si="1"/>
        <v>Yes</v>
      </c>
    </row>
    <row r="59" spans="2:7" ht="14.25" customHeight="1" x14ac:dyDescent="0.25">
      <c r="B59" s="17">
        <v>30</v>
      </c>
      <c r="C59" s="41"/>
      <c r="D59" s="41"/>
      <c r="E59" s="23">
        <f t="shared" si="2"/>
        <v>1.0618865676902578</v>
      </c>
      <c r="F59" s="23">
        <f t="shared" si="0"/>
        <v>0.9381134323097422</v>
      </c>
      <c r="G59" s="59" t="str">
        <f t="shared" si="1"/>
        <v>Yes</v>
      </c>
    </row>
    <row r="60" spans="2:7" ht="14.25" customHeight="1" x14ac:dyDescent="0.25">
      <c r="B60" s="42"/>
      <c r="C60" s="42"/>
      <c r="D60" s="42"/>
      <c r="E60" s="42"/>
      <c r="F60" s="42"/>
    </row>
    <row r="61" spans="2:7" ht="14.25" customHeight="1" x14ac:dyDescent="0.25"/>
    <row r="62" spans="2:7" ht="14.25" customHeight="1" x14ac:dyDescent="0.25"/>
    <row r="63" spans="2:7" ht="14.25" customHeight="1" x14ac:dyDescent="0.25"/>
    <row r="64" spans="2:7"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3">
    <mergeCell ref="C2:F2"/>
    <mergeCell ref="B20:F21"/>
    <mergeCell ref="B22:B27"/>
  </mergeCells>
  <conditionalFormatting sqref="G30:G59">
    <cfRule type="cellIs" dxfId="3" priority="1" operator="equal">
      <formula>"Yes"</formula>
    </cfRule>
  </conditionalFormatting>
  <pageMargins left="0.7" right="0.7" top="0.75" bottom="0.75" header="0" footer="0"/>
  <pageSetup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4472C4"/>
  </sheetPr>
  <dimension ref="A1:Z1000"/>
  <sheetViews>
    <sheetView showGridLines="0" topLeftCell="A41" zoomScale="76" zoomScaleNormal="76" workbookViewId="0">
      <selection activeCell="K68" sqref="K68"/>
    </sheetView>
  </sheetViews>
  <sheetFormatPr defaultColWidth="14.42578125" defaultRowHeight="15" customHeight="1" x14ac:dyDescent="0.25"/>
  <cols>
    <col min="1" max="1" width="8.7109375" customWidth="1"/>
    <col min="2" max="18" width="12.42578125" customWidth="1"/>
    <col min="19" max="26" width="12.5703125" customWidth="1"/>
  </cols>
  <sheetData>
    <row r="1" spans="2:8" ht="14.25" customHeight="1" x14ac:dyDescent="0.25"/>
    <row r="2" spans="2:8" ht="14.25" customHeight="1" x14ac:dyDescent="0.25">
      <c r="B2" s="1" t="s">
        <v>84</v>
      </c>
      <c r="C2" s="146"/>
      <c r="D2" s="147"/>
      <c r="E2" s="147"/>
      <c r="F2" s="147"/>
      <c r="G2" s="147"/>
      <c r="H2" s="147"/>
    </row>
    <row r="3" spans="2:8" ht="14.25" customHeight="1" x14ac:dyDescent="0.25"/>
    <row r="4" spans="2:8" ht="14.25" customHeight="1" x14ac:dyDescent="0.25"/>
    <row r="5" spans="2:8" ht="14.25" customHeight="1" x14ac:dyDescent="0.25"/>
    <row r="6" spans="2:8" ht="14.25" customHeight="1" x14ac:dyDescent="0.25"/>
    <row r="7" spans="2:8" ht="14.25" customHeight="1" x14ac:dyDescent="0.25"/>
    <row r="8" spans="2:8" ht="14.25" customHeight="1" x14ac:dyDescent="0.25"/>
    <row r="9" spans="2:8" ht="14.25" customHeight="1" x14ac:dyDescent="0.25"/>
    <row r="10" spans="2:8" ht="14.25" customHeight="1" x14ac:dyDescent="0.25"/>
    <row r="11" spans="2:8" ht="14.25" customHeight="1" x14ac:dyDescent="0.25"/>
    <row r="12" spans="2:8" ht="14.25" customHeight="1" x14ac:dyDescent="0.25"/>
    <row r="13" spans="2:8" ht="14.25" customHeight="1" x14ac:dyDescent="0.25"/>
    <row r="14" spans="2:8" ht="14.25" customHeight="1" x14ac:dyDescent="0.25"/>
    <row r="15" spans="2:8" ht="14.25" customHeight="1" x14ac:dyDescent="0.25"/>
    <row r="16" spans="2:8" ht="14.25" customHeight="1" x14ac:dyDescent="0.25"/>
    <row r="17" spans="2:18" ht="14.25" customHeight="1" x14ac:dyDescent="0.25"/>
    <row r="18" spans="2:18" ht="14.25" customHeight="1" x14ac:dyDescent="0.25"/>
    <row r="19" spans="2:18" ht="14.25" customHeight="1" x14ac:dyDescent="0.25"/>
    <row r="20" spans="2:18" ht="14.25" customHeight="1" x14ac:dyDescent="0.25">
      <c r="B20" s="150" t="s">
        <v>224</v>
      </c>
      <c r="C20" s="151"/>
      <c r="D20" s="151"/>
      <c r="E20" s="151"/>
      <c r="F20" s="151"/>
      <c r="G20" s="151"/>
      <c r="H20" s="151"/>
      <c r="I20" s="151"/>
      <c r="J20" s="151"/>
      <c r="K20" s="151"/>
      <c r="L20" s="151"/>
      <c r="M20" s="151"/>
      <c r="N20" s="151"/>
      <c r="O20" s="151"/>
      <c r="P20" s="151"/>
      <c r="Q20" s="151"/>
      <c r="R20" s="151"/>
    </row>
    <row r="21" spans="2:18" ht="14.25" customHeight="1" x14ac:dyDescent="0.25">
      <c r="B21" s="113"/>
      <c r="C21" s="113"/>
      <c r="D21" s="113"/>
      <c r="E21" s="113"/>
      <c r="F21" s="113"/>
      <c r="G21" s="113"/>
      <c r="H21" s="113"/>
      <c r="I21" s="113"/>
      <c r="J21" s="113"/>
      <c r="K21" s="113"/>
      <c r="L21" s="113"/>
      <c r="M21" s="113"/>
      <c r="N21" s="113"/>
      <c r="O21" s="113"/>
      <c r="P21" s="113"/>
      <c r="Q21" s="113"/>
      <c r="R21" s="113"/>
    </row>
    <row r="22" spans="2:18" ht="14.25" customHeight="1" x14ac:dyDescent="0.25">
      <c r="B22" s="152" t="s">
        <v>112</v>
      </c>
      <c r="C22" s="32" t="s">
        <v>113</v>
      </c>
      <c r="D22" s="33"/>
      <c r="E22" s="34"/>
      <c r="F22" s="34"/>
      <c r="G22" s="34"/>
      <c r="H22" s="34"/>
      <c r="I22" s="34"/>
      <c r="J22" s="34"/>
      <c r="K22" s="34"/>
      <c r="L22" s="34"/>
      <c r="M22" s="34"/>
      <c r="N22" s="34"/>
      <c r="O22" s="34"/>
      <c r="P22" s="34"/>
      <c r="Q22" s="34"/>
      <c r="R22" s="34"/>
    </row>
    <row r="23" spans="2:18" ht="14.25" customHeight="1" x14ac:dyDescent="0.25">
      <c r="B23" s="113"/>
      <c r="C23" s="17" t="s">
        <v>54</v>
      </c>
      <c r="D23" s="35"/>
      <c r="E23" s="14"/>
      <c r="F23" s="14"/>
      <c r="G23" s="14"/>
      <c r="H23" s="14"/>
      <c r="I23" s="14"/>
      <c r="J23" s="14"/>
      <c r="K23" s="14"/>
      <c r="L23" s="14"/>
      <c r="M23" s="14"/>
      <c r="N23" s="14"/>
      <c r="O23" s="14"/>
      <c r="P23" s="14"/>
      <c r="Q23" s="14"/>
      <c r="R23" s="14"/>
    </row>
    <row r="24" spans="2:18" ht="14.25" customHeight="1" x14ac:dyDescent="0.25">
      <c r="B24" s="113"/>
      <c r="C24" s="17" t="s">
        <v>41</v>
      </c>
      <c r="D24" s="35">
        <f>'Data Awal'!AI5</f>
        <v>264</v>
      </c>
      <c r="E24" s="156" t="s">
        <v>225</v>
      </c>
      <c r="F24" s="14"/>
      <c r="G24" s="14"/>
      <c r="H24" s="14"/>
      <c r="I24" s="14"/>
      <c r="J24" s="14"/>
      <c r="K24" s="14"/>
      <c r="L24" s="14"/>
      <c r="M24" s="14"/>
      <c r="N24" s="14"/>
      <c r="O24" s="14"/>
      <c r="P24" s="14"/>
      <c r="Q24" s="14"/>
      <c r="R24" s="14"/>
    </row>
    <row r="25" spans="2:18" ht="14.25" customHeight="1" x14ac:dyDescent="0.25">
      <c r="B25" s="113"/>
      <c r="C25" s="17" t="s">
        <v>45</v>
      </c>
      <c r="D25" s="35">
        <f>'Data Awal'!AI6</f>
        <v>284</v>
      </c>
      <c r="E25" s="157"/>
      <c r="F25" s="14"/>
      <c r="G25" s="14"/>
      <c r="H25" s="14"/>
      <c r="I25" s="14"/>
      <c r="J25" s="14"/>
      <c r="K25" s="14"/>
      <c r="L25" s="14"/>
      <c r="M25" s="14"/>
      <c r="N25" s="14"/>
      <c r="O25" s="14"/>
      <c r="P25" s="14"/>
      <c r="Q25" s="14"/>
      <c r="R25" s="14"/>
    </row>
    <row r="26" spans="2:18" ht="14.25" customHeight="1" x14ac:dyDescent="0.25">
      <c r="B26" s="113"/>
      <c r="C26" s="17" t="s">
        <v>48</v>
      </c>
      <c r="D26" s="35">
        <f>'Data Awal'!AI7</f>
        <v>304</v>
      </c>
      <c r="E26" s="157"/>
      <c r="F26" s="14"/>
      <c r="G26" s="14"/>
      <c r="H26" s="14"/>
      <c r="I26" s="14"/>
      <c r="J26" s="14"/>
      <c r="K26" s="14"/>
      <c r="L26" s="14"/>
      <c r="M26" s="14"/>
      <c r="N26" s="14"/>
      <c r="O26" s="14"/>
      <c r="P26" s="14"/>
      <c r="Q26" s="14"/>
      <c r="R26" s="14"/>
    </row>
    <row r="27" spans="2:18" ht="14.25" customHeight="1" x14ac:dyDescent="0.25">
      <c r="B27" s="113"/>
      <c r="C27" s="17" t="s">
        <v>50</v>
      </c>
      <c r="D27" s="35">
        <f>'Data Awal'!AI8</f>
        <v>324</v>
      </c>
      <c r="E27" s="158"/>
      <c r="F27" s="14"/>
      <c r="G27" s="14"/>
      <c r="H27" s="14"/>
      <c r="I27" s="14"/>
      <c r="J27" s="14"/>
      <c r="K27" s="14"/>
      <c r="L27" s="14"/>
      <c r="M27" s="14"/>
      <c r="N27" s="14"/>
      <c r="O27" s="14"/>
      <c r="P27" s="14"/>
      <c r="Q27" s="14"/>
      <c r="R27" s="14"/>
    </row>
    <row r="28" spans="2:18" ht="14.25" customHeight="1" x14ac:dyDescent="0.25">
      <c r="B28" s="113"/>
      <c r="C28" s="17" t="s">
        <v>41</v>
      </c>
      <c r="D28" s="87"/>
      <c r="E28" s="156" t="s">
        <v>226</v>
      </c>
      <c r="F28" s="14"/>
      <c r="G28" s="14"/>
      <c r="H28" s="14"/>
      <c r="I28" s="14"/>
      <c r="J28" s="14"/>
      <c r="K28" s="14"/>
      <c r="L28" s="14"/>
      <c r="M28" s="14"/>
      <c r="N28" s="14"/>
      <c r="O28" s="14"/>
      <c r="P28" s="14"/>
      <c r="Q28" s="14"/>
      <c r="R28" s="14"/>
    </row>
    <row r="29" spans="2:18" ht="14.25" customHeight="1" x14ac:dyDescent="0.25">
      <c r="B29" s="113"/>
      <c r="C29" s="17" t="s">
        <v>45</v>
      </c>
      <c r="D29" s="87"/>
      <c r="E29" s="157"/>
      <c r="F29" s="14"/>
      <c r="G29" s="14"/>
      <c r="H29" s="14"/>
      <c r="I29" s="14"/>
      <c r="J29" s="14"/>
      <c r="K29" s="14"/>
      <c r="L29" s="14"/>
      <c r="M29" s="14"/>
      <c r="N29" s="14"/>
      <c r="O29" s="14"/>
      <c r="P29" s="14"/>
      <c r="Q29" s="14"/>
      <c r="R29" s="14"/>
    </row>
    <row r="30" spans="2:18" ht="14.25" customHeight="1" x14ac:dyDescent="0.25">
      <c r="B30" s="113"/>
      <c r="C30" s="17" t="s">
        <v>48</v>
      </c>
      <c r="D30" s="87"/>
      <c r="E30" s="157"/>
      <c r="F30" s="14"/>
      <c r="G30" s="14"/>
      <c r="H30" s="14"/>
      <c r="I30" s="14"/>
      <c r="J30" s="14"/>
      <c r="K30" s="14"/>
      <c r="L30" s="14"/>
      <c r="M30" s="14"/>
      <c r="N30" s="14"/>
      <c r="O30" s="14"/>
      <c r="P30" s="14"/>
      <c r="Q30" s="14"/>
      <c r="R30" s="14"/>
    </row>
    <row r="31" spans="2:18" ht="14.25" customHeight="1" x14ac:dyDescent="0.25">
      <c r="B31" s="113"/>
      <c r="C31" s="17" t="s">
        <v>50</v>
      </c>
      <c r="D31" s="87"/>
      <c r="E31" s="157"/>
      <c r="F31" s="14"/>
      <c r="G31" s="14"/>
      <c r="H31" s="14"/>
      <c r="I31" s="14"/>
      <c r="J31" s="14"/>
      <c r="K31" s="14"/>
      <c r="L31" s="14"/>
      <c r="M31" s="14"/>
      <c r="N31" s="14"/>
      <c r="O31" s="14"/>
      <c r="P31" s="14"/>
      <c r="Q31" s="14"/>
      <c r="R31" s="14"/>
    </row>
    <row r="32" spans="2:18" ht="14.25" customHeight="1" x14ac:dyDescent="0.25">
      <c r="B32" s="113"/>
      <c r="C32" s="17" t="s">
        <v>123</v>
      </c>
      <c r="D32" s="60"/>
      <c r="E32" s="61"/>
      <c r="F32" s="14"/>
      <c r="G32" s="14"/>
      <c r="H32" s="14"/>
      <c r="I32" s="14"/>
      <c r="J32" s="14"/>
      <c r="K32" s="14"/>
      <c r="L32" s="14"/>
      <c r="M32" s="14"/>
      <c r="N32" s="14"/>
      <c r="O32" s="14"/>
      <c r="P32" s="14"/>
      <c r="Q32" s="14"/>
      <c r="R32" s="14"/>
    </row>
    <row r="33" spans="1:26" ht="14.25" customHeight="1" x14ac:dyDescent="0.25">
      <c r="B33" s="113"/>
      <c r="C33" s="17" t="s">
        <v>122</v>
      </c>
      <c r="D33" s="60"/>
      <c r="E33" s="61"/>
      <c r="F33" s="14"/>
      <c r="G33" s="14"/>
      <c r="H33" s="14"/>
      <c r="I33" s="14"/>
      <c r="J33" s="14"/>
      <c r="K33" s="14"/>
      <c r="L33" s="14"/>
      <c r="M33" s="14"/>
      <c r="N33" s="14"/>
      <c r="O33" s="14"/>
      <c r="P33" s="14"/>
      <c r="Q33" s="14"/>
      <c r="R33" s="14"/>
    </row>
    <row r="34" spans="1:26" ht="14.25" customHeight="1" x14ac:dyDescent="0.25">
      <c r="B34" s="113"/>
      <c r="C34" s="17" t="s">
        <v>116</v>
      </c>
      <c r="D34" s="60"/>
      <c r="E34" s="37"/>
      <c r="F34" s="37"/>
      <c r="G34" s="37"/>
      <c r="H34" s="37"/>
      <c r="I34" s="37"/>
      <c r="J34" s="37"/>
      <c r="K34" s="37"/>
      <c r="L34" s="37"/>
      <c r="M34" s="37"/>
      <c r="N34" s="37"/>
      <c r="O34" s="37"/>
      <c r="P34" s="37"/>
      <c r="Q34" s="37"/>
      <c r="R34" s="37"/>
    </row>
    <row r="35" spans="1:26" ht="14.25" customHeight="1" x14ac:dyDescent="0.25">
      <c r="B35" s="113"/>
      <c r="C35" s="17" t="s">
        <v>117</v>
      </c>
      <c r="D35" s="60"/>
      <c r="E35" s="37"/>
      <c r="F35" s="37"/>
      <c r="G35" s="37"/>
      <c r="H35" s="37"/>
      <c r="I35" s="37"/>
      <c r="J35" s="37"/>
      <c r="K35" s="37"/>
      <c r="L35" s="37"/>
      <c r="M35" s="37"/>
      <c r="N35" s="37"/>
      <c r="O35" s="37"/>
      <c r="P35" s="37"/>
      <c r="Q35" s="37"/>
      <c r="R35" s="37"/>
    </row>
    <row r="36" spans="1:26" ht="14.25" customHeight="1" x14ac:dyDescent="0.25">
      <c r="B36" s="113"/>
      <c r="C36" s="17" t="s">
        <v>118</v>
      </c>
      <c r="D36" s="60"/>
      <c r="E36" s="37"/>
      <c r="F36" s="37"/>
      <c r="G36" s="37"/>
      <c r="H36" s="37"/>
      <c r="I36" s="37"/>
      <c r="J36" s="37"/>
      <c r="K36" s="37"/>
      <c r="L36" s="37"/>
      <c r="M36" s="37"/>
      <c r="N36" s="37"/>
      <c r="O36" s="37"/>
      <c r="P36" s="37"/>
      <c r="Q36" s="37"/>
      <c r="R36" s="37"/>
    </row>
    <row r="37" spans="1:26" ht="14.25" customHeight="1" x14ac:dyDescent="0.25">
      <c r="B37" s="113"/>
      <c r="C37" s="17" t="s">
        <v>119</v>
      </c>
      <c r="D37" s="60"/>
      <c r="E37" s="37"/>
      <c r="F37" s="37"/>
      <c r="G37" s="37"/>
      <c r="H37" s="37"/>
      <c r="I37" s="37"/>
      <c r="J37" s="37"/>
      <c r="K37" s="37"/>
      <c r="L37" s="37"/>
      <c r="M37" s="37"/>
      <c r="N37" s="37"/>
      <c r="O37" s="37"/>
      <c r="P37" s="37"/>
      <c r="Q37" s="37"/>
      <c r="R37" s="37"/>
    </row>
    <row r="38" spans="1:26" ht="14.25" customHeight="1" x14ac:dyDescent="0.25">
      <c r="B38" s="113"/>
      <c r="C38" s="17" t="s">
        <v>55</v>
      </c>
      <c r="D38" s="37" t="e">
        <f t="array" ref="D38">INDEX('Tabel Faktor'!$A$1:$Q$25,MATCH('Peta Kendali xbar-R SPR'!D23,'Tabel Faktor'!$A$1:$A$25,0),MATCH('Peta Kendali xbar-R SPR'!C38,'Tabel Faktor'!$A$1:$Q$1,0))</f>
        <v>#N/A</v>
      </c>
      <c r="E38" s="37"/>
      <c r="F38" s="37"/>
      <c r="G38" s="37"/>
      <c r="H38" s="37"/>
      <c r="I38" s="37"/>
      <c r="J38" s="37"/>
      <c r="K38" s="37"/>
      <c r="L38" s="37"/>
      <c r="M38" s="37"/>
      <c r="N38" s="37"/>
      <c r="O38" s="37"/>
      <c r="P38" s="37"/>
      <c r="Q38" s="37"/>
      <c r="R38" s="37"/>
    </row>
    <row r="39" spans="1:26" ht="14.25" customHeight="1" x14ac:dyDescent="0.25">
      <c r="B39" s="113"/>
      <c r="C39" s="17" t="s">
        <v>69</v>
      </c>
      <c r="D39" s="37" t="e">
        <f t="array" ref="D39">INDEX('Tabel Faktor'!$A$1:$Q$25,MATCH('Peta Kendali xbar-R SPR'!D23,'Tabel Faktor'!$A$1:$A$25,0),MATCH('Peta Kendali xbar-R SPR'!C39,'Tabel Faktor'!$A$1:$Q$1,0))</f>
        <v>#N/A</v>
      </c>
      <c r="E39" s="37"/>
      <c r="F39" s="37"/>
      <c r="G39" s="37"/>
      <c r="H39" s="37"/>
      <c r="I39" s="37"/>
      <c r="J39" s="37"/>
      <c r="K39" s="37"/>
      <c r="L39" s="37"/>
      <c r="M39" s="37"/>
      <c r="N39" s="37"/>
      <c r="O39" s="37"/>
      <c r="P39" s="37"/>
      <c r="Q39" s="37"/>
      <c r="R39" s="37"/>
    </row>
    <row r="40" spans="1:26" ht="14.25" customHeight="1" x14ac:dyDescent="0.25">
      <c r="B40" s="147"/>
      <c r="C40" s="38" t="s">
        <v>68</v>
      </c>
      <c r="D40" s="39" t="e">
        <f t="array" ref="D40">INDEX('Tabel Faktor'!$A$1:$Q$25,MATCH('Peta Kendali xbar-R SPR'!D23,'Tabel Faktor'!$A$1:$A$25,0),MATCH('Peta Kendali xbar-R SPR'!C40,'Tabel Faktor'!$A$1:$Q$1,0))</f>
        <v>#N/A</v>
      </c>
      <c r="E40" s="40"/>
      <c r="F40" s="40"/>
      <c r="G40" s="40"/>
      <c r="H40" s="40"/>
      <c r="I40" s="40"/>
      <c r="J40" s="40"/>
      <c r="K40" s="40"/>
      <c r="L40" s="40"/>
      <c r="M40" s="40"/>
      <c r="N40" s="40"/>
      <c r="O40" s="40"/>
      <c r="P40" s="40"/>
      <c r="Q40" s="40"/>
      <c r="R40" s="40"/>
    </row>
    <row r="41" spans="1:26" ht="14.25" customHeight="1" x14ac:dyDescent="0.25">
      <c r="B41" s="17"/>
      <c r="C41" s="17"/>
      <c r="D41" s="17"/>
      <c r="E41" s="17"/>
      <c r="F41" s="17"/>
      <c r="G41" s="17"/>
      <c r="H41" s="17"/>
      <c r="I41" s="17"/>
      <c r="J41" s="17"/>
      <c r="K41" s="17"/>
      <c r="L41" s="17"/>
      <c r="M41" s="17"/>
      <c r="N41" s="17"/>
      <c r="O41" s="17"/>
      <c r="P41" s="17"/>
      <c r="Q41" s="17"/>
      <c r="R41" s="17"/>
    </row>
    <row r="42" spans="1:26" ht="14.25" customHeight="1" x14ac:dyDescent="0.25">
      <c r="A42" s="16"/>
      <c r="B42" s="19" t="s">
        <v>29</v>
      </c>
      <c r="C42" s="20" t="s">
        <v>34</v>
      </c>
      <c r="D42" s="138" t="s">
        <v>30</v>
      </c>
      <c r="E42" s="139"/>
      <c r="F42" s="139"/>
      <c r="G42" s="19" t="s">
        <v>120</v>
      </c>
      <c r="H42" s="19" t="s">
        <v>121</v>
      </c>
      <c r="I42" s="19" t="s">
        <v>227</v>
      </c>
      <c r="J42" s="19" t="s">
        <v>228</v>
      </c>
      <c r="K42" s="19" t="s">
        <v>229</v>
      </c>
      <c r="L42" s="19" t="s">
        <v>230</v>
      </c>
      <c r="M42" s="19" t="s">
        <v>122</v>
      </c>
      <c r="N42" s="19" t="s">
        <v>116</v>
      </c>
      <c r="O42" s="19" t="s">
        <v>117</v>
      </c>
      <c r="P42" s="19" t="s">
        <v>123</v>
      </c>
      <c r="Q42" s="19" t="s">
        <v>124</v>
      </c>
      <c r="R42" s="19" t="s">
        <v>125</v>
      </c>
      <c r="S42" s="16"/>
      <c r="T42" s="16"/>
      <c r="U42" s="16"/>
      <c r="V42" s="16"/>
      <c r="W42" s="16"/>
      <c r="X42" s="16"/>
      <c r="Y42" s="16"/>
      <c r="Z42" s="16"/>
    </row>
    <row r="43" spans="1:26" ht="14.25" customHeight="1" x14ac:dyDescent="0.25">
      <c r="B43" s="17">
        <v>1</v>
      </c>
      <c r="C43" s="41"/>
      <c r="D43" s="41"/>
      <c r="E43" s="41"/>
      <c r="F43" s="41"/>
      <c r="G43" s="23" t="e">
        <f t="shared" ref="G43:G62" si="0">AVERAGE(D43:F43)</f>
        <v>#DIV/0!</v>
      </c>
      <c r="H43" s="23">
        <f t="shared" ref="H43:H62" si="1">MAX(D43:F43)-MIN(D43:F43)</f>
        <v>0</v>
      </c>
      <c r="I43" s="14" t="e">
        <f>INDEX($D$24:$D$27,MATCH(C43,$C$24:$C$27,0))</f>
        <v>#N/A</v>
      </c>
      <c r="J43" s="45" t="e">
        <f t="shared" ref="J43:J62" si="2">INDEX($D$28:$D$31,MATCH(C43,$C$28:$C$31,0))</f>
        <v>#N/A</v>
      </c>
      <c r="K43" s="45" t="e">
        <f t="shared" ref="K43:K62" si="3">(G43-I43)/J43</f>
        <v>#DIV/0!</v>
      </c>
      <c r="L43" s="45" t="e">
        <f t="shared" ref="L43:L62" si="4">H43/J43</f>
        <v>#N/A</v>
      </c>
      <c r="M43" s="23">
        <f t="shared" ref="M43:M62" si="5">$D$33</f>
        <v>0</v>
      </c>
      <c r="N43" s="23">
        <f t="shared" ref="N43:N62" si="6">$D$34</f>
        <v>0</v>
      </c>
      <c r="O43" s="23">
        <f t="shared" ref="O43:O62" si="7">$D$35</f>
        <v>0</v>
      </c>
      <c r="P43" s="23">
        <f t="shared" ref="P43:P62" si="8">$D$32</f>
        <v>0</v>
      </c>
      <c r="Q43" s="23">
        <f t="shared" ref="Q43:Q62" si="9">$D$36</f>
        <v>0</v>
      </c>
      <c r="R43" s="23">
        <f t="shared" ref="R43:R62" si="10">$D$37</f>
        <v>0</v>
      </c>
    </row>
    <row r="44" spans="1:26" ht="14.25" customHeight="1" x14ac:dyDescent="0.25">
      <c r="B44" s="17">
        <v>2</v>
      </c>
      <c r="C44" s="41"/>
      <c r="D44" s="41"/>
      <c r="E44" s="41"/>
      <c r="F44" s="41"/>
      <c r="G44" s="23" t="e">
        <f>AVERAGE(D44:F44)</f>
        <v>#DIV/0!</v>
      </c>
      <c r="H44" s="23">
        <f t="shared" si="1"/>
        <v>0</v>
      </c>
      <c r="I44" s="14" t="e">
        <f t="shared" ref="I44:I62" si="11">INDEX($D$24:$D$27,MATCH(C44,$C$24:$C$27,0))</f>
        <v>#N/A</v>
      </c>
      <c r="J44" s="45" t="e">
        <f t="shared" si="2"/>
        <v>#N/A</v>
      </c>
      <c r="K44" s="45" t="e">
        <f t="shared" si="3"/>
        <v>#DIV/0!</v>
      </c>
      <c r="L44" s="45" t="e">
        <f t="shared" si="4"/>
        <v>#N/A</v>
      </c>
      <c r="M44" s="23">
        <f t="shared" si="5"/>
        <v>0</v>
      </c>
      <c r="N44" s="23">
        <f t="shared" si="6"/>
        <v>0</v>
      </c>
      <c r="O44" s="23">
        <f t="shared" si="7"/>
        <v>0</v>
      </c>
      <c r="P44" s="23">
        <f t="shared" si="8"/>
        <v>0</v>
      </c>
      <c r="Q44" s="23">
        <f t="shared" si="9"/>
        <v>0</v>
      </c>
      <c r="R44" s="23">
        <f t="shared" si="10"/>
        <v>0</v>
      </c>
    </row>
    <row r="45" spans="1:26" ht="14.25" customHeight="1" x14ac:dyDescent="0.25">
      <c r="B45" s="17">
        <v>3</v>
      </c>
      <c r="C45" s="41"/>
      <c r="D45" s="41"/>
      <c r="E45" s="41"/>
      <c r="F45" s="41"/>
      <c r="G45" s="23" t="e">
        <f t="shared" si="0"/>
        <v>#DIV/0!</v>
      </c>
      <c r="H45" s="23">
        <f t="shared" si="1"/>
        <v>0</v>
      </c>
      <c r="I45" s="14" t="e">
        <f t="shared" si="11"/>
        <v>#N/A</v>
      </c>
      <c r="J45" s="45" t="e">
        <f t="shared" si="2"/>
        <v>#N/A</v>
      </c>
      <c r="K45" s="45" t="e">
        <f t="shared" si="3"/>
        <v>#DIV/0!</v>
      </c>
      <c r="L45" s="45" t="e">
        <f t="shared" si="4"/>
        <v>#N/A</v>
      </c>
      <c r="M45" s="23">
        <f t="shared" si="5"/>
        <v>0</v>
      </c>
      <c r="N45" s="23">
        <f t="shared" si="6"/>
        <v>0</v>
      </c>
      <c r="O45" s="23">
        <f t="shared" si="7"/>
        <v>0</v>
      </c>
      <c r="P45" s="23">
        <f t="shared" si="8"/>
        <v>0</v>
      </c>
      <c r="Q45" s="23">
        <f t="shared" si="9"/>
        <v>0</v>
      </c>
      <c r="R45" s="23">
        <f t="shared" si="10"/>
        <v>0</v>
      </c>
    </row>
    <row r="46" spans="1:26" ht="14.25" customHeight="1" x14ac:dyDescent="0.25">
      <c r="B46" s="17">
        <v>4</v>
      </c>
      <c r="C46" s="41"/>
      <c r="D46" s="41"/>
      <c r="E46" s="41"/>
      <c r="F46" s="41"/>
      <c r="G46" s="23" t="e">
        <f t="shared" si="0"/>
        <v>#DIV/0!</v>
      </c>
      <c r="H46" s="23">
        <f t="shared" si="1"/>
        <v>0</v>
      </c>
      <c r="I46" s="14" t="e">
        <f t="shared" si="11"/>
        <v>#N/A</v>
      </c>
      <c r="J46" s="45" t="e">
        <f t="shared" si="2"/>
        <v>#N/A</v>
      </c>
      <c r="K46" s="45" t="e">
        <f t="shared" si="3"/>
        <v>#DIV/0!</v>
      </c>
      <c r="L46" s="45" t="e">
        <f t="shared" si="4"/>
        <v>#N/A</v>
      </c>
      <c r="M46" s="23">
        <f t="shared" si="5"/>
        <v>0</v>
      </c>
      <c r="N46" s="23">
        <f t="shared" si="6"/>
        <v>0</v>
      </c>
      <c r="O46" s="23">
        <f t="shared" si="7"/>
        <v>0</v>
      </c>
      <c r="P46" s="23">
        <f t="shared" si="8"/>
        <v>0</v>
      </c>
      <c r="Q46" s="23">
        <f t="shared" si="9"/>
        <v>0</v>
      </c>
      <c r="R46" s="23">
        <f t="shared" si="10"/>
        <v>0</v>
      </c>
    </row>
    <row r="47" spans="1:26" ht="14.25" customHeight="1" x14ac:dyDescent="0.25">
      <c r="B47" s="17">
        <v>5</v>
      </c>
      <c r="C47" s="41"/>
      <c r="D47" s="41"/>
      <c r="E47" s="41"/>
      <c r="F47" s="41"/>
      <c r="G47" s="23" t="e">
        <f t="shared" si="0"/>
        <v>#DIV/0!</v>
      </c>
      <c r="H47" s="23">
        <f t="shared" si="1"/>
        <v>0</v>
      </c>
      <c r="I47" s="14" t="e">
        <f t="shared" si="11"/>
        <v>#N/A</v>
      </c>
      <c r="J47" s="45" t="e">
        <f t="shared" si="2"/>
        <v>#N/A</v>
      </c>
      <c r="K47" s="45" t="e">
        <f t="shared" si="3"/>
        <v>#DIV/0!</v>
      </c>
      <c r="L47" s="45" t="e">
        <f t="shared" si="4"/>
        <v>#N/A</v>
      </c>
      <c r="M47" s="23">
        <f t="shared" si="5"/>
        <v>0</v>
      </c>
      <c r="N47" s="23">
        <f t="shared" si="6"/>
        <v>0</v>
      </c>
      <c r="O47" s="23">
        <f t="shared" si="7"/>
        <v>0</v>
      </c>
      <c r="P47" s="23">
        <f t="shared" si="8"/>
        <v>0</v>
      </c>
      <c r="Q47" s="23">
        <f t="shared" si="9"/>
        <v>0</v>
      </c>
      <c r="R47" s="23">
        <f t="shared" si="10"/>
        <v>0</v>
      </c>
    </row>
    <row r="48" spans="1:26" ht="14.25" customHeight="1" x14ac:dyDescent="0.25">
      <c r="B48" s="17">
        <v>6</v>
      </c>
      <c r="C48" s="41"/>
      <c r="D48" s="41"/>
      <c r="E48" s="41"/>
      <c r="F48" s="41"/>
      <c r="G48" s="23" t="e">
        <f t="shared" si="0"/>
        <v>#DIV/0!</v>
      </c>
      <c r="H48" s="23">
        <f t="shared" si="1"/>
        <v>0</v>
      </c>
      <c r="I48" s="14" t="e">
        <f t="shared" si="11"/>
        <v>#N/A</v>
      </c>
      <c r="J48" s="45" t="e">
        <f t="shared" si="2"/>
        <v>#N/A</v>
      </c>
      <c r="K48" s="45" t="e">
        <f t="shared" si="3"/>
        <v>#DIV/0!</v>
      </c>
      <c r="L48" s="45" t="e">
        <f t="shared" si="4"/>
        <v>#N/A</v>
      </c>
      <c r="M48" s="23">
        <f t="shared" si="5"/>
        <v>0</v>
      </c>
      <c r="N48" s="23">
        <f t="shared" si="6"/>
        <v>0</v>
      </c>
      <c r="O48" s="23">
        <f t="shared" si="7"/>
        <v>0</v>
      </c>
      <c r="P48" s="23">
        <f t="shared" si="8"/>
        <v>0</v>
      </c>
      <c r="Q48" s="23">
        <f t="shared" si="9"/>
        <v>0</v>
      </c>
      <c r="R48" s="23">
        <f t="shared" si="10"/>
        <v>0</v>
      </c>
    </row>
    <row r="49" spans="2:18" ht="14.25" customHeight="1" x14ac:dyDescent="0.25">
      <c r="B49" s="17">
        <v>7</v>
      </c>
      <c r="C49" s="41"/>
      <c r="D49" s="41"/>
      <c r="E49" s="41"/>
      <c r="F49" s="41"/>
      <c r="G49" s="23" t="e">
        <f t="shared" si="0"/>
        <v>#DIV/0!</v>
      </c>
      <c r="H49" s="23">
        <f t="shared" si="1"/>
        <v>0</v>
      </c>
      <c r="I49" s="14" t="e">
        <f t="shared" si="11"/>
        <v>#N/A</v>
      </c>
      <c r="J49" s="45" t="e">
        <f t="shared" si="2"/>
        <v>#N/A</v>
      </c>
      <c r="K49" s="45" t="e">
        <f t="shared" si="3"/>
        <v>#DIV/0!</v>
      </c>
      <c r="L49" s="45" t="e">
        <f t="shared" si="4"/>
        <v>#N/A</v>
      </c>
      <c r="M49" s="23">
        <f t="shared" si="5"/>
        <v>0</v>
      </c>
      <c r="N49" s="23">
        <f t="shared" si="6"/>
        <v>0</v>
      </c>
      <c r="O49" s="23">
        <f t="shared" si="7"/>
        <v>0</v>
      </c>
      <c r="P49" s="23">
        <f t="shared" si="8"/>
        <v>0</v>
      </c>
      <c r="Q49" s="23">
        <f t="shared" si="9"/>
        <v>0</v>
      </c>
      <c r="R49" s="23">
        <f t="shared" si="10"/>
        <v>0</v>
      </c>
    </row>
    <row r="50" spans="2:18" ht="14.25" customHeight="1" x14ac:dyDescent="0.25">
      <c r="B50" s="17">
        <v>8</v>
      </c>
      <c r="C50" s="41"/>
      <c r="D50" s="41"/>
      <c r="E50" s="41"/>
      <c r="F50" s="41"/>
      <c r="G50" s="23" t="e">
        <f t="shared" si="0"/>
        <v>#DIV/0!</v>
      </c>
      <c r="H50" s="23">
        <f t="shared" si="1"/>
        <v>0</v>
      </c>
      <c r="I50" s="14" t="e">
        <f t="shared" si="11"/>
        <v>#N/A</v>
      </c>
      <c r="J50" s="45" t="e">
        <f t="shared" si="2"/>
        <v>#N/A</v>
      </c>
      <c r="K50" s="45" t="e">
        <f t="shared" si="3"/>
        <v>#DIV/0!</v>
      </c>
      <c r="L50" s="45" t="e">
        <f t="shared" si="4"/>
        <v>#N/A</v>
      </c>
      <c r="M50" s="23">
        <f t="shared" si="5"/>
        <v>0</v>
      </c>
      <c r="N50" s="23">
        <f t="shared" si="6"/>
        <v>0</v>
      </c>
      <c r="O50" s="23">
        <f t="shared" si="7"/>
        <v>0</v>
      </c>
      <c r="P50" s="23">
        <f t="shared" si="8"/>
        <v>0</v>
      </c>
      <c r="Q50" s="23">
        <f t="shared" si="9"/>
        <v>0</v>
      </c>
      <c r="R50" s="23">
        <f t="shared" si="10"/>
        <v>0</v>
      </c>
    </row>
    <row r="51" spans="2:18" ht="14.25" customHeight="1" x14ac:dyDescent="0.25">
      <c r="B51" s="17">
        <v>9</v>
      </c>
      <c r="C51" s="41"/>
      <c r="D51" s="41"/>
      <c r="E51" s="41"/>
      <c r="F51" s="41"/>
      <c r="G51" s="23" t="e">
        <f t="shared" si="0"/>
        <v>#DIV/0!</v>
      </c>
      <c r="H51" s="23">
        <f t="shared" si="1"/>
        <v>0</v>
      </c>
      <c r="I51" s="14" t="e">
        <f t="shared" si="11"/>
        <v>#N/A</v>
      </c>
      <c r="J51" s="45" t="e">
        <f t="shared" si="2"/>
        <v>#N/A</v>
      </c>
      <c r="K51" s="45" t="e">
        <f t="shared" si="3"/>
        <v>#DIV/0!</v>
      </c>
      <c r="L51" s="45" t="e">
        <f t="shared" si="4"/>
        <v>#N/A</v>
      </c>
      <c r="M51" s="23">
        <f t="shared" si="5"/>
        <v>0</v>
      </c>
      <c r="N51" s="23">
        <f t="shared" si="6"/>
        <v>0</v>
      </c>
      <c r="O51" s="23">
        <f t="shared" si="7"/>
        <v>0</v>
      </c>
      <c r="P51" s="23">
        <f t="shared" si="8"/>
        <v>0</v>
      </c>
      <c r="Q51" s="23">
        <f t="shared" si="9"/>
        <v>0</v>
      </c>
      <c r="R51" s="23">
        <f t="shared" si="10"/>
        <v>0</v>
      </c>
    </row>
    <row r="52" spans="2:18" ht="14.25" customHeight="1" x14ac:dyDescent="0.25">
      <c r="B52" s="17">
        <v>10</v>
      </c>
      <c r="C52" s="41"/>
      <c r="D52" s="41"/>
      <c r="E52" s="41"/>
      <c r="F52" s="41"/>
      <c r="G52" s="23" t="e">
        <f t="shared" si="0"/>
        <v>#DIV/0!</v>
      </c>
      <c r="H52" s="23">
        <f t="shared" si="1"/>
        <v>0</v>
      </c>
      <c r="I52" s="14" t="e">
        <f t="shared" si="11"/>
        <v>#N/A</v>
      </c>
      <c r="J52" s="45" t="e">
        <f t="shared" si="2"/>
        <v>#N/A</v>
      </c>
      <c r="K52" s="45" t="e">
        <f t="shared" si="3"/>
        <v>#DIV/0!</v>
      </c>
      <c r="L52" s="45" t="e">
        <f t="shared" si="4"/>
        <v>#N/A</v>
      </c>
      <c r="M52" s="23">
        <f t="shared" si="5"/>
        <v>0</v>
      </c>
      <c r="N52" s="23">
        <f t="shared" si="6"/>
        <v>0</v>
      </c>
      <c r="O52" s="23">
        <f t="shared" si="7"/>
        <v>0</v>
      </c>
      <c r="P52" s="23">
        <f t="shared" si="8"/>
        <v>0</v>
      </c>
      <c r="Q52" s="23">
        <f t="shared" si="9"/>
        <v>0</v>
      </c>
      <c r="R52" s="23">
        <f t="shared" si="10"/>
        <v>0</v>
      </c>
    </row>
    <row r="53" spans="2:18" ht="14.25" customHeight="1" x14ac:dyDescent="0.25">
      <c r="B53" s="17">
        <v>11</v>
      </c>
      <c r="C53" s="41"/>
      <c r="D53" s="41"/>
      <c r="E53" s="41"/>
      <c r="F53" s="41"/>
      <c r="G53" s="23" t="e">
        <f t="shared" si="0"/>
        <v>#DIV/0!</v>
      </c>
      <c r="H53" s="23">
        <f t="shared" si="1"/>
        <v>0</v>
      </c>
      <c r="I53" s="14" t="e">
        <f t="shared" si="11"/>
        <v>#N/A</v>
      </c>
      <c r="J53" s="45" t="e">
        <f t="shared" si="2"/>
        <v>#N/A</v>
      </c>
      <c r="K53" s="45" t="e">
        <f t="shared" si="3"/>
        <v>#DIV/0!</v>
      </c>
      <c r="L53" s="45" t="e">
        <f t="shared" si="4"/>
        <v>#N/A</v>
      </c>
      <c r="M53" s="23">
        <f t="shared" si="5"/>
        <v>0</v>
      </c>
      <c r="N53" s="23">
        <f t="shared" si="6"/>
        <v>0</v>
      </c>
      <c r="O53" s="23">
        <f t="shared" si="7"/>
        <v>0</v>
      </c>
      <c r="P53" s="23">
        <f t="shared" si="8"/>
        <v>0</v>
      </c>
      <c r="Q53" s="23">
        <f t="shared" si="9"/>
        <v>0</v>
      </c>
      <c r="R53" s="23">
        <f t="shared" si="10"/>
        <v>0</v>
      </c>
    </row>
    <row r="54" spans="2:18" ht="14.25" customHeight="1" x14ac:dyDescent="0.25">
      <c r="B54" s="17">
        <v>12</v>
      </c>
      <c r="C54" s="41"/>
      <c r="D54" s="41"/>
      <c r="E54" s="41"/>
      <c r="F54" s="41"/>
      <c r="G54" s="23" t="e">
        <f t="shared" si="0"/>
        <v>#DIV/0!</v>
      </c>
      <c r="H54" s="23">
        <f t="shared" si="1"/>
        <v>0</v>
      </c>
      <c r="I54" s="14" t="e">
        <f t="shared" si="11"/>
        <v>#N/A</v>
      </c>
      <c r="J54" s="45" t="e">
        <f t="shared" si="2"/>
        <v>#N/A</v>
      </c>
      <c r="K54" s="45" t="e">
        <f t="shared" si="3"/>
        <v>#DIV/0!</v>
      </c>
      <c r="L54" s="45" t="e">
        <f t="shared" si="4"/>
        <v>#N/A</v>
      </c>
      <c r="M54" s="23">
        <f t="shared" si="5"/>
        <v>0</v>
      </c>
      <c r="N54" s="23">
        <f t="shared" si="6"/>
        <v>0</v>
      </c>
      <c r="O54" s="23">
        <f t="shared" si="7"/>
        <v>0</v>
      </c>
      <c r="P54" s="23">
        <f t="shared" si="8"/>
        <v>0</v>
      </c>
      <c r="Q54" s="23">
        <f t="shared" si="9"/>
        <v>0</v>
      </c>
      <c r="R54" s="23">
        <f t="shared" si="10"/>
        <v>0</v>
      </c>
    </row>
    <row r="55" spans="2:18" ht="14.25" customHeight="1" x14ac:dyDescent="0.25">
      <c r="B55" s="17">
        <v>13</v>
      </c>
      <c r="C55" s="41"/>
      <c r="D55" s="41"/>
      <c r="E55" s="41"/>
      <c r="F55" s="41"/>
      <c r="G55" s="23" t="e">
        <f t="shared" si="0"/>
        <v>#DIV/0!</v>
      </c>
      <c r="H55" s="23">
        <f t="shared" si="1"/>
        <v>0</v>
      </c>
      <c r="I55" s="14" t="e">
        <f t="shared" si="11"/>
        <v>#N/A</v>
      </c>
      <c r="J55" s="45" t="e">
        <f t="shared" si="2"/>
        <v>#N/A</v>
      </c>
      <c r="K55" s="45" t="e">
        <f t="shared" si="3"/>
        <v>#DIV/0!</v>
      </c>
      <c r="L55" s="45" t="e">
        <f t="shared" si="4"/>
        <v>#N/A</v>
      </c>
      <c r="M55" s="23">
        <f t="shared" si="5"/>
        <v>0</v>
      </c>
      <c r="N55" s="23">
        <f t="shared" si="6"/>
        <v>0</v>
      </c>
      <c r="O55" s="23">
        <f t="shared" si="7"/>
        <v>0</v>
      </c>
      <c r="P55" s="23">
        <f t="shared" si="8"/>
        <v>0</v>
      </c>
      <c r="Q55" s="23">
        <f t="shared" si="9"/>
        <v>0</v>
      </c>
      <c r="R55" s="23">
        <f t="shared" si="10"/>
        <v>0</v>
      </c>
    </row>
    <row r="56" spans="2:18" ht="14.25" customHeight="1" x14ac:dyDescent="0.25">
      <c r="B56" s="17">
        <v>14</v>
      </c>
      <c r="C56" s="41"/>
      <c r="D56" s="41"/>
      <c r="E56" s="41"/>
      <c r="F56" s="41"/>
      <c r="G56" s="23" t="e">
        <f t="shared" si="0"/>
        <v>#DIV/0!</v>
      </c>
      <c r="H56" s="23">
        <f t="shared" si="1"/>
        <v>0</v>
      </c>
      <c r="I56" s="14" t="e">
        <f t="shared" si="11"/>
        <v>#N/A</v>
      </c>
      <c r="J56" s="45" t="e">
        <f t="shared" si="2"/>
        <v>#N/A</v>
      </c>
      <c r="K56" s="45" t="e">
        <f t="shared" si="3"/>
        <v>#DIV/0!</v>
      </c>
      <c r="L56" s="45" t="e">
        <f t="shared" si="4"/>
        <v>#N/A</v>
      </c>
      <c r="M56" s="23">
        <f t="shared" si="5"/>
        <v>0</v>
      </c>
      <c r="N56" s="23">
        <f t="shared" si="6"/>
        <v>0</v>
      </c>
      <c r="O56" s="23">
        <f t="shared" si="7"/>
        <v>0</v>
      </c>
      <c r="P56" s="23">
        <f t="shared" si="8"/>
        <v>0</v>
      </c>
      <c r="Q56" s="23">
        <f t="shared" si="9"/>
        <v>0</v>
      </c>
      <c r="R56" s="23">
        <f t="shared" si="10"/>
        <v>0</v>
      </c>
    </row>
    <row r="57" spans="2:18" ht="14.25" customHeight="1" x14ac:dyDescent="0.25">
      <c r="B57" s="17">
        <v>15</v>
      </c>
      <c r="C57" s="41"/>
      <c r="D57" s="41"/>
      <c r="E57" s="41"/>
      <c r="F57" s="41"/>
      <c r="G57" s="23" t="e">
        <f t="shared" si="0"/>
        <v>#DIV/0!</v>
      </c>
      <c r="H57" s="23">
        <f t="shared" si="1"/>
        <v>0</v>
      </c>
      <c r="I57" s="14" t="e">
        <f t="shared" si="11"/>
        <v>#N/A</v>
      </c>
      <c r="J57" s="45" t="e">
        <f t="shared" si="2"/>
        <v>#N/A</v>
      </c>
      <c r="K57" s="45" t="e">
        <f t="shared" si="3"/>
        <v>#DIV/0!</v>
      </c>
      <c r="L57" s="45" t="e">
        <f t="shared" si="4"/>
        <v>#N/A</v>
      </c>
      <c r="M57" s="23">
        <f t="shared" si="5"/>
        <v>0</v>
      </c>
      <c r="N57" s="23">
        <f t="shared" si="6"/>
        <v>0</v>
      </c>
      <c r="O57" s="23">
        <f t="shared" si="7"/>
        <v>0</v>
      </c>
      <c r="P57" s="23">
        <f t="shared" si="8"/>
        <v>0</v>
      </c>
      <c r="Q57" s="23">
        <f t="shared" si="9"/>
        <v>0</v>
      </c>
      <c r="R57" s="23">
        <f t="shared" si="10"/>
        <v>0</v>
      </c>
    </row>
    <row r="58" spans="2:18" ht="14.25" customHeight="1" x14ac:dyDescent="0.25">
      <c r="B58" s="17">
        <v>16</v>
      </c>
      <c r="C58" s="41"/>
      <c r="D58" s="41"/>
      <c r="E58" s="41"/>
      <c r="F58" s="41"/>
      <c r="G58" s="23" t="e">
        <f t="shared" si="0"/>
        <v>#DIV/0!</v>
      </c>
      <c r="H58" s="23">
        <f t="shared" si="1"/>
        <v>0</v>
      </c>
      <c r="I58" s="14" t="e">
        <f t="shared" si="11"/>
        <v>#N/A</v>
      </c>
      <c r="J58" s="45" t="e">
        <f t="shared" si="2"/>
        <v>#N/A</v>
      </c>
      <c r="K58" s="45" t="e">
        <f t="shared" si="3"/>
        <v>#DIV/0!</v>
      </c>
      <c r="L58" s="45" t="e">
        <f t="shared" si="4"/>
        <v>#N/A</v>
      </c>
      <c r="M58" s="23">
        <f t="shared" si="5"/>
        <v>0</v>
      </c>
      <c r="N58" s="23">
        <f t="shared" si="6"/>
        <v>0</v>
      </c>
      <c r="O58" s="23">
        <f t="shared" si="7"/>
        <v>0</v>
      </c>
      <c r="P58" s="23">
        <f t="shared" si="8"/>
        <v>0</v>
      </c>
      <c r="Q58" s="23">
        <f t="shared" si="9"/>
        <v>0</v>
      </c>
      <c r="R58" s="23">
        <f t="shared" si="10"/>
        <v>0</v>
      </c>
    </row>
    <row r="59" spans="2:18" ht="14.25" customHeight="1" x14ac:dyDescent="0.25">
      <c r="B59" s="17">
        <v>17</v>
      </c>
      <c r="C59" s="41"/>
      <c r="D59" s="41"/>
      <c r="E59" s="41"/>
      <c r="F59" s="41"/>
      <c r="G59" s="23" t="e">
        <f t="shared" si="0"/>
        <v>#DIV/0!</v>
      </c>
      <c r="H59" s="23">
        <f t="shared" si="1"/>
        <v>0</v>
      </c>
      <c r="I59" s="14" t="e">
        <f t="shared" si="11"/>
        <v>#N/A</v>
      </c>
      <c r="J59" s="45" t="e">
        <f t="shared" si="2"/>
        <v>#N/A</v>
      </c>
      <c r="K59" s="45" t="e">
        <f t="shared" si="3"/>
        <v>#DIV/0!</v>
      </c>
      <c r="L59" s="45" t="e">
        <f t="shared" si="4"/>
        <v>#N/A</v>
      </c>
      <c r="M59" s="23">
        <f t="shared" si="5"/>
        <v>0</v>
      </c>
      <c r="N59" s="23">
        <f t="shared" si="6"/>
        <v>0</v>
      </c>
      <c r="O59" s="23">
        <f t="shared" si="7"/>
        <v>0</v>
      </c>
      <c r="P59" s="23">
        <f t="shared" si="8"/>
        <v>0</v>
      </c>
      <c r="Q59" s="23">
        <f t="shared" si="9"/>
        <v>0</v>
      </c>
      <c r="R59" s="23">
        <f t="shared" si="10"/>
        <v>0</v>
      </c>
    </row>
    <row r="60" spans="2:18" ht="14.25" customHeight="1" x14ac:dyDescent="0.25">
      <c r="B60" s="17">
        <v>18</v>
      </c>
      <c r="C60" s="41"/>
      <c r="D60" s="41"/>
      <c r="E60" s="41"/>
      <c r="F60" s="41"/>
      <c r="G60" s="23" t="e">
        <f t="shared" si="0"/>
        <v>#DIV/0!</v>
      </c>
      <c r="H60" s="23">
        <f t="shared" si="1"/>
        <v>0</v>
      </c>
      <c r="I60" s="14" t="e">
        <f t="shared" si="11"/>
        <v>#N/A</v>
      </c>
      <c r="J60" s="45" t="e">
        <f t="shared" si="2"/>
        <v>#N/A</v>
      </c>
      <c r="K60" s="45" t="e">
        <f t="shared" si="3"/>
        <v>#DIV/0!</v>
      </c>
      <c r="L60" s="45" t="e">
        <f t="shared" si="4"/>
        <v>#N/A</v>
      </c>
      <c r="M60" s="23">
        <f t="shared" si="5"/>
        <v>0</v>
      </c>
      <c r="N60" s="23">
        <f t="shared" si="6"/>
        <v>0</v>
      </c>
      <c r="O60" s="23">
        <f t="shared" si="7"/>
        <v>0</v>
      </c>
      <c r="P60" s="23">
        <f t="shared" si="8"/>
        <v>0</v>
      </c>
      <c r="Q60" s="23">
        <f t="shared" si="9"/>
        <v>0</v>
      </c>
      <c r="R60" s="23">
        <f t="shared" si="10"/>
        <v>0</v>
      </c>
    </row>
    <row r="61" spans="2:18" ht="14.25" customHeight="1" x14ac:dyDescent="0.25">
      <c r="B61" s="17">
        <v>19</v>
      </c>
      <c r="C61" s="41"/>
      <c r="D61" s="41"/>
      <c r="E61" s="41"/>
      <c r="F61" s="41"/>
      <c r="G61" s="23" t="e">
        <f t="shared" si="0"/>
        <v>#DIV/0!</v>
      </c>
      <c r="H61" s="23">
        <f t="shared" si="1"/>
        <v>0</v>
      </c>
      <c r="I61" s="14" t="e">
        <f t="shared" si="11"/>
        <v>#N/A</v>
      </c>
      <c r="J61" s="45" t="e">
        <f t="shared" si="2"/>
        <v>#N/A</v>
      </c>
      <c r="K61" s="45" t="e">
        <f t="shared" si="3"/>
        <v>#DIV/0!</v>
      </c>
      <c r="L61" s="45" t="e">
        <f t="shared" si="4"/>
        <v>#N/A</v>
      </c>
      <c r="M61" s="23">
        <f t="shared" si="5"/>
        <v>0</v>
      </c>
      <c r="N61" s="23">
        <f t="shared" si="6"/>
        <v>0</v>
      </c>
      <c r="O61" s="23">
        <f t="shared" si="7"/>
        <v>0</v>
      </c>
      <c r="P61" s="23">
        <f t="shared" si="8"/>
        <v>0</v>
      </c>
      <c r="Q61" s="23">
        <f t="shared" si="9"/>
        <v>0</v>
      </c>
      <c r="R61" s="23">
        <f t="shared" si="10"/>
        <v>0</v>
      </c>
    </row>
    <row r="62" spans="2:18" ht="14.25" customHeight="1" x14ac:dyDescent="0.25">
      <c r="B62" s="17">
        <v>20</v>
      </c>
      <c r="C62" s="41"/>
      <c r="D62" s="41"/>
      <c r="E62" s="41"/>
      <c r="F62" s="41"/>
      <c r="G62" s="23" t="e">
        <f t="shared" si="0"/>
        <v>#DIV/0!</v>
      </c>
      <c r="H62" s="23">
        <f t="shared" si="1"/>
        <v>0</v>
      </c>
      <c r="I62" s="14" t="e">
        <f t="shared" si="11"/>
        <v>#N/A</v>
      </c>
      <c r="J62" s="45" t="e">
        <f t="shared" si="2"/>
        <v>#N/A</v>
      </c>
      <c r="K62" s="45" t="e">
        <f t="shared" si="3"/>
        <v>#DIV/0!</v>
      </c>
      <c r="L62" s="45" t="e">
        <f t="shared" si="4"/>
        <v>#N/A</v>
      </c>
      <c r="M62" s="23">
        <f t="shared" si="5"/>
        <v>0</v>
      </c>
      <c r="N62" s="23">
        <f t="shared" si="6"/>
        <v>0</v>
      </c>
      <c r="O62" s="23">
        <f t="shared" si="7"/>
        <v>0</v>
      </c>
      <c r="P62" s="23">
        <f t="shared" si="8"/>
        <v>0</v>
      </c>
      <c r="Q62" s="23">
        <f t="shared" si="9"/>
        <v>0</v>
      </c>
      <c r="R62" s="23">
        <f t="shared" si="10"/>
        <v>0</v>
      </c>
    </row>
    <row r="63" spans="2:18" ht="14.25" customHeight="1" x14ac:dyDescent="0.25">
      <c r="B63" s="42"/>
      <c r="C63" s="42"/>
      <c r="D63" s="42"/>
      <c r="E63" s="42"/>
      <c r="F63" s="42"/>
      <c r="G63" s="42"/>
      <c r="H63" s="42"/>
      <c r="I63" s="42"/>
      <c r="J63" s="42"/>
      <c r="K63" s="42"/>
      <c r="L63" s="42"/>
      <c r="M63" s="42"/>
      <c r="N63" s="42"/>
      <c r="O63" s="42"/>
      <c r="P63" s="42"/>
      <c r="Q63" s="42"/>
      <c r="R63" s="42"/>
    </row>
    <row r="64" spans="2:18"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6">
    <mergeCell ref="D42:F42"/>
    <mergeCell ref="C2:H2"/>
    <mergeCell ref="B20:R21"/>
    <mergeCell ref="B22:B40"/>
    <mergeCell ref="E24:E27"/>
    <mergeCell ref="E28:E31"/>
  </mergeCells>
  <conditionalFormatting sqref="K43:K62">
    <cfRule type="cellIs" dxfId="2" priority="1" operator="notBetween">
      <formula>$Q$43</formula>
      <formula>$R$43</formula>
    </cfRule>
  </conditionalFormatting>
  <conditionalFormatting sqref="L43:L62">
    <cfRule type="cellIs" dxfId="1" priority="2" operator="notBetween">
      <formula>$N$43</formula>
      <formula>$O$43</formula>
    </cfRule>
  </conditionalFormatting>
  <pageMargins left="0.7" right="0.7" top="0.75" bottom="0.75" header="0" footer="0"/>
  <pageSetup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4472C4"/>
  </sheetPr>
  <dimension ref="A1:Z1000"/>
  <sheetViews>
    <sheetView showGridLines="0" zoomScale="92" zoomScaleNormal="92" workbookViewId="0">
      <selection activeCell="L2" sqref="L2:Q2"/>
    </sheetView>
  </sheetViews>
  <sheetFormatPr defaultColWidth="14.42578125" defaultRowHeight="15" customHeight="1" x14ac:dyDescent="0.25"/>
  <cols>
    <col min="1" max="9" width="12.5703125" customWidth="1"/>
    <col min="10" max="10" width="8.7109375" customWidth="1"/>
    <col min="11" max="19" width="12.42578125" customWidth="1"/>
    <col min="20" max="26" width="12.5703125" customWidth="1"/>
  </cols>
  <sheetData>
    <row r="1" spans="11:17" ht="14.25" customHeight="1" x14ac:dyDescent="0.25"/>
    <row r="2" spans="11:17" ht="14.25" customHeight="1" x14ac:dyDescent="0.25">
      <c r="K2" s="1" t="s">
        <v>84</v>
      </c>
      <c r="L2" s="146"/>
      <c r="M2" s="147"/>
      <c r="N2" s="147"/>
      <c r="O2" s="147"/>
      <c r="P2" s="147"/>
      <c r="Q2" s="147"/>
    </row>
    <row r="3" spans="11:17" ht="14.25" customHeight="1" x14ac:dyDescent="0.25"/>
    <row r="4" spans="11:17" ht="14.25" customHeight="1" x14ac:dyDescent="0.25"/>
    <row r="5" spans="11:17" ht="14.25" customHeight="1" x14ac:dyDescent="0.25"/>
    <row r="6" spans="11:17" ht="14.25" customHeight="1" x14ac:dyDescent="0.25"/>
    <row r="7" spans="11:17" ht="14.25" customHeight="1" x14ac:dyDescent="0.25"/>
    <row r="8" spans="11:17" ht="14.25" customHeight="1" x14ac:dyDescent="0.25"/>
    <row r="9" spans="11:17" ht="14.25" customHeight="1" x14ac:dyDescent="0.25"/>
    <row r="10" spans="11:17" ht="14.25" customHeight="1" x14ac:dyDescent="0.25"/>
    <row r="11" spans="11:17" ht="14.25" customHeight="1" x14ac:dyDescent="0.25"/>
    <row r="12" spans="11:17" ht="14.25" customHeight="1" x14ac:dyDescent="0.25"/>
    <row r="13" spans="11:17" ht="14.25" customHeight="1" x14ac:dyDescent="0.25"/>
    <row r="14" spans="11:17" ht="14.25" customHeight="1" x14ac:dyDescent="0.25"/>
    <row r="15" spans="11:17" ht="14.25" customHeight="1" x14ac:dyDescent="0.25"/>
    <row r="16" spans="11:17" ht="14.25" customHeight="1" x14ac:dyDescent="0.25"/>
    <row r="17" spans="11:19" ht="14.25" customHeight="1" x14ac:dyDescent="0.25"/>
    <row r="18" spans="11:19" ht="14.25" customHeight="1" x14ac:dyDescent="0.25"/>
    <row r="19" spans="11:19" ht="14.25" customHeight="1" x14ac:dyDescent="0.25"/>
    <row r="20" spans="11:19" ht="14.25" customHeight="1" x14ac:dyDescent="0.25">
      <c r="K20" s="150" t="s">
        <v>231</v>
      </c>
      <c r="L20" s="151"/>
      <c r="M20" s="151"/>
      <c r="N20" s="151"/>
      <c r="O20" s="151"/>
      <c r="P20" s="151"/>
      <c r="Q20" s="151"/>
      <c r="R20" s="151"/>
      <c r="S20" s="151"/>
    </row>
    <row r="21" spans="11:19" ht="14.25" customHeight="1" x14ac:dyDescent="0.25">
      <c r="K21" s="147"/>
      <c r="L21" s="147"/>
      <c r="M21" s="147"/>
      <c r="N21" s="147"/>
      <c r="O21" s="147"/>
      <c r="P21" s="147"/>
      <c r="Q21" s="147"/>
      <c r="R21" s="147"/>
      <c r="S21" s="147"/>
    </row>
    <row r="22" spans="11:19" ht="14.25" customHeight="1" x14ac:dyDescent="0.25">
      <c r="K22" s="152" t="s">
        <v>112</v>
      </c>
      <c r="L22" s="32" t="s">
        <v>232</v>
      </c>
      <c r="M22" s="33"/>
      <c r="N22" s="32"/>
      <c r="O22" s="32"/>
      <c r="P22" s="32"/>
      <c r="Q22" s="34"/>
      <c r="R22" s="34"/>
      <c r="S22" s="34"/>
    </row>
    <row r="23" spans="11:19" ht="14.25" customHeight="1" x14ac:dyDescent="0.25">
      <c r="K23" s="113"/>
      <c r="L23" s="17" t="s">
        <v>113</v>
      </c>
      <c r="M23" s="35"/>
      <c r="N23" s="17"/>
      <c r="O23" s="17"/>
      <c r="P23" s="17"/>
      <c r="Q23" s="14"/>
      <c r="R23" s="14"/>
      <c r="S23" s="14"/>
    </row>
    <row r="24" spans="11:19" ht="14.25" customHeight="1" x14ac:dyDescent="0.25">
      <c r="K24" s="113"/>
      <c r="L24" s="17" t="s">
        <v>54</v>
      </c>
      <c r="M24" s="35"/>
      <c r="N24" s="17"/>
      <c r="O24" s="17"/>
      <c r="P24" s="17"/>
      <c r="Q24" s="14"/>
      <c r="R24" s="14"/>
      <c r="S24" s="14"/>
    </row>
    <row r="25" spans="11:19" ht="14.25" customHeight="1" x14ac:dyDescent="0.25">
      <c r="K25" s="113"/>
      <c r="L25" s="17" t="s">
        <v>233</v>
      </c>
      <c r="M25" s="101">
        <v>1E-3</v>
      </c>
      <c r="N25" s="17"/>
      <c r="O25" s="17"/>
      <c r="P25" s="17"/>
      <c r="Q25" s="14"/>
      <c r="R25" s="14"/>
      <c r="S25" s="14"/>
    </row>
    <row r="26" spans="11:19" ht="14.25" customHeight="1" x14ac:dyDescent="0.25">
      <c r="K26" s="113"/>
      <c r="L26" s="17" t="s">
        <v>234</v>
      </c>
      <c r="M26" s="60"/>
      <c r="R26" s="14"/>
      <c r="S26" s="14"/>
    </row>
    <row r="27" spans="11:19" ht="14.25" customHeight="1" x14ac:dyDescent="0.25">
      <c r="K27" s="113"/>
      <c r="L27" s="17" t="s">
        <v>235</v>
      </c>
      <c r="M27" s="60"/>
      <c r="N27" s="17"/>
      <c r="O27" s="17"/>
      <c r="P27" s="17"/>
      <c r="Q27" s="14"/>
      <c r="R27" s="14"/>
      <c r="S27" s="14"/>
    </row>
    <row r="28" spans="11:19" ht="14.25" customHeight="1" x14ac:dyDescent="0.25">
      <c r="K28" s="113"/>
      <c r="L28" s="17" t="s">
        <v>236</v>
      </c>
      <c r="M28" s="60"/>
      <c r="N28" s="17"/>
      <c r="O28" s="17"/>
      <c r="P28" s="17"/>
      <c r="Q28" s="14"/>
      <c r="R28" s="14"/>
      <c r="S28" s="14"/>
    </row>
    <row r="29" spans="11:19" ht="14.25" customHeight="1" x14ac:dyDescent="0.25">
      <c r="K29" s="113"/>
      <c r="L29" s="17" t="s">
        <v>237</v>
      </c>
      <c r="M29" s="60"/>
      <c r="N29" s="17"/>
      <c r="O29" s="17"/>
      <c r="P29" s="17"/>
      <c r="Q29" s="14"/>
      <c r="R29" s="14"/>
      <c r="S29" s="14"/>
    </row>
    <row r="30" spans="11:19" ht="14.25" customHeight="1" x14ac:dyDescent="0.25">
      <c r="K30" s="113"/>
      <c r="L30" s="17" t="s">
        <v>238</v>
      </c>
      <c r="M30" s="60"/>
      <c r="N30" s="17"/>
      <c r="O30" s="17"/>
      <c r="P30" s="17"/>
      <c r="Q30" s="14"/>
      <c r="R30" s="14"/>
      <c r="S30" s="14"/>
    </row>
    <row r="31" spans="11:19" ht="14.25" customHeight="1" x14ac:dyDescent="0.25">
      <c r="K31" s="113"/>
      <c r="L31" s="17" t="s">
        <v>239</v>
      </c>
      <c r="M31" s="45" t="e">
        <f>_xlfn.F.INV.RT(M25,M22,M23*M24-M23-M22+1)</f>
        <v>#NUM!</v>
      </c>
      <c r="N31" s="17"/>
      <c r="O31" s="17"/>
      <c r="P31" s="17"/>
      <c r="Q31" s="14"/>
      <c r="R31" s="14"/>
      <c r="S31" s="14"/>
    </row>
    <row r="32" spans="11:19" ht="14.25" customHeight="1" x14ac:dyDescent="0.25">
      <c r="K32" s="113"/>
      <c r="L32" s="17" t="s">
        <v>240</v>
      </c>
      <c r="M32" s="45" t="e">
        <f>(M22*(M23-1)*(M24-1))/(M23*M24-M23-M22+1)*M31</f>
        <v>#NUM!</v>
      </c>
      <c r="N32" s="17"/>
      <c r="O32" s="17"/>
      <c r="P32" s="17"/>
      <c r="Q32" s="14"/>
      <c r="R32" s="14"/>
      <c r="S32" s="14"/>
    </row>
    <row r="33" spans="1:26" ht="14.25" customHeight="1" x14ac:dyDescent="0.25">
      <c r="K33" s="113"/>
      <c r="L33" s="17" t="s">
        <v>241</v>
      </c>
      <c r="M33" s="45" t="e">
        <f>(M22*(M23+1)*(M24-1))/(M23*M24-M23-M22+1)*M31</f>
        <v>#NUM!</v>
      </c>
      <c r="N33" s="17"/>
      <c r="O33" s="17"/>
      <c r="P33" s="17"/>
      <c r="Q33" s="14"/>
      <c r="R33" s="14"/>
      <c r="S33" s="14"/>
    </row>
    <row r="34" spans="1:26" ht="14.25" customHeight="1" x14ac:dyDescent="0.25">
      <c r="K34" s="147"/>
      <c r="L34" s="38" t="s">
        <v>222</v>
      </c>
      <c r="M34" s="59">
        <v>0</v>
      </c>
      <c r="N34" s="38"/>
      <c r="O34" s="38"/>
      <c r="P34" s="38"/>
      <c r="Q34" s="56"/>
      <c r="R34" s="56"/>
      <c r="S34" s="56"/>
    </row>
    <row r="35" spans="1:26" ht="14.25" customHeight="1" x14ac:dyDescent="0.25">
      <c r="K35" s="17"/>
      <c r="L35" s="17"/>
      <c r="M35" s="17"/>
      <c r="N35" s="17"/>
      <c r="O35" s="17"/>
      <c r="P35" s="17"/>
      <c r="Q35" s="17"/>
      <c r="R35" s="17"/>
      <c r="S35" s="17"/>
    </row>
    <row r="36" spans="1:26" ht="14.25" customHeight="1" x14ac:dyDescent="0.25">
      <c r="A36" s="19" t="s">
        <v>242</v>
      </c>
      <c r="B36" s="138" t="s">
        <v>243</v>
      </c>
      <c r="C36" s="139"/>
      <c r="D36" s="139"/>
      <c r="E36" s="139"/>
      <c r="F36" s="138" t="s">
        <v>244</v>
      </c>
      <c r="G36" s="139"/>
      <c r="H36" s="139"/>
      <c r="I36" s="139"/>
      <c r="J36" s="16"/>
      <c r="K36" s="19" t="s">
        <v>242</v>
      </c>
      <c r="L36" s="19" t="s">
        <v>245</v>
      </c>
      <c r="M36" s="19" t="s">
        <v>246</v>
      </c>
      <c r="N36" s="19" t="s">
        <v>247</v>
      </c>
      <c r="O36" s="19" t="s">
        <v>248</v>
      </c>
      <c r="P36" s="19" t="s">
        <v>249</v>
      </c>
      <c r="Q36" s="20" t="s">
        <v>250</v>
      </c>
      <c r="R36" s="19" t="s">
        <v>221</v>
      </c>
      <c r="S36" s="57" t="s">
        <v>222</v>
      </c>
      <c r="T36" s="16"/>
      <c r="U36" s="16"/>
      <c r="V36" s="16"/>
      <c r="W36" s="16"/>
      <c r="X36" s="16"/>
      <c r="Y36" s="16"/>
      <c r="Z36" s="16"/>
    </row>
    <row r="37" spans="1:26" ht="14.25" customHeight="1" x14ac:dyDescent="0.25">
      <c r="A37" s="93">
        <v>1</v>
      </c>
      <c r="B37" s="99"/>
      <c r="C37" s="99"/>
      <c r="D37" s="99"/>
      <c r="E37" s="99"/>
      <c r="F37" s="99"/>
      <c r="G37" s="99"/>
      <c r="H37" s="99"/>
      <c r="I37" s="99"/>
      <c r="K37" s="17">
        <v>1</v>
      </c>
      <c r="L37" s="41"/>
      <c r="M37" s="41"/>
      <c r="N37" s="41"/>
      <c r="O37" s="41"/>
      <c r="P37" s="85"/>
      <c r="Q37" s="23" t="e">
        <f>($M$24/($M$28*$M$29-$M$30^2))*($M$29*(L37-$M$26)^2+$M$28*(M37-$M$27)^2-2*$M$30*(L37-$M$26)*(M37-$M$27))</f>
        <v>#DIV/0!</v>
      </c>
      <c r="R37" s="23" t="e">
        <f>$M$32</f>
        <v>#NUM!</v>
      </c>
      <c r="S37" s="23">
        <f>$M$34</f>
        <v>0</v>
      </c>
    </row>
    <row r="38" spans="1:26" ht="14.25" customHeight="1" x14ac:dyDescent="0.25">
      <c r="A38" s="93">
        <v>2</v>
      </c>
      <c r="B38" s="99"/>
      <c r="C38" s="99"/>
      <c r="D38" s="99"/>
      <c r="E38" s="99"/>
      <c r="F38" s="99"/>
      <c r="G38" s="99"/>
      <c r="H38" s="99"/>
      <c r="I38" s="99"/>
      <c r="K38" s="17">
        <v>2</v>
      </c>
      <c r="L38" s="41"/>
      <c r="M38" s="41"/>
      <c r="N38" s="41"/>
      <c r="O38" s="41"/>
      <c r="P38" s="85"/>
      <c r="Q38" s="23" t="e">
        <f t="shared" ref="Q38:Q56" si="0">($M$24/($M$28*$M$29-$M$30^2))*($M$29*(L38-$M$26)^2+$M$28*(M38-$M$27)^2-2*$M$30*(L38-$M$26)*(M38-$M$27))</f>
        <v>#DIV/0!</v>
      </c>
      <c r="R38" s="23" t="e">
        <f t="shared" ref="R38:R56" si="1">$M$32</f>
        <v>#NUM!</v>
      </c>
      <c r="S38" s="23">
        <f t="shared" ref="S38:S56" si="2">$M$34</f>
        <v>0</v>
      </c>
    </row>
    <row r="39" spans="1:26" ht="14.25" customHeight="1" x14ac:dyDescent="0.25">
      <c r="A39" s="93">
        <v>3</v>
      </c>
      <c r="B39" s="99"/>
      <c r="C39" s="99"/>
      <c r="D39" s="99"/>
      <c r="E39" s="99"/>
      <c r="F39" s="99"/>
      <c r="G39" s="99"/>
      <c r="H39" s="99"/>
      <c r="I39" s="99"/>
      <c r="K39" s="17">
        <v>3</v>
      </c>
      <c r="L39" s="41"/>
      <c r="M39" s="41"/>
      <c r="N39" s="41"/>
      <c r="O39" s="41"/>
      <c r="P39" s="85"/>
      <c r="Q39" s="23" t="e">
        <f t="shared" si="0"/>
        <v>#DIV/0!</v>
      </c>
      <c r="R39" s="23" t="e">
        <f t="shared" si="1"/>
        <v>#NUM!</v>
      </c>
      <c r="S39" s="23">
        <f t="shared" si="2"/>
        <v>0</v>
      </c>
    </row>
    <row r="40" spans="1:26" ht="14.25" customHeight="1" x14ac:dyDescent="0.25">
      <c r="A40" s="93">
        <v>4</v>
      </c>
      <c r="B40" s="99"/>
      <c r="C40" s="99"/>
      <c r="D40" s="99"/>
      <c r="E40" s="99"/>
      <c r="F40" s="99"/>
      <c r="G40" s="99"/>
      <c r="H40" s="99"/>
      <c r="I40" s="99"/>
      <c r="K40" s="17">
        <v>4</v>
      </c>
      <c r="L40" s="41"/>
      <c r="M40" s="41"/>
      <c r="N40" s="41"/>
      <c r="O40" s="41"/>
      <c r="P40" s="85"/>
      <c r="Q40" s="23" t="e">
        <f t="shared" si="0"/>
        <v>#DIV/0!</v>
      </c>
      <c r="R40" s="23" t="e">
        <f t="shared" si="1"/>
        <v>#NUM!</v>
      </c>
      <c r="S40" s="23">
        <f t="shared" si="2"/>
        <v>0</v>
      </c>
    </row>
    <row r="41" spans="1:26" ht="14.25" customHeight="1" x14ac:dyDescent="0.25">
      <c r="A41" s="93">
        <v>5</v>
      </c>
      <c r="B41" s="99"/>
      <c r="C41" s="99"/>
      <c r="D41" s="99"/>
      <c r="E41" s="99"/>
      <c r="F41" s="99"/>
      <c r="G41" s="99"/>
      <c r="H41" s="99"/>
      <c r="I41" s="99"/>
      <c r="K41" s="17">
        <v>5</v>
      </c>
      <c r="L41" s="41"/>
      <c r="M41" s="41"/>
      <c r="N41" s="41"/>
      <c r="O41" s="41"/>
      <c r="P41" s="85"/>
      <c r="Q41" s="23" t="e">
        <f t="shared" si="0"/>
        <v>#DIV/0!</v>
      </c>
      <c r="R41" s="23" t="e">
        <f t="shared" si="1"/>
        <v>#NUM!</v>
      </c>
      <c r="S41" s="23">
        <f t="shared" si="2"/>
        <v>0</v>
      </c>
    </row>
    <row r="42" spans="1:26" ht="14.25" customHeight="1" x14ac:dyDescent="0.25">
      <c r="A42" s="93">
        <v>6</v>
      </c>
      <c r="B42" s="99"/>
      <c r="C42" s="99"/>
      <c r="D42" s="99"/>
      <c r="E42" s="99"/>
      <c r="F42" s="99"/>
      <c r="G42" s="99"/>
      <c r="H42" s="99"/>
      <c r="I42" s="99"/>
      <c r="K42" s="17">
        <v>6</v>
      </c>
      <c r="L42" s="41"/>
      <c r="M42" s="41"/>
      <c r="N42" s="41"/>
      <c r="O42" s="41"/>
      <c r="P42" s="85"/>
      <c r="Q42" s="23" t="e">
        <f t="shared" si="0"/>
        <v>#DIV/0!</v>
      </c>
      <c r="R42" s="23" t="e">
        <f t="shared" si="1"/>
        <v>#NUM!</v>
      </c>
      <c r="S42" s="23">
        <f t="shared" si="2"/>
        <v>0</v>
      </c>
    </row>
    <row r="43" spans="1:26" ht="14.25" customHeight="1" x14ac:dyDescent="0.25">
      <c r="A43" s="93">
        <v>7</v>
      </c>
      <c r="B43" s="99"/>
      <c r="C43" s="99"/>
      <c r="D43" s="99"/>
      <c r="E43" s="99"/>
      <c r="F43" s="99"/>
      <c r="G43" s="99"/>
      <c r="H43" s="99"/>
      <c r="I43" s="99"/>
      <c r="K43" s="17">
        <v>7</v>
      </c>
      <c r="L43" s="41"/>
      <c r="M43" s="41"/>
      <c r="N43" s="41"/>
      <c r="O43" s="41"/>
      <c r="P43" s="85"/>
      <c r="Q43" s="23" t="e">
        <f t="shared" si="0"/>
        <v>#DIV/0!</v>
      </c>
      <c r="R43" s="23" t="e">
        <f t="shared" si="1"/>
        <v>#NUM!</v>
      </c>
      <c r="S43" s="23">
        <f t="shared" si="2"/>
        <v>0</v>
      </c>
    </row>
    <row r="44" spans="1:26" ht="14.25" customHeight="1" x14ac:dyDescent="0.25">
      <c r="A44" s="93">
        <v>8</v>
      </c>
      <c r="B44" s="99"/>
      <c r="C44" s="99"/>
      <c r="D44" s="99"/>
      <c r="E44" s="99"/>
      <c r="F44" s="99"/>
      <c r="G44" s="99"/>
      <c r="H44" s="99"/>
      <c r="I44" s="99"/>
      <c r="K44" s="17">
        <v>8</v>
      </c>
      <c r="L44" s="41"/>
      <c r="M44" s="41"/>
      <c r="N44" s="41"/>
      <c r="O44" s="41"/>
      <c r="P44" s="85"/>
      <c r="Q44" s="23" t="e">
        <f t="shared" si="0"/>
        <v>#DIV/0!</v>
      </c>
      <c r="R44" s="23" t="e">
        <f t="shared" si="1"/>
        <v>#NUM!</v>
      </c>
      <c r="S44" s="23">
        <f t="shared" si="2"/>
        <v>0</v>
      </c>
    </row>
    <row r="45" spans="1:26" ht="14.25" customHeight="1" x14ac:dyDescent="0.25">
      <c r="A45" s="93">
        <v>9</v>
      </c>
      <c r="B45" s="99"/>
      <c r="C45" s="99"/>
      <c r="D45" s="99"/>
      <c r="E45" s="99"/>
      <c r="F45" s="99"/>
      <c r="G45" s="99"/>
      <c r="H45" s="99"/>
      <c r="I45" s="99"/>
      <c r="K45" s="17">
        <v>9</v>
      </c>
      <c r="L45" s="41"/>
      <c r="M45" s="41"/>
      <c r="N45" s="41"/>
      <c r="O45" s="41"/>
      <c r="P45" s="85"/>
      <c r="Q45" s="23" t="e">
        <f t="shared" si="0"/>
        <v>#DIV/0!</v>
      </c>
      <c r="R45" s="23" t="e">
        <f t="shared" si="1"/>
        <v>#NUM!</v>
      </c>
      <c r="S45" s="23">
        <f t="shared" si="2"/>
        <v>0</v>
      </c>
    </row>
    <row r="46" spans="1:26" ht="14.25" customHeight="1" x14ac:dyDescent="0.25">
      <c r="A46" s="93">
        <v>10</v>
      </c>
      <c r="B46" s="99"/>
      <c r="C46" s="99"/>
      <c r="D46" s="99"/>
      <c r="E46" s="99"/>
      <c r="F46" s="99"/>
      <c r="G46" s="99"/>
      <c r="H46" s="99"/>
      <c r="I46" s="99"/>
      <c r="K46" s="17">
        <v>10</v>
      </c>
      <c r="L46" s="41"/>
      <c r="M46" s="41"/>
      <c r="N46" s="41"/>
      <c r="O46" s="41"/>
      <c r="P46" s="85"/>
      <c r="Q46" s="23" t="e">
        <f t="shared" si="0"/>
        <v>#DIV/0!</v>
      </c>
      <c r="R46" s="23" t="e">
        <f t="shared" si="1"/>
        <v>#NUM!</v>
      </c>
      <c r="S46" s="23">
        <f t="shared" si="2"/>
        <v>0</v>
      </c>
    </row>
    <row r="47" spans="1:26" ht="14.25" customHeight="1" x14ac:dyDescent="0.25">
      <c r="A47" s="93">
        <v>11</v>
      </c>
      <c r="B47" s="99"/>
      <c r="C47" s="99"/>
      <c r="D47" s="99"/>
      <c r="E47" s="99"/>
      <c r="F47" s="99"/>
      <c r="G47" s="99"/>
      <c r="H47" s="99"/>
      <c r="I47" s="99"/>
      <c r="K47" s="17">
        <v>11</v>
      </c>
      <c r="L47" s="41"/>
      <c r="M47" s="41"/>
      <c r="N47" s="41"/>
      <c r="O47" s="41"/>
      <c r="P47" s="85"/>
      <c r="Q47" s="23" t="e">
        <f t="shared" si="0"/>
        <v>#DIV/0!</v>
      </c>
      <c r="R47" s="23" t="e">
        <f t="shared" si="1"/>
        <v>#NUM!</v>
      </c>
      <c r="S47" s="23">
        <f t="shared" si="2"/>
        <v>0</v>
      </c>
    </row>
    <row r="48" spans="1:26" ht="14.25" customHeight="1" x14ac:dyDescent="0.25">
      <c r="A48" s="93">
        <v>12</v>
      </c>
      <c r="B48" s="99"/>
      <c r="C48" s="99"/>
      <c r="D48" s="99"/>
      <c r="E48" s="99"/>
      <c r="F48" s="99"/>
      <c r="G48" s="99"/>
      <c r="H48" s="99"/>
      <c r="I48" s="99"/>
      <c r="K48" s="17">
        <v>12</v>
      </c>
      <c r="L48" s="41"/>
      <c r="M48" s="41"/>
      <c r="N48" s="41"/>
      <c r="O48" s="41"/>
      <c r="P48" s="85"/>
      <c r="Q48" s="23" t="e">
        <f t="shared" si="0"/>
        <v>#DIV/0!</v>
      </c>
      <c r="R48" s="23" t="e">
        <f t="shared" si="1"/>
        <v>#NUM!</v>
      </c>
      <c r="S48" s="23">
        <f t="shared" si="2"/>
        <v>0</v>
      </c>
    </row>
    <row r="49" spans="1:19" ht="14.25" customHeight="1" x14ac:dyDescent="0.25">
      <c r="A49" s="93">
        <v>13</v>
      </c>
      <c r="B49" s="99"/>
      <c r="C49" s="99"/>
      <c r="D49" s="99"/>
      <c r="E49" s="99"/>
      <c r="F49" s="99"/>
      <c r="G49" s="99"/>
      <c r="H49" s="99"/>
      <c r="I49" s="99"/>
      <c r="K49" s="17">
        <v>13</v>
      </c>
      <c r="L49" s="41"/>
      <c r="M49" s="41"/>
      <c r="N49" s="41"/>
      <c r="O49" s="41"/>
      <c r="P49" s="85"/>
      <c r="Q49" s="23" t="e">
        <f t="shared" si="0"/>
        <v>#DIV/0!</v>
      </c>
      <c r="R49" s="23" t="e">
        <f t="shared" si="1"/>
        <v>#NUM!</v>
      </c>
      <c r="S49" s="23">
        <f t="shared" si="2"/>
        <v>0</v>
      </c>
    </row>
    <row r="50" spans="1:19" ht="14.25" customHeight="1" x14ac:dyDescent="0.25">
      <c r="A50" s="93">
        <v>14</v>
      </c>
      <c r="B50" s="99"/>
      <c r="C50" s="99"/>
      <c r="D50" s="99"/>
      <c r="E50" s="99"/>
      <c r="F50" s="99"/>
      <c r="G50" s="99"/>
      <c r="H50" s="99"/>
      <c r="I50" s="99"/>
      <c r="K50" s="17">
        <v>14</v>
      </c>
      <c r="L50" s="41"/>
      <c r="M50" s="41"/>
      <c r="N50" s="41"/>
      <c r="O50" s="41"/>
      <c r="P50" s="85"/>
      <c r="Q50" s="23" t="e">
        <f t="shared" si="0"/>
        <v>#DIV/0!</v>
      </c>
      <c r="R50" s="23" t="e">
        <f t="shared" si="1"/>
        <v>#NUM!</v>
      </c>
      <c r="S50" s="23">
        <f t="shared" si="2"/>
        <v>0</v>
      </c>
    </row>
    <row r="51" spans="1:19" ht="14.25" customHeight="1" x14ac:dyDescent="0.25">
      <c r="A51" s="93">
        <v>15</v>
      </c>
      <c r="B51" s="99"/>
      <c r="C51" s="99"/>
      <c r="D51" s="99"/>
      <c r="E51" s="99"/>
      <c r="F51" s="99"/>
      <c r="G51" s="99"/>
      <c r="H51" s="99"/>
      <c r="I51" s="99"/>
      <c r="K51" s="17">
        <v>15</v>
      </c>
      <c r="L51" s="41"/>
      <c r="M51" s="41"/>
      <c r="N51" s="41"/>
      <c r="O51" s="41"/>
      <c r="P51" s="85"/>
      <c r="Q51" s="23" t="e">
        <f t="shared" si="0"/>
        <v>#DIV/0!</v>
      </c>
      <c r="R51" s="23" t="e">
        <f t="shared" si="1"/>
        <v>#NUM!</v>
      </c>
      <c r="S51" s="23">
        <f t="shared" si="2"/>
        <v>0</v>
      </c>
    </row>
    <row r="52" spans="1:19" ht="14.25" customHeight="1" x14ac:dyDescent="0.25">
      <c r="A52" s="93">
        <v>16</v>
      </c>
      <c r="B52" s="99"/>
      <c r="C52" s="99"/>
      <c r="D52" s="99"/>
      <c r="E52" s="99"/>
      <c r="F52" s="99"/>
      <c r="G52" s="99"/>
      <c r="H52" s="99"/>
      <c r="I52" s="99"/>
      <c r="K52" s="17">
        <v>16</v>
      </c>
      <c r="L52" s="41"/>
      <c r="M52" s="41"/>
      <c r="N52" s="41"/>
      <c r="O52" s="41"/>
      <c r="P52" s="85"/>
      <c r="Q52" s="23" t="e">
        <f t="shared" si="0"/>
        <v>#DIV/0!</v>
      </c>
      <c r="R52" s="23" t="e">
        <f t="shared" si="1"/>
        <v>#NUM!</v>
      </c>
      <c r="S52" s="23">
        <f t="shared" si="2"/>
        <v>0</v>
      </c>
    </row>
    <row r="53" spans="1:19" ht="14.25" customHeight="1" x14ac:dyDescent="0.25">
      <c r="A53" s="93">
        <v>17</v>
      </c>
      <c r="B53" s="99"/>
      <c r="C53" s="99"/>
      <c r="D53" s="99"/>
      <c r="E53" s="99"/>
      <c r="F53" s="99"/>
      <c r="G53" s="99"/>
      <c r="H53" s="99"/>
      <c r="I53" s="99"/>
      <c r="K53" s="17">
        <v>17</v>
      </c>
      <c r="L53" s="41"/>
      <c r="M53" s="41"/>
      <c r="N53" s="41"/>
      <c r="O53" s="41"/>
      <c r="P53" s="85"/>
      <c r="Q53" s="23" t="e">
        <f t="shared" si="0"/>
        <v>#DIV/0!</v>
      </c>
      <c r="R53" s="23" t="e">
        <f t="shared" si="1"/>
        <v>#NUM!</v>
      </c>
      <c r="S53" s="23">
        <f t="shared" si="2"/>
        <v>0</v>
      </c>
    </row>
    <row r="54" spans="1:19" ht="14.25" customHeight="1" x14ac:dyDescent="0.25">
      <c r="A54" s="93">
        <v>18</v>
      </c>
      <c r="B54" s="99"/>
      <c r="C54" s="99"/>
      <c r="D54" s="99"/>
      <c r="E54" s="99"/>
      <c r="F54" s="99"/>
      <c r="G54" s="99"/>
      <c r="H54" s="99"/>
      <c r="I54" s="99"/>
      <c r="K54" s="17">
        <v>18</v>
      </c>
      <c r="L54" s="41"/>
      <c r="M54" s="41"/>
      <c r="N54" s="41"/>
      <c r="O54" s="41"/>
      <c r="P54" s="85"/>
      <c r="Q54" s="23" t="e">
        <f t="shared" si="0"/>
        <v>#DIV/0!</v>
      </c>
      <c r="R54" s="23" t="e">
        <f t="shared" si="1"/>
        <v>#NUM!</v>
      </c>
      <c r="S54" s="23">
        <f t="shared" si="2"/>
        <v>0</v>
      </c>
    </row>
    <row r="55" spans="1:19" ht="14.25" customHeight="1" x14ac:dyDescent="0.25">
      <c r="A55" s="93">
        <v>19</v>
      </c>
      <c r="B55" s="99"/>
      <c r="C55" s="99"/>
      <c r="D55" s="99"/>
      <c r="E55" s="99"/>
      <c r="F55" s="99"/>
      <c r="G55" s="99"/>
      <c r="H55" s="99"/>
      <c r="I55" s="99"/>
      <c r="K55" s="17">
        <v>19</v>
      </c>
      <c r="L55" s="41"/>
      <c r="M55" s="41"/>
      <c r="N55" s="41"/>
      <c r="O55" s="41"/>
      <c r="P55" s="85"/>
      <c r="Q55" s="23" t="e">
        <f t="shared" si="0"/>
        <v>#DIV/0!</v>
      </c>
      <c r="R55" s="23" t="e">
        <f t="shared" si="1"/>
        <v>#NUM!</v>
      </c>
      <c r="S55" s="23">
        <f t="shared" si="2"/>
        <v>0</v>
      </c>
    </row>
    <row r="56" spans="1:19" ht="14.25" customHeight="1" x14ac:dyDescent="0.25">
      <c r="A56" s="68">
        <v>20</v>
      </c>
      <c r="B56" s="100"/>
      <c r="C56" s="100"/>
      <c r="D56" s="100"/>
      <c r="E56" s="100"/>
      <c r="F56" s="100"/>
      <c r="G56" s="100"/>
      <c r="H56" s="100"/>
      <c r="I56" s="100"/>
      <c r="K56" s="17">
        <v>20</v>
      </c>
      <c r="L56" s="41"/>
      <c r="M56" s="41"/>
      <c r="N56" s="41"/>
      <c r="O56" s="41"/>
      <c r="P56" s="85"/>
      <c r="Q56" s="23" t="e">
        <f t="shared" si="0"/>
        <v>#DIV/0!</v>
      </c>
      <c r="R56" s="23" t="e">
        <f t="shared" si="1"/>
        <v>#NUM!</v>
      </c>
      <c r="S56" s="23">
        <f t="shared" si="2"/>
        <v>0</v>
      </c>
    </row>
    <row r="57" spans="1:19" ht="14.25" customHeight="1" x14ac:dyDescent="0.25">
      <c r="K57" s="42"/>
      <c r="L57" s="42"/>
      <c r="M57" s="42"/>
      <c r="N57" s="42"/>
      <c r="O57" s="42"/>
      <c r="P57" s="42"/>
      <c r="Q57" s="42"/>
      <c r="R57" s="42"/>
      <c r="S57" s="42"/>
    </row>
    <row r="58" spans="1:19" ht="14.25" customHeight="1" x14ac:dyDescent="0.25"/>
    <row r="59" spans="1:19" ht="14.25" customHeight="1" x14ac:dyDescent="0.25"/>
    <row r="60" spans="1:19" ht="14.25" customHeight="1" x14ac:dyDescent="0.25"/>
    <row r="61" spans="1:19" ht="14.25" customHeight="1" x14ac:dyDescent="0.25"/>
    <row r="62" spans="1:19" ht="14.25" customHeight="1" x14ac:dyDescent="0.25"/>
    <row r="63" spans="1:19" ht="14.25" customHeight="1" x14ac:dyDescent="0.25"/>
    <row r="64" spans="1:19"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5">
    <mergeCell ref="L2:Q2"/>
    <mergeCell ref="K20:S21"/>
    <mergeCell ref="K22:K34"/>
    <mergeCell ref="B36:E36"/>
    <mergeCell ref="F36:I36"/>
  </mergeCells>
  <conditionalFormatting sqref="Q37:Q56">
    <cfRule type="cellIs" dxfId="0" priority="1" operator="between">
      <formula>$M$32</formula>
      <formula>$M$33</formula>
    </cfRule>
  </conditionalFormatting>
  <pageMargins left="0.7" right="0.7" top="0.75" bottom="0.75" header="0" footer="0"/>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24092C382E1548813FC98671D0172B" ma:contentTypeVersion="7" ma:contentTypeDescription="Create a new document." ma:contentTypeScope="" ma:versionID="93b5303308c53faeb16e3c7f43f28a3b">
  <xsd:schema xmlns:xsd="http://www.w3.org/2001/XMLSchema" xmlns:xs="http://www.w3.org/2001/XMLSchema" xmlns:p="http://schemas.microsoft.com/office/2006/metadata/properties" xmlns:ns2="afaf0964-16e0-406f-9dd6-208a218218b7" targetNamespace="http://schemas.microsoft.com/office/2006/metadata/properties" ma:root="true" ma:fieldsID="20489f570cfa6da4e285c9025e371f65" ns2:_="">
    <xsd:import namespace="afaf0964-16e0-406f-9dd6-208a218218b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af0964-16e0-406f-9dd6-208a218218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9E9F8BB-FE9F-4569-8A0D-1A16F300DD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af0964-16e0-406f-9dd6-208a218218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7CCCB0-21F6-4856-878D-845454E0B9C2}">
  <ds:schemaRefs>
    <ds:schemaRef ds:uri="http://schemas.microsoft.com/sharepoint/v3/contenttype/forms"/>
  </ds:schemaRefs>
</ds:datastoreItem>
</file>

<file path=customXml/itemProps3.xml><?xml version="1.0" encoding="utf-8"?>
<ds:datastoreItem xmlns:ds="http://schemas.openxmlformats.org/officeDocument/2006/customXml" ds:itemID="{E52E8987-5130-4363-ACF6-2AEA15C65CE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Modul 1</vt:lpstr>
      <vt:lpstr>Skenario</vt:lpstr>
      <vt:lpstr>Data Awal</vt:lpstr>
      <vt:lpstr>Tabel Faktor</vt:lpstr>
      <vt:lpstr>Instruksi</vt:lpstr>
      <vt:lpstr>Pemilihan Peta Kendali</vt:lpstr>
      <vt:lpstr>Peta Kendali xbar-R</vt:lpstr>
      <vt:lpstr>Peta Kendali xbar-s</vt:lpstr>
      <vt:lpstr>OC Curve ARL xbar-R</vt:lpstr>
      <vt:lpstr>Kapabilitas Proses xbar-R</vt:lpstr>
      <vt:lpstr>Implementasi xbar-R</vt:lpstr>
      <vt:lpstr>Peta Kendali MR</vt:lpstr>
      <vt:lpstr>Peta Kendali p dan np</vt:lpstr>
      <vt:lpstr>Peta Kendali c</vt:lpstr>
      <vt:lpstr>Peta Kendali u</vt:lpstr>
      <vt:lpstr>Peta Kendali cusum</vt:lpstr>
      <vt:lpstr>Peta Kendali EWMA</vt:lpstr>
      <vt:lpstr>Peta Kendali xbar-R SPR</vt:lpstr>
      <vt:lpstr>Peta Kendali 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Cakrawala Krisna</dc:creator>
  <cp:keywords/>
  <dc:description/>
  <cp:lastModifiedBy>USER</cp:lastModifiedBy>
  <cp:revision/>
  <dcterms:created xsi:type="dcterms:W3CDTF">2022-09-27T06:30:25Z</dcterms:created>
  <dcterms:modified xsi:type="dcterms:W3CDTF">2025-10-21T11:59:49Z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0x010100B924092C382E1548813FC98671D0172B</vt:lpwstr>
  </property>
  <property fmtid="{D5CDD505-2E9C-101B-9397-08002B2CF9AE}" pid="3" name="MSIP_Label_23f93e5f-d3c2-49a7-ba94-15405423c204_Enabled">
    <vt:lpwstr>true</vt:lpwstr>
  </property>
  <property fmtid="{D5CDD505-2E9C-101B-9397-08002B2CF9AE}" pid="4" name="MSIP_Label_23f93e5f-d3c2-49a7-ba94-15405423c204_SetDate">
    <vt:lpwstr>2022-11-08T07:53:13Z</vt:lpwstr>
  </property>
  <property fmtid="{D5CDD505-2E9C-101B-9397-08002B2CF9AE}" pid="5" name="MSIP_Label_23f93e5f-d3c2-49a7-ba94-15405423c204_Method">
    <vt:lpwstr>Standard</vt:lpwstr>
  </property>
  <property fmtid="{D5CDD505-2E9C-101B-9397-08002B2CF9AE}" pid="6" name="MSIP_Label_23f93e5f-d3c2-49a7-ba94-15405423c204_Name">
    <vt:lpwstr>SE Internal</vt:lpwstr>
  </property>
  <property fmtid="{D5CDD505-2E9C-101B-9397-08002B2CF9AE}" pid="7" name="MSIP_Label_23f93e5f-d3c2-49a7-ba94-15405423c204_SiteId">
    <vt:lpwstr>6e51e1ad-c54b-4b39-b598-0ffe9ae68fef</vt:lpwstr>
  </property>
  <property fmtid="{D5CDD505-2E9C-101B-9397-08002B2CF9AE}" pid="8" name="MSIP_Label_23f93e5f-d3c2-49a7-ba94-15405423c204_ActionId">
    <vt:lpwstr>507cea68-12b2-4f1b-b2d5-f0961169ea4f</vt:lpwstr>
  </property>
  <property fmtid="{D5CDD505-2E9C-101B-9397-08002B2CF9AE}" pid="9" name="MSIP_Label_23f93e5f-d3c2-49a7-ba94-15405423c204_ContentBits">
    <vt:lpwstr>2</vt:lpwstr>
  </property>
  <property fmtid="{D5CDD505-2E9C-101B-9397-08002B2CF9AE}" pid="10" name="MSIP_Label_38b525e5-f3da-4501-8f1e-526b6769fc56_Enabled">
    <vt:lpwstr>true</vt:lpwstr>
  </property>
  <property fmtid="{D5CDD505-2E9C-101B-9397-08002B2CF9AE}" pid="11" name="MSIP_Label_38b525e5-f3da-4501-8f1e-526b6769fc56_SetDate">
    <vt:lpwstr>2024-02-12T10:41:55Z</vt:lpwstr>
  </property>
  <property fmtid="{D5CDD505-2E9C-101B-9397-08002B2CF9AE}" pid="12" name="MSIP_Label_38b525e5-f3da-4501-8f1e-526b6769fc56_Method">
    <vt:lpwstr>Standard</vt:lpwstr>
  </property>
  <property fmtid="{D5CDD505-2E9C-101B-9397-08002B2CF9AE}" pid="13" name="MSIP_Label_38b525e5-f3da-4501-8f1e-526b6769fc56_Name">
    <vt:lpwstr>defa4170-0d19-0005-0004-bc88714345d2</vt:lpwstr>
  </property>
  <property fmtid="{D5CDD505-2E9C-101B-9397-08002B2CF9AE}" pid="14" name="MSIP_Label_38b525e5-f3da-4501-8f1e-526b6769fc56_SiteId">
    <vt:lpwstr>db6e1183-4c65-405c-82ce-7cd53fa6e9dc</vt:lpwstr>
  </property>
  <property fmtid="{D5CDD505-2E9C-101B-9397-08002B2CF9AE}" pid="15" name="MSIP_Label_38b525e5-f3da-4501-8f1e-526b6769fc56_ActionId">
    <vt:lpwstr>a58d749e-ea3b-420f-8964-d4ae2533693b</vt:lpwstr>
  </property>
  <property fmtid="{D5CDD505-2E9C-101B-9397-08002B2CF9AE}" pid="16" name="MSIP_Label_38b525e5-f3da-4501-8f1e-526b6769fc56_ContentBits">
    <vt:lpwstr>0</vt:lpwstr>
  </property>
  <property fmtid="{D5CDD505-2E9C-101B-9397-08002B2CF9AE}" pid="17" name="MediaServiceImageTags">
    <vt:lpwstr/>
  </property>
  <property fmtid="{D5CDD505-2E9C-101B-9397-08002B2CF9AE}" pid="18" name="Order">
    <vt:r8>2700</vt:r8>
  </property>
  <property fmtid="{D5CDD505-2E9C-101B-9397-08002B2CF9AE}" pid="19" name="xd_Signature">
    <vt:bool>false</vt:bool>
  </property>
  <property fmtid="{D5CDD505-2E9C-101B-9397-08002B2CF9AE}" pid="20" name="xd_ProgID">
    <vt:lpwstr/>
  </property>
  <property fmtid="{D5CDD505-2E9C-101B-9397-08002B2CF9AE}" pid="21" name="ComplianceAssetId">
    <vt:lpwstr/>
  </property>
  <property fmtid="{D5CDD505-2E9C-101B-9397-08002B2CF9AE}" pid="22" name="TemplateUrl">
    <vt:lpwstr/>
  </property>
  <property fmtid="{D5CDD505-2E9C-101B-9397-08002B2CF9AE}" pid="23" name="_ExtendedDescription">
    <vt:lpwstr/>
  </property>
  <property fmtid="{D5CDD505-2E9C-101B-9397-08002B2CF9AE}" pid="24" name="TriggerFlowInfo">
    <vt:lpwstr/>
  </property>
</Properties>
</file>