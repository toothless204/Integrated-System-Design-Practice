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6A7B81-A234-4B4B-B042-023E11DC1F8C}" xr6:coauthVersionLast="47" xr6:coauthVersionMax="47" xr10:uidLastSave="{00000000-0000-0000-0000-000000000000}"/>
  <bookViews>
    <workbookView xWindow="-150" yWindow="2145" windowWidth="21600" windowHeight="11235" tabRatio="766" firstSheet="4" activeTab="8" xr2:uid="{00000000-000D-0000-FFFF-FFFF00000000}"/>
  </bookViews>
  <sheets>
    <sheet name="Modul 5" sheetId="1" r:id="rId1"/>
    <sheet name="Instruksi" sheetId="2" r:id="rId2"/>
    <sheet name="Data Awal" sheetId="3" r:id="rId3"/>
    <sheet name="A - Forecast" sheetId="5" r:id="rId4"/>
    <sheet name="B - Forecast" sheetId="6" r:id="rId5"/>
    <sheet name="C - Forecast" sheetId="7" r:id="rId6"/>
    <sheet name="D - Forecast" sheetId="8" r:id="rId7"/>
    <sheet name="Verifikasi Hasil Forecast" sheetId="12" r:id="rId8"/>
    <sheet name="Hasil" sheetId="10" r:id="rId9"/>
  </sheets>
  <externalReferences>
    <externalReference r:id="rId10"/>
  </externalReferences>
  <definedNames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'B - Forecast'!$K$23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0" l="1"/>
  <c r="E10" i="10"/>
  <c r="E11" i="10"/>
  <c r="E12" i="10"/>
  <c r="E13" i="10"/>
  <c r="E14" i="10"/>
  <c r="E9" i="10"/>
  <c r="D10" i="10"/>
  <c r="D11" i="10"/>
  <c r="D12" i="10"/>
  <c r="D13" i="10"/>
  <c r="D14" i="10"/>
  <c r="D9" i="10"/>
  <c r="T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28" i="8"/>
  <c r="G68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G29" i="6"/>
  <c r="F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29" i="6"/>
  <c r="D21" i="6"/>
  <c r="AQ48" i="12"/>
  <c r="AQ92" i="12"/>
  <c r="AP91" i="12"/>
  <c r="AP55" i="12"/>
  <c r="AP56" i="12"/>
  <c r="AP57" i="12"/>
  <c r="AP58" i="12"/>
  <c r="AP59" i="12"/>
  <c r="AP60" i="12"/>
  <c r="AQ61" i="12" s="1"/>
  <c r="AP61" i="12"/>
  <c r="AQ62" i="12" s="1"/>
  <c r="AP62" i="12"/>
  <c r="AQ63" i="12" s="1"/>
  <c r="AP63" i="12"/>
  <c r="AQ64" i="12" s="1"/>
  <c r="AP64" i="12"/>
  <c r="AQ65" i="12" s="1"/>
  <c r="AP65" i="12"/>
  <c r="AQ66" i="12" s="1"/>
  <c r="AP66" i="12"/>
  <c r="AQ67" i="12" s="1"/>
  <c r="AP67" i="12"/>
  <c r="AP68" i="12"/>
  <c r="AP69" i="12"/>
  <c r="AP70" i="12"/>
  <c r="AP71" i="12"/>
  <c r="AP72" i="12"/>
  <c r="AQ73" i="12" s="1"/>
  <c r="AP73" i="12"/>
  <c r="AQ74" i="12" s="1"/>
  <c r="AP74" i="12"/>
  <c r="AQ75" i="12" s="1"/>
  <c r="AP75" i="12"/>
  <c r="AQ76" i="12" s="1"/>
  <c r="AP76" i="12"/>
  <c r="AQ77" i="12" s="1"/>
  <c r="AP77" i="12"/>
  <c r="AQ78" i="12" s="1"/>
  <c r="AP78" i="12"/>
  <c r="AQ79" i="12" s="1"/>
  <c r="AP79" i="12"/>
  <c r="AP80" i="12"/>
  <c r="AP81" i="12"/>
  <c r="AP82" i="12"/>
  <c r="AP83" i="12"/>
  <c r="AP84" i="12"/>
  <c r="AQ85" i="12" s="1"/>
  <c r="AP85" i="12"/>
  <c r="AQ86" i="12" s="1"/>
  <c r="AP86" i="12"/>
  <c r="AQ87" i="12" s="1"/>
  <c r="AP87" i="12"/>
  <c r="AQ88" i="12" s="1"/>
  <c r="AP88" i="12"/>
  <c r="AQ89" i="12" s="1"/>
  <c r="AP89" i="12"/>
  <c r="AQ90" i="12" s="1"/>
  <c r="AP90" i="12"/>
  <c r="AQ91" i="12" s="1"/>
  <c r="AP92" i="12"/>
  <c r="AP93" i="12"/>
  <c r="AP54" i="12"/>
  <c r="AI31" i="8"/>
  <c r="AQ56" i="12"/>
  <c r="AQ57" i="12"/>
  <c r="AQ58" i="12"/>
  <c r="AQ59" i="12"/>
  <c r="AQ60" i="12"/>
  <c r="AQ68" i="12"/>
  <c r="AQ69" i="12"/>
  <c r="AQ70" i="12"/>
  <c r="AQ71" i="12"/>
  <c r="AQ72" i="12"/>
  <c r="AQ80" i="12"/>
  <c r="AQ81" i="12"/>
  <c r="AQ82" i="12"/>
  <c r="AQ83" i="12"/>
  <c r="AQ84" i="12"/>
  <c r="AQ93" i="12"/>
  <c r="AQ55" i="12"/>
  <c r="AD49" i="12"/>
  <c r="AL92" i="12" s="1"/>
  <c r="AD48" i="12"/>
  <c r="AM90" i="12"/>
  <c r="AM91" i="12"/>
  <c r="AM92" i="12"/>
  <c r="AM93" i="12"/>
  <c r="AL88" i="12"/>
  <c r="AL89" i="12"/>
  <c r="AL90" i="12"/>
  <c r="AL91" i="12"/>
  <c r="AI90" i="12"/>
  <c r="AH92" i="12"/>
  <c r="AG91" i="12"/>
  <c r="AG92" i="12"/>
  <c r="AF91" i="12"/>
  <c r="AE88" i="12"/>
  <c r="AE89" i="12"/>
  <c r="AE90" i="12"/>
  <c r="I74" i="7"/>
  <c r="I75" i="7"/>
  <c r="I76" i="7"/>
  <c r="I77" i="7"/>
  <c r="I78" i="7"/>
  <c r="I73" i="7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D83" i="12" s="1"/>
  <c r="AC84" i="12"/>
  <c r="AD84" i="12" s="1"/>
  <c r="AC85" i="12"/>
  <c r="AD85" i="12" s="1"/>
  <c r="AC86" i="12"/>
  <c r="AD86" i="12" s="1"/>
  <c r="AC87" i="12"/>
  <c r="AD87" i="12" s="1"/>
  <c r="AC88" i="12"/>
  <c r="AD88" i="12" s="1"/>
  <c r="AC89" i="12"/>
  <c r="AD89" i="12" s="1"/>
  <c r="AC90" i="12"/>
  <c r="AD90" i="12" s="1"/>
  <c r="AC91" i="12"/>
  <c r="AC92" i="12"/>
  <c r="AC93" i="12"/>
  <c r="AC54" i="12"/>
  <c r="AD81" i="12"/>
  <c r="AD82" i="12"/>
  <c r="AD92" i="12"/>
  <c r="AD93" i="12"/>
  <c r="M88" i="12"/>
  <c r="M89" i="12"/>
  <c r="M90" i="12"/>
  <c r="M91" i="12"/>
  <c r="M92" i="12"/>
  <c r="M93" i="12"/>
  <c r="L88" i="12"/>
  <c r="L89" i="12"/>
  <c r="L90" i="12"/>
  <c r="L91" i="12"/>
  <c r="L92" i="12"/>
  <c r="L93" i="12"/>
  <c r="K88" i="12"/>
  <c r="K89" i="12"/>
  <c r="K90" i="12"/>
  <c r="K91" i="12"/>
  <c r="K92" i="12"/>
  <c r="K93" i="12"/>
  <c r="J88" i="12"/>
  <c r="J89" i="12"/>
  <c r="J90" i="12"/>
  <c r="J91" i="12"/>
  <c r="J92" i="12"/>
  <c r="J93" i="12"/>
  <c r="I88" i="12"/>
  <c r="I89" i="12"/>
  <c r="I90" i="12"/>
  <c r="I91" i="12"/>
  <c r="I92" i="12"/>
  <c r="I93" i="12"/>
  <c r="H88" i="12"/>
  <c r="H89" i="12"/>
  <c r="H90" i="12"/>
  <c r="H91" i="12"/>
  <c r="H92" i="12"/>
  <c r="H93" i="12"/>
  <c r="G88" i="12"/>
  <c r="G89" i="12"/>
  <c r="G90" i="12"/>
  <c r="G91" i="12"/>
  <c r="G92" i="12"/>
  <c r="G93" i="12"/>
  <c r="F88" i="12"/>
  <c r="F89" i="12"/>
  <c r="F90" i="12"/>
  <c r="F91" i="12"/>
  <c r="F92" i="12"/>
  <c r="F93" i="12"/>
  <c r="E88" i="12"/>
  <c r="E89" i="12"/>
  <c r="E90" i="12"/>
  <c r="E91" i="12"/>
  <c r="E92" i="12"/>
  <c r="E93" i="12"/>
  <c r="D49" i="12"/>
  <c r="D48" i="12"/>
  <c r="D88" i="12"/>
  <c r="D89" i="12"/>
  <c r="D90" i="12"/>
  <c r="D91" i="12"/>
  <c r="D92" i="12"/>
  <c r="D93" i="12"/>
  <c r="C88" i="12"/>
  <c r="C89" i="12"/>
  <c r="C90" i="12"/>
  <c r="C91" i="12"/>
  <c r="C92" i="12"/>
  <c r="C93" i="12"/>
  <c r="AQ49" i="12" l="1"/>
  <c r="AH91" i="12"/>
  <c r="AI92" i="12"/>
  <c r="AI91" i="12"/>
  <c r="AJ93" i="12"/>
  <c r="AM89" i="12"/>
  <c r="AJ92" i="12"/>
  <c r="AL93" i="12"/>
  <c r="AF93" i="12"/>
  <c r="AJ91" i="12"/>
  <c r="AF92" i="12"/>
  <c r="AH93" i="12"/>
  <c r="AG90" i="12"/>
  <c r="AJ90" i="12"/>
  <c r="AG89" i="12"/>
  <c r="AJ89" i="12"/>
  <c r="AE92" i="12"/>
  <c r="AG88" i="12"/>
  <c r="AK90" i="12"/>
  <c r="AK91" i="12"/>
  <c r="AE91" i="12"/>
  <c r="AF90" i="12"/>
  <c r="AH90" i="12"/>
  <c r="AJ88" i="12"/>
  <c r="AF89" i="12"/>
  <c r="AH89" i="12"/>
  <c r="AK93" i="12"/>
  <c r="AF88" i="12"/>
  <c r="AH88" i="12"/>
  <c r="AK92" i="12"/>
  <c r="AE93" i="12"/>
  <c r="AG93" i="12"/>
  <c r="AI93" i="12"/>
  <c r="AK88" i="12"/>
  <c r="AM88" i="12"/>
  <c r="AI88" i="12"/>
  <c r="AK89" i="12"/>
  <c r="AI89" i="12"/>
  <c r="AD91" i="12"/>
  <c r="AG24" i="8" l="1"/>
  <c r="R30" i="7"/>
  <c r="R29" i="7"/>
  <c r="R28" i="7"/>
  <c r="R25" i="5"/>
  <c r="E54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69" i="12"/>
  <c r="AD70" i="12"/>
  <c r="AD71" i="12"/>
  <c r="AD72" i="12"/>
  <c r="AD73" i="12"/>
  <c r="AD74" i="12"/>
  <c r="AD75" i="12"/>
  <c r="AD76" i="12"/>
  <c r="AD77" i="12"/>
  <c r="AD78" i="12"/>
  <c r="AD79" i="12"/>
  <c r="AD80" i="12"/>
  <c r="AD55" i="12"/>
  <c r="M55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K58" i="12" l="1"/>
  <c r="M56" i="12"/>
  <c r="M75" i="12"/>
  <c r="L57" i="12"/>
  <c r="L77" i="12"/>
  <c r="L55" i="12"/>
  <c r="M67" i="12"/>
  <c r="L74" i="12"/>
  <c r="M73" i="12"/>
  <c r="M74" i="12"/>
  <c r="M60" i="12"/>
  <c r="M76" i="12"/>
  <c r="L62" i="12"/>
  <c r="L78" i="12"/>
  <c r="M61" i="12"/>
  <c r="M77" i="12"/>
  <c r="L63" i="12"/>
  <c r="L79" i="12"/>
  <c r="L68" i="12"/>
  <c r="L69" i="12"/>
  <c r="M62" i="12"/>
  <c r="M78" i="12"/>
  <c r="L64" i="12"/>
  <c r="L80" i="12"/>
  <c r="M86" i="12"/>
  <c r="M87" i="12"/>
  <c r="M72" i="12"/>
  <c r="L75" i="12"/>
  <c r="L56" i="12"/>
  <c r="M63" i="12"/>
  <c r="M79" i="12"/>
  <c r="L65" i="12"/>
  <c r="L81" i="12"/>
  <c r="M66" i="12"/>
  <c r="L76" i="12"/>
  <c r="M64" i="12"/>
  <c r="M84" i="12"/>
  <c r="L66" i="12"/>
  <c r="L86" i="12"/>
  <c r="M65" i="12"/>
  <c r="M85" i="12"/>
  <c r="L67" i="12"/>
  <c r="L87" i="12"/>
  <c r="J59" i="12"/>
  <c r="K76" i="12"/>
  <c r="E85" i="12"/>
  <c r="E73" i="12"/>
  <c r="E61" i="12"/>
  <c r="F82" i="12"/>
  <c r="F70" i="12"/>
  <c r="F58" i="12"/>
  <c r="G79" i="12"/>
  <c r="G67" i="12"/>
  <c r="G55" i="12"/>
  <c r="H79" i="12"/>
  <c r="H67" i="12"/>
  <c r="H55" i="12"/>
  <c r="I78" i="12"/>
  <c r="I66" i="12"/>
  <c r="J54" i="12"/>
  <c r="J70" i="12"/>
  <c r="J87" i="12"/>
  <c r="K68" i="12"/>
  <c r="H72" i="12"/>
  <c r="K56" i="12"/>
  <c r="E84" i="12"/>
  <c r="E72" i="12"/>
  <c r="E60" i="12"/>
  <c r="F81" i="12"/>
  <c r="F69" i="12"/>
  <c r="F57" i="12"/>
  <c r="G78" i="12"/>
  <c r="G66" i="12"/>
  <c r="F54" i="12"/>
  <c r="H78" i="12"/>
  <c r="H66" i="12"/>
  <c r="H54" i="12"/>
  <c r="I77" i="12"/>
  <c r="I65" i="12"/>
  <c r="K54" i="12"/>
  <c r="J69" i="12"/>
  <c r="K87" i="12"/>
  <c r="K67" i="12"/>
  <c r="E66" i="12"/>
  <c r="F63" i="12"/>
  <c r="G60" i="12"/>
  <c r="H60" i="12"/>
  <c r="J79" i="12"/>
  <c r="E65" i="12"/>
  <c r="G83" i="12"/>
  <c r="H83" i="12"/>
  <c r="H59" i="12"/>
  <c r="I58" i="12"/>
  <c r="J58" i="12"/>
  <c r="E76" i="12"/>
  <c r="F61" i="12"/>
  <c r="H70" i="12"/>
  <c r="I57" i="12"/>
  <c r="K55" i="12"/>
  <c r="E55" i="12"/>
  <c r="F84" i="12"/>
  <c r="G57" i="12"/>
  <c r="I80" i="12"/>
  <c r="J72" i="12"/>
  <c r="F83" i="12"/>
  <c r="G68" i="12"/>
  <c r="H56" i="12"/>
  <c r="J71" i="12"/>
  <c r="K69" i="12"/>
  <c r="E83" i="12"/>
  <c r="E71" i="12"/>
  <c r="E59" i="12"/>
  <c r="F80" i="12"/>
  <c r="F68" i="12"/>
  <c r="F56" i="12"/>
  <c r="G77" i="12"/>
  <c r="G65" i="12"/>
  <c r="G87" i="12"/>
  <c r="H77" i="12"/>
  <c r="H65" i="12"/>
  <c r="I54" i="12"/>
  <c r="I76" i="12"/>
  <c r="I64" i="12"/>
  <c r="J84" i="12"/>
  <c r="J68" i="12"/>
  <c r="K82" i="12"/>
  <c r="K66" i="12"/>
  <c r="E78" i="12"/>
  <c r="F75" i="12"/>
  <c r="G72" i="12"/>
  <c r="I83" i="12"/>
  <c r="I59" i="12"/>
  <c r="K77" i="12"/>
  <c r="F86" i="12"/>
  <c r="F62" i="12"/>
  <c r="G59" i="12"/>
  <c r="I82" i="12"/>
  <c r="E64" i="12"/>
  <c r="G82" i="12"/>
  <c r="H82" i="12"/>
  <c r="I69" i="12"/>
  <c r="K75" i="12"/>
  <c r="F72" i="12"/>
  <c r="G69" i="12"/>
  <c r="H57" i="12"/>
  <c r="J56" i="12"/>
  <c r="E62" i="12"/>
  <c r="G80" i="12"/>
  <c r="H68" i="12"/>
  <c r="I67" i="12"/>
  <c r="J55" i="12"/>
  <c r="E82" i="12"/>
  <c r="E70" i="12"/>
  <c r="E58" i="12"/>
  <c r="F79" i="12"/>
  <c r="F67" i="12"/>
  <c r="F55" i="12"/>
  <c r="G76" i="12"/>
  <c r="G64" i="12"/>
  <c r="G54" i="12"/>
  <c r="H76" i="12"/>
  <c r="H64" i="12"/>
  <c r="I87" i="12"/>
  <c r="I75" i="12"/>
  <c r="I63" i="12"/>
  <c r="J83" i="12"/>
  <c r="J67" i="12"/>
  <c r="K81" i="12"/>
  <c r="K65" i="12"/>
  <c r="F73" i="12"/>
  <c r="G58" i="12"/>
  <c r="I81" i="12"/>
  <c r="J57" i="12"/>
  <c r="E63" i="12"/>
  <c r="G81" i="12"/>
  <c r="H81" i="12"/>
  <c r="I68" i="12"/>
  <c r="K70" i="12"/>
  <c r="E86" i="12"/>
  <c r="F71" i="12"/>
  <c r="H80" i="12"/>
  <c r="I55" i="12"/>
  <c r="E81" i="12"/>
  <c r="E69" i="12"/>
  <c r="E57" i="12"/>
  <c r="F78" i="12"/>
  <c r="F66" i="12"/>
  <c r="E87" i="12"/>
  <c r="G75" i="12"/>
  <c r="G63" i="12"/>
  <c r="H87" i="12"/>
  <c r="H75" i="12"/>
  <c r="H63" i="12"/>
  <c r="I86" i="12"/>
  <c r="I74" i="12"/>
  <c r="I62" i="12"/>
  <c r="J82" i="12"/>
  <c r="J66" i="12"/>
  <c r="K80" i="12"/>
  <c r="K64" i="12"/>
  <c r="E80" i="12"/>
  <c r="E68" i="12"/>
  <c r="E56" i="12"/>
  <c r="F77" i="12"/>
  <c r="F65" i="12"/>
  <c r="G86" i="12"/>
  <c r="G74" i="12"/>
  <c r="G62" i="12"/>
  <c r="H86" i="12"/>
  <c r="H74" i="12"/>
  <c r="H62" i="12"/>
  <c r="I85" i="12"/>
  <c r="I73" i="12"/>
  <c r="I61" i="12"/>
  <c r="J81" i="12"/>
  <c r="J65" i="12"/>
  <c r="K79" i="12"/>
  <c r="K63" i="12"/>
  <c r="F87" i="12"/>
  <c r="G84" i="12"/>
  <c r="H84" i="12"/>
  <c r="I71" i="12"/>
  <c r="K57" i="12"/>
  <c r="E77" i="12"/>
  <c r="F74" i="12"/>
  <c r="G71" i="12"/>
  <c r="H71" i="12"/>
  <c r="I70" i="12"/>
  <c r="J78" i="12"/>
  <c r="F85" i="12"/>
  <c r="G70" i="12"/>
  <c r="H58" i="12"/>
  <c r="J77" i="12"/>
  <c r="E75" i="12"/>
  <c r="F60" i="12"/>
  <c r="H69" i="12"/>
  <c r="I56" i="12"/>
  <c r="E74" i="12"/>
  <c r="F59" i="12"/>
  <c r="G56" i="12"/>
  <c r="I79" i="12"/>
  <c r="E79" i="12"/>
  <c r="E67" i="12"/>
  <c r="F76" i="12"/>
  <c r="F64" i="12"/>
  <c r="G85" i="12"/>
  <c r="G73" i="12"/>
  <c r="G61" i="12"/>
  <c r="H85" i="12"/>
  <c r="H73" i="12"/>
  <c r="H61" i="12"/>
  <c r="I84" i="12"/>
  <c r="I72" i="12"/>
  <c r="I60" i="12"/>
  <c r="J80" i="12"/>
  <c r="J60" i="12"/>
  <c r="K78" i="12"/>
  <c r="J76" i="12"/>
  <c r="J64" i="12"/>
  <c r="K86" i="12"/>
  <c r="K74" i="12"/>
  <c r="K62" i="12"/>
  <c r="L85" i="12"/>
  <c r="L73" i="12"/>
  <c r="L61" i="12"/>
  <c r="M83" i="12"/>
  <c r="M71" i="12"/>
  <c r="M59" i="12"/>
  <c r="J75" i="12"/>
  <c r="J63" i="12"/>
  <c r="K85" i="12"/>
  <c r="K73" i="12"/>
  <c r="K61" i="12"/>
  <c r="L84" i="12"/>
  <c r="L72" i="12"/>
  <c r="L60" i="12"/>
  <c r="M82" i="12"/>
  <c r="M70" i="12"/>
  <c r="M58" i="12"/>
  <c r="J86" i="12"/>
  <c r="J74" i="12"/>
  <c r="J62" i="12"/>
  <c r="K84" i="12"/>
  <c r="K72" i="12"/>
  <c r="K60" i="12"/>
  <c r="L83" i="12"/>
  <c r="L71" i="12"/>
  <c r="L59" i="12"/>
  <c r="M81" i="12"/>
  <c r="M69" i="12"/>
  <c r="M57" i="12"/>
  <c r="J85" i="12"/>
  <c r="J73" i="12"/>
  <c r="J61" i="12"/>
  <c r="K83" i="12"/>
  <c r="K71" i="12"/>
  <c r="K59" i="12"/>
  <c r="L82" i="12"/>
  <c r="L70" i="12"/>
  <c r="L58" i="12"/>
  <c r="M80" i="12"/>
  <c r="M68" i="12"/>
  <c r="C56" i="12" l="1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55" i="12"/>
  <c r="D24" i="5"/>
  <c r="C9" i="10"/>
  <c r="E68" i="8"/>
  <c r="E71" i="8"/>
  <c r="E72" i="8"/>
  <c r="E73" i="8"/>
  <c r="E69" i="8"/>
  <c r="E70" i="8"/>
  <c r="AR64" i="12" l="1"/>
  <c r="AR76" i="12"/>
  <c r="AR54" i="12"/>
  <c r="AR60" i="12"/>
  <c r="AR65" i="12"/>
  <c r="AR77" i="12"/>
  <c r="AR72" i="12"/>
  <c r="AR85" i="12"/>
  <c r="AR86" i="12"/>
  <c r="AR66" i="12"/>
  <c r="AR78" i="12"/>
  <c r="AR82" i="12"/>
  <c r="AR59" i="12"/>
  <c r="AR73" i="12"/>
  <c r="AR62" i="12"/>
  <c r="AR63" i="12"/>
  <c r="AR55" i="12"/>
  <c r="AR67" i="12"/>
  <c r="AR79" i="12"/>
  <c r="AR71" i="12"/>
  <c r="AR84" i="12"/>
  <c r="AR74" i="12"/>
  <c r="AR56" i="12"/>
  <c r="AR68" i="12"/>
  <c r="AR80" i="12"/>
  <c r="AR70" i="12"/>
  <c r="AR83" i="12"/>
  <c r="AR61" i="12"/>
  <c r="AR75" i="12"/>
  <c r="AR57" i="12"/>
  <c r="AR69" i="12"/>
  <c r="AR81" i="12"/>
  <c r="AR58" i="12"/>
  <c r="AR87" i="12"/>
  <c r="AM57" i="12"/>
  <c r="AM58" i="12"/>
  <c r="AM70" i="12"/>
  <c r="AM82" i="12"/>
  <c r="AL61" i="12"/>
  <c r="AL73" i="12"/>
  <c r="AL85" i="12"/>
  <c r="AM73" i="12"/>
  <c r="AL64" i="12"/>
  <c r="AL76" i="12"/>
  <c r="AL71" i="12"/>
  <c r="AM69" i="12"/>
  <c r="AM59" i="12"/>
  <c r="AM71" i="12"/>
  <c r="AM83" i="12"/>
  <c r="AL62" i="12"/>
  <c r="AL74" i="12"/>
  <c r="AL86" i="12"/>
  <c r="AM72" i="12"/>
  <c r="AM84" i="12"/>
  <c r="AL63" i="12"/>
  <c r="AL75" i="12"/>
  <c r="AL87" i="12"/>
  <c r="AM85" i="12"/>
  <c r="AL55" i="12"/>
  <c r="AM68" i="12"/>
  <c r="AM81" i="12"/>
  <c r="AL84" i="12"/>
  <c r="AM60" i="12"/>
  <c r="AM61" i="12"/>
  <c r="AM62" i="12"/>
  <c r="AM74" i="12"/>
  <c r="AM86" i="12"/>
  <c r="AL65" i="12"/>
  <c r="AL77" i="12"/>
  <c r="AL57" i="12"/>
  <c r="AM79" i="12"/>
  <c r="AM63" i="12"/>
  <c r="AM75" i="12"/>
  <c r="AM87" i="12"/>
  <c r="AL66" i="12"/>
  <c r="AL78" i="12"/>
  <c r="AM77" i="12"/>
  <c r="AL68" i="12"/>
  <c r="AM78" i="12"/>
  <c r="AL81" i="12"/>
  <c r="AM67" i="12"/>
  <c r="AL58" i="12"/>
  <c r="AL70" i="12"/>
  <c r="AL82" i="12"/>
  <c r="AM56" i="12"/>
  <c r="AL59" i="12"/>
  <c r="AL60" i="12"/>
  <c r="AM64" i="12"/>
  <c r="AM76" i="12"/>
  <c r="AM55" i="12"/>
  <c r="AL67" i="12"/>
  <c r="AL79" i="12"/>
  <c r="AM65" i="12"/>
  <c r="AL56" i="12"/>
  <c r="AL80" i="12"/>
  <c r="AM66" i="12"/>
  <c r="AL69" i="12"/>
  <c r="AM80" i="12"/>
  <c r="AL83" i="12"/>
  <c r="AL72" i="12"/>
  <c r="AK63" i="12"/>
  <c r="AK75" i="12"/>
  <c r="AK87" i="12"/>
  <c r="AJ65" i="12"/>
  <c r="AJ77" i="12"/>
  <c r="AI55" i="12"/>
  <c r="AI67" i="12"/>
  <c r="AI79" i="12"/>
  <c r="AH58" i="12"/>
  <c r="AH70" i="12"/>
  <c r="AH82" i="12"/>
  <c r="AG61" i="12"/>
  <c r="AG73" i="12"/>
  <c r="AG85" i="12"/>
  <c r="AF64" i="12"/>
  <c r="AF76" i="12"/>
  <c r="AI54" i="12"/>
  <c r="AE63" i="12"/>
  <c r="AE75" i="12"/>
  <c r="AE87" i="12"/>
  <c r="AK77" i="12"/>
  <c r="AG75" i="12"/>
  <c r="AF78" i="12"/>
  <c r="AE65" i="12"/>
  <c r="AK66" i="12"/>
  <c r="AK78" i="12"/>
  <c r="AJ68" i="12"/>
  <c r="AI58" i="12"/>
  <c r="AI82" i="12"/>
  <c r="AH73" i="12"/>
  <c r="AG64" i="12"/>
  <c r="AF55" i="12"/>
  <c r="AF79" i="12"/>
  <c r="AE66" i="12"/>
  <c r="AE78" i="12"/>
  <c r="AF85" i="12"/>
  <c r="AJ87" i="12"/>
  <c r="AG59" i="12"/>
  <c r="AF74" i="12"/>
  <c r="AE85" i="12"/>
  <c r="AK62" i="12"/>
  <c r="AJ76" i="12"/>
  <c r="AH69" i="12"/>
  <c r="AF63" i="12"/>
  <c r="AE86" i="12"/>
  <c r="AK64" i="12"/>
  <c r="AK76" i="12"/>
  <c r="AK54" i="12"/>
  <c r="AJ66" i="12"/>
  <c r="AJ78" i="12"/>
  <c r="AI56" i="12"/>
  <c r="AI68" i="12"/>
  <c r="AI80" i="12"/>
  <c r="AH59" i="12"/>
  <c r="AH71" i="12"/>
  <c r="AH83" i="12"/>
  <c r="AG62" i="12"/>
  <c r="AG74" i="12"/>
  <c r="AG86" i="12"/>
  <c r="AF65" i="12"/>
  <c r="AF77" i="12"/>
  <c r="AH54" i="12"/>
  <c r="AE64" i="12"/>
  <c r="AE76" i="12"/>
  <c r="AK65" i="12"/>
  <c r="AJ55" i="12"/>
  <c r="AJ67" i="12"/>
  <c r="AJ79" i="12"/>
  <c r="AI57" i="12"/>
  <c r="AI69" i="12"/>
  <c r="AI81" i="12"/>
  <c r="AH60" i="12"/>
  <c r="AH72" i="12"/>
  <c r="AH84" i="12"/>
  <c r="AG63" i="12"/>
  <c r="AG87" i="12"/>
  <c r="AF66" i="12"/>
  <c r="AG54" i="12"/>
  <c r="AE77" i="12"/>
  <c r="AJ56" i="12"/>
  <c r="AJ80" i="12"/>
  <c r="AI70" i="12"/>
  <c r="AH61" i="12"/>
  <c r="AH85" i="12"/>
  <c r="AG76" i="12"/>
  <c r="AF67" i="12"/>
  <c r="AF54" i="12"/>
  <c r="AE54" i="12"/>
  <c r="AE60" i="12"/>
  <c r="AK61" i="12"/>
  <c r="AJ63" i="12"/>
  <c r="AI77" i="12"/>
  <c r="AH80" i="12"/>
  <c r="AG83" i="12"/>
  <c r="AE61" i="12"/>
  <c r="AK74" i="12"/>
  <c r="AJ64" i="12"/>
  <c r="AJ54" i="12"/>
  <c r="AH57" i="12"/>
  <c r="AH81" i="12"/>
  <c r="AG72" i="12"/>
  <c r="AF75" i="12"/>
  <c r="AE62" i="12"/>
  <c r="AK55" i="12"/>
  <c r="AK67" i="12"/>
  <c r="AK79" i="12"/>
  <c r="AJ57" i="12"/>
  <c r="AJ69" i="12"/>
  <c r="AJ81" i="12"/>
  <c r="AI59" i="12"/>
  <c r="AI71" i="12"/>
  <c r="AI83" i="12"/>
  <c r="AH62" i="12"/>
  <c r="AH74" i="12"/>
  <c r="AH86" i="12"/>
  <c r="AG65" i="12"/>
  <c r="AG77" i="12"/>
  <c r="AF56" i="12"/>
  <c r="AF68" i="12"/>
  <c r="AF80" i="12"/>
  <c r="AE55" i="12"/>
  <c r="AE67" i="12"/>
  <c r="AE79" i="12"/>
  <c r="AI63" i="12"/>
  <c r="AG57" i="12"/>
  <c r="AF72" i="12"/>
  <c r="AE71" i="12"/>
  <c r="AK60" i="12"/>
  <c r="AJ74" i="12"/>
  <c r="AI64" i="12"/>
  <c r="AH55" i="12"/>
  <c r="AH79" i="12"/>
  <c r="AG70" i="12"/>
  <c r="AF73" i="12"/>
  <c r="AE84" i="12"/>
  <c r="AK56" i="12"/>
  <c r="AK68" i="12"/>
  <c r="AK80" i="12"/>
  <c r="AJ58" i="12"/>
  <c r="AJ70" i="12"/>
  <c r="AJ82" i="12"/>
  <c r="AI60" i="12"/>
  <c r="AI72" i="12"/>
  <c r="AI84" i="12"/>
  <c r="AH63" i="12"/>
  <c r="AH75" i="12"/>
  <c r="AH87" i="12"/>
  <c r="AG66" i="12"/>
  <c r="AG78" i="12"/>
  <c r="AF57" i="12"/>
  <c r="AF69" i="12"/>
  <c r="AF81" i="12"/>
  <c r="AE56" i="12"/>
  <c r="AE68" i="12"/>
  <c r="AE80" i="12"/>
  <c r="AK58" i="12"/>
  <c r="AJ60" i="12"/>
  <c r="AJ84" i="12"/>
  <c r="AI74" i="12"/>
  <c r="AH77" i="12"/>
  <c r="AG68" i="12"/>
  <c r="AF59" i="12"/>
  <c r="AF83" i="12"/>
  <c r="AE70" i="12"/>
  <c r="AK71" i="12"/>
  <c r="AJ61" i="12"/>
  <c r="AJ85" i="12"/>
  <c r="AI87" i="12"/>
  <c r="AH78" i="12"/>
  <c r="AG81" i="12"/>
  <c r="AF84" i="12"/>
  <c r="AE59" i="12"/>
  <c r="AE83" i="12"/>
  <c r="AK72" i="12"/>
  <c r="AJ62" i="12"/>
  <c r="AJ86" i="12"/>
  <c r="AI76" i="12"/>
  <c r="AH67" i="12"/>
  <c r="AG58" i="12"/>
  <c r="AF61" i="12"/>
  <c r="AE72" i="12"/>
  <c r="AK73" i="12"/>
  <c r="AI65" i="12"/>
  <c r="AH68" i="12"/>
  <c r="AF62" i="12"/>
  <c r="AE73" i="12"/>
  <c r="AK86" i="12"/>
  <c r="AI66" i="12"/>
  <c r="AG60" i="12"/>
  <c r="AF87" i="12"/>
  <c r="AK57" i="12"/>
  <c r="AK69" i="12"/>
  <c r="AK81" i="12"/>
  <c r="AJ59" i="12"/>
  <c r="AJ71" i="12"/>
  <c r="AJ83" i="12"/>
  <c r="AI61" i="12"/>
  <c r="AI73" i="12"/>
  <c r="AI85" i="12"/>
  <c r="AH64" i="12"/>
  <c r="AH76" i="12"/>
  <c r="AG55" i="12"/>
  <c r="AG67" i="12"/>
  <c r="AG79" i="12"/>
  <c r="AF58" i="12"/>
  <c r="AF70" i="12"/>
  <c r="AF82" i="12"/>
  <c r="AE57" i="12"/>
  <c r="AE69" i="12"/>
  <c r="AE81" i="12"/>
  <c r="AK70" i="12"/>
  <c r="AK82" i="12"/>
  <c r="AJ72" i="12"/>
  <c r="AI62" i="12"/>
  <c r="AI86" i="12"/>
  <c r="AH65" i="12"/>
  <c r="AG56" i="12"/>
  <c r="AG80" i="12"/>
  <c r="AF71" i="12"/>
  <c r="AE58" i="12"/>
  <c r="AE82" i="12"/>
  <c r="AK59" i="12"/>
  <c r="AK83" i="12"/>
  <c r="AJ73" i="12"/>
  <c r="AI75" i="12"/>
  <c r="AH66" i="12"/>
  <c r="AG69" i="12"/>
  <c r="AF60" i="12"/>
  <c r="AK84" i="12"/>
  <c r="AG82" i="12"/>
  <c r="AK85" i="12"/>
  <c r="AJ75" i="12"/>
  <c r="AH56" i="12"/>
  <c r="AG71" i="12"/>
  <c r="AF86" i="12"/>
  <c r="AI78" i="12"/>
  <c r="AG84" i="12"/>
  <c r="AE74" i="12"/>
  <c r="AW67" i="12"/>
  <c r="AX79" i="12" l="1"/>
  <c r="AW58" i="12"/>
  <c r="AW63" i="12"/>
  <c r="AU77" i="12"/>
  <c r="AU65" i="12"/>
  <c r="AV74" i="12"/>
  <c r="AV86" i="12"/>
  <c r="AW84" i="12"/>
  <c r="AS80" i="12"/>
  <c r="AW72" i="12"/>
  <c r="AS68" i="12"/>
  <c r="AU79" i="12"/>
  <c r="AS56" i="12"/>
  <c r="AS75" i="12"/>
  <c r="AT54" i="12"/>
  <c r="AW85" i="12"/>
  <c r="AV57" i="12"/>
  <c r="AU69" i="12"/>
  <c r="AS78" i="12"/>
  <c r="AW78" i="12"/>
  <c r="AS85" i="12"/>
  <c r="AU55" i="12"/>
  <c r="AX55" i="12"/>
  <c r="AX63" i="12"/>
  <c r="AS84" i="12"/>
  <c r="AT70" i="12"/>
  <c r="AX82" i="12"/>
  <c r="AX67" i="12"/>
  <c r="AW64" i="12"/>
  <c r="AS72" i="12"/>
  <c r="AT83" i="12"/>
  <c r="AU84" i="12"/>
  <c r="AV81" i="12"/>
  <c r="AT82" i="12"/>
  <c r="AS60" i="12"/>
  <c r="AU68" i="12"/>
  <c r="AX83" i="12"/>
  <c r="AU82" i="12"/>
  <c r="AT75" i="12"/>
  <c r="AT81" i="12"/>
  <c r="AT77" i="12"/>
  <c r="AU80" i="12"/>
  <c r="AX81" i="12"/>
  <c r="AX70" i="12"/>
  <c r="AT74" i="12"/>
  <c r="AS70" i="12"/>
  <c r="AU83" i="12"/>
  <c r="AU87" i="12"/>
  <c r="AV66" i="12"/>
  <c r="AW68" i="12"/>
  <c r="AT64" i="12"/>
  <c r="AW60" i="12"/>
  <c r="AS65" i="12"/>
  <c r="AT66" i="12"/>
  <c r="AX69" i="12"/>
  <c r="AV80" i="12"/>
  <c r="AS58" i="12"/>
  <c r="AV56" i="12"/>
  <c r="AU75" i="12"/>
  <c r="AX60" i="12"/>
  <c r="AW56" i="12"/>
  <c r="AU85" i="12"/>
  <c r="AW80" i="12"/>
  <c r="AT79" i="12"/>
  <c r="AU63" i="12"/>
  <c r="AS86" i="12"/>
  <c r="AX77" i="12"/>
  <c r="AU73" i="12"/>
  <c r="AS74" i="12"/>
  <c r="AS82" i="12"/>
  <c r="AT60" i="12"/>
  <c r="AV68" i="12"/>
  <c r="AT72" i="12"/>
  <c r="AT67" i="12"/>
  <c r="AV84" i="12"/>
  <c r="AT59" i="12"/>
  <c r="AX65" i="12"/>
  <c r="AU61" i="12"/>
  <c r="AV64" i="12"/>
  <c r="AX74" i="12"/>
  <c r="AT56" i="12"/>
  <c r="AW87" i="12"/>
  <c r="AW70" i="12"/>
  <c r="AV77" i="12"/>
  <c r="AV54" i="12"/>
  <c r="AV82" i="12"/>
  <c r="AS77" i="12"/>
  <c r="AW86" i="12"/>
  <c r="AT69" i="12"/>
  <c r="AX57" i="12"/>
  <c r="AS87" i="12"/>
  <c r="AV62" i="12"/>
  <c r="AW77" i="12"/>
  <c r="AW74" i="12"/>
  <c r="AT55" i="12"/>
  <c r="AT85" i="12"/>
  <c r="AV72" i="12"/>
  <c r="AT86" i="12"/>
  <c r="AV65" i="12"/>
  <c r="AT65" i="12"/>
  <c r="AS64" i="12"/>
  <c r="AV70" i="12"/>
  <c r="AU71" i="12"/>
  <c r="AU81" i="12"/>
  <c r="AS61" i="12"/>
  <c r="AX71" i="12"/>
  <c r="AU86" i="12"/>
  <c r="AX86" i="12"/>
  <c r="AU78" i="12"/>
  <c r="AT87" i="12"/>
  <c r="AX84" i="12"/>
  <c r="AS83" i="12"/>
  <c r="AW71" i="12"/>
  <c r="AS76" i="12"/>
  <c r="AV76" i="12"/>
  <c r="AU64" i="12"/>
  <c r="AT63" i="12"/>
  <c r="AX85" i="12"/>
  <c r="AS54" i="12"/>
  <c r="AW81" i="12"/>
  <c r="AW65" i="12"/>
  <c r="AS73" i="12"/>
  <c r="AU74" i="12"/>
  <c r="AU54" i="12"/>
  <c r="AW79" i="12"/>
  <c r="AX62" i="12"/>
  <c r="AS66" i="12"/>
  <c r="AV60" i="12"/>
  <c r="AV79" i="12"/>
  <c r="AX54" i="12"/>
  <c r="AT58" i="12"/>
  <c r="AU66" i="12"/>
  <c r="AU60" i="12"/>
  <c r="AS71" i="12"/>
  <c r="AW59" i="12"/>
  <c r="AT61" i="12"/>
  <c r="AX58" i="12"/>
  <c r="AV85" i="12"/>
  <c r="AU72" i="12"/>
  <c r="AS63" i="12"/>
  <c r="AS81" i="12"/>
  <c r="AW69" i="12"/>
  <c r="AU67" i="12"/>
  <c r="AU62" i="12"/>
  <c r="AT84" i="12"/>
  <c r="AS79" i="12"/>
  <c r="AZ59" i="12"/>
  <c r="AZ71" i="12"/>
  <c r="AZ83" i="12"/>
  <c r="AY62" i="12"/>
  <c r="AY74" i="12"/>
  <c r="AY86" i="12"/>
  <c r="AZ65" i="12"/>
  <c r="AY70" i="12"/>
  <c r="AZ56" i="12"/>
  <c r="AY72" i="12"/>
  <c r="AZ60" i="12"/>
  <c r="AZ72" i="12"/>
  <c r="AZ84" i="12"/>
  <c r="AY63" i="12"/>
  <c r="AY75" i="12"/>
  <c r="AY87" i="12"/>
  <c r="AY68" i="12"/>
  <c r="AY58" i="12"/>
  <c r="AZ68" i="12"/>
  <c r="AZ57" i="12"/>
  <c r="AZ82" i="12"/>
  <c r="AZ61" i="12"/>
  <c r="AZ73" i="12"/>
  <c r="AZ85" i="12"/>
  <c r="AY64" i="12"/>
  <c r="AY76" i="12"/>
  <c r="AY55" i="12"/>
  <c r="AZ77" i="12"/>
  <c r="AY80" i="12"/>
  <c r="AZ66" i="12"/>
  <c r="AY69" i="12"/>
  <c r="AZ67" i="12"/>
  <c r="AY71" i="12"/>
  <c r="AZ69" i="12"/>
  <c r="AZ70" i="12"/>
  <c r="AY61" i="12"/>
  <c r="AY85" i="12"/>
  <c r="AZ62" i="12"/>
  <c r="AZ74" i="12"/>
  <c r="AZ86" i="12"/>
  <c r="AY65" i="12"/>
  <c r="AY77" i="12"/>
  <c r="AZ78" i="12"/>
  <c r="AY81" i="12"/>
  <c r="AZ80" i="12"/>
  <c r="AY83" i="12"/>
  <c r="AY60" i="12"/>
  <c r="AZ58" i="12"/>
  <c r="AZ63" i="12"/>
  <c r="AZ75" i="12"/>
  <c r="AZ87" i="12"/>
  <c r="AY66" i="12"/>
  <c r="AY78" i="12"/>
  <c r="AZ81" i="12"/>
  <c r="AY84" i="12"/>
  <c r="AY73" i="12"/>
  <c r="AZ64" i="12"/>
  <c r="AZ76" i="12"/>
  <c r="AZ55" i="12"/>
  <c r="AY67" i="12"/>
  <c r="AY79" i="12"/>
  <c r="AY56" i="12"/>
  <c r="AY57" i="12"/>
  <c r="AZ79" i="12"/>
  <c r="AY82" i="12"/>
  <c r="AY59" i="12"/>
  <c r="AU70" i="12"/>
  <c r="AW73" i="12"/>
  <c r="AV87" i="12"/>
  <c r="AX87" i="12"/>
  <c r="AS62" i="12"/>
  <c r="AS59" i="12"/>
  <c r="AX80" i="12"/>
  <c r="AV67" i="12"/>
  <c r="AV73" i="12"/>
  <c r="AV69" i="12"/>
  <c r="AV78" i="12"/>
  <c r="AS69" i="12"/>
  <c r="AW57" i="12"/>
  <c r="AT73" i="12"/>
  <c r="AW61" i="12"/>
  <c r="AV83" i="12"/>
  <c r="AU57" i="12"/>
  <c r="AS67" i="12"/>
  <c r="AW55" i="12"/>
  <c r="AX59" i="12"/>
  <c r="AU76" i="12"/>
  <c r="AU59" i="12"/>
  <c r="AV58" i="12"/>
  <c r="AW76" i="12"/>
  <c r="AW54" i="12"/>
  <c r="AU56" i="12"/>
  <c r="AT80" i="12"/>
  <c r="AX68" i="12"/>
  <c r="AX73" i="12"/>
  <c r="AV61" i="12"/>
  <c r="AW66" i="12"/>
  <c r="AS57" i="12"/>
  <c r="AX78" i="12"/>
  <c r="AV55" i="12"/>
  <c r="AV71" i="12"/>
  <c r="AW75" i="12"/>
  <c r="AS55" i="12"/>
  <c r="AX76" i="12"/>
  <c r="AT57" i="12"/>
  <c r="AW83" i="12"/>
  <c r="AU58" i="12"/>
  <c r="AV75" i="12"/>
  <c r="AX61" i="12"/>
  <c r="AV63" i="12"/>
  <c r="AT62" i="12"/>
  <c r="AW62" i="12"/>
  <c r="AT68" i="12"/>
  <c r="AX56" i="12"/>
  <c r="AW82" i="12"/>
  <c r="AX75" i="12"/>
  <c r="AT71" i="12"/>
  <c r="AT78" i="12"/>
  <c r="AX66" i="12"/>
  <c r="AV59" i="12"/>
  <c r="AX72" i="12"/>
  <c r="AT76" i="12"/>
  <c r="AX64" i="12"/>
  <c r="AG25" i="8"/>
  <c r="AG23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32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G68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J31" i="8"/>
  <c r="AH31" i="8"/>
  <c r="AG31" i="8"/>
  <c r="Z25" i="8"/>
  <c r="Z24" i="8"/>
  <c r="Z23" i="8"/>
  <c r="Z68" i="8"/>
  <c r="Z29" i="8"/>
  <c r="Z30" i="8"/>
  <c r="Z31" i="8"/>
  <c r="Z32" i="8"/>
  <c r="Z33" i="8"/>
  <c r="Z34" i="8"/>
  <c r="Z35" i="8"/>
  <c r="Z36" i="8"/>
  <c r="Z37" i="8"/>
  <c r="Z38" i="8"/>
  <c r="AA38" i="8" s="1"/>
  <c r="AB38" i="8" s="1"/>
  <c r="Z39" i="8"/>
  <c r="AA39" i="8" s="1"/>
  <c r="AB39" i="8" s="1"/>
  <c r="Z40" i="8"/>
  <c r="AA40" i="8" s="1"/>
  <c r="AB40" i="8" s="1"/>
  <c r="Z41" i="8"/>
  <c r="Z42" i="8"/>
  <c r="Z43" i="8"/>
  <c r="Z44" i="8"/>
  <c r="Z45" i="8"/>
  <c r="Z46" i="8"/>
  <c r="Z47" i="8"/>
  <c r="Z48" i="8"/>
  <c r="Z49" i="8"/>
  <c r="Z50" i="8"/>
  <c r="AA50" i="8" s="1"/>
  <c r="AB50" i="8" s="1"/>
  <c r="Z51" i="8"/>
  <c r="AA51" i="8" s="1"/>
  <c r="AC51" i="8" s="1"/>
  <c r="Z52" i="8"/>
  <c r="AA52" i="8" s="1"/>
  <c r="AB52" i="8" s="1"/>
  <c r="Z53" i="8"/>
  <c r="Z54" i="8"/>
  <c r="Z55" i="8"/>
  <c r="Z56" i="8"/>
  <c r="Z57" i="8"/>
  <c r="Z58" i="8"/>
  <c r="Z59" i="8"/>
  <c r="Z60" i="8"/>
  <c r="Z61" i="8"/>
  <c r="Z62" i="8"/>
  <c r="AA62" i="8" s="1"/>
  <c r="AB62" i="8" s="1"/>
  <c r="Z63" i="8"/>
  <c r="AA63" i="8" s="1"/>
  <c r="AB63" i="8" s="1"/>
  <c r="Z64" i="8"/>
  <c r="AA64" i="8" s="1"/>
  <c r="AB64" i="8" s="1"/>
  <c r="Z65" i="8"/>
  <c r="Z66" i="8"/>
  <c r="Z67" i="8"/>
  <c r="AA29" i="8"/>
  <c r="AC29" i="8" s="1"/>
  <c r="AA30" i="8"/>
  <c r="AC30" i="8" s="1"/>
  <c r="AA31" i="8"/>
  <c r="AC31" i="8" s="1"/>
  <c r="AA32" i="8"/>
  <c r="AC32" i="8" s="1"/>
  <c r="AA33" i="8"/>
  <c r="AC33" i="8" s="1"/>
  <c r="AA34" i="8"/>
  <c r="AC34" i="8" s="1"/>
  <c r="AA35" i="8"/>
  <c r="AC35" i="8" s="1"/>
  <c r="AA36" i="8"/>
  <c r="AC36" i="8" s="1"/>
  <c r="AA37" i="8"/>
  <c r="AC37" i="8" s="1"/>
  <c r="AA41" i="8"/>
  <c r="AA42" i="8"/>
  <c r="AA43" i="8"/>
  <c r="AA44" i="8"/>
  <c r="AA45" i="8"/>
  <c r="AA46" i="8"/>
  <c r="AB46" i="8" s="1"/>
  <c r="AA47" i="8"/>
  <c r="AC47" i="8" s="1"/>
  <c r="AA48" i="8"/>
  <c r="AC48" i="8" s="1"/>
  <c r="AA49" i="8"/>
  <c r="AC49" i="8" s="1"/>
  <c r="AA53" i="8"/>
  <c r="AB53" i="8" s="1"/>
  <c r="AA54" i="8"/>
  <c r="AB54" i="8" s="1"/>
  <c r="AA55" i="8"/>
  <c r="AB55" i="8" s="1"/>
  <c r="AA56" i="8"/>
  <c r="AB56" i="8" s="1"/>
  <c r="AA57" i="8"/>
  <c r="AB57" i="8" s="1"/>
  <c r="AA58" i="8"/>
  <c r="AB58" i="8" s="1"/>
  <c r="AA59" i="8"/>
  <c r="AC59" i="8" s="1"/>
  <c r="AA60" i="8"/>
  <c r="AC60" i="8" s="1"/>
  <c r="AA61" i="8"/>
  <c r="AC61" i="8" s="1"/>
  <c r="AA65" i="8"/>
  <c r="AA66" i="8"/>
  <c r="AA67" i="8"/>
  <c r="AB29" i="8"/>
  <c r="AB30" i="8"/>
  <c r="AB31" i="8"/>
  <c r="AB32" i="8"/>
  <c r="AB33" i="8"/>
  <c r="AB34" i="8"/>
  <c r="AB41" i="8"/>
  <c r="AB42" i="8"/>
  <c r="AB43" i="8"/>
  <c r="AB44" i="8"/>
  <c r="AB45" i="8"/>
  <c r="AB47" i="8"/>
  <c r="AB48" i="8"/>
  <c r="AB49" i="8"/>
  <c r="AB65" i="8"/>
  <c r="AB66" i="8"/>
  <c r="AB67" i="8"/>
  <c r="AC41" i="8"/>
  <c r="AC42" i="8"/>
  <c r="AC43" i="8"/>
  <c r="AC44" i="8"/>
  <c r="AC45" i="8"/>
  <c r="AC46" i="8"/>
  <c r="AC65" i="8"/>
  <c r="AC66" i="8"/>
  <c r="AC67" i="8"/>
  <c r="AC28" i="8"/>
  <c r="AB28" i="8"/>
  <c r="AA28" i="8"/>
  <c r="Z28" i="8"/>
  <c r="Z21" i="8"/>
  <c r="Z20" i="8"/>
  <c r="S24" i="8"/>
  <c r="S25" i="8"/>
  <c r="S23" i="8"/>
  <c r="T29" i="8"/>
  <c r="T30" i="8"/>
  <c r="T31" i="8"/>
  <c r="T32" i="8"/>
  <c r="T33" i="8"/>
  <c r="T34" i="8"/>
  <c r="T35" i="8"/>
  <c r="V35" i="8" s="1"/>
  <c r="T36" i="8"/>
  <c r="V36" i="8" s="1"/>
  <c r="T37" i="8"/>
  <c r="V37" i="8" s="1"/>
  <c r="T38" i="8"/>
  <c r="U38" i="8" s="1"/>
  <c r="T39" i="8"/>
  <c r="U39" i="8" s="1"/>
  <c r="T40" i="8"/>
  <c r="U40" i="8" s="1"/>
  <c r="T41" i="8"/>
  <c r="T42" i="8"/>
  <c r="T43" i="8"/>
  <c r="T44" i="8"/>
  <c r="T45" i="8"/>
  <c r="T46" i="8"/>
  <c r="T47" i="8"/>
  <c r="V47" i="8" s="1"/>
  <c r="T48" i="8"/>
  <c r="V48" i="8" s="1"/>
  <c r="T49" i="8"/>
  <c r="V49" i="8" s="1"/>
  <c r="T50" i="8"/>
  <c r="U50" i="8" s="1"/>
  <c r="T51" i="8"/>
  <c r="U51" i="8" s="1"/>
  <c r="T52" i="8"/>
  <c r="U52" i="8" s="1"/>
  <c r="T53" i="8"/>
  <c r="T54" i="8"/>
  <c r="T55" i="8"/>
  <c r="T56" i="8"/>
  <c r="T57" i="8"/>
  <c r="T58" i="8"/>
  <c r="T59" i="8"/>
  <c r="V59" i="8" s="1"/>
  <c r="T60" i="8"/>
  <c r="V60" i="8" s="1"/>
  <c r="T61" i="8"/>
  <c r="V61" i="8" s="1"/>
  <c r="T62" i="8"/>
  <c r="U62" i="8" s="1"/>
  <c r="T63" i="8"/>
  <c r="U63" i="8" s="1"/>
  <c r="T64" i="8"/>
  <c r="U64" i="8" s="1"/>
  <c r="T65" i="8"/>
  <c r="T66" i="8"/>
  <c r="T67" i="8"/>
  <c r="U29" i="8"/>
  <c r="U30" i="8"/>
  <c r="U31" i="8"/>
  <c r="U32" i="8"/>
  <c r="U33" i="8"/>
  <c r="U34" i="8"/>
  <c r="U35" i="8"/>
  <c r="U36" i="8"/>
  <c r="U37" i="8"/>
  <c r="U41" i="8"/>
  <c r="U42" i="8"/>
  <c r="U43" i="8"/>
  <c r="U44" i="8"/>
  <c r="U45" i="8"/>
  <c r="U46" i="8"/>
  <c r="U47" i="8"/>
  <c r="U48" i="8"/>
  <c r="U49" i="8"/>
  <c r="U53" i="8"/>
  <c r="U54" i="8"/>
  <c r="U55" i="8"/>
  <c r="U56" i="8"/>
  <c r="U57" i="8"/>
  <c r="U58" i="8"/>
  <c r="U59" i="8"/>
  <c r="U60" i="8"/>
  <c r="U61" i="8"/>
  <c r="U65" i="8"/>
  <c r="U66" i="8"/>
  <c r="U67" i="8"/>
  <c r="V29" i="8"/>
  <c r="V30" i="8"/>
  <c r="V31" i="8"/>
  <c r="V32" i="8"/>
  <c r="V33" i="8"/>
  <c r="V34" i="8"/>
  <c r="V41" i="8"/>
  <c r="V42" i="8"/>
  <c r="V43" i="8"/>
  <c r="V44" i="8"/>
  <c r="V45" i="8"/>
  <c r="V46" i="8"/>
  <c r="V53" i="8"/>
  <c r="V54" i="8"/>
  <c r="V55" i="8"/>
  <c r="V56" i="8"/>
  <c r="V57" i="8"/>
  <c r="V58" i="8"/>
  <c r="V65" i="8"/>
  <c r="V66" i="8"/>
  <c r="V67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V28" i="8"/>
  <c r="U28" i="8"/>
  <c r="S29" i="8"/>
  <c r="S28" i="8"/>
  <c r="L25" i="8"/>
  <c r="N29" i="8"/>
  <c r="N30" i="8"/>
  <c r="N31" i="8"/>
  <c r="L24" i="8" s="1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M29" i="8"/>
  <c r="M30" i="8"/>
  <c r="M31" i="8"/>
  <c r="M32" i="8"/>
  <c r="M33" i="8"/>
  <c r="M34" i="8"/>
  <c r="M35" i="8"/>
  <c r="M36" i="8"/>
  <c r="M37" i="8"/>
  <c r="M38" i="8"/>
  <c r="M39" i="8"/>
  <c r="M40" i="8"/>
  <c r="L23" i="8" s="1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N28" i="8"/>
  <c r="M28" i="8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S34" i="7"/>
  <c r="S35" i="7"/>
  <c r="S36" i="7"/>
  <c r="U36" i="7" s="1"/>
  <c r="S37" i="7"/>
  <c r="U37" i="7" s="1"/>
  <c r="S38" i="7"/>
  <c r="U38" i="7" s="1"/>
  <c r="S39" i="7"/>
  <c r="S40" i="7"/>
  <c r="S41" i="7"/>
  <c r="S42" i="7"/>
  <c r="S43" i="7"/>
  <c r="U43" i="7" s="1"/>
  <c r="S44" i="7"/>
  <c r="U44" i="7" s="1"/>
  <c r="S45" i="7"/>
  <c r="U45" i="7" s="1"/>
  <c r="S46" i="7"/>
  <c r="S47" i="7"/>
  <c r="S48" i="7"/>
  <c r="U48" i="7" s="1"/>
  <c r="S49" i="7"/>
  <c r="U49" i="7" s="1"/>
  <c r="S50" i="7"/>
  <c r="U50" i="7" s="1"/>
  <c r="S51" i="7"/>
  <c r="S52" i="7"/>
  <c r="S53" i="7"/>
  <c r="S54" i="7"/>
  <c r="S55" i="7"/>
  <c r="U55" i="7" s="1"/>
  <c r="S56" i="7"/>
  <c r="U56" i="7" s="1"/>
  <c r="S57" i="7"/>
  <c r="U57" i="7" s="1"/>
  <c r="S58" i="7"/>
  <c r="S59" i="7"/>
  <c r="S60" i="7"/>
  <c r="U60" i="7" s="1"/>
  <c r="S61" i="7"/>
  <c r="U61" i="7" s="1"/>
  <c r="S62" i="7"/>
  <c r="U62" i="7" s="1"/>
  <c r="S63" i="7"/>
  <c r="S64" i="7"/>
  <c r="S65" i="7"/>
  <c r="S66" i="7"/>
  <c r="S67" i="7"/>
  <c r="U67" i="7" s="1"/>
  <c r="S68" i="7"/>
  <c r="U68" i="7" s="1"/>
  <c r="S69" i="7"/>
  <c r="U69" i="7" s="1"/>
  <c r="S70" i="7"/>
  <c r="S71" i="7"/>
  <c r="S72" i="7"/>
  <c r="U72" i="7" s="1"/>
  <c r="U34" i="7"/>
  <c r="U35" i="7"/>
  <c r="U39" i="7"/>
  <c r="U40" i="7"/>
  <c r="U41" i="7"/>
  <c r="U42" i="7"/>
  <c r="U46" i="7"/>
  <c r="U47" i="7"/>
  <c r="U51" i="7"/>
  <c r="U52" i="7"/>
  <c r="U53" i="7"/>
  <c r="U54" i="7"/>
  <c r="U58" i="7"/>
  <c r="U59" i="7"/>
  <c r="U63" i="7"/>
  <c r="U64" i="7"/>
  <c r="U65" i="7"/>
  <c r="U66" i="7"/>
  <c r="U70" i="7"/>
  <c r="U71" i="7"/>
  <c r="U33" i="7"/>
  <c r="T33" i="7"/>
  <c r="S33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L45" i="7"/>
  <c r="K45" i="7"/>
  <c r="J72" i="7"/>
  <c r="L72" i="7" s="1"/>
  <c r="J58" i="7"/>
  <c r="J59" i="7"/>
  <c r="J60" i="7"/>
  <c r="J61" i="7"/>
  <c r="J62" i="7"/>
  <c r="J63" i="7"/>
  <c r="J64" i="7"/>
  <c r="J65" i="7"/>
  <c r="J66" i="7"/>
  <c r="J46" i="7"/>
  <c r="J47" i="7"/>
  <c r="J48" i="7"/>
  <c r="J49" i="7"/>
  <c r="J50" i="7"/>
  <c r="J51" i="7"/>
  <c r="J52" i="7"/>
  <c r="J53" i="7"/>
  <c r="J54" i="7"/>
  <c r="J55" i="7"/>
  <c r="J56" i="7"/>
  <c r="J57" i="7"/>
  <c r="J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J67" i="7" s="1"/>
  <c r="I68" i="7"/>
  <c r="J68" i="7" s="1"/>
  <c r="I69" i="7"/>
  <c r="J69" i="7" s="1"/>
  <c r="I70" i="7"/>
  <c r="J70" i="7" s="1"/>
  <c r="I71" i="7"/>
  <c r="J71" i="7" s="1"/>
  <c r="I72" i="7"/>
  <c r="I45" i="7"/>
  <c r="S20" i="8"/>
  <c r="L68" i="8"/>
  <c r="L72" i="8"/>
  <c r="L69" i="8"/>
  <c r="L73" i="8"/>
  <c r="L70" i="8"/>
  <c r="L71" i="8"/>
  <c r="L29" i="8"/>
  <c r="L41" i="8"/>
  <c r="L53" i="8"/>
  <c r="L65" i="8"/>
  <c r="L30" i="8"/>
  <c r="L42" i="8"/>
  <c r="L54" i="8"/>
  <c r="L66" i="8"/>
  <c r="L31" i="8"/>
  <c r="L43" i="8"/>
  <c r="L55" i="8"/>
  <c r="L67" i="8"/>
  <c r="L32" i="8"/>
  <c r="L44" i="8"/>
  <c r="L56" i="8"/>
  <c r="L33" i="8"/>
  <c r="L45" i="8"/>
  <c r="L57" i="8"/>
  <c r="L34" i="8"/>
  <c r="L46" i="8"/>
  <c r="L58" i="8"/>
  <c r="L35" i="8"/>
  <c r="L59" i="8"/>
  <c r="L36" i="8"/>
  <c r="L60" i="8"/>
  <c r="L37" i="8"/>
  <c r="L61" i="8"/>
  <c r="L50" i="8"/>
  <c r="L39" i="8"/>
  <c r="L63" i="8"/>
  <c r="L52" i="8"/>
  <c r="L47" i="8"/>
  <c r="L48" i="8"/>
  <c r="L49" i="8"/>
  <c r="L38" i="8"/>
  <c r="L62" i="8"/>
  <c r="L51" i="8"/>
  <c r="L40" i="8"/>
  <c r="L64" i="8"/>
  <c r="L28" i="8"/>
  <c r="L21" i="8"/>
  <c r="L20" i="8"/>
  <c r="E29" i="8"/>
  <c r="E41" i="8"/>
  <c r="E53" i="8"/>
  <c r="E65" i="8"/>
  <c r="E56" i="8"/>
  <c r="E57" i="8"/>
  <c r="E58" i="8"/>
  <c r="E30" i="8"/>
  <c r="E42" i="8"/>
  <c r="E54" i="8"/>
  <c r="E66" i="8"/>
  <c r="E44" i="8"/>
  <c r="E33" i="8"/>
  <c r="E34" i="8"/>
  <c r="E35" i="8"/>
  <c r="E59" i="8"/>
  <c r="E36" i="8"/>
  <c r="E60" i="8"/>
  <c r="E37" i="8"/>
  <c r="E61" i="8"/>
  <c r="E38" i="8"/>
  <c r="E62" i="8"/>
  <c r="E39" i="8"/>
  <c r="E63" i="8"/>
  <c r="E40" i="8"/>
  <c r="E64" i="8"/>
  <c r="E31" i="8"/>
  <c r="E43" i="8"/>
  <c r="E55" i="8"/>
  <c r="E67" i="8"/>
  <c r="E32" i="8"/>
  <c r="E45" i="8"/>
  <c r="E46" i="8"/>
  <c r="E47" i="8"/>
  <c r="E48" i="8"/>
  <c r="E49" i="8"/>
  <c r="E50" i="8"/>
  <c r="E51" i="8"/>
  <c r="E52" i="8"/>
  <c r="E28" i="8"/>
  <c r="E22" i="8"/>
  <c r="E21" i="8"/>
  <c r="E20" i="8"/>
  <c r="R73" i="7"/>
  <c r="R74" i="7"/>
  <c r="R75" i="7"/>
  <c r="R76" i="7"/>
  <c r="R77" i="7"/>
  <c r="R78" i="7"/>
  <c r="R34" i="7"/>
  <c r="R46" i="7"/>
  <c r="R58" i="7"/>
  <c r="R70" i="7"/>
  <c r="R49" i="7"/>
  <c r="R50" i="7"/>
  <c r="R63" i="7"/>
  <c r="R64" i="7"/>
  <c r="R65" i="7"/>
  <c r="R42" i="7"/>
  <c r="R55" i="7"/>
  <c r="R44" i="7"/>
  <c r="R57" i="7"/>
  <c r="R35" i="7"/>
  <c r="R47" i="7"/>
  <c r="R59" i="7"/>
  <c r="R71" i="7"/>
  <c r="R37" i="7"/>
  <c r="R38" i="7"/>
  <c r="R39" i="7"/>
  <c r="R52" i="7"/>
  <c r="R53" i="7"/>
  <c r="R67" i="7"/>
  <c r="R68" i="7"/>
  <c r="R69" i="7"/>
  <c r="R36" i="7"/>
  <c r="R48" i="7"/>
  <c r="R60" i="7"/>
  <c r="R72" i="7"/>
  <c r="R61" i="7"/>
  <c r="R62" i="7"/>
  <c r="R51" i="7"/>
  <c r="R40" i="7"/>
  <c r="R41" i="7"/>
  <c r="R54" i="7"/>
  <c r="R66" i="7"/>
  <c r="R43" i="7"/>
  <c r="R56" i="7"/>
  <c r="R45" i="7"/>
  <c r="R33" i="7"/>
  <c r="R21" i="7"/>
  <c r="R20" i="7"/>
  <c r="K71" i="7" l="1"/>
  <c r="L71" i="7"/>
  <c r="K68" i="7"/>
  <c r="L68" i="7"/>
  <c r="L70" i="7"/>
  <c r="K70" i="7"/>
  <c r="K69" i="7"/>
  <c r="L69" i="7"/>
  <c r="E28" i="7"/>
  <c r="L67" i="7"/>
  <c r="E30" i="7" s="1"/>
  <c r="K67" i="7"/>
  <c r="E29" i="7" s="1"/>
  <c r="K72" i="7"/>
  <c r="AB61" i="8"/>
  <c r="AB60" i="8"/>
  <c r="AB59" i="8"/>
  <c r="AC56" i="8"/>
  <c r="AC55" i="8"/>
  <c r="AB37" i="8"/>
  <c r="AC58" i="8"/>
  <c r="AC57" i="8"/>
  <c r="AC54" i="8"/>
  <c r="AB36" i="8"/>
  <c r="AC53" i="8"/>
  <c r="AB35" i="8"/>
  <c r="AC64" i="8"/>
  <c r="AC52" i="8"/>
  <c r="AC40" i="8"/>
  <c r="AC39" i="8"/>
  <c r="AC50" i="8"/>
  <c r="AC63" i="8"/>
  <c r="AC38" i="8"/>
  <c r="AB51" i="8"/>
  <c r="AC62" i="8"/>
  <c r="V64" i="8"/>
  <c r="V52" i="8"/>
  <c r="V40" i="8"/>
  <c r="V63" i="8"/>
  <c r="V51" i="8"/>
  <c r="V39" i="8"/>
  <c r="V62" i="8"/>
  <c r="V50" i="8"/>
  <c r="V38" i="8"/>
  <c r="F52" i="8"/>
  <c r="G52" i="8" s="1"/>
  <c r="F51" i="8"/>
  <c r="G51" i="8" s="1"/>
  <c r="F50" i="8"/>
  <c r="G50" i="8" s="1"/>
  <c r="F49" i="8"/>
  <c r="F48" i="8"/>
  <c r="F47" i="8"/>
  <c r="F46" i="8"/>
  <c r="F45" i="8"/>
  <c r="F32" i="8"/>
  <c r="F67" i="8"/>
  <c r="F55" i="8"/>
  <c r="F43" i="8"/>
  <c r="F31" i="8"/>
  <c r="F64" i="8"/>
  <c r="G64" i="8" s="1"/>
  <c r="F40" i="8"/>
  <c r="G40" i="8" s="1"/>
  <c r="F63" i="8"/>
  <c r="G63" i="8" s="1"/>
  <c r="F39" i="8"/>
  <c r="G39" i="8" s="1"/>
  <c r="F62" i="8"/>
  <c r="G62" i="8" s="1"/>
  <c r="F38" i="8"/>
  <c r="G38" i="8" s="1"/>
  <c r="F61" i="8"/>
  <c r="F37" i="8"/>
  <c r="F60" i="8"/>
  <c r="F36" i="8"/>
  <c r="F59" i="8"/>
  <c r="F35" i="8"/>
  <c r="F34" i="8"/>
  <c r="F33" i="8"/>
  <c r="F44" i="8"/>
  <c r="F66" i="8"/>
  <c r="F54" i="8"/>
  <c r="F42" i="8"/>
  <c r="F30" i="8"/>
  <c r="F58" i="8"/>
  <c r="F57" i="8"/>
  <c r="F56" i="8"/>
  <c r="F65" i="8"/>
  <c r="F53" i="8"/>
  <c r="F41" i="8"/>
  <c r="F29" i="8"/>
  <c r="H64" i="8"/>
  <c r="H40" i="8"/>
  <c r="H63" i="8"/>
  <c r="H51" i="8"/>
  <c r="H39" i="8"/>
  <c r="H62" i="8"/>
  <c r="H50" i="8"/>
  <c r="H38" i="8"/>
  <c r="H52" i="8"/>
  <c r="F28" i="8"/>
  <c r="E23" i="8" l="1"/>
  <c r="G65" i="8"/>
  <c r="H65" i="8"/>
  <c r="H59" i="8"/>
  <c r="G59" i="8"/>
  <c r="G43" i="8"/>
  <c r="H43" i="8"/>
  <c r="G56" i="8"/>
  <c r="H56" i="8"/>
  <c r="H36" i="8"/>
  <c r="G36" i="8"/>
  <c r="H55" i="8"/>
  <c r="G55" i="8"/>
  <c r="H57" i="8"/>
  <c r="G57" i="8"/>
  <c r="H60" i="8"/>
  <c r="G60" i="8"/>
  <c r="H67" i="8"/>
  <c r="G67" i="8"/>
  <c r="H58" i="8"/>
  <c r="G58" i="8"/>
  <c r="H37" i="8"/>
  <c r="G37" i="8"/>
  <c r="H32" i="8"/>
  <c r="G32" i="8"/>
  <c r="G30" i="8"/>
  <c r="H30" i="8"/>
  <c r="H61" i="8"/>
  <c r="G61" i="8"/>
  <c r="H45" i="8"/>
  <c r="G45" i="8"/>
  <c r="G42" i="8"/>
  <c r="H42" i="8"/>
  <c r="H46" i="8"/>
  <c r="G46" i="8"/>
  <c r="H54" i="8"/>
  <c r="G54" i="8"/>
  <c r="H47" i="8"/>
  <c r="G47" i="8"/>
  <c r="H66" i="8"/>
  <c r="G66" i="8"/>
  <c r="H48" i="8"/>
  <c r="G48" i="8"/>
  <c r="G44" i="8"/>
  <c r="H44" i="8"/>
  <c r="H49" i="8"/>
  <c r="G49" i="8"/>
  <c r="H29" i="8"/>
  <c r="G29" i="8"/>
  <c r="H33" i="8"/>
  <c r="G33" i="8"/>
  <c r="G41" i="8"/>
  <c r="H41" i="8"/>
  <c r="H34" i="8"/>
  <c r="G34" i="8"/>
  <c r="G53" i="8"/>
  <c r="H53" i="8"/>
  <c r="H35" i="8"/>
  <c r="G35" i="8"/>
  <c r="H31" i="8"/>
  <c r="G31" i="8"/>
  <c r="H28" i="8"/>
  <c r="G28" i="8"/>
  <c r="E24" i="8" l="1"/>
  <c r="E25" i="8"/>
  <c r="E25" i="7" l="1"/>
  <c r="E24" i="7"/>
  <c r="P64" i="12"/>
  <c r="K71" i="6"/>
  <c r="K26" i="6"/>
  <c r="K25" i="6"/>
  <c r="K24" i="6"/>
  <c r="P57" i="12"/>
  <c r="P56" i="12"/>
  <c r="P55" i="12"/>
  <c r="R24" i="5"/>
  <c r="R23" i="5"/>
  <c r="K25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K24" i="5"/>
  <c r="K23" i="5"/>
  <c r="P59" i="12"/>
  <c r="P60" i="12"/>
  <c r="Q60" i="12" s="1"/>
  <c r="P61" i="12"/>
  <c r="Q61" i="12" s="1"/>
  <c r="P62" i="12"/>
  <c r="P63" i="12"/>
  <c r="Q63" i="12" s="1"/>
  <c r="P69" i="12"/>
  <c r="P70" i="12"/>
  <c r="Q70" i="12" s="1"/>
  <c r="P71" i="12"/>
  <c r="Q71" i="12" s="1"/>
  <c r="P72" i="12"/>
  <c r="P73" i="12"/>
  <c r="P74" i="12"/>
  <c r="Q74" i="12" s="1"/>
  <c r="P75" i="12"/>
  <c r="Q75" i="12" s="1"/>
  <c r="P81" i="12"/>
  <c r="P82" i="12"/>
  <c r="Q82" i="12" s="1"/>
  <c r="P83" i="12"/>
  <c r="Q83" i="12" s="1"/>
  <c r="P84" i="12"/>
  <c r="P85" i="12"/>
  <c r="Q85" i="12" s="1"/>
  <c r="P86" i="12"/>
  <c r="Q86" i="12" s="1"/>
  <c r="P87" i="12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L31" i="6"/>
  <c r="K31" i="6"/>
  <c r="K32" i="6"/>
  <c r="L32" i="6" s="1"/>
  <c r="K33" i="6" s="1"/>
  <c r="L30" i="6"/>
  <c r="K30" i="6"/>
  <c r="N29" i="6"/>
  <c r="L29" i="6"/>
  <c r="K29" i="6"/>
  <c r="K23" i="6"/>
  <c r="K22" i="6"/>
  <c r="D20" i="6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28" i="5"/>
  <c r="R68" i="5"/>
  <c r="R30" i="5"/>
  <c r="R31" i="5"/>
  <c r="R32" i="5"/>
  <c r="R33" i="5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29" i="5"/>
  <c r="N31" i="5"/>
  <c r="G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31" i="5"/>
  <c r="D32" i="5"/>
  <c r="F31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D68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E63" i="5"/>
  <c r="E64" i="5"/>
  <c r="E65" i="5"/>
  <c r="E66" i="5"/>
  <c r="E67" i="5"/>
  <c r="D63" i="5"/>
  <c r="D64" i="5"/>
  <c r="D65" i="5"/>
  <c r="D66" i="5"/>
  <c r="D67" i="5"/>
  <c r="E32" i="5"/>
  <c r="G32" i="5" s="1"/>
  <c r="D25" i="5" s="1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31" i="5"/>
  <c r="E31" i="5" s="1"/>
  <c r="F3" i="10"/>
  <c r="E3" i="10"/>
  <c r="D3" i="10"/>
  <c r="C3" i="10"/>
  <c r="E26" i="7"/>
  <c r="E27" i="7" s="1"/>
  <c r="K21" i="6"/>
  <c r="K20" i="6"/>
  <c r="E22" i="7"/>
  <c r="E21" i="7"/>
  <c r="E20" i="7"/>
  <c r="Q84" i="12" l="1"/>
  <c r="Q62" i="12"/>
  <c r="Q87" i="12"/>
  <c r="Q73" i="12"/>
  <c r="P54" i="12"/>
  <c r="Q55" i="12" s="1"/>
  <c r="P93" i="12"/>
  <c r="Q56" i="12"/>
  <c r="Q64" i="12"/>
  <c r="Q57" i="12"/>
  <c r="Q72" i="12"/>
  <c r="E45" i="7"/>
  <c r="N34" i="7"/>
  <c r="N43" i="7"/>
  <c r="N33" i="7"/>
  <c r="N44" i="7"/>
  <c r="N42" i="7"/>
  <c r="N41" i="7"/>
  <c r="N40" i="7"/>
  <c r="N39" i="7"/>
  <c r="N38" i="7"/>
  <c r="G44" i="7" s="1"/>
  <c r="N37" i="7"/>
  <c r="G43" i="7" s="1"/>
  <c r="N36" i="7"/>
  <c r="G42" i="7" s="1"/>
  <c r="N35" i="7"/>
  <c r="G41" i="7" s="1"/>
  <c r="P80" i="12"/>
  <c r="P68" i="12"/>
  <c r="P67" i="12"/>
  <c r="P78" i="12"/>
  <c r="P66" i="12"/>
  <c r="P77" i="12"/>
  <c r="P65" i="12"/>
  <c r="Q65" i="12" s="1"/>
  <c r="P79" i="12"/>
  <c r="P76" i="12"/>
  <c r="Q76" i="12" s="1"/>
  <c r="L33" i="6"/>
  <c r="K34" i="6"/>
  <c r="D23" i="5"/>
  <c r="Q67" i="12" l="1"/>
  <c r="Q79" i="12"/>
  <c r="Q80" i="12"/>
  <c r="Q81" i="12"/>
  <c r="P88" i="12"/>
  <c r="Q88" i="12" s="1"/>
  <c r="P92" i="12"/>
  <c r="Q92" i="12" s="1"/>
  <c r="Q66" i="12"/>
  <c r="Q78" i="12"/>
  <c r="P90" i="12"/>
  <c r="Q90" i="12" s="1"/>
  <c r="Q68" i="12"/>
  <c r="Q69" i="12"/>
  <c r="Q77" i="12"/>
  <c r="P89" i="12"/>
  <c r="P91" i="12"/>
  <c r="Q93" i="12"/>
  <c r="G39" i="7"/>
  <c r="G40" i="7"/>
  <c r="D26" i="6"/>
  <c r="D24" i="6"/>
  <c r="P58" i="12"/>
  <c r="D25" i="6"/>
  <c r="L34" i="6"/>
  <c r="K35" i="6" s="1"/>
  <c r="Q91" i="12" l="1"/>
  <c r="Q89" i="12"/>
  <c r="Q58" i="12"/>
  <c r="Q49" i="12" s="1"/>
  <c r="Q59" i="12"/>
  <c r="Q48" i="12"/>
  <c r="L35" i="6"/>
  <c r="K36" i="6" s="1"/>
  <c r="X90" i="12" l="1"/>
  <c r="V90" i="12"/>
  <c r="T90" i="12"/>
  <c r="R90" i="12"/>
  <c r="X91" i="12"/>
  <c r="V91" i="12"/>
  <c r="T91" i="12"/>
  <c r="R91" i="12"/>
  <c r="X92" i="12"/>
  <c r="V92" i="12"/>
  <c r="T92" i="12"/>
  <c r="R92" i="12"/>
  <c r="X93" i="12"/>
  <c r="V93" i="12"/>
  <c r="T93" i="12"/>
  <c r="R93" i="12"/>
  <c r="W88" i="12"/>
  <c r="S88" i="12"/>
  <c r="U89" i="12"/>
  <c r="W90" i="12"/>
  <c r="U90" i="12"/>
  <c r="S90" i="12"/>
  <c r="W91" i="12"/>
  <c r="U91" i="12"/>
  <c r="S91" i="12"/>
  <c r="W92" i="12"/>
  <c r="U92" i="12"/>
  <c r="S92" i="12"/>
  <c r="U88" i="12"/>
  <c r="W89" i="12"/>
  <c r="S89" i="12"/>
  <c r="U93" i="12"/>
  <c r="S93" i="12"/>
  <c r="V88" i="12"/>
  <c r="R88" i="12"/>
  <c r="V89" i="12"/>
  <c r="R89" i="12"/>
  <c r="W93" i="12"/>
  <c r="X88" i="12"/>
  <c r="T88" i="12"/>
  <c r="X89" i="12"/>
  <c r="T89" i="12"/>
  <c r="X59" i="12"/>
  <c r="X71" i="12"/>
  <c r="X83" i="12"/>
  <c r="X60" i="12"/>
  <c r="X72" i="12"/>
  <c r="X84" i="12"/>
  <c r="W63" i="12"/>
  <c r="W75" i="12"/>
  <c r="W87" i="12"/>
  <c r="V66" i="12"/>
  <c r="V78" i="12"/>
  <c r="U57" i="12"/>
  <c r="U69" i="12"/>
  <c r="U81" i="12"/>
  <c r="T60" i="12"/>
  <c r="T72" i="12"/>
  <c r="T84" i="12"/>
  <c r="S59" i="12"/>
  <c r="S71" i="12"/>
  <c r="S83" i="12"/>
  <c r="R62" i="12"/>
  <c r="R74" i="12"/>
  <c r="R86" i="12"/>
  <c r="X63" i="12"/>
  <c r="X87" i="12"/>
  <c r="V57" i="12"/>
  <c r="U72" i="12"/>
  <c r="T75" i="12"/>
  <c r="S62" i="12"/>
  <c r="R65" i="12"/>
  <c r="X76" i="12"/>
  <c r="W79" i="12"/>
  <c r="V82" i="12"/>
  <c r="T64" i="12"/>
  <c r="S63" i="12"/>
  <c r="S87" i="12"/>
  <c r="X77" i="12"/>
  <c r="W68" i="12"/>
  <c r="V59" i="12"/>
  <c r="U62" i="12"/>
  <c r="U86" i="12"/>
  <c r="W54" i="12"/>
  <c r="S54" i="12"/>
  <c r="W57" i="12"/>
  <c r="V60" i="12"/>
  <c r="V84" i="12"/>
  <c r="U87" i="12"/>
  <c r="S65" i="12"/>
  <c r="R68" i="12"/>
  <c r="X67" i="12"/>
  <c r="W82" i="12"/>
  <c r="V85" i="12"/>
  <c r="T55" i="12"/>
  <c r="U54" i="12"/>
  <c r="R69" i="12"/>
  <c r="X61" i="12"/>
  <c r="X73" i="12"/>
  <c r="X85" i="12"/>
  <c r="W64" i="12"/>
  <c r="W76" i="12"/>
  <c r="V55" i="12"/>
  <c r="V67" i="12"/>
  <c r="V79" i="12"/>
  <c r="U58" i="12"/>
  <c r="U70" i="12"/>
  <c r="U82" i="12"/>
  <c r="T61" i="12"/>
  <c r="T73" i="12"/>
  <c r="T85" i="12"/>
  <c r="S60" i="12"/>
  <c r="S72" i="12"/>
  <c r="S84" i="12"/>
  <c r="R63" i="12"/>
  <c r="R75" i="12"/>
  <c r="R87" i="12"/>
  <c r="X75" i="12"/>
  <c r="W78" i="12"/>
  <c r="V69" i="12"/>
  <c r="U60" i="12"/>
  <c r="T63" i="12"/>
  <c r="S74" i="12"/>
  <c r="R77" i="12"/>
  <c r="X64" i="12"/>
  <c r="W55" i="12"/>
  <c r="V58" i="12"/>
  <c r="U61" i="12"/>
  <c r="U73" i="12"/>
  <c r="T76" i="12"/>
  <c r="S75" i="12"/>
  <c r="R78" i="12"/>
  <c r="X65" i="12"/>
  <c r="V71" i="12"/>
  <c r="T65" i="12"/>
  <c r="S64" i="12"/>
  <c r="R67" i="12"/>
  <c r="X66" i="12"/>
  <c r="W69" i="12"/>
  <c r="V72" i="12"/>
  <c r="U75" i="12"/>
  <c r="T66" i="12"/>
  <c r="V54" i="12"/>
  <c r="R56" i="12"/>
  <c r="X79" i="12"/>
  <c r="W70" i="12"/>
  <c r="V73" i="12"/>
  <c r="U76" i="12"/>
  <c r="T79" i="12"/>
  <c r="S66" i="12"/>
  <c r="R57" i="12"/>
  <c r="X62" i="12"/>
  <c r="X74" i="12"/>
  <c r="X86" i="12"/>
  <c r="W65" i="12"/>
  <c r="W77" i="12"/>
  <c r="V56" i="12"/>
  <c r="V68" i="12"/>
  <c r="V80" i="12"/>
  <c r="U59" i="12"/>
  <c r="U71" i="12"/>
  <c r="U83" i="12"/>
  <c r="T62" i="12"/>
  <c r="T74" i="12"/>
  <c r="T86" i="12"/>
  <c r="S61" i="12"/>
  <c r="S73" i="12"/>
  <c r="S85" i="12"/>
  <c r="R64" i="12"/>
  <c r="R76" i="12"/>
  <c r="R55" i="12"/>
  <c r="W66" i="12"/>
  <c r="V81" i="12"/>
  <c r="U84" i="12"/>
  <c r="T87" i="12"/>
  <c r="S86" i="12"/>
  <c r="W67" i="12"/>
  <c r="V70" i="12"/>
  <c r="U85" i="12"/>
  <c r="X54" i="12"/>
  <c r="R66" i="12"/>
  <c r="W56" i="12"/>
  <c r="W80" i="12"/>
  <c r="V83" i="12"/>
  <c r="U74" i="12"/>
  <c r="T77" i="12"/>
  <c r="S76" i="12"/>
  <c r="R79" i="12"/>
  <c r="X78" i="12"/>
  <c r="W81" i="12"/>
  <c r="U63" i="12"/>
  <c r="T78" i="12"/>
  <c r="S77" i="12"/>
  <c r="R80" i="12"/>
  <c r="X55" i="12"/>
  <c r="W58" i="12"/>
  <c r="V61" i="12"/>
  <c r="U64" i="12"/>
  <c r="T67" i="12"/>
  <c r="S78" i="12"/>
  <c r="R81" i="12"/>
  <c r="W61" i="12"/>
  <c r="V64" i="12"/>
  <c r="U67" i="12"/>
  <c r="T70" i="12"/>
  <c r="S69" i="12"/>
  <c r="R72" i="12"/>
  <c r="T80" i="12"/>
  <c r="V75" i="12"/>
  <c r="S80" i="12"/>
  <c r="W73" i="12"/>
  <c r="R84" i="12"/>
  <c r="X69" i="12"/>
  <c r="U80" i="12"/>
  <c r="R85" i="12"/>
  <c r="R54" i="12"/>
  <c r="W83" i="12"/>
  <c r="S55" i="12"/>
  <c r="T57" i="12"/>
  <c r="X81" i="12"/>
  <c r="U55" i="12"/>
  <c r="R60" i="12"/>
  <c r="W86" i="12"/>
  <c r="R61" i="12"/>
  <c r="U65" i="12"/>
  <c r="R70" i="12"/>
  <c r="T69" i="12"/>
  <c r="X56" i="12"/>
  <c r="W62" i="12"/>
  <c r="V65" i="12"/>
  <c r="U68" i="12"/>
  <c r="T71" i="12"/>
  <c r="S70" i="12"/>
  <c r="R73" i="12"/>
  <c r="X57" i="12"/>
  <c r="W71" i="12"/>
  <c r="V74" i="12"/>
  <c r="U77" i="12"/>
  <c r="S79" i="12"/>
  <c r="R82" i="12"/>
  <c r="X58" i="12"/>
  <c r="U78" i="12"/>
  <c r="T81" i="12"/>
  <c r="X68" i="12"/>
  <c r="U79" i="12"/>
  <c r="T82" i="12"/>
  <c r="W74" i="12"/>
  <c r="T83" i="12"/>
  <c r="V86" i="12"/>
  <c r="R58" i="12"/>
  <c r="X80" i="12"/>
  <c r="V87" i="12"/>
  <c r="R59" i="12"/>
  <c r="W85" i="12"/>
  <c r="S57" i="12"/>
  <c r="U56" i="12"/>
  <c r="S58" i="12"/>
  <c r="W59" i="12"/>
  <c r="T68" i="12"/>
  <c r="V63" i="12"/>
  <c r="S68" i="12"/>
  <c r="W72" i="12"/>
  <c r="R83" i="12"/>
  <c r="V76" i="12"/>
  <c r="S81" i="12"/>
  <c r="V77" i="12"/>
  <c r="S82" i="12"/>
  <c r="X70" i="12"/>
  <c r="T56" i="12"/>
  <c r="T54" i="12"/>
  <c r="W84" i="12"/>
  <c r="S56" i="12"/>
  <c r="T58" i="12"/>
  <c r="X82" i="12"/>
  <c r="T59" i="12"/>
  <c r="V62" i="12"/>
  <c r="S67" i="12"/>
  <c r="W60" i="12"/>
  <c r="U66" i="12"/>
  <c r="R71" i="12"/>
  <c r="Z90" i="12"/>
  <c r="Z93" i="12"/>
  <c r="Y88" i="12"/>
  <c r="Y90" i="12"/>
  <c r="Y91" i="12"/>
  <c r="Y92" i="12"/>
  <c r="Z91" i="12"/>
  <c r="Y89" i="12"/>
  <c r="Y93" i="12"/>
  <c r="Z88" i="12"/>
  <c r="Z89" i="12"/>
  <c r="Z92" i="12"/>
  <c r="Z67" i="12"/>
  <c r="Z79" i="12"/>
  <c r="Y57" i="12"/>
  <c r="Y69" i="12"/>
  <c r="Y81" i="12"/>
  <c r="Z56" i="12"/>
  <c r="Z68" i="12"/>
  <c r="Z80" i="12"/>
  <c r="Y58" i="12"/>
  <c r="Y70" i="12"/>
  <c r="Y82" i="12"/>
  <c r="Z71" i="12"/>
  <c r="Y61" i="12"/>
  <c r="Z72" i="12"/>
  <c r="Y74" i="12"/>
  <c r="Z73" i="12"/>
  <c r="Y63" i="12"/>
  <c r="Y75" i="12"/>
  <c r="Z74" i="12"/>
  <c r="Y64" i="12"/>
  <c r="Y55" i="12"/>
  <c r="Z87" i="12"/>
  <c r="Z57" i="12"/>
  <c r="Z69" i="12"/>
  <c r="Z81" i="12"/>
  <c r="Y59" i="12"/>
  <c r="Y71" i="12"/>
  <c r="Y83" i="12"/>
  <c r="Z59" i="12"/>
  <c r="Z83" i="12"/>
  <c r="Y85" i="12"/>
  <c r="Z60" i="12"/>
  <c r="Z84" i="12"/>
  <c r="Y62" i="12"/>
  <c r="Z62" i="12"/>
  <c r="Y76" i="12"/>
  <c r="Z75" i="12"/>
  <c r="Y77" i="12"/>
  <c r="Z58" i="12"/>
  <c r="Z70" i="12"/>
  <c r="Z82" i="12"/>
  <c r="Y60" i="12"/>
  <c r="Y72" i="12"/>
  <c r="Y84" i="12"/>
  <c r="Y73" i="12"/>
  <c r="Y86" i="12"/>
  <c r="Z61" i="12"/>
  <c r="Z85" i="12"/>
  <c r="Y87" i="12"/>
  <c r="Z86" i="12"/>
  <c r="Z63" i="12"/>
  <c r="Y65" i="12"/>
  <c r="Z66" i="12"/>
  <c r="Y80" i="12"/>
  <c r="Z77" i="12"/>
  <c r="Z78" i="12"/>
  <c r="Y66" i="12"/>
  <c r="Y78" i="12"/>
  <c r="Z76" i="12"/>
  <c r="Y56" i="12"/>
  <c r="Y68" i="12"/>
  <c r="Z65" i="12"/>
  <c r="Z55" i="12"/>
  <c r="Y67" i="12"/>
  <c r="Z64" i="12"/>
  <c r="Y79" i="12"/>
  <c r="F45" i="7"/>
  <c r="G45" i="7"/>
  <c r="L36" i="6"/>
  <c r="K37" i="6" s="1"/>
  <c r="E46" i="7" l="1"/>
  <c r="L37" i="6"/>
  <c r="K38" i="6" s="1"/>
  <c r="G46" i="7" l="1"/>
  <c r="E47" i="7" s="1"/>
  <c r="F46" i="7"/>
  <c r="L38" i="6"/>
  <c r="K39" i="6" s="1"/>
  <c r="G47" i="7" l="1"/>
  <c r="F47" i="7"/>
  <c r="E48" i="7" s="1"/>
  <c r="L39" i="6"/>
  <c r="K40" i="6" s="1"/>
  <c r="G48" i="7" l="1"/>
  <c r="E49" i="7" s="1"/>
  <c r="F48" i="7"/>
  <c r="L40" i="6"/>
  <c r="K41" i="6" s="1"/>
  <c r="G49" i="7" l="1"/>
  <c r="F49" i="7"/>
  <c r="E50" i="7"/>
  <c r="L41" i="6"/>
  <c r="K42" i="6" s="1"/>
  <c r="G50" i="7" l="1"/>
  <c r="F50" i="7"/>
  <c r="E51" i="7" s="1"/>
  <c r="L42" i="6"/>
  <c r="K43" i="6" s="1"/>
  <c r="G51" i="7" l="1"/>
  <c r="F51" i="7"/>
  <c r="E52" i="7" s="1"/>
  <c r="L43" i="6"/>
  <c r="K44" i="6" s="1"/>
  <c r="G52" i="7" l="1"/>
  <c r="F52" i="7"/>
  <c r="E53" i="7" s="1"/>
  <c r="L44" i="6"/>
  <c r="K45" i="6" s="1"/>
  <c r="G53" i="7" l="1"/>
  <c r="F53" i="7"/>
  <c r="E54" i="7"/>
  <c r="L45" i="6"/>
  <c r="K46" i="6" s="1"/>
  <c r="G54" i="7" l="1"/>
  <c r="F54" i="7"/>
  <c r="E55" i="7" s="1"/>
  <c r="L46" i="6"/>
  <c r="K47" i="6" s="1"/>
  <c r="G55" i="7" l="1"/>
  <c r="F55" i="7"/>
  <c r="E56" i="7" s="1"/>
  <c r="L47" i="6"/>
  <c r="K48" i="6" s="1"/>
  <c r="G56" i="7" l="1"/>
  <c r="F56" i="7"/>
  <c r="E57" i="7" s="1"/>
  <c r="L48" i="6"/>
  <c r="K49" i="6" s="1"/>
  <c r="G57" i="7" l="1"/>
  <c r="F57" i="7"/>
  <c r="E58" i="7" s="1"/>
  <c r="L49" i="6"/>
  <c r="K50" i="6" s="1"/>
  <c r="G58" i="7" l="1"/>
  <c r="F58" i="7"/>
  <c r="L50" i="6"/>
  <c r="K51" i="6" s="1"/>
  <c r="E59" i="7" l="1"/>
  <c r="G59" i="7"/>
  <c r="F59" i="7"/>
  <c r="E60" i="7" s="1"/>
  <c r="L51" i="6"/>
  <c r="K52" i="6" s="1"/>
  <c r="G60" i="7" l="1"/>
  <c r="F60" i="7"/>
  <c r="E61" i="7" s="1"/>
  <c r="L52" i="6"/>
  <c r="K53" i="6" s="1"/>
  <c r="G61" i="7" l="1"/>
  <c r="F61" i="7"/>
  <c r="E62" i="7" s="1"/>
  <c r="L53" i="6"/>
  <c r="K54" i="6" s="1"/>
  <c r="G62" i="7" l="1"/>
  <c r="F62" i="7"/>
  <c r="E63" i="7" s="1"/>
  <c r="L54" i="6"/>
  <c r="K55" i="6" s="1"/>
  <c r="G63" i="7" l="1"/>
  <c r="F63" i="7"/>
  <c r="E64" i="7" s="1"/>
  <c r="L55" i="6"/>
  <c r="K56" i="6" s="1"/>
  <c r="G64" i="7" l="1"/>
  <c r="F64" i="7"/>
  <c r="E65" i="7"/>
  <c r="L56" i="6"/>
  <c r="K57" i="6" s="1"/>
  <c r="G65" i="7" l="1"/>
  <c r="F65" i="7"/>
  <c r="E66" i="7" s="1"/>
  <c r="L57" i="6"/>
  <c r="K58" i="6" s="1"/>
  <c r="G66" i="7" l="1"/>
  <c r="F66" i="7"/>
  <c r="E67" i="7" s="1"/>
  <c r="L58" i="6"/>
  <c r="K59" i="6" s="1"/>
  <c r="G67" i="7" l="1"/>
  <c r="F67" i="7"/>
  <c r="E68" i="7" s="1"/>
  <c r="L59" i="6"/>
  <c r="K60" i="6" s="1"/>
  <c r="G68" i="7" l="1"/>
  <c r="F68" i="7"/>
  <c r="E69" i="7" s="1"/>
  <c r="L60" i="6"/>
  <c r="K61" i="6" s="1"/>
  <c r="G69" i="7" l="1"/>
  <c r="F69" i="7"/>
  <c r="E70" i="7"/>
  <c r="L61" i="6"/>
  <c r="K62" i="6" s="1"/>
  <c r="G70" i="7" l="1"/>
  <c r="F70" i="7"/>
  <c r="E71" i="7" s="1"/>
  <c r="L62" i="6"/>
  <c r="K63" i="6" s="1"/>
  <c r="G71" i="7" l="1"/>
  <c r="F71" i="7"/>
  <c r="E72" i="7" s="1"/>
  <c r="L63" i="6"/>
  <c r="K64" i="6" s="1"/>
  <c r="G72" i="7" l="1"/>
  <c r="F72" i="7"/>
  <c r="L64" i="6"/>
  <c r="K65" i="6" s="1"/>
  <c r="L65" i="6" l="1"/>
  <c r="K66" i="6" s="1"/>
  <c r="L66" i="6" l="1"/>
  <c r="K67" i="6" s="1"/>
  <c r="L67" i="6" l="1"/>
  <c r="K68" i="6" s="1"/>
  <c r="L68" i="6" l="1"/>
  <c r="K69" i="6" s="1"/>
  <c r="L69" i="6" l="1"/>
  <c r="K70" i="6" s="1"/>
  <c r="L70" i="6" l="1"/>
  <c r="L71" i="6" l="1"/>
  <c r="K72" i="6" s="1"/>
  <c r="L72" i="6" l="1"/>
  <c r="K73" i="6" s="1"/>
  <c r="L73" i="6" l="1"/>
  <c r="K74" i="6" s="1"/>
  <c r="L7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marel</author>
  </authors>
  <commentList>
    <comment ref="C20" authorId="0" shapeId="0" xr:uid="{4A84B605-44D0-42EF-969E-E383DF175DD9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3 data terakhir</t>
        </r>
      </text>
    </comment>
    <comment ref="J20" authorId="0" shapeId="0" xr:uid="{86484A21-8362-4F0F-87F9-02F88C6F22D3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1
2
3
baru normalisasi / (3+2+1)</t>
        </r>
      </text>
    </comment>
    <comment ref="Q20" authorId="0" shapeId="0" xr:uid="{DEF0C4C4-DD69-4F7F-953D-41B4E42AAE8F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nilai kepercayaan terhadap forecast t-1
kepercayaan 95%
alpha = 0,05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marel</author>
    <author>Firsen Wijaya</author>
  </authors>
  <commentList>
    <comment ref="C20" authorId="0" shapeId="0" xr:uid="{7EB2A7F1-C8CD-4919-8A6A-D6D15E33345F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pake rumus =slope
=intercept</t>
        </r>
      </text>
    </comment>
    <comment ref="J20" authorId="0" shapeId="0" xr:uid="{FCD2EC59-07E8-413E-8D79-2BC27203E7E3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=FORECAST.ETS.STAT</t>
        </r>
      </text>
    </comment>
    <comment ref="J22" authorId="0" shapeId="0" xr:uid="{C203E42A-7DFF-4D7B-B80B-7758ED2273A2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DEMAND AWAL</t>
        </r>
      </text>
    </comment>
    <comment ref="K22" authorId="1" shapeId="0" xr:uid="{D814F143-A00E-4A3D-B042-1F974B623D34}">
      <text>
        <r>
          <rPr>
            <b/>
            <sz val="9"/>
            <color indexed="81"/>
            <rFont val="Tahoma"/>
            <family val="2"/>
          </rPr>
          <t>Ohanprada H. Sitorus:</t>
        </r>
        <r>
          <rPr>
            <sz val="9"/>
            <color indexed="81"/>
            <rFont val="Tahoma"/>
            <family val="2"/>
          </rPr>
          <t xml:space="preserve">
asumsi sama dengan demand</t>
        </r>
      </text>
    </comment>
    <comment ref="J23" authorId="0" shapeId="0" xr:uid="{055CFB51-29DA-444A-8950-6E59CF5B7891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slope periode 0 = 0</t>
        </r>
      </text>
    </comment>
    <comment ref="M28" authorId="0" shapeId="0" xr:uid="{4B58EDB1-602B-4E5B-81FC-003F26E2F639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1
kecuali untuk forecast periode selanjtuny bertambah +1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marel</author>
    <author>Firsen Wijaya</author>
  </authors>
  <commentList>
    <comment ref="D20" authorId="0" shapeId="0" xr:uid="{647DE754-C34B-4E1A-BF93-29C8521228DE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=forecast.ets.stat</t>
        </r>
      </text>
    </comment>
    <comment ref="Q20" authorId="0" shapeId="0" xr:uid="{1B4A0551-516C-495D-BA7F-55385BB53509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=FORECAST.ETS</t>
        </r>
      </text>
    </comment>
    <comment ref="D23" authorId="1" shapeId="0" xr:uid="{77FE3250-D321-46EF-84B2-2D9AA8206E8C}">
      <text>
        <r>
          <rPr>
            <b/>
            <sz val="9"/>
            <color indexed="81"/>
            <rFont val="Tahoma"/>
            <family val="2"/>
          </rPr>
          <t>Ohanprada H. Sitorus:</t>
        </r>
        <r>
          <rPr>
            <sz val="9"/>
            <color indexed="81"/>
            <rFont val="Tahoma"/>
            <family val="2"/>
          </rPr>
          <t xml:space="preserve">
Jumlah bulan dalam 1 musim</t>
        </r>
      </text>
    </comment>
    <comment ref="D24" authorId="0" shapeId="0" xr:uid="{A54A8C64-1ECB-4B17-BDAA-FF91AE6284CC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AVERAGE demand 1 musim pertama</t>
        </r>
      </text>
    </comment>
    <comment ref="D25" authorId="0" shapeId="0" xr:uid="{224BB72D-25AC-49CA-B064-7FE382A59948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AVERAGE demand 1 musim kedua</t>
        </r>
      </text>
    </comment>
    <comment ref="D26" authorId="0" shapeId="0" xr:uid="{EA07F355-E40E-48F2-A541-5FE1D9CC3630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(V2-V1)/N</t>
        </r>
      </text>
    </comment>
    <comment ref="D27" authorId="0" shapeId="0" xr:uid="{D5C502FC-9ED1-4A98-A320-CD9186F58CCA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V2+T(0)*((N-1)/2)</t>
        </r>
      </text>
    </comment>
    <comment ref="N32" authorId="0" shapeId="0" xr:uid="{EB2F8C77-20FC-44EC-B294-547C198F6C66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sebanyak julah musim
roundup(jumlah forecast/N)</t>
        </r>
      </text>
    </comment>
    <comment ref="R33" authorId="0" shapeId="0" xr:uid="{15F357EF-410D-4566-A8FE-8FFB9F90B2AC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=ROUNDUP(FORECAST.ETS</t>
        </r>
      </text>
    </comment>
    <comment ref="G39" authorId="0" shapeId="0" xr:uid="{9C9A8592-31C1-4524-8CE5-AB7131FCCCED}">
      <text>
        <r>
          <rPr>
            <b/>
            <sz val="9"/>
            <color indexed="81"/>
            <rFont val="Tahoma"/>
            <family val="2"/>
          </rPr>
          <t>marel:</t>
        </r>
        <r>
          <rPr>
            <sz val="9"/>
            <color indexed="81"/>
            <rFont val="Tahoma"/>
            <family val="2"/>
          </rPr>
          <t xml:space="preserve">
average (s-j pertama ; s-j kedua)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Firsen Wijaya</author>
  </authors>
  <commentList>
    <comment ref="S28" authorId="0" shapeId="0" xr:uid="{613B1F52-7659-4CCF-9842-DC15CAEE59B9}">
      <text>
        <r>
          <rPr>
            <b/>
            <sz val="9"/>
            <color indexed="81"/>
            <rFont val="Tahoma"/>
            <family val="2"/>
          </rPr>
          <t>Ohanprada H. Sitorus:</t>
        </r>
        <r>
          <rPr>
            <sz val="9"/>
            <color indexed="81"/>
            <rFont val="Tahoma"/>
            <family val="2"/>
          </rPr>
          <t xml:space="preserve">
asumsi sama dengan demand</t>
        </r>
      </text>
    </comment>
  </commentList>
</comments>
</file>

<file path=xl/sharedStrings.xml><?xml version="1.0" encoding="utf-8"?>
<sst xmlns="http://schemas.openxmlformats.org/spreadsheetml/2006/main" count="391" uniqueCount="157">
  <si>
    <t>PRAKTIKUM PERANCANGAN SISTEM TERINTEGRASI III</t>
  </si>
  <si>
    <t>MODUL 1 - Peramalan Permintaan Pasar</t>
  </si>
  <si>
    <t>PJ Modul</t>
  </si>
  <si>
    <t>13422054 - Ohanprada Hebrizky Sitorus</t>
  </si>
  <si>
    <t>13422083 - Christopher Nathan Sancoyo</t>
  </si>
  <si>
    <t>13422115 - Marella Parahita Dewani</t>
  </si>
  <si>
    <t>Laboratorium Perencanaan dan Optimasi Sistem Industri</t>
  </si>
  <si>
    <t>Program Studi Teknik Industri</t>
  </si>
  <si>
    <t>Fakultas Teknologi Industri</t>
  </si>
  <si>
    <t>Instructions</t>
  </si>
  <si>
    <t>Worksheet specific notes</t>
  </si>
  <si>
    <t>Summary</t>
  </si>
  <si>
    <t>Lembar kerja ini dibuat untuk mengakomodasi pengolahan data PPST III 2025 Modul 1 - Peramalan Permintaan Pasar. Seluruh data yang diperlukan tersedia pada lembar kerja ini.</t>
  </si>
  <si>
    <t>Keluaran dari lembar kerja ini adalah ramalan permintaan untuk berbagai jenis produk PT PPST Manufacturing.</t>
  </si>
  <si>
    <t>Formatting guide</t>
  </si>
  <si>
    <t>Dalam lembar kerja ini, digunakan konvensi penulisan sebagai berikut.</t>
  </si>
  <si>
    <t>Cells</t>
  </si>
  <si>
    <t>Sel yang telah dikalkulasikan yang tidak boleh diubah secara manual</t>
  </si>
  <si>
    <t>Data mentah yang digunakan model</t>
  </si>
  <si>
    <t>Instruksi, catatan, atau informasi kontekstual lainnya</t>
  </si>
  <si>
    <t>Tabs</t>
  </si>
  <si>
    <t>Analysis sheets</t>
  </si>
  <si>
    <t>Raw data sheets</t>
  </si>
  <si>
    <t>Output sheets</t>
  </si>
  <si>
    <t>Data Awal</t>
  </si>
  <si>
    <t>Penjualan 40 Bulan Terakhir</t>
  </si>
  <si>
    <t>Pola Data</t>
  </si>
  <si>
    <t>Periode</t>
  </si>
  <si>
    <t>Part_A_Jkt</t>
  </si>
  <si>
    <t>Part_B_Jkt</t>
  </si>
  <si>
    <t>Part_C_Jkt</t>
  </si>
  <si>
    <t>Part_D_Jkt</t>
  </si>
  <si>
    <t>2020-03</t>
  </si>
  <si>
    <t>2020-04</t>
  </si>
  <si>
    <t>2020-05</t>
  </si>
  <si>
    <t>2020-06</t>
  </si>
  <si>
    <t>2020-07</t>
  </si>
  <si>
    <t>A</t>
  </si>
  <si>
    <t>Horizontal</t>
  </si>
  <si>
    <t>2020-08</t>
  </si>
  <si>
    <t>b</t>
  </si>
  <si>
    <t>Tren</t>
  </si>
  <si>
    <t>2020-09</t>
  </si>
  <si>
    <t>c</t>
  </si>
  <si>
    <t>seasonal</t>
  </si>
  <si>
    <t>2020-10</t>
  </si>
  <si>
    <t>D</t>
  </si>
  <si>
    <t>random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</si>
  <si>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</si>
  <si>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</si>
  <si>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</si>
  <si>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</si>
  <si>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</si>
  <si>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</si>
  <si>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</si>
  <si>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</si>
  <si>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</si>
  <si>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</si>
  <si>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</si>
  <si>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</si>
  <si>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</si>
  <si>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</si>
  <si>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</si>
  <si>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</si>
  <si>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</si>
  <si>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</si>
  <si>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</si>
  <si>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</si>
  <si>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</si>
  <si>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</si>
  <si>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</si>
  <si>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</si>
  <si>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</si>
  <si>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</si>
  <si>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</si>
  <si>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</si>
  <si>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</si>
  <si>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</si>
  <si>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</si>
  <si>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</si>
  <si>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Simple Moving Average</t>
  </si>
  <si>
    <t>Weighted Moving Average</t>
  </si>
  <si>
    <t>Single Exponential Smoothing</t>
  </si>
  <si>
    <t>Parameter Peramalan</t>
  </si>
  <si>
    <t>N</t>
  </si>
  <si>
    <t>W1</t>
  </si>
  <si>
    <t>α</t>
  </si>
  <si>
    <t>W2</t>
  </si>
  <si>
    <t>W3</t>
  </si>
  <si>
    <r>
      <rPr>
        <sz val="11"/>
        <color theme="1"/>
        <rFont val="Calibri"/>
        <family val="2"/>
      </rPr>
      <t xml:space="preserve">Ukuran </t>
    </r>
    <r>
      <rPr>
        <i/>
        <sz val="11"/>
        <color theme="1"/>
        <rFont val="Calibri"/>
        <family val="2"/>
      </rPr>
      <t>Error</t>
    </r>
  </si>
  <si>
    <t>MAD</t>
  </si>
  <si>
    <t>MSE</t>
  </si>
  <si>
    <t>MAPE</t>
  </si>
  <si>
    <t>Data penjualan Tripod A</t>
  </si>
  <si>
    <t>Hasil Peramalan pada periode t</t>
  </si>
  <si>
    <t>Nilai mutlak dari perbedaan antara hasil peramalan &amp; data penjualan</t>
  </si>
  <si>
    <t>Nilai kuadrat dari perbedaan antara hasil peramalan &amp; data penjualan</t>
  </si>
  <si>
    <t>Persentase perbedaan nilai hasil peramalan &amp; data penjualan</t>
  </si>
  <si>
    <t>Linear Regression with Time</t>
  </si>
  <si>
    <t>Double Exponential Smoothing (Holt's Method)</t>
  </si>
  <si>
    <t>Slope</t>
  </si>
  <si>
    <t>Intercept</t>
  </si>
  <si>
    <t>β</t>
  </si>
  <si>
    <t>B(0)</t>
  </si>
  <si>
    <t>T(0)</t>
  </si>
  <si>
    <t>Data penjualan Tripod B</t>
  </si>
  <si>
    <t>B(t)</t>
  </si>
  <si>
    <t>T(t)</t>
  </si>
  <si>
    <t>k</t>
  </si>
  <si>
    <t>F(t)</t>
  </si>
  <si>
    <t>Triple Exponential Smoothing (Holt's Winter Method)</t>
  </si>
  <si>
    <t>γ</t>
  </si>
  <si>
    <t>V1</t>
  </si>
  <si>
    <t>V2</t>
  </si>
  <si>
    <t>Perhitungan Seasonal Factor</t>
  </si>
  <si>
    <t>Data penjualan Tripod C</t>
  </si>
  <si>
    <t>S(t)</t>
  </si>
  <si>
    <t>S-j</t>
  </si>
  <si>
    <t>Data penjualan Tripod D</t>
  </si>
  <si>
    <t>Moving Range Control Chart</t>
  </si>
  <si>
    <t>Pemeriksaan Kondisi Abnormalitas</t>
  </si>
  <si>
    <t>Tidak ada 1 atau lebih titik yang melewati UCL</t>
  </si>
  <si>
    <t>Tidak konsisten berada di bawah CL/dekat dengan LCL</t>
  </si>
  <si>
    <t>Individuals Control Chart</t>
  </si>
  <si>
    <t>Tidak ada 1 atau lebih titik yang melewati UCL atau LCL</t>
  </si>
  <si>
    <t>Tidak ada 2 atau lebih titik dari 3 titik berurutan yang melewati 2 sigma</t>
  </si>
  <si>
    <t>Tidak ada 4 atau lebih titik dari 5 titik berurutan yang melewati 1 sigma</t>
  </si>
  <si>
    <t>Tidak ada 8 atau lebih titik yang berurutan berada di salah satu sisi CL</t>
  </si>
  <si>
    <r>
      <rPr>
        <sz val="11"/>
        <color theme="1"/>
        <rFont val="Calibri"/>
        <family val="2"/>
      </rPr>
      <t xml:space="preserve">Parameter </t>
    </r>
    <r>
      <rPr>
        <i/>
        <sz val="11"/>
        <color theme="1"/>
        <rFont val="Calibri"/>
        <family val="2"/>
      </rPr>
      <t>Control Chart</t>
    </r>
  </si>
  <si>
    <t>Xbar</t>
  </si>
  <si>
    <t>MR Bar</t>
  </si>
  <si>
    <t>d2</t>
  </si>
  <si>
    <t>D4</t>
  </si>
  <si>
    <t>Error</t>
  </si>
  <si>
    <t>Moving Range</t>
  </si>
  <si>
    <t>UCL</t>
  </si>
  <si>
    <t>MRbar</t>
  </si>
  <si>
    <t>Jenis Tripod</t>
  </si>
  <si>
    <t>B</t>
  </si>
  <si>
    <t>C</t>
  </si>
  <si>
    <t>Metode Peramalan</t>
  </si>
  <si>
    <t>Tipe Peramalan</t>
  </si>
  <si>
    <t>Hasil Peramalan</t>
  </si>
  <si>
    <t>Double Exponential Smoothing</t>
  </si>
  <si>
    <t>Triple Exponential Smoothing</t>
  </si>
  <si>
    <t>1-step Forecast</t>
  </si>
  <si>
    <t>N-steps Forecast</t>
  </si>
  <si>
    <t>LCL1sigma</t>
  </si>
  <si>
    <t>UCL 1sigma</t>
  </si>
  <si>
    <t>LCL 2sigma</t>
  </si>
  <si>
    <t>UCL 2sigma</t>
  </si>
  <si>
    <t>LCL 3sigma</t>
  </si>
  <si>
    <t>UCL 3sigma</t>
  </si>
  <si>
    <r>
      <t xml:space="preserve">D - </t>
    </r>
    <r>
      <rPr>
        <b/>
        <i/>
        <sz val="20"/>
        <color theme="1"/>
        <rFont val="Calibri"/>
        <family val="2"/>
      </rPr>
      <t>Triple Exponential Smoothing</t>
    </r>
  </si>
  <si>
    <r>
      <t xml:space="preserve">C - </t>
    </r>
    <r>
      <rPr>
        <b/>
        <i/>
        <sz val="20"/>
        <color theme="1"/>
        <rFont val="Calibri"/>
        <family val="2"/>
      </rPr>
      <t>Triple Exponential</t>
    </r>
    <r>
      <rPr>
        <b/>
        <sz val="20"/>
        <color theme="1"/>
        <rFont val="Calibri"/>
        <family val="2"/>
      </rPr>
      <t xml:space="preserve"> Smoothing</t>
    </r>
  </si>
  <si>
    <t>B - Linear Regression</t>
  </si>
  <si>
    <t>A - Single Exponential Smoothing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</si>
</sst>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p&quot;* #,##0.00_-;\-&quot;Rp&quot;* #,##0.00_-;_-&quot;Rp&quot;* &quot;-&quot;??_-;_-@_-"/>
    <numFmt numFmtId="164" formatCode="0.000"/>
    <numFmt numFmtId="165" formatCode="0.0000000"/>
    <numFmt numFmtId="166" formatCode="0.0000"/>
    <numFmt numFmtId="167" formatCode="0.0"/>
  </numFmts>
  <fonts count="3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8"/>
      <color theme="1"/>
      <name val="Times New Roman"/>
      <family val="1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Times New Roman"/>
      <family val="1"/>
    </font>
    <font>
      <b/>
      <sz val="11"/>
      <color theme="0"/>
      <name val="Calibri"/>
      <family val="2"/>
    </font>
    <font>
      <b/>
      <sz val="22"/>
      <color theme="0"/>
      <name val="Calibri"/>
      <family val="2"/>
    </font>
    <font>
      <b/>
      <i/>
      <sz val="11"/>
      <color theme="0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595959"/>
      <name val="Calibri"/>
      <family val="2"/>
    </font>
    <font>
      <sz val="11"/>
      <color theme="0"/>
      <name val="Calibri"/>
      <family val="2"/>
    </font>
    <font>
      <b/>
      <sz val="20"/>
      <color theme="1"/>
      <name val="Calibri"/>
      <family val="2"/>
    </font>
    <font>
      <sz val="11"/>
      <color rgb="FF7F7F7F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20"/>
      <color rgb="FFFF0000"/>
      <name val="Calibri"/>
      <family val="2"/>
    </font>
    <font>
      <b/>
      <i/>
      <sz val="20"/>
      <color rgb="FFFF0000"/>
      <name val="Calibri"/>
      <family val="2"/>
    </font>
    <font>
      <sz val="11"/>
      <name val="Calibri"/>
      <family val="2"/>
      <scheme val="minor"/>
    </font>
    <font>
      <b/>
      <i/>
      <sz val="2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CF1"/>
        <bgColor rgb="FFFFFCF1"/>
      </patternFill>
    </fill>
    <fill>
      <patternFill patternType="solid">
        <fgColor rgb="FFA92F2F"/>
        <bgColor rgb="FFA92F2F"/>
      </patternFill>
    </fill>
    <fill>
      <patternFill patternType="solid">
        <fgColor rgb="FFF77F00"/>
        <bgColor rgb="FFF77F00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ED7D31"/>
        <bgColor rgb="FFED7D31"/>
      </patternFill>
    </fill>
    <fill>
      <patternFill patternType="solid">
        <fgColor theme="5"/>
        <bgColor theme="5"/>
      </patternFill>
    </fill>
    <fill>
      <patternFill patternType="solid">
        <fgColor rgb="FFA5A5A5"/>
        <bgColor rgb="FFA5A5A5"/>
      </patternFill>
    </fill>
    <fill>
      <patternFill patternType="solid">
        <fgColor theme="6"/>
        <bgColor theme="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4" fontId="27" fillId="0" borderId="0" applyFont="0" applyFill="0" applyBorder="0" applyAlignment="0" applyProtection="0"/>
    <xf numFmtId="0" fontId="2" fillId="0" borderId="3"/>
    <xf numFmtId="44" fontId="2" fillId="0" borderId="3" applyFont="0" applyFill="0" applyBorder="0" applyAlignment="0" applyProtection="0"/>
    <xf numFmtId="0" fontId="32" fillId="0" borderId="3"/>
  </cellStyleXfs>
  <cellXfs count="215">
    <xf numFmtId="0" fontId="0" fillId="0" borderId="0" xfId="0"/>
    <xf numFmtId="0" fontId="3" fillId="0" borderId="0" xfId="0" applyFont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7" fontId="3" fillId="0" borderId="0" xfId="0" applyNumberFormat="1" applyFont="1"/>
    <xf numFmtId="0" fontId="16" fillId="0" borderId="0" xfId="0" applyFont="1"/>
    <xf numFmtId="1" fontId="16" fillId="0" borderId="0" xfId="0" applyNumberFormat="1" applyFont="1"/>
    <xf numFmtId="0" fontId="16" fillId="0" borderId="10" xfId="0" applyFont="1" applyBorder="1"/>
    <xf numFmtId="1" fontId="16" fillId="0" borderId="10" xfId="0" applyNumberFormat="1" applyFont="1" applyBorder="1"/>
    <xf numFmtId="0" fontId="16" fillId="0" borderId="13" xfId="0" applyFont="1" applyBorder="1"/>
    <xf numFmtId="1" fontId="16" fillId="0" borderId="13" xfId="0" applyNumberFormat="1" applyFont="1" applyBorder="1"/>
    <xf numFmtId="1" fontId="3" fillId="0" borderId="0" xfId="0" applyNumberFormat="1" applyFont="1"/>
    <xf numFmtId="0" fontId="15" fillId="0" borderId="0" xfId="0" applyFont="1"/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/>
    <xf numFmtId="0" fontId="15" fillId="0" borderId="15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20" fillId="0" borderId="0" xfId="0" applyFont="1"/>
    <xf numFmtId="0" fontId="3" fillId="0" borderId="11" xfId="0" applyFont="1" applyBorder="1"/>
    <xf numFmtId="10" fontId="3" fillId="0" borderId="0" xfId="0" applyNumberFormat="1" applyFont="1"/>
    <xf numFmtId="10" fontId="3" fillId="0" borderId="0" xfId="0" applyNumberFormat="1" applyFont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" fontId="20" fillId="0" borderId="0" xfId="0" applyNumberFormat="1" applyFont="1"/>
    <xf numFmtId="10" fontId="20" fillId="0" borderId="0" xfId="0" applyNumberFormat="1" applyFont="1"/>
    <xf numFmtId="0" fontId="3" fillId="0" borderId="13" xfId="0" applyFont="1" applyBorder="1"/>
    <xf numFmtId="0" fontId="3" fillId="0" borderId="3" xfId="0" applyFont="1" applyBorder="1" applyAlignment="1">
      <alignment horizontal="center"/>
    </xf>
    <xf numFmtId="0" fontId="21" fillId="0" borderId="0" xfId="0" applyFont="1"/>
    <xf numFmtId="1" fontId="16" fillId="0" borderId="0" xfId="0" applyNumberFormat="1" applyFont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0" fillId="0" borderId="0" xfId="0" applyNumberFormat="1"/>
    <xf numFmtId="0" fontId="3" fillId="2" borderId="3" xfId="0" applyFont="1" applyFill="1" applyBorder="1"/>
    <xf numFmtId="0" fontId="6" fillId="2" borderId="3" xfId="0" applyFont="1" applyFill="1" applyBorder="1"/>
    <xf numFmtId="0" fontId="7" fillId="2" borderId="3" xfId="0" applyFont="1" applyFill="1" applyBorder="1"/>
    <xf numFmtId="0" fontId="8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left"/>
    </xf>
    <xf numFmtId="0" fontId="10" fillId="3" borderId="3" xfId="0" applyFont="1" applyFill="1" applyBorder="1"/>
    <xf numFmtId="0" fontId="11" fillId="3" borderId="3" xfId="0" applyFont="1" applyFill="1" applyBorder="1"/>
    <xf numFmtId="0" fontId="3" fillId="4" borderId="3" xfId="0" applyFont="1" applyFill="1" applyBorder="1"/>
    <xf numFmtId="0" fontId="12" fillId="4" borderId="3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3" fillId="2" borderId="3" xfId="0" applyFont="1" applyFill="1" applyBorder="1"/>
    <xf numFmtId="0" fontId="3" fillId="5" borderId="3" xfId="0" applyFont="1" applyFill="1" applyBorder="1"/>
    <xf numFmtId="0" fontId="14" fillId="5" borderId="3" xfId="0" applyFont="1" applyFill="1" applyBorder="1"/>
    <xf numFmtId="0" fontId="13" fillId="5" borderId="3" xfId="0" applyFont="1" applyFill="1" applyBorder="1"/>
    <xf numFmtId="0" fontId="3" fillId="2" borderId="14" xfId="0" applyFont="1" applyFill="1" applyBorder="1"/>
    <xf numFmtId="0" fontId="15" fillId="2" borderId="3" xfId="0" applyFont="1" applyFill="1" applyBorder="1"/>
    <xf numFmtId="0" fontId="3" fillId="2" borderId="3" xfId="0" applyFont="1" applyFill="1" applyBorder="1" applyAlignment="1">
      <alignment horizontal="left"/>
    </xf>
    <xf numFmtId="0" fontId="16" fillId="2" borderId="3" xfId="0" quotePrefix="1" applyFont="1" applyFill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left"/>
    </xf>
    <xf numFmtId="0" fontId="10" fillId="6" borderId="3" xfId="0" applyFont="1" applyFill="1" applyBorder="1" applyAlignment="1">
      <alignment horizontal="left"/>
    </xf>
    <xf numFmtId="0" fontId="18" fillId="7" borderId="3" xfId="0" applyFont="1" applyFill="1" applyBorder="1" applyAlignment="1">
      <alignment horizontal="left"/>
    </xf>
    <xf numFmtId="0" fontId="10" fillId="8" borderId="14" xfId="0" applyFont="1" applyFill="1" applyBorder="1" applyAlignment="1">
      <alignment horizontal="left"/>
    </xf>
    <xf numFmtId="0" fontId="18" fillId="9" borderId="14" xfId="0" applyFont="1" applyFill="1" applyBorder="1" applyAlignment="1">
      <alignment horizontal="left"/>
    </xf>
    <xf numFmtId="0" fontId="10" fillId="10" borderId="14" xfId="0" applyFont="1" applyFill="1" applyBorder="1" applyAlignment="1">
      <alignment horizontal="left"/>
    </xf>
    <xf numFmtId="0" fontId="18" fillId="11" borderId="14" xfId="0" applyFont="1" applyFill="1" applyBorder="1" applyAlignment="1">
      <alignment horizontal="left"/>
    </xf>
    <xf numFmtId="0" fontId="22" fillId="0" borderId="3" xfId="0" applyFont="1" applyBorder="1"/>
    <xf numFmtId="44" fontId="0" fillId="0" borderId="0" xfId="1" applyFont="1"/>
    <xf numFmtId="0" fontId="4" fillId="0" borderId="3" xfId="0" applyFont="1" applyBorder="1"/>
    <xf numFmtId="0" fontId="3" fillId="0" borderId="3" xfId="0" applyFont="1" applyBorder="1"/>
    <xf numFmtId="0" fontId="25" fillId="0" borderId="0" xfId="0" applyFont="1"/>
    <xf numFmtId="2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0" fontId="3" fillId="0" borderId="0" xfId="0" applyNumberFormat="1" applyFont="1" applyAlignment="1">
      <alignment vertical="center" wrapText="1"/>
    </xf>
    <xf numFmtId="17" fontId="3" fillId="0" borderId="3" xfId="0" applyNumberFormat="1" applyFont="1" applyBorder="1"/>
    <xf numFmtId="0" fontId="16" fillId="0" borderId="3" xfId="0" applyFont="1" applyBorder="1"/>
    <xf numFmtId="17" fontId="3" fillId="0" borderId="23" xfId="0" applyNumberFormat="1" applyFont="1" applyBorder="1"/>
    <xf numFmtId="0" fontId="16" fillId="0" borderId="23" xfId="0" applyFont="1" applyBorder="1"/>
    <xf numFmtId="17" fontId="3" fillId="0" borderId="20" xfId="0" applyNumberFormat="1" applyFont="1" applyBorder="1"/>
    <xf numFmtId="0" fontId="21" fillId="0" borderId="3" xfId="0" applyFont="1" applyBorder="1"/>
    <xf numFmtId="2" fontId="22" fillId="0" borderId="3" xfId="0" applyNumberFormat="1" applyFont="1" applyBorder="1" applyAlignment="1">
      <alignment horizontal="center"/>
    </xf>
    <xf numFmtId="1" fontId="22" fillId="0" borderId="3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22" fillId="0" borderId="3" xfId="0" applyNumberFormat="1" applyFont="1" applyBorder="1"/>
    <xf numFmtId="164" fontId="16" fillId="12" borderId="0" xfId="0" applyNumberFormat="1" applyFont="1" applyFill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0" fontId="0" fillId="0" borderId="3" xfId="0" applyBorder="1"/>
    <xf numFmtId="164" fontId="22" fillId="0" borderId="20" xfId="0" applyNumberFormat="1" applyFont="1" applyBorder="1" applyAlignment="1">
      <alignment horizontal="center"/>
    </xf>
    <xf numFmtId="0" fontId="1" fillId="0" borderId="0" xfId="0" applyFont="1"/>
    <xf numFmtId="0" fontId="3" fillId="0" borderId="1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16" fillId="0" borderId="20" xfId="0" applyNumberFormat="1" applyFont="1" applyBorder="1"/>
    <xf numFmtId="1" fontId="16" fillId="0" borderId="3" xfId="0" applyNumberFormat="1" applyFont="1" applyBorder="1"/>
    <xf numFmtId="1" fontId="16" fillId="0" borderId="3" xfId="0" applyNumberFormat="1" applyFont="1" applyBorder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32" fillId="0" borderId="3" xfId="4"/>
    <xf numFmtId="0" fontId="3" fillId="0" borderId="3" xfId="4" applyFont="1" applyAlignment="1">
      <alignment horizontal="center"/>
    </xf>
    <xf numFmtId="1" fontId="3" fillId="0" borderId="3" xfId="4" applyNumberFormat="1" applyFont="1" applyAlignment="1">
      <alignment horizontal="center"/>
    </xf>
    <xf numFmtId="0" fontId="3" fillId="0" borderId="3" xfId="4" applyFont="1"/>
    <xf numFmtId="0" fontId="3" fillId="0" borderId="20" xfId="4" applyFont="1" applyBorder="1" applyAlignment="1">
      <alignment horizontal="center"/>
    </xf>
    <xf numFmtId="1" fontId="3" fillId="0" borderId="17" xfId="4" applyNumberFormat="1" applyFont="1" applyBorder="1" applyAlignment="1">
      <alignment horizontal="center"/>
    </xf>
    <xf numFmtId="1" fontId="3" fillId="0" borderId="19" xfId="4" applyNumberFormat="1" applyFont="1" applyBorder="1" applyAlignment="1">
      <alignment horizontal="center"/>
    </xf>
    <xf numFmtId="10" fontId="3" fillId="0" borderId="3" xfId="4" applyNumberFormat="1" applyFont="1" applyAlignment="1">
      <alignment horizontal="center"/>
    </xf>
    <xf numFmtId="2" fontId="3" fillId="0" borderId="3" xfId="4" applyNumberFormat="1" applyFont="1" applyAlignment="1">
      <alignment horizontal="center"/>
    </xf>
    <xf numFmtId="0" fontId="3" fillId="0" borderId="15" xfId="4" applyFont="1" applyBorder="1" applyAlignment="1">
      <alignment horizontal="center"/>
    </xf>
    <xf numFmtId="0" fontId="3" fillId="0" borderId="18" xfId="4" applyFont="1" applyBorder="1" applyAlignment="1">
      <alignment horizontal="center"/>
    </xf>
    <xf numFmtId="0" fontId="3" fillId="0" borderId="16" xfId="4" applyFont="1" applyBorder="1" applyAlignment="1">
      <alignment horizontal="center"/>
    </xf>
    <xf numFmtId="0" fontId="3" fillId="0" borderId="24" xfId="4" applyFont="1" applyBorder="1" applyAlignment="1">
      <alignment horizontal="center"/>
    </xf>
    <xf numFmtId="10" fontId="3" fillId="0" borderId="3" xfId="4" applyNumberFormat="1" applyFont="1"/>
    <xf numFmtId="0" fontId="32" fillId="0" borderId="21" xfId="4" applyBorder="1"/>
    <xf numFmtId="0" fontId="32" fillId="0" borderId="22" xfId="4" applyBorder="1"/>
    <xf numFmtId="0" fontId="3" fillId="0" borderId="21" xfId="4" applyFont="1" applyBorder="1" applyAlignment="1">
      <alignment horizontal="center"/>
    </xf>
    <xf numFmtId="0" fontId="3" fillId="0" borderId="22" xfId="4" applyFont="1" applyBorder="1" applyAlignment="1">
      <alignment horizontal="center"/>
    </xf>
    <xf numFmtId="0" fontId="20" fillId="0" borderId="3" xfId="4" applyFont="1"/>
    <xf numFmtId="0" fontId="19" fillId="0" borderId="3" xfId="4" applyFont="1" applyAlignment="1">
      <alignment horizontal="center" vertical="center"/>
    </xf>
    <xf numFmtId="0" fontId="3" fillId="0" borderId="3" xfId="4" applyFont="1" applyAlignment="1">
      <alignment horizontal="center"/>
    </xf>
    <xf numFmtId="0" fontId="3" fillId="0" borderId="3" xfId="4" applyFont="1" applyBorder="1" applyAlignment="1">
      <alignment horizontal="center"/>
    </xf>
    <xf numFmtId="1" fontId="3" fillId="0" borderId="3" xfId="4" applyNumberFormat="1" applyFont="1" applyBorder="1" applyAlignment="1">
      <alignment horizontal="center"/>
    </xf>
    <xf numFmtId="0" fontId="32" fillId="0" borderId="3" xfId="4" applyBorder="1"/>
    <xf numFmtId="2" fontId="3" fillId="0" borderId="15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4" fillId="0" borderId="8" xfId="0" applyFont="1" applyBorder="1" applyAlignment="1"/>
    <xf numFmtId="0" fontId="4" fillId="0" borderId="9" xfId="0" applyFont="1" applyBorder="1" applyAlignment="1"/>
    <xf numFmtId="0" fontId="3" fillId="3" borderId="4" xfId="0" applyFont="1" applyFill="1" applyBorder="1" applyAlignment="1">
      <alignment horizontal="center"/>
    </xf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1" xfId="0" applyFont="1" applyBorder="1" applyAlignment="1"/>
    <xf numFmtId="0" fontId="4" fillId="0" borderId="3" xfId="0" applyFont="1" applyBorder="1" applyAlignment="1"/>
    <xf numFmtId="0" fontId="4" fillId="0" borderId="2" xfId="0" applyFont="1" applyBorder="1" applyAlignment="1"/>
    <xf numFmtId="0" fontId="5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0" xfId="0" applyAlignment="1"/>
    <xf numFmtId="0" fontId="4" fillId="0" borderId="7" xfId="0" applyFont="1" applyBorder="1" applyAlignment="1"/>
    <xf numFmtId="0" fontId="7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2" borderId="3" xfId="2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0" xfId="0" applyFont="1" applyBorder="1" applyAlignment="1"/>
    <xf numFmtId="0" fontId="3" fillId="0" borderId="11" xfId="0" applyFont="1" applyBorder="1" applyAlignment="1">
      <alignment horizontal="center"/>
    </xf>
    <xf numFmtId="0" fontId="4" fillId="0" borderId="11" xfId="0" applyFont="1" applyBorder="1" applyAlignment="1"/>
    <xf numFmtId="0" fontId="3" fillId="0" borderId="10" xfId="0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25" fillId="0" borderId="0" xfId="0" applyNumberFormat="1" applyFont="1" applyAlignment="1"/>
    <xf numFmtId="1" fontId="0" fillId="0" borderId="3" xfId="0" applyNumberFormat="1" applyBorder="1" applyAlignment="1">
      <alignment horizontal="center"/>
    </xf>
    <xf numFmtId="166" fontId="4" fillId="0" borderId="11" xfId="0" applyNumberFormat="1" applyFont="1" applyBorder="1" applyAlignment="1">
      <alignment horizontal="center"/>
    </xf>
    <xf numFmtId="166" fontId="4" fillId="0" borderId="11" xfId="0" applyNumberFormat="1" applyFont="1" applyBorder="1" applyAlignment="1"/>
    <xf numFmtId="1" fontId="22" fillId="0" borderId="10" xfId="0" applyNumberFormat="1" applyFont="1" applyBorder="1" applyAlignment="1">
      <alignment horizontal="center"/>
    </xf>
    <xf numFmtId="0" fontId="22" fillId="0" borderId="10" xfId="0" applyFont="1" applyBorder="1" applyAlignment="1"/>
    <xf numFmtId="1" fontId="22" fillId="0" borderId="0" xfId="0" applyNumberFormat="1" applyFont="1" applyAlignment="1">
      <alignment horizontal="center"/>
    </xf>
    <xf numFmtId="0" fontId="21" fillId="0" borderId="0" xfId="0" applyFont="1" applyAlignment="1"/>
    <xf numFmtId="0" fontId="24" fillId="0" borderId="10" xfId="0" applyFont="1" applyBorder="1" applyAlignment="1">
      <alignment horizontal="center" vertical="center"/>
    </xf>
    <xf numFmtId="0" fontId="4" fillId="0" borderId="13" xfId="0" applyFont="1" applyBorder="1" applyAlignment="1"/>
    <xf numFmtId="2" fontId="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25" fillId="0" borderId="0" xfId="0" applyFont="1" applyAlignment="1"/>
    <xf numFmtId="10" fontId="3" fillId="0" borderId="13" xfId="0" applyNumberFormat="1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3" xfId="0" applyFont="1" applyBorder="1" applyAlignment="1"/>
    <xf numFmtId="164" fontId="22" fillId="0" borderId="10" xfId="0" applyNumberFormat="1" applyFont="1" applyBorder="1" applyAlignment="1">
      <alignment horizontal="center"/>
    </xf>
    <xf numFmtId="164" fontId="22" fillId="0" borderId="10" xfId="0" applyNumberFormat="1" applyFont="1" applyBorder="1" applyAlignment="1"/>
    <xf numFmtId="2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2" fontId="4" fillId="0" borderId="11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25" fillId="0" borderId="0" xfId="0" applyFont="1"/>
    <xf numFmtId="0" fontId="4" fillId="0" borderId="11" xfId="0" applyFont="1" applyBorder="1"/>
    <xf numFmtId="1" fontId="4" fillId="13" borderId="22" xfId="0" applyNumberFormat="1" applyFont="1" applyFill="1" applyBorder="1" applyAlignment="1">
      <alignment horizontal="center"/>
    </xf>
    <xf numFmtId="1" fontId="4" fillId="13" borderId="3" xfId="0" applyNumberFormat="1" applyFont="1" applyFill="1" applyBorder="1" applyAlignment="1">
      <alignment horizontal="center"/>
    </xf>
    <xf numFmtId="2" fontId="4" fillId="13" borderId="11" xfId="0" applyNumberFormat="1" applyFont="1" applyFill="1" applyBorder="1" applyAlignment="1">
      <alignment horizontal="center"/>
    </xf>
    <xf numFmtId="2" fontId="4" fillId="0" borderId="11" xfId="0" applyNumberFormat="1" applyFont="1" applyBorder="1" applyAlignment="1"/>
    <xf numFmtId="0" fontId="24" fillId="0" borderId="13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/>
    </xf>
    <xf numFmtId="2" fontId="22" fillId="0" borderId="10" xfId="0" applyNumberFormat="1" applyFont="1" applyBorder="1"/>
    <xf numFmtId="1" fontId="21" fillId="0" borderId="0" xfId="0" applyNumberFormat="1" applyFont="1"/>
    <xf numFmtId="164" fontId="22" fillId="0" borderId="13" xfId="0" applyNumberFormat="1" applyFont="1" applyBorder="1" applyAlignment="1">
      <alignment horizontal="center"/>
    </xf>
    <xf numFmtId="0" fontId="21" fillId="0" borderId="0" xfId="0" applyFont="1"/>
    <xf numFmtId="0" fontId="22" fillId="0" borderId="13" xfId="0" applyFont="1" applyBorder="1"/>
    <xf numFmtId="0" fontId="22" fillId="0" borderId="10" xfId="0" applyFont="1" applyBorder="1"/>
    <xf numFmtId="0" fontId="3" fillId="0" borderId="3" xfId="4" applyFont="1" applyAlignment="1">
      <alignment horizontal="left"/>
    </xf>
    <xf numFmtId="0" fontId="3" fillId="0" borderId="3" xfId="4" applyFont="1" applyAlignment="1">
      <alignment horizontal="center"/>
    </xf>
    <xf numFmtId="0" fontId="28" fillId="0" borderId="22" xfId="4" applyFont="1" applyBorder="1" applyAlignment="1">
      <alignment horizontal="center" vertical="center"/>
    </xf>
    <xf numFmtId="0" fontId="28" fillId="0" borderId="20" xfId="4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/>
    </xf>
    <xf numFmtId="1" fontId="3" fillId="0" borderId="22" xfId="4" applyNumberFormat="1" applyFont="1" applyBorder="1" applyAlignment="1">
      <alignment horizontal="center"/>
    </xf>
    <xf numFmtId="2" fontId="3" fillId="0" borderId="3" xfId="4" applyNumberFormat="1" applyFont="1" applyAlignment="1">
      <alignment horizontal="center"/>
    </xf>
    <xf numFmtId="164" fontId="16" fillId="0" borderId="3" xfId="4" applyNumberFormat="1" applyFont="1" applyAlignment="1">
      <alignment horizontal="center"/>
    </xf>
    <xf numFmtId="0" fontId="3" fillId="0" borderId="3" xfId="4" applyFont="1" applyAlignment="1">
      <alignment horizontal="center" vertical="center" wrapText="1"/>
    </xf>
    <xf numFmtId="0" fontId="32" fillId="0" borderId="3" xfId="4"/>
    <xf numFmtId="0" fontId="3" fillId="0" borderId="20" xfId="4" applyFont="1" applyBorder="1" applyAlignment="1">
      <alignment horizontal="left"/>
    </xf>
    <xf numFmtId="0" fontId="19" fillId="0" borderId="22" xfId="4" applyFont="1" applyBorder="1" applyAlignment="1">
      <alignment horizontal="center" vertical="center"/>
    </xf>
    <xf numFmtId="0" fontId="19" fillId="0" borderId="20" xfId="4" applyFont="1" applyBorder="1" applyAlignment="1">
      <alignment horizontal="center" vertical="center"/>
    </xf>
    <xf numFmtId="167" fontId="3" fillId="0" borderId="22" xfId="4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3" fillId="0" borderId="26" xfId="0" applyFont="1" applyBorder="1" applyAlignment="1">
      <alignment horizontal="center"/>
    </xf>
    <xf numFmtId="1" fontId="0" fillId="0" borderId="25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vertical="center"/>
    </xf>
    <xf numFmtId="1" fontId="0" fillId="0" borderId="20" xfId="0" applyNumberFormat="1" applyBorder="1" applyAlignment="1">
      <alignment vertical="center"/>
    </xf>
    <xf numFmtId="1" fontId="0" fillId="0" borderId="20" xfId="0" applyNumberFormat="1" applyBorder="1" applyAlignment="1">
      <alignment horizontal="center" vertical="center"/>
    </xf>
  </cellXfs>
  <cellStyles count="5">
    <cellStyle name="Currency" xfId="1" builtinId="4"/>
    <cellStyle name="Currency 2" xfId="3" xr:uid="{3635417A-6E25-45C6-8E1B-D89A165FD6BD}"/>
    <cellStyle name="Normal" xfId="0" builtinId="0"/>
    <cellStyle name="Normal 2" xfId="2" xr:uid="{D3A84AAD-D561-4D7D-A127-45FE9F2445F1}"/>
    <cellStyle name="Normal 3" xfId="4" xr:uid="{641AFBC5-FCA4-4679-AAED-FB8B85765B1D}"/>
  </cellStyles>
  <dxfs count="1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1" defaultTableStyle="TableStyleMedium2" defaultPivotStyle="PivotStyleLight16">
    <tableStyle name="Invisible" pivot="0" table="0" count="0" xr9:uid="{7E77DC27-B612-4F67-A9D4-E4936B12E493}"/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1">
                <a:solidFill>
                  <a:srgbClr val="757575"/>
                </a:solidFill>
                <a:latin typeface="+mn-lt"/>
              </a:rPr>
              <a:t>Overview</a:t>
            </a:r>
            <a:r>
              <a:rPr lang="en-ID" sz="1400" b="0" i="0">
                <a:solidFill>
                  <a:srgbClr val="757575"/>
                </a:solidFill>
                <a:latin typeface="+mn-lt"/>
              </a:rPr>
              <a:t> Data Awal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'Data Awal'!$B$6:$B$45</c:f>
              <c:strCache>
                <c:ptCount val="40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</c:strCache>
            </c:strRef>
          </c:cat>
          <c:val>
            <c:numRef>
              <c:f>'Data Awal'!$C$6:$C$45</c:f>
              <c:numCache>
                <c:formatCode>General</c:formatCode>
                <c:ptCount val="40"/>
                <c:pt idx="0">
                  <c:v>8658</c:v>
                </c:pt>
                <c:pt idx="1">
                  <c:v>8318</c:v>
                </c:pt>
                <c:pt idx="2">
                  <c:v>8781</c:v>
                </c:pt>
                <c:pt idx="3">
                  <c:v>8220</c:v>
                </c:pt>
                <c:pt idx="4">
                  <c:v>8617</c:v>
                </c:pt>
                <c:pt idx="5">
                  <c:v>8938</c:v>
                </c:pt>
                <c:pt idx="6">
                  <c:v>8302</c:v>
                </c:pt>
                <c:pt idx="7">
                  <c:v>8387</c:v>
                </c:pt>
                <c:pt idx="8">
                  <c:v>8520</c:v>
                </c:pt>
                <c:pt idx="9">
                  <c:v>8399</c:v>
                </c:pt>
                <c:pt idx="10">
                  <c:v>8190</c:v>
                </c:pt>
                <c:pt idx="11">
                  <c:v>8514</c:v>
                </c:pt>
                <c:pt idx="12">
                  <c:v>8288</c:v>
                </c:pt>
                <c:pt idx="13">
                  <c:v>8595</c:v>
                </c:pt>
                <c:pt idx="14">
                  <c:v>8316</c:v>
                </c:pt>
                <c:pt idx="15">
                  <c:v>8810</c:v>
                </c:pt>
                <c:pt idx="16">
                  <c:v>8343</c:v>
                </c:pt>
                <c:pt idx="17">
                  <c:v>8436</c:v>
                </c:pt>
                <c:pt idx="18">
                  <c:v>8663</c:v>
                </c:pt>
                <c:pt idx="19">
                  <c:v>8254</c:v>
                </c:pt>
                <c:pt idx="20">
                  <c:v>8545</c:v>
                </c:pt>
                <c:pt idx="21">
                  <c:v>8761</c:v>
                </c:pt>
                <c:pt idx="22">
                  <c:v>8179</c:v>
                </c:pt>
                <c:pt idx="23">
                  <c:v>8537</c:v>
                </c:pt>
                <c:pt idx="24">
                  <c:v>8552</c:v>
                </c:pt>
                <c:pt idx="25">
                  <c:v>8656</c:v>
                </c:pt>
                <c:pt idx="26">
                  <c:v>8253</c:v>
                </c:pt>
                <c:pt idx="27">
                  <c:v>8236</c:v>
                </c:pt>
                <c:pt idx="28">
                  <c:v>8604</c:v>
                </c:pt>
                <c:pt idx="29">
                  <c:v>8559</c:v>
                </c:pt>
                <c:pt idx="30">
                  <c:v>8550</c:v>
                </c:pt>
                <c:pt idx="31">
                  <c:v>8569</c:v>
                </c:pt>
                <c:pt idx="32">
                  <c:v>8364</c:v>
                </c:pt>
                <c:pt idx="33">
                  <c:v>8546</c:v>
                </c:pt>
                <c:pt idx="34">
                  <c:v>8559</c:v>
                </c:pt>
                <c:pt idx="35">
                  <c:v>8357</c:v>
                </c:pt>
                <c:pt idx="36">
                  <c:v>8873</c:v>
                </c:pt>
                <c:pt idx="37">
                  <c:v>8595</c:v>
                </c:pt>
                <c:pt idx="38">
                  <c:v>8262</c:v>
                </c:pt>
                <c:pt idx="39">
                  <c:v>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9-45D9-A459-E75AADC3C448}"/>
            </c:ext>
          </c:extLst>
        </c:ser>
        <c:ser>
          <c:idx val="1"/>
          <c:order val="1"/>
          <c:tx>
            <c:v>B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'Data Awal'!$B$6:$B$45</c:f>
              <c:strCache>
                <c:ptCount val="40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</c:strCache>
            </c:strRef>
          </c:cat>
          <c:val>
            <c:numRef>
              <c:f>'Data Awal'!$D$6:$D$45</c:f>
              <c:numCache>
                <c:formatCode>0</c:formatCode>
                <c:ptCount val="40"/>
                <c:pt idx="0">
                  <c:v>4708</c:v>
                </c:pt>
                <c:pt idx="1">
                  <c:v>5518</c:v>
                </c:pt>
                <c:pt idx="2">
                  <c:v>5912</c:v>
                </c:pt>
                <c:pt idx="3">
                  <c:v>5600</c:v>
                </c:pt>
                <c:pt idx="4">
                  <c:v>6417</c:v>
                </c:pt>
                <c:pt idx="5">
                  <c:v>6534</c:v>
                </c:pt>
                <c:pt idx="6">
                  <c:v>6939</c:v>
                </c:pt>
                <c:pt idx="7">
                  <c:v>7543</c:v>
                </c:pt>
                <c:pt idx="8">
                  <c:v>7183</c:v>
                </c:pt>
                <c:pt idx="9">
                  <c:v>7312</c:v>
                </c:pt>
                <c:pt idx="10">
                  <c:v>7554</c:v>
                </c:pt>
                <c:pt idx="11">
                  <c:v>7858</c:v>
                </c:pt>
                <c:pt idx="12">
                  <c:v>8361</c:v>
                </c:pt>
                <c:pt idx="13">
                  <c:v>8769</c:v>
                </c:pt>
                <c:pt idx="14">
                  <c:v>9032</c:v>
                </c:pt>
                <c:pt idx="15">
                  <c:v>9479</c:v>
                </c:pt>
                <c:pt idx="16">
                  <c:v>9517</c:v>
                </c:pt>
                <c:pt idx="17">
                  <c:v>10231</c:v>
                </c:pt>
                <c:pt idx="18">
                  <c:v>9998</c:v>
                </c:pt>
                <c:pt idx="19">
                  <c:v>11175</c:v>
                </c:pt>
                <c:pt idx="20">
                  <c:v>10829</c:v>
                </c:pt>
                <c:pt idx="21">
                  <c:v>10666</c:v>
                </c:pt>
                <c:pt idx="22">
                  <c:v>10884</c:v>
                </c:pt>
                <c:pt idx="23">
                  <c:v>11632</c:v>
                </c:pt>
                <c:pt idx="24">
                  <c:v>11702</c:v>
                </c:pt>
                <c:pt idx="25">
                  <c:v>12265</c:v>
                </c:pt>
                <c:pt idx="26">
                  <c:v>12475</c:v>
                </c:pt>
                <c:pt idx="27">
                  <c:v>12594</c:v>
                </c:pt>
                <c:pt idx="28">
                  <c:v>12643</c:v>
                </c:pt>
                <c:pt idx="29">
                  <c:v>12725</c:v>
                </c:pt>
                <c:pt idx="30">
                  <c:v>13328</c:v>
                </c:pt>
                <c:pt idx="31">
                  <c:v>14001</c:v>
                </c:pt>
                <c:pt idx="32">
                  <c:v>14090</c:v>
                </c:pt>
                <c:pt idx="33">
                  <c:v>13934</c:v>
                </c:pt>
                <c:pt idx="34">
                  <c:v>14642</c:v>
                </c:pt>
                <c:pt idx="35">
                  <c:v>14987</c:v>
                </c:pt>
                <c:pt idx="36">
                  <c:v>14889</c:v>
                </c:pt>
                <c:pt idx="37">
                  <c:v>15482</c:v>
                </c:pt>
                <c:pt idx="38">
                  <c:v>15735</c:v>
                </c:pt>
                <c:pt idx="39">
                  <c:v>15657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9-45D9-A459-E75AADC3C448}"/>
            </c:ext>
          </c:extLst>
        </c:ser>
        <c:ser>
          <c:idx val="2"/>
          <c:order val="2"/>
          <c:tx>
            <c:v>C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'Data Awal'!$B$6:$B$45</c:f>
              <c:strCache>
                <c:ptCount val="40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</c:strCache>
            </c:strRef>
          </c:cat>
          <c:val>
            <c:numRef>
              <c:f>'Data Awal'!$E$6:$E$45</c:f>
              <c:numCache>
                <c:formatCode>0</c:formatCode>
                <c:ptCount val="40"/>
                <c:pt idx="0">
                  <c:v>5114</c:v>
                </c:pt>
                <c:pt idx="1">
                  <c:v>5570</c:v>
                </c:pt>
                <c:pt idx="2">
                  <c:v>5408</c:v>
                </c:pt>
                <c:pt idx="3">
                  <c:v>6816</c:v>
                </c:pt>
                <c:pt idx="4">
                  <c:v>6927</c:v>
                </c:pt>
                <c:pt idx="5">
                  <c:v>7508</c:v>
                </c:pt>
                <c:pt idx="6">
                  <c:v>7635</c:v>
                </c:pt>
                <c:pt idx="7">
                  <c:v>7843</c:v>
                </c:pt>
                <c:pt idx="8">
                  <c:v>6991</c:v>
                </c:pt>
                <c:pt idx="9">
                  <c:v>7212</c:v>
                </c:pt>
                <c:pt idx="10">
                  <c:v>7138</c:v>
                </c:pt>
                <c:pt idx="11">
                  <c:v>7150</c:v>
                </c:pt>
                <c:pt idx="12">
                  <c:v>7293</c:v>
                </c:pt>
                <c:pt idx="13">
                  <c:v>7038</c:v>
                </c:pt>
                <c:pt idx="14">
                  <c:v>7304</c:v>
                </c:pt>
                <c:pt idx="15">
                  <c:v>7474</c:v>
                </c:pt>
                <c:pt idx="16">
                  <c:v>7886</c:v>
                </c:pt>
                <c:pt idx="17">
                  <c:v>8688</c:v>
                </c:pt>
                <c:pt idx="18">
                  <c:v>9722</c:v>
                </c:pt>
                <c:pt idx="19">
                  <c:v>9457</c:v>
                </c:pt>
                <c:pt idx="20">
                  <c:v>10158</c:v>
                </c:pt>
                <c:pt idx="21">
                  <c:v>10921</c:v>
                </c:pt>
                <c:pt idx="22">
                  <c:v>12035</c:v>
                </c:pt>
                <c:pt idx="23">
                  <c:v>12118</c:v>
                </c:pt>
                <c:pt idx="24">
                  <c:v>13589</c:v>
                </c:pt>
                <c:pt idx="25">
                  <c:v>12640</c:v>
                </c:pt>
                <c:pt idx="26">
                  <c:v>12584</c:v>
                </c:pt>
                <c:pt idx="27">
                  <c:v>12196</c:v>
                </c:pt>
                <c:pt idx="28">
                  <c:v>12697</c:v>
                </c:pt>
                <c:pt idx="29">
                  <c:v>11957</c:v>
                </c:pt>
                <c:pt idx="30">
                  <c:v>12540</c:v>
                </c:pt>
                <c:pt idx="31">
                  <c:v>12095</c:v>
                </c:pt>
                <c:pt idx="32">
                  <c:v>11888</c:v>
                </c:pt>
                <c:pt idx="33">
                  <c:v>12764</c:v>
                </c:pt>
                <c:pt idx="34">
                  <c:v>11814</c:v>
                </c:pt>
                <c:pt idx="35">
                  <c:v>13380</c:v>
                </c:pt>
                <c:pt idx="36">
                  <c:v>12590</c:v>
                </c:pt>
                <c:pt idx="37">
                  <c:v>13911</c:v>
                </c:pt>
                <c:pt idx="38">
                  <c:v>14067</c:v>
                </c:pt>
                <c:pt idx="39">
                  <c:v>15341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79-45D9-A459-E75AADC3C448}"/>
            </c:ext>
          </c:extLst>
        </c:ser>
        <c:ser>
          <c:idx val="3"/>
          <c:order val="3"/>
          <c:tx>
            <c:v>D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'Data Awal'!$B$6:$B$45</c:f>
              <c:strCache>
                <c:ptCount val="40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</c:strCache>
            </c:strRef>
          </c:cat>
          <c:val>
            <c:numRef>
              <c:f>'Data Awal'!$F$6:$F$45</c:f>
              <c:numCache>
                <c:formatCode>0</c:formatCode>
                <c:ptCount val="40"/>
                <c:pt idx="0">
                  <c:v>9163</c:v>
                </c:pt>
                <c:pt idx="1">
                  <c:v>3010</c:v>
                </c:pt>
                <c:pt idx="2">
                  <c:v>2018</c:v>
                </c:pt>
                <c:pt idx="3">
                  <c:v>17462</c:v>
                </c:pt>
                <c:pt idx="4">
                  <c:v>17199</c:v>
                </c:pt>
                <c:pt idx="5">
                  <c:v>11400</c:v>
                </c:pt>
                <c:pt idx="6">
                  <c:v>8070</c:v>
                </c:pt>
                <c:pt idx="7">
                  <c:v>2615</c:v>
                </c:pt>
                <c:pt idx="8">
                  <c:v>3114</c:v>
                </c:pt>
                <c:pt idx="9">
                  <c:v>8662</c:v>
                </c:pt>
                <c:pt idx="10">
                  <c:v>13586</c:v>
                </c:pt>
                <c:pt idx="11">
                  <c:v>10762</c:v>
                </c:pt>
                <c:pt idx="12">
                  <c:v>14133</c:v>
                </c:pt>
                <c:pt idx="13">
                  <c:v>6048</c:v>
                </c:pt>
                <c:pt idx="14">
                  <c:v>16848</c:v>
                </c:pt>
                <c:pt idx="15">
                  <c:v>12588</c:v>
                </c:pt>
                <c:pt idx="16">
                  <c:v>12281</c:v>
                </c:pt>
                <c:pt idx="17">
                  <c:v>11377</c:v>
                </c:pt>
                <c:pt idx="18">
                  <c:v>7792</c:v>
                </c:pt>
                <c:pt idx="19">
                  <c:v>7507</c:v>
                </c:pt>
                <c:pt idx="20">
                  <c:v>7411</c:v>
                </c:pt>
                <c:pt idx="21">
                  <c:v>12850</c:v>
                </c:pt>
                <c:pt idx="22">
                  <c:v>3357</c:v>
                </c:pt>
                <c:pt idx="23">
                  <c:v>2307</c:v>
                </c:pt>
                <c:pt idx="24">
                  <c:v>3900</c:v>
                </c:pt>
                <c:pt idx="25">
                  <c:v>3307</c:v>
                </c:pt>
                <c:pt idx="26">
                  <c:v>17813</c:v>
                </c:pt>
                <c:pt idx="27">
                  <c:v>12630</c:v>
                </c:pt>
                <c:pt idx="28">
                  <c:v>7171</c:v>
                </c:pt>
                <c:pt idx="29">
                  <c:v>2440</c:v>
                </c:pt>
                <c:pt idx="30">
                  <c:v>8747</c:v>
                </c:pt>
                <c:pt idx="31">
                  <c:v>8610</c:v>
                </c:pt>
                <c:pt idx="32">
                  <c:v>2979</c:v>
                </c:pt>
                <c:pt idx="33">
                  <c:v>8117</c:v>
                </c:pt>
                <c:pt idx="34">
                  <c:v>9278</c:v>
                </c:pt>
                <c:pt idx="35">
                  <c:v>11408</c:v>
                </c:pt>
                <c:pt idx="36">
                  <c:v>12547</c:v>
                </c:pt>
                <c:pt idx="37">
                  <c:v>2798</c:v>
                </c:pt>
                <c:pt idx="38">
                  <c:v>7782</c:v>
                </c:pt>
                <c:pt idx="39">
                  <c:v>13099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79-45D9-A459-E75AADC3C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8519535"/>
        <c:axId val="54575189"/>
      </c:lineChart>
      <c:catAx>
        <c:axId val="2108519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575189"/>
        <c:crosses val="autoZero"/>
        <c:auto val="1"/>
        <c:lblAlgn val="ctr"/>
        <c:lblOffset val="100"/>
        <c:noMultiLvlLbl val="1"/>
      </c:catAx>
      <c:valAx>
        <c:axId val="54575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851953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 - </a:t>
            </a:r>
            <a:r>
              <a:rPr lang="en-ID" i="1"/>
              <a:t>Metode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 - Forecast'!$C$27</c:f>
              <c:strCache>
                <c:ptCount val="1"/>
                <c:pt idx="0">
                  <c:v>Data penjualan Tripod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 - Forecast'!$C$28:$C$62</c:f>
              <c:numCache>
                <c:formatCode>General</c:formatCode>
                <c:ptCount val="35"/>
                <c:pt idx="0">
                  <c:v>8658</c:v>
                </c:pt>
                <c:pt idx="1">
                  <c:v>8318</c:v>
                </c:pt>
                <c:pt idx="2">
                  <c:v>8781</c:v>
                </c:pt>
                <c:pt idx="3">
                  <c:v>8220</c:v>
                </c:pt>
                <c:pt idx="4">
                  <c:v>8617</c:v>
                </c:pt>
                <c:pt idx="5">
                  <c:v>8938</c:v>
                </c:pt>
                <c:pt idx="6">
                  <c:v>8302</c:v>
                </c:pt>
                <c:pt idx="7">
                  <c:v>8387</c:v>
                </c:pt>
                <c:pt idx="8">
                  <c:v>8520</c:v>
                </c:pt>
                <c:pt idx="9">
                  <c:v>8399</c:v>
                </c:pt>
                <c:pt idx="10">
                  <c:v>8190</c:v>
                </c:pt>
                <c:pt idx="11">
                  <c:v>8514</c:v>
                </c:pt>
                <c:pt idx="12">
                  <c:v>8288</c:v>
                </c:pt>
                <c:pt idx="13">
                  <c:v>8595</c:v>
                </c:pt>
                <c:pt idx="14">
                  <c:v>8316</c:v>
                </c:pt>
                <c:pt idx="15">
                  <c:v>8810</c:v>
                </c:pt>
                <c:pt idx="16">
                  <c:v>8343</c:v>
                </c:pt>
                <c:pt idx="17">
                  <c:v>8436</c:v>
                </c:pt>
                <c:pt idx="18">
                  <c:v>8663</c:v>
                </c:pt>
                <c:pt idx="19">
                  <c:v>8254</c:v>
                </c:pt>
                <c:pt idx="20">
                  <c:v>8545</c:v>
                </c:pt>
                <c:pt idx="21">
                  <c:v>8761</c:v>
                </c:pt>
                <c:pt idx="22">
                  <c:v>8179</c:v>
                </c:pt>
                <c:pt idx="23">
                  <c:v>8537</c:v>
                </c:pt>
                <c:pt idx="24">
                  <c:v>8552</c:v>
                </c:pt>
                <c:pt idx="25">
                  <c:v>8656</c:v>
                </c:pt>
                <c:pt idx="26">
                  <c:v>8253</c:v>
                </c:pt>
                <c:pt idx="27">
                  <c:v>8236</c:v>
                </c:pt>
                <c:pt idx="28">
                  <c:v>8604</c:v>
                </c:pt>
                <c:pt idx="29">
                  <c:v>8559</c:v>
                </c:pt>
                <c:pt idx="30">
                  <c:v>8550</c:v>
                </c:pt>
                <c:pt idx="31">
                  <c:v>8569</c:v>
                </c:pt>
                <c:pt idx="32">
                  <c:v>8364</c:v>
                </c:pt>
                <c:pt idx="33">
                  <c:v>8546</c:v>
                </c:pt>
                <c:pt idx="34">
                  <c:v>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3-4275-8C50-A81BB5BFE2BF}"/>
            </c:ext>
          </c:extLst>
        </c:ser>
        <c:ser>
          <c:idx val="1"/>
          <c:order val="1"/>
          <c:tx>
            <c:strRef>
              <c:f>'A - Forecast'!$D$27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 - Forecast'!$D$28:$D$62</c:f>
              <c:numCache>
                <c:formatCode>0</c:formatCode>
                <c:ptCount val="35"/>
                <c:pt idx="3">
                  <c:v>8585.6666666666661</c:v>
                </c:pt>
                <c:pt idx="4">
                  <c:v>8439.6666666666661</c:v>
                </c:pt>
                <c:pt idx="5">
                  <c:v>8539.3333333333339</c:v>
                </c:pt>
                <c:pt idx="6">
                  <c:v>8591.6666666666661</c:v>
                </c:pt>
                <c:pt idx="7">
                  <c:v>8619</c:v>
                </c:pt>
                <c:pt idx="8">
                  <c:v>8542.3333333333339</c:v>
                </c:pt>
                <c:pt idx="9">
                  <c:v>8403</c:v>
                </c:pt>
                <c:pt idx="10">
                  <c:v>8435.3333333333339</c:v>
                </c:pt>
                <c:pt idx="11">
                  <c:v>8369.6666666666661</c:v>
                </c:pt>
                <c:pt idx="12">
                  <c:v>8367.6666666666661</c:v>
                </c:pt>
                <c:pt idx="13">
                  <c:v>8330.6666666666661</c:v>
                </c:pt>
                <c:pt idx="14">
                  <c:v>8465.6666666666661</c:v>
                </c:pt>
                <c:pt idx="15">
                  <c:v>8399.6666666666661</c:v>
                </c:pt>
                <c:pt idx="16">
                  <c:v>8573.6666666666661</c:v>
                </c:pt>
                <c:pt idx="17">
                  <c:v>8489.6666666666661</c:v>
                </c:pt>
                <c:pt idx="18">
                  <c:v>8529.6666666666661</c:v>
                </c:pt>
                <c:pt idx="19">
                  <c:v>8480.6666666666661</c:v>
                </c:pt>
                <c:pt idx="20">
                  <c:v>8451</c:v>
                </c:pt>
                <c:pt idx="21">
                  <c:v>8487.3333333333339</c:v>
                </c:pt>
                <c:pt idx="22">
                  <c:v>8520</c:v>
                </c:pt>
                <c:pt idx="23">
                  <c:v>8495</c:v>
                </c:pt>
                <c:pt idx="24">
                  <c:v>8492.3333333333339</c:v>
                </c:pt>
                <c:pt idx="25">
                  <c:v>8422.6666666666661</c:v>
                </c:pt>
                <c:pt idx="26">
                  <c:v>8581.6666666666661</c:v>
                </c:pt>
                <c:pt idx="27">
                  <c:v>8487</c:v>
                </c:pt>
                <c:pt idx="28">
                  <c:v>8381.6666666666661</c:v>
                </c:pt>
                <c:pt idx="29">
                  <c:v>8364.3333333333339</c:v>
                </c:pt>
                <c:pt idx="30">
                  <c:v>8466.3333333333339</c:v>
                </c:pt>
                <c:pt idx="31">
                  <c:v>8571</c:v>
                </c:pt>
                <c:pt idx="32">
                  <c:v>8559.3333333333339</c:v>
                </c:pt>
                <c:pt idx="33">
                  <c:v>8494.3333333333339</c:v>
                </c:pt>
                <c:pt idx="34">
                  <c:v>8493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3-4275-8C50-A81BB5BFE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96367"/>
        <c:axId val="1261840703"/>
      </c:lineChart>
      <c:catAx>
        <c:axId val="1198196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840703"/>
        <c:crosses val="autoZero"/>
        <c:auto val="1"/>
        <c:lblAlgn val="ctr"/>
        <c:lblOffset val="100"/>
        <c:noMultiLvlLbl val="0"/>
      </c:catAx>
      <c:valAx>
        <c:axId val="126184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9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 - </a:t>
            </a:r>
            <a:r>
              <a:rPr lang="en-ID" i="1"/>
              <a:t>Metode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 - Forecast'!$J$27</c:f>
              <c:strCache>
                <c:ptCount val="1"/>
                <c:pt idx="0">
                  <c:v>Data penjualan Tripod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 - Forecast'!$J$28:$J$62</c:f>
              <c:numCache>
                <c:formatCode>General</c:formatCode>
                <c:ptCount val="35"/>
                <c:pt idx="0">
                  <c:v>8658</c:v>
                </c:pt>
                <c:pt idx="1">
                  <c:v>8318</c:v>
                </c:pt>
                <c:pt idx="2">
                  <c:v>8781</c:v>
                </c:pt>
                <c:pt idx="3">
                  <c:v>8220</c:v>
                </c:pt>
                <c:pt idx="4">
                  <c:v>8617</c:v>
                </c:pt>
                <c:pt idx="5">
                  <c:v>8938</c:v>
                </c:pt>
                <c:pt idx="6">
                  <c:v>8302</c:v>
                </c:pt>
                <c:pt idx="7">
                  <c:v>8387</c:v>
                </c:pt>
                <c:pt idx="8">
                  <c:v>8520</c:v>
                </c:pt>
                <c:pt idx="9">
                  <c:v>8399</c:v>
                </c:pt>
                <c:pt idx="10">
                  <c:v>8190</c:v>
                </c:pt>
                <c:pt idx="11">
                  <c:v>8514</c:v>
                </c:pt>
                <c:pt idx="12">
                  <c:v>8288</c:v>
                </c:pt>
                <c:pt idx="13">
                  <c:v>8595</c:v>
                </c:pt>
                <c:pt idx="14">
                  <c:v>8316</c:v>
                </c:pt>
                <c:pt idx="15">
                  <c:v>8810</c:v>
                </c:pt>
                <c:pt idx="16">
                  <c:v>8343</c:v>
                </c:pt>
                <c:pt idx="17">
                  <c:v>8436</c:v>
                </c:pt>
                <c:pt idx="18">
                  <c:v>8663</c:v>
                </c:pt>
                <c:pt idx="19">
                  <c:v>8254</c:v>
                </c:pt>
                <c:pt idx="20">
                  <c:v>8545</c:v>
                </c:pt>
                <c:pt idx="21">
                  <c:v>8761</c:v>
                </c:pt>
                <c:pt idx="22">
                  <c:v>8179</c:v>
                </c:pt>
                <c:pt idx="23">
                  <c:v>8537</c:v>
                </c:pt>
                <c:pt idx="24">
                  <c:v>8552</c:v>
                </c:pt>
                <c:pt idx="25">
                  <c:v>8656</c:v>
                </c:pt>
                <c:pt idx="26">
                  <c:v>8253</c:v>
                </c:pt>
                <c:pt idx="27">
                  <c:v>8236</c:v>
                </c:pt>
                <c:pt idx="28">
                  <c:v>8604</c:v>
                </c:pt>
                <c:pt idx="29">
                  <c:v>8559</c:v>
                </c:pt>
                <c:pt idx="30">
                  <c:v>8550</c:v>
                </c:pt>
                <c:pt idx="31">
                  <c:v>8569</c:v>
                </c:pt>
                <c:pt idx="32">
                  <c:v>8364</c:v>
                </c:pt>
                <c:pt idx="33">
                  <c:v>8546</c:v>
                </c:pt>
                <c:pt idx="34">
                  <c:v>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F-4AD2-9778-E75E11900B73}"/>
            </c:ext>
          </c:extLst>
        </c:ser>
        <c:ser>
          <c:idx val="1"/>
          <c:order val="1"/>
          <c:tx>
            <c:strRef>
              <c:f>'A - Forecast'!$K$27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 - Forecast'!$K$28:$K$62</c:f>
              <c:numCache>
                <c:formatCode>0</c:formatCode>
                <c:ptCount val="35"/>
                <c:pt idx="3">
                  <c:v>8606.1666666666661</c:v>
                </c:pt>
                <c:pt idx="4">
                  <c:v>8423.3333333333321</c:v>
                </c:pt>
                <c:pt idx="5">
                  <c:v>8512</c:v>
                </c:pt>
                <c:pt idx="6">
                  <c:v>8711.3333333333321</c:v>
                </c:pt>
                <c:pt idx="7">
                  <c:v>8566.5</c:v>
                </c:pt>
                <c:pt idx="8">
                  <c:v>8450.5</c:v>
                </c:pt>
                <c:pt idx="9">
                  <c:v>8439.3333333333321</c:v>
                </c:pt>
                <c:pt idx="10">
                  <c:v>8437.3333333333321</c:v>
                </c:pt>
                <c:pt idx="11">
                  <c:v>8314.6666666666661</c:v>
                </c:pt>
                <c:pt idx="12">
                  <c:v>8386.8333333333321</c:v>
                </c:pt>
                <c:pt idx="13">
                  <c:v>8347</c:v>
                </c:pt>
                <c:pt idx="14">
                  <c:v>8479.1666666666661</c:v>
                </c:pt>
                <c:pt idx="15">
                  <c:v>8404.3333333333321</c:v>
                </c:pt>
                <c:pt idx="16">
                  <c:v>8609.5</c:v>
                </c:pt>
                <c:pt idx="17">
                  <c:v>8494.1666666666661</c:v>
                </c:pt>
                <c:pt idx="18">
                  <c:v>8467.3333333333321</c:v>
                </c:pt>
                <c:pt idx="19">
                  <c:v>8534</c:v>
                </c:pt>
                <c:pt idx="20">
                  <c:v>8420.6666666666661</c:v>
                </c:pt>
                <c:pt idx="21">
                  <c:v>8467.6666666666661</c:v>
                </c:pt>
                <c:pt idx="22">
                  <c:v>8604.5</c:v>
                </c:pt>
                <c:pt idx="23">
                  <c:v>8434</c:v>
                </c:pt>
                <c:pt idx="24">
                  <c:v>8455</c:v>
                </c:pt>
                <c:pt idx="25">
                  <c:v>8484.8333333333321</c:v>
                </c:pt>
                <c:pt idx="26">
                  <c:v>8601.5</c:v>
                </c:pt>
                <c:pt idx="27">
                  <c:v>8437.1666666666661</c:v>
                </c:pt>
                <c:pt idx="28">
                  <c:v>8311.6666666666661</c:v>
                </c:pt>
                <c:pt idx="29">
                  <c:v>8422.8333333333321</c:v>
                </c:pt>
                <c:pt idx="30">
                  <c:v>8520.1666666666661</c:v>
                </c:pt>
                <c:pt idx="31">
                  <c:v>8562</c:v>
                </c:pt>
                <c:pt idx="32">
                  <c:v>8561</c:v>
                </c:pt>
                <c:pt idx="33">
                  <c:v>8463.3333333333321</c:v>
                </c:pt>
                <c:pt idx="34">
                  <c:v>8489.1666666666661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F-4AD2-9778-E75E11900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962239"/>
        <c:axId val="1256093439"/>
      </c:lineChart>
      <c:catAx>
        <c:axId val="1940962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93439"/>
        <c:crosses val="autoZero"/>
        <c:auto val="1"/>
        <c:lblAlgn val="ctr"/>
        <c:lblOffset val="100"/>
        <c:noMultiLvlLbl val="0"/>
      </c:catAx>
      <c:valAx>
        <c:axId val="125609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6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</a:t>
            </a:r>
            <a:r>
              <a:rPr lang="en-ID" baseline="0"/>
              <a:t> - </a:t>
            </a:r>
            <a:r>
              <a:rPr lang="en-ID" i="1" baseline="0"/>
              <a:t>Metode 3</a:t>
            </a:r>
            <a:endParaRPr lang="en-ID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 - Forecast'!$Q$27</c:f>
              <c:strCache>
                <c:ptCount val="1"/>
                <c:pt idx="0">
                  <c:v>Data penjualan Tripod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 - Forecast'!$Q$28:$Q$62</c:f>
              <c:numCache>
                <c:formatCode>General</c:formatCode>
                <c:ptCount val="35"/>
                <c:pt idx="0">
                  <c:v>8658</c:v>
                </c:pt>
                <c:pt idx="1">
                  <c:v>8318</c:v>
                </c:pt>
                <c:pt idx="2">
                  <c:v>8781</c:v>
                </c:pt>
                <c:pt idx="3">
                  <c:v>8220</c:v>
                </c:pt>
                <c:pt idx="4">
                  <c:v>8617</c:v>
                </c:pt>
                <c:pt idx="5">
                  <c:v>8938</c:v>
                </c:pt>
                <c:pt idx="6">
                  <c:v>8302</c:v>
                </c:pt>
                <c:pt idx="7">
                  <c:v>8387</c:v>
                </c:pt>
                <c:pt idx="8">
                  <c:v>8520</c:v>
                </c:pt>
                <c:pt idx="9">
                  <c:v>8399</c:v>
                </c:pt>
                <c:pt idx="10">
                  <c:v>8190</c:v>
                </c:pt>
                <c:pt idx="11">
                  <c:v>8514</c:v>
                </c:pt>
                <c:pt idx="12">
                  <c:v>8288</c:v>
                </c:pt>
                <c:pt idx="13">
                  <c:v>8595</c:v>
                </c:pt>
                <c:pt idx="14">
                  <c:v>8316</c:v>
                </c:pt>
                <c:pt idx="15">
                  <c:v>8810</c:v>
                </c:pt>
                <c:pt idx="16">
                  <c:v>8343</c:v>
                </c:pt>
                <c:pt idx="17">
                  <c:v>8436</c:v>
                </c:pt>
                <c:pt idx="18">
                  <c:v>8663</c:v>
                </c:pt>
                <c:pt idx="19">
                  <c:v>8254</c:v>
                </c:pt>
                <c:pt idx="20">
                  <c:v>8545</c:v>
                </c:pt>
                <c:pt idx="21">
                  <c:v>8761</c:v>
                </c:pt>
                <c:pt idx="22">
                  <c:v>8179</c:v>
                </c:pt>
                <c:pt idx="23">
                  <c:v>8537</c:v>
                </c:pt>
                <c:pt idx="24">
                  <c:v>8552</c:v>
                </c:pt>
                <c:pt idx="25">
                  <c:v>8656</c:v>
                </c:pt>
                <c:pt idx="26">
                  <c:v>8253</c:v>
                </c:pt>
                <c:pt idx="27">
                  <c:v>8236</c:v>
                </c:pt>
                <c:pt idx="28">
                  <c:v>8604</c:v>
                </c:pt>
                <c:pt idx="29">
                  <c:v>8559</c:v>
                </c:pt>
                <c:pt idx="30">
                  <c:v>8550</c:v>
                </c:pt>
                <c:pt idx="31">
                  <c:v>8569</c:v>
                </c:pt>
                <c:pt idx="32">
                  <c:v>8364</c:v>
                </c:pt>
                <c:pt idx="33">
                  <c:v>8546</c:v>
                </c:pt>
                <c:pt idx="34">
                  <c:v>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3E-458D-ADE6-1A346AEF357A}"/>
            </c:ext>
          </c:extLst>
        </c:ser>
        <c:ser>
          <c:idx val="1"/>
          <c:order val="1"/>
          <c:tx>
            <c:strRef>
              <c:f>'A - Forecast'!$R$27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 - Forecast'!$R$28:$R$62</c:f>
              <c:numCache>
                <c:formatCode>0</c:formatCode>
                <c:ptCount val="35"/>
                <c:pt idx="0" formatCode="General">
                  <c:v>8658</c:v>
                </c:pt>
                <c:pt idx="1">
                  <c:v>8658</c:v>
                </c:pt>
                <c:pt idx="2">
                  <c:v>8641</c:v>
                </c:pt>
                <c:pt idx="3">
                  <c:v>8647.9999999999982</c:v>
                </c:pt>
                <c:pt idx="4">
                  <c:v>8626.5999999999985</c:v>
                </c:pt>
                <c:pt idx="5">
                  <c:v>8626.119999999999</c:v>
                </c:pt>
                <c:pt idx="6">
                  <c:v>8641.7139999999981</c:v>
                </c:pt>
                <c:pt idx="7">
                  <c:v>8624.7282999999989</c:v>
                </c:pt>
                <c:pt idx="8">
                  <c:v>8612.841884999998</c:v>
                </c:pt>
                <c:pt idx="9">
                  <c:v>8608.1997907499972</c:v>
                </c:pt>
                <c:pt idx="10">
                  <c:v>8597.7398012124977</c:v>
                </c:pt>
                <c:pt idx="11">
                  <c:v>8577.3528111518717</c:v>
                </c:pt>
                <c:pt idx="12">
                  <c:v>8574.1851705942772</c:v>
                </c:pt>
                <c:pt idx="13">
                  <c:v>8559.8759120645627</c:v>
                </c:pt>
                <c:pt idx="14">
                  <c:v>8561.6321164613346</c:v>
                </c:pt>
                <c:pt idx="15">
                  <c:v>8549.3505106382672</c:v>
                </c:pt>
                <c:pt idx="16">
                  <c:v>8562.3829851063529</c:v>
                </c:pt>
                <c:pt idx="17">
                  <c:v>8551.4138358510354</c:v>
                </c:pt>
                <c:pt idx="18">
                  <c:v>8545.6431440584838</c:v>
                </c:pt>
                <c:pt idx="19">
                  <c:v>8551.5109868555592</c:v>
                </c:pt>
                <c:pt idx="20">
                  <c:v>8536.6354375127812</c:v>
                </c:pt>
                <c:pt idx="21">
                  <c:v>8537.0536656371405</c:v>
                </c:pt>
                <c:pt idx="22">
                  <c:v>8548.2509823552828</c:v>
                </c:pt>
                <c:pt idx="23">
                  <c:v>8529.7884332375179</c:v>
                </c:pt>
                <c:pt idx="24">
                  <c:v>8530.1490115756424</c:v>
                </c:pt>
                <c:pt idx="25">
                  <c:v>8531.2415609968593</c:v>
                </c:pt>
                <c:pt idx="26">
                  <c:v>8537.4794829470156</c:v>
                </c:pt>
                <c:pt idx="27">
                  <c:v>8523.2555087996643</c:v>
                </c:pt>
                <c:pt idx="28">
                  <c:v>8508.8927333596803</c:v>
                </c:pt>
                <c:pt idx="29">
                  <c:v>8513.648096691697</c:v>
                </c:pt>
                <c:pt idx="30">
                  <c:v>8515.9156918571116</c:v>
                </c:pt>
                <c:pt idx="31">
                  <c:v>8517.6199072642557</c:v>
                </c:pt>
                <c:pt idx="32">
                  <c:v>8520.188911901043</c:v>
                </c:pt>
                <c:pt idx="33">
                  <c:v>8512.3794663059907</c:v>
                </c:pt>
                <c:pt idx="34">
                  <c:v>8514.0604929906913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E-458D-ADE6-1A346AEF3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253999"/>
        <c:axId val="1495959247"/>
      </c:lineChart>
      <c:catAx>
        <c:axId val="1124253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959247"/>
        <c:crosses val="autoZero"/>
        <c:auto val="1"/>
        <c:lblAlgn val="ctr"/>
        <c:lblOffset val="100"/>
        <c:noMultiLvlLbl val="0"/>
      </c:catAx>
      <c:valAx>
        <c:axId val="14959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5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 - </a:t>
            </a:r>
            <a:r>
              <a:rPr lang="en-ID" i="1"/>
              <a:t>Metode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 - Forecast'!$C$28</c:f>
              <c:strCache>
                <c:ptCount val="1"/>
                <c:pt idx="0">
                  <c:v>Data penjualan Tripod 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 - Forecast'!$C$29:$C$74</c:f>
              <c:numCache>
                <c:formatCode>0</c:formatCode>
                <c:ptCount val="46"/>
                <c:pt idx="0">
                  <c:v>4708</c:v>
                </c:pt>
                <c:pt idx="1">
                  <c:v>5518</c:v>
                </c:pt>
                <c:pt idx="2">
                  <c:v>5912</c:v>
                </c:pt>
                <c:pt idx="3">
                  <c:v>5600</c:v>
                </c:pt>
                <c:pt idx="4">
                  <c:v>6417</c:v>
                </c:pt>
                <c:pt idx="5">
                  <c:v>6534</c:v>
                </c:pt>
                <c:pt idx="6">
                  <c:v>6939</c:v>
                </c:pt>
                <c:pt idx="7">
                  <c:v>7543</c:v>
                </c:pt>
                <c:pt idx="8">
                  <c:v>7183</c:v>
                </c:pt>
                <c:pt idx="9">
                  <c:v>7312</c:v>
                </c:pt>
                <c:pt idx="10">
                  <c:v>7554</c:v>
                </c:pt>
                <c:pt idx="11">
                  <c:v>7858</c:v>
                </c:pt>
                <c:pt idx="12">
                  <c:v>8361</c:v>
                </c:pt>
                <c:pt idx="13">
                  <c:v>8769</c:v>
                </c:pt>
                <c:pt idx="14">
                  <c:v>9032</c:v>
                </c:pt>
                <c:pt idx="15">
                  <c:v>9479</c:v>
                </c:pt>
                <c:pt idx="16">
                  <c:v>9517</c:v>
                </c:pt>
                <c:pt idx="17">
                  <c:v>10231</c:v>
                </c:pt>
                <c:pt idx="18">
                  <c:v>9998</c:v>
                </c:pt>
                <c:pt idx="19">
                  <c:v>11175</c:v>
                </c:pt>
                <c:pt idx="20">
                  <c:v>10829</c:v>
                </c:pt>
                <c:pt idx="21">
                  <c:v>10666</c:v>
                </c:pt>
                <c:pt idx="22">
                  <c:v>10884</c:v>
                </c:pt>
                <c:pt idx="23">
                  <c:v>11632</c:v>
                </c:pt>
                <c:pt idx="24">
                  <c:v>11702</c:v>
                </c:pt>
                <c:pt idx="25">
                  <c:v>12265</c:v>
                </c:pt>
                <c:pt idx="26">
                  <c:v>12475</c:v>
                </c:pt>
                <c:pt idx="27">
                  <c:v>12594</c:v>
                </c:pt>
                <c:pt idx="28">
                  <c:v>12643</c:v>
                </c:pt>
                <c:pt idx="29">
                  <c:v>12725</c:v>
                </c:pt>
                <c:pt idx="30">
                  <c:v>13328</c:v>
                </c:pt>
                <c:pt idx="31">
                  <c:v>14001</c:v>
                </c:pt>
                <c:pt idx="32">
                  <c:v>14090</c:v>
                </c:pt>
                <c:pt idx="33">
                  <c:v>13934</c:v>
                </c:pt>
                <c:pt idx="34">
                  <c:v>14642</c:v>
                </c:pt>
                <c:pt idx="35">
                  <c:v>14987</c:v>
                </c:pt>
                <c:pt idx="36">
                  <c:v>14889</c:v>
                </c:pt>
                <c:pt idx="37">
                  <c:v>15482</c:v>
                </c:pt>
                <c:pt idx="38">
                  <c:v>15735</c:v>
                </c:pt>
                <c:pt idx="39">
                  <c:v>15657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B-4DF9-852C-B216D9329BDC}"/>
            </c:ext>
          </c:extLst>
        </c:ser>
        <c:ser>
          <c:idx val="1"/>
          <c:order val="1"/>
          <c:tx>
            <c:strRef>
              <c:f>'B - Forecast'!$D$28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 - Forecast'!$D$29:$D$74</c:f>
              <c:numCache>
                <c:formatCode>0</c:formatCode>
                <c:ptCount val="46"/>
                <c:pt idx="0">
                  <c:v>5124.4195121951216</c:v>
                </c:pt>
                <c:pt idx="1">
                  <c:v>5401.1159474671667</c:v>
                </c:pt>
                <c:pt idx="2">
                  <c:v>5677.8123827392119</c:v>
                </c:pt>
                <c:pt idx="3">
                  <c:v>5954.5088180112562</c:v>
                </c:pt>
                <c:pt idx="4">
                  <c:v>6231.2052532833022</c:v>
                </c:pt>
                <c:pt idx="5">
                  <c:v>6507.9016885553465</c:v>
                </c:pt>
                <c:pt idx="6">
                  <c:v>6784.5981238273916</c:v>
                </c:pt>
                <c:pt idx="7">
                  <c:v>7061.2945590994368</c:v>
                </c:pt>
                <c:pt idx="8">
                  <c:v>7337.990994371482</c:v>
                </c:pt>
                <c:pt idx="9">
                  <c:v>7614.6874296435271</c:v>
                </c:pt>
                <c:pt idx="10">
                  <c:v>7891.3838649155714</c:v>
                </c:pt>
                <c:pt idx="11">
                  <c:v>8168.0803001876175</c:v>
                </c:pt>
                <c:pt idx="12">
                  <c:v>8444.7767354596617</c:v>
                </c:pt>
                <c:pt idx="13">
                  <c:v>8721.4731707317078</c:v>
                </c:pt>
                <c:pt idx="14">
                  <c:v>8998.1696060037521</c:v>
                </c:pt>
                <c:pt idx="15">
                  <c:v>9274.8660412757963</c:v>
                </c:pt>
                <c:pt idx="16">
                  <c:v>9551.5624765478424</c:v>
                </c:pt>
                <c:pt idx="17">
                  <c:v>9828.2589118198885</c:v>
                </c:pt>
                <c:pt idx="18">
                  <c:v>10104.955347091933</c:v>
                </c:pt>
                <c:pt idx="19">
                  <c:v>10381.651782363977</c:v>
                </c:pt>
                <c:pt idx="20">
                  <c:v>10658.348217636023</c:v>
                </c:pt>
                <c:pt idx="21">
                  <c:v>10935.044652908067</c:v>
                </c:pt>
                <c:pt idx="22">
                  <c:v>11211.741088180112</c:v>
                </c:pt>
                <c:pt idx="23">
                  <c:v>11488.437523452158</c:v>
                </c:pt>
                <c:pt idx="24">
                  <c:v>11765.133958724204</c:v>
                </c:pt>
                <c:pt idx="25">
                  <c:v>12041.830393996248</c:v>
                </c:pt>
                <c:pt idx="26">
                  <c:v>12318.526829268292</c:v>
                </c:pt>
                <c:pt idx="27">
                  <c:v>12595.223264540338</c:v>
                </c:pt>
                <c:pt idx="28">
                  <c:v>12871.919699812383</c:v>
                </c:pt>
                <c:pt idx="29">
                  <c:v>13148.616135084427</c:v>
                </c:pt>
                <c:pt idx="30">
                  <c:v>13425.312570356473</c:v>
                </c:pt>
                <c:pt idx="31">
                  <c:v>13702.009005628519</c:v>
                </c:pt>
                <c:pt idx="32">
                  <c:v>13978.705440900561</c:v>
                </c:pt>
                <c:pt idx="33">
                  <c:v>14255.401876172607</c:v>
                </c:pt>
                <c:pt idx="34">
                  <c:v>14532.098311444654</c:v>
                </c:pt>
                <c:pt idx="35">
                  <c:v>14808.7947467167</c:v>
                </c:pt>
                <c:pt idx="36">
                  <c:v>15085.491181988742</c:v>
                </c:pt>
                <c:pt idx="37">
                  <c:v>15362.187617260788</c:v>
                </c:pt>
                <c:pt idx="38">
                  <c:v>15638.884052532834</c:v>
                </c:pt>
                <c:pt idx="39">
                  <c:v>15915.58048780488</c:v>
                </c:pt>
                <c:pt idx="40">
                  <c:v>16192.276923076923</c:v>
                </c:pt>
                <c:pt idx="41">
                  <c:v>16468.973358348969</c:v>
                </c:pt>
                <c:pt idx="42">
                  <c:v>16745.669793621015</c:v>
                </c:pt>
                <c:pt idx="43">
                  <c:v>17022.366228893057</c:v>
                </c:pt>
                <c:pt idx="44">
                  <c:v>17299.062664165103</c:v>
                </c:pt>
                <c:pt idx="45">
                  <c:v>17575.759099437149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EB-4DF9-852C-B216D9329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578895"/>
        <c:axId val="1266478911"/>
      </c:lineChart>
      <c:catAx>
        <c:axId val="1324578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478911"/>
        <c:crosses val="autoZero"/>
        <c:auto val="1"/>
        <c:lblAlgn val="ctr"/>
        <c:lblOffset val="100"/>
        <c:noMultiLvlLbl val="0"/>
      </c:catAx>
      <c:valAx>
        <c:axId val="126647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 - </a:t>
            </a:r>
            <a:r>
              <a:rPr lang="en-ID" i="1"/>
              <a:t>Metode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 - Forecast'!$J$28</c:f>
              <c:strCache>
                <c:ptCount val="1"/>
                <c:pt idx="0">
                  <c:v>Data penjualan Tripod 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 - Forecast'!$J$29:$J$74</c:f>
              <c:numCache>
                <c:formatCode>0</c:formatCode>
                <c:ptCount val="46"/>
                <c:pt idx="0">
                  <c:v>4708</c:v>
                </c:pt>
                <c:pt idx="1">
                  <c:v>5518</c:v>
                </c:pt>
                <c:pt idx="2">
                  <c:v>5912</c:v>
                </c:pt>
                <c:pt idx="3">
                  <c:v>5600</c:v>
                </c:pt>
                <c:pt idx="4">
                  <c:v>6417</c:v>
                </c:pt>
                <c:pt idx="5">
                  <c:v>6534</c:v>
                </c:pt>
                <c:pt idx="6">
                  <c:v>6939</c:v>
                </c:pt>
                <c:pt idx="7">
                  <c:v>7543</c:v>
                </c:pt>
                <c:pt idx="8">
                  <c:v>7183</c:v>
                </c:pt>
                <c:pt idx="9">
                  <c:v>7312</c:v>
                </c:pt>
                <c:pt idx="10">
                  <c:v>7554</c:v>
                </c:pt>
                <c:pt idx="11">
                  <c:v>7858</c:v>
                </c:pt>
                <c:pt idx="12">
                  <c:v>8361</c:v>
                </c:pt>
                <c:pt idx="13">
                  <c:v>8769</c:v>
                </c:pt>
                <c:pt idx="14">
                  <c:v>9032</c:v>
                </c:pt>
                <c:pt idx="15">
                  <c:v>9479</c:v>
                </c:pt>
                <c:pt idx="16">
                  <c:v>9517</c:v>
                </c:pt>
                <c:pt idx="17">
                  <c:v>10231</c:v>
                </c:pt>
                <c:pt idx="18">
                  <c:v>9998</c:v>
                </c:pt>
                <c:pt idx="19">
                  <c:v>11175</c:v>
                </c:pt>
                <c:pt idx="20">
                  <c:v>10829</c:v>
                </c:pt>
                <c:pt idx="21">
                  <c:v>10666</c:v>
                </c:pt>
                <c:pt idx="22">
                  <c:v>10884</c:v>
                </c:pt>
                <c:pt idx="23">
                  <c:v>11632</c:v>
                </c:pt>
                <c:pt idx="24">
                  <c:v>11702</c:v>
                </c:pt>
                <c:pt idx="25">
                  <c:v>12265</c:v>
                </c:pt>
                <c:pt idx="26">
                  <c:v>12475</c:v>
                </c:pt>
                <c:pt idx="27">
                  <c:v>12594</c:v>
                </c:pt>
                <c:pt idx="28">
                  <c:v>12643</c:v>
                </c:pt>
                <c:pt idx="29">
                  <c:v>12725</c:v>
                </c:pt>
                <c:pt idx="30">
                  <c:v>13328</c:v>
                </c:pt>
                <c:pt idx="31">
                  <c:v>14001</c:v>
                </c:pt>
                <c:pt idx="32">
                  <c:v>14090</c:v>
                </c:pt>
                <c:pt idx="33">
                  <c:v>13934</c:v>
                </c:pt>
                <c:pt idx="34">
                  <c:v>14642</c:v>
                </c:pt>
                <c:pt idx="35">
                  <c:v>14987</c:v>
                </c:pt>
                <c:pt idx="36">
                  <c:v>14889</c:v>
                </c:pt>
                <c:pt idx="37">
                  <c:v>15482</c:v>
                </c:pt>
                <c:pt idx="38">
                  <c:v>15735</c:v>
                </c:pt>
                <c:pt idx="39">
                  <c:v>15657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1-4350-8387-7301D766B37F}"/>
            </c:ext>
          </c:extLst>
        </c:ser>
        <c:ser>
          <c:idx val="1"/>
          <c:order val="1"/>
          <c:tx>
            <c:strRef>
              <c:f>'B - Forecast'!$N$28</c:f>
              <c:strCache>
                <c:ptCount val="1"/>
                <c:pt idx="0">
                  <c:v>F(t)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 - Forecast'!$N$29:$N$74</c:f>
              <c:numCache>
                <c:formatCode>0</c:formatCode>
                <c:ptCount val="46"/>
                <c:pt idx="0">
                  <c:v>4708</c:v>
                </c:pt>
                <c:pt idx="1">
                  <c:v>4910.7025000000003</c:v>
                </c:pt>
                <c:pt idx="2">
                  <c:v>5161.4796993750006</c:v>
                </c:pt>
                <c:pt idx="3">
                  <c:v>5271.672228981407</c:v>
                </c:pt>
                <c:pt idx="4">
                  <c:v>5558.8529581289667</c:v>
                </c:pt>
                <c:pt idx="5">
                  <c:v>5803.7322917501042</c:v>
                </c:pt>
                <c:pt idx="6">
                  <c:v>6088.9256088930197</c:v>
                </c:pt>
                <c:pt idx="7">
                  <c:v>6454.1841153479827</c:v>
                </c:pt>
                <c:pt idx="8">
                  <c:v>6638.310199160368</c:v>
                </c:pt>
                <c:pt idx="9">
                  <c:v>6808.8231844698666</c:v>
                </c:pt>
                <c:pt idx="10">
                  <c:v>6997.394217655873</c:v>
                </c:pt>
                <c:pt idx="11">
                  <c:v>7215.0376439909642</c:v>
                </c:pt>
                <c:pt idx="12">
                  <c:v>7504.3067043312849</c:v>
                </c:pt>
                <c:pt idx="13">
                  <c:v>7823.574672910443</c:v>
                </c:pt>
                <c:pt idx="14">
                  <c:v>8129.0777556765834</c:v>
                </c:pt>
                <c:pt idx="15">
                  <c:v>8470.292548312269</c:v>
                </c:pt>
                <c:pt idx="16">
                  <c:v>8735.9653196519557</c:v>
                </c:pt>
                <c:pt idx="17">
                  <c:v>9114.093656826808</c:v>
                </c:pt>
                <c:pt idx="18">
                  <c:v>9339.660886293741</c:v>
                </c:pt>
                <c:pt idx="19">
                  <c:v>9803.5451431723668</c:v>
                </c:pt>
                <c:pt idx="20">
                  <c:v>10065.214699545544</c:v>
                </c:pt>
                <c:pt idx="21">
                  <c:v>10220.867063150541</c:v>
                </c:pt>
                <c:pt idx="22">
                  <c:v>10392.2721190885</c:v>
                </c:pt>
                <c:pt idx="23">
                  <c:v>10708.135843012198</c:v>
                </c:pt>
                <c:pt idx="24">
                  <c:v>10962.782101994217</c:v>
                </c:pt>
                <c:pt idx="25">
                  <c:v>11294.842350705232</c:v>
                </c:pt>
                <c:pt idx="26">
                  <c:v>11596.682576650817</c:v>
                </c:pt>
                <c:pt idx="27">
                  <c:v>11853.062075465843</c:v>
                </c:pt>
                <c:pt idx="28">
                  <c:v>12057.794184058246</c:v>
                </c:pt>
                <c:pt idx="29">
                  <c:v>12232.010066956535</c:v>
                </c:pt>
                <c:pt idx="30">
                  <c:v>12513.695976613511</c:v>
                </c:pt>
                <c:pt idx="31">
                  <c:v>12893.582234862091</c:v>
                </c:pt>
                <c:pt idx="32">
                  <c:v>13201.046032989811</c:v>
                </c:pt>
                <c:pt idx="33">
                  <c:v>13392.827120077352</c:v>
                </c:pt>
                <c:pt idx="34">
                  <c:v>13713.97522861299</c:v>
                </c:pt>
                <c:pt idx="35">
                  <c:v>14041.404566207564</c:v>
                </c:pt>
                <c:pt idx="36">
                  <c:v>14262.688468261942</c:v>
                </c:pt>
                <c:pt idx="37">
                  <c:v>14577.206222685661</c:v>
                </c:pt>
                <c:pt idx="38">
                  <c:v>14876.633986947778</c:v>
                </c:pt>
                <c:pt idx="39">
                  <c:v>15081.899901647628</c:v>
                </c:pt>
                <c:pt idx="40">
                  <c:v>11317.828862697104</c:v>
                </c:pt>
                <c:pt idx="41">
                  <c:v>8495.520605514248</c:v>
                </c:pt>
                <c:pt idx="42">
                  <c:v>6373.3140728438329</c:v>
                </c:pt>
                <c:pt idx="43">
                  <c:v>4777.2438753308161</c:v>
                </c:pt>
                <c:pt idx="44">
                  <c:v>3576.5727698325272</c:v>
                </c:pt>
                <c:pt idx="45">
                  <c:v>2673.0501244812313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1-4350-8387-7301D766B37F}"/>
            </c:ext>
          </c:extLst>
        </c:ser>
        <c:ser>
          <c:idx val="2"/>
          <c:order val="2"/>
          <c:tx>
            <c:strRef>
              <c:f>'B - Forecast'!$S$28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 - Forecast'!$S$29:$S$74</c:f>
              <c:numCache>
                <c:formatCode>0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6-4418-93A2-667267D6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250639"/>
        <c:axId val="1243096399"/>
      </c:lineChart>
      <c:catAx>
        <c:axId val="1124250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96399"/>
        <c:crosses val="autoZero"/>
        <c:auto val="1"/>
        <c:lblAlgn val="ctr"/>
        <c:lblOffset val="100"/>
        <c:noMultiLvlLbl val="0"/>
      </c:catAx>
      <c:valAx>
        <c:axId val="124309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5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 - </a:t>
            </a:r>
            <a:r>
              <a:rPr lang="en-ID" i="1"/>
              <a:t>Metode</a:t>
            </a:r>
            <a:r>
              <a:rPr lang="en-ID" i="1" baseline="0"/>
              <a:t> 2</a:t>
            </a:r>
            <a:endParaRPr lang="en-ID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 - Forecast'!$Q$32</c:f>
              <c:strCache>
                <c:ptCount val="1"/>
                <c:pt idx="0">
                  <c:v>Data penjualan Tripod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 - Forecast'!$Q$33:$Q$78</c:f>
              <c:numCache>
                <c:formatCode>0</c:formatCode>
                <c:ptCount val="46"/>
                <c:pt idx="0">
                  <c:v>5114</c:v>
                </c:pt>
                <c:pt idx="1">
                  <c:v>5570</c:v>
                </c:pt>
                <c:pt idx="2">
                  <c:v>5408</c:v>
                </c:pt>
                <c:pt idx="3">
                  <c:v>6816</c:v>
                </c:pt>
                <c:pt idx="4">
                  <c:v>6927</c:v>
                </c:pt>
                <c:pt idx="5">
                  <c:v>7508</c:v>
                </c:pt>
                <c:pt idx="6">
                  <c:v>7635</c:v>
                </c:pt>
                <c:pt idx="7">
                  <c:v>7843</c:v>
                </c:pt>
                <c:pt idx="8">
                  <c:v>6991</c:v>
                </c:pt>
                <c:pt idx="9">
                  <c:v>7212</c:v>
                </c:pt>
                <c:pt idx="10">
                  <c:v>7138</c:v>
                </c:pt>
                <c:pt idx="11">
                  <c:v>7150</c:v>
                </c:pt>
                <c:pt idx="12">
                  <c:v>7293</c:v>
                </c:pt>
                <c:pt idx="13">
                  <c:v>7038</c:v>
                </c:pt>
                <c:pt idx="14">
                  <c:v>7304</c:v>
                </c:pt>
                <c:pt idx="15">
                  <c:v>7474</c:v>
                </c:pt>
                <c:pt idx="16">
                  <c:v>7886</c:v>
                </c:pt>
                <c:pt idx="17">
                  <c:v>8688</c:v>
                </c:pt>
                <c:pt idx="18">
                  <c:v>9722</c:v>
                </c:pt>
                <c:pt idx="19">
                  <c:v>9457</c:v>
                </c:pt>
                <c:pt idx="20">
                  <c:v>10158</c:v>
                </c:pt>
                <c:pt idx="21">
                  <c:v>10921</c:v>
                </c:pt>
                <c:pt idx="22">
                  <c:v>12035</c:v>
                </c:pt>
                <c:pt idx="23">
                  <c:v>12118</c:v>
                </c:pt>
                <c:pt idx="24">
                  <c:v>13589</c:v>
                </c:pt>
                <c:pt idx="25">
                  <c:v>12640</c:v>
                </c:pt>
                <c:pt idx="26">
                  <c:v>12584</c:v>
                </c:pt>
                <c:pt idx="27">
                  <c:v>12196</c:v>
                </c:pt>
                <c:pt idx="28">
                  <c:v>12697</c:v>
                </c:pt>
                <c:pt idx="29">
                  <c:v>11957</c:v>
                </c:pt>
                <c:pt idx="30">
                  <c:v>12540</c:v>
                </c:pt>
                <c:pt idx="31">
                  <c:v>12095</c:v>
                </c:pt>
                <c:pt idx="32">
                  <c:v>11888</c:v>
                </c:pt>
                <c:pt idx="33">
                  <c:v>12764</c:v>
                </c:pt>
                <c:pt idx="34">
                  <c:v>11814</c:v>
                </c:pt>
                <c:pt idx="35">
                  <c:v>13380</c:v>
                </c:pt>
                <c:pt idx="36">
                  <c:v>12590</c:v>
                </c:pt>
                <c:pt idx="37">
                  <c:v>13911</c:v>
                </c:pt>
                <c:pt idx="38">
                  <c:v>14067</c:v>
                </c:pt>
                <c:pt idx="39">
                  <c:v>15341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6-4540-B7E4-48576505B88F}"/>
            </c:ext>
          </c:extLst>
        </c:ser>
        <c:ser>
          <c:idx val="1"/>
          <c:order val="1"/>
          <c:tx>
            <c:strRef>
              <c:f>'C - Forecast'!$R$32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 - Forecast'!$R$33:$R$78</c:f>
              <c:numCache>
                <c:formatCode>0</c:formatCode>
                <c:ptCount val="46"/>
                <c:pt idx="0">
                  <c:v>6079.7514821576915</c:v>
                </c:pt>
                <c:pt idx="1">
                  <c:v>6314.5464297278631</c:v>
                </c:pt>
                <c:pt idx="2">
                  <c:v>6549.341377298033</c:v>
                </c:pt>
                <c:pt idx="3">
                  <c:v>6784.1363248682046</c:v>
                </c:pt>
                <c:pt idx="4">
                  <c:v>7018.9312724383763</c:v>
                </c:pt>
                <c:pt idx="5">
                  <c:v>7253.726220008547</c:v>
                </c:pt>
                <c:pt idx="6">
                  <c:v>7488.5211675787177</c:v>
                </c:pt>
                <c:pt idx="7">
                  <c:v>7723.3161151488894</c:v>
                </c:pt>
                <c:pt idx="8">
                  <c:v>7958.111062719061</c:v>
                </c:pt>
                <c:pt idx="9">
                  <c:v>8192.9060102892327</c:v>
                </c:pt>
                <c:pt idx="10">
                  <c:v>8427.7009578594025</c:v>
                </c:pt>
                <c:pt idx="11">
                  <c:v>8662.4959054295741</c:v>
                </c:pt>
                <c:pt idx="12">
                  <c:v>8897.2908529997458</c:v>
                </c:pt>
                <c:pt idx="13">
                  <c:v>9132.0858005699156</c:v>
                </c:pt>
                <c:pt idx="14">
                  <c:v>9366.8807481400872</c:v>
                </c:pt>
                <c:pt idx="15">
                  <c:v>9601.6756957102589</c:v>
                </c:pt>
                <c:pt idx="16">
                  <c:v>9836.4706432804305</c:v>
                </c:pt>
                <c:pt idx="17">
                  <c:v>10071.265590850602</c:v>
                </c:pt>
                <c:pt idx="18">
                  <c:v>10306.060538420772</c:v>
                </c:pt>
                <c:pt idx="19">
                  <c:v>10540.855485990944</c:v>
                </c:pt>
                <c:pt idx="20">
                  <c:v>10775.650433561115</c:v>
                </c:pt>
                <c:pt idx="21">
                  <c:v>11010.445381131285</c:v>
                </c:pt>
                <c:pt idx="22">
                  <c:v>11245.240328701457</c:v>
                </c:pt>
                <c:pt idx="23">
                  <c:v>11480.035276271628</c:v>
                </c:pt>
                <c:pt idx="24">
                  <c:v>11714.8302238418</c:v>
                </c:pt>
                <c:pt idx="25">
                  <c:v>11949.625171411972</c:v>
                </c:pt>
                <c:pt idx="26">
                  <c:v>12184.420118982142</c:v>
                </c:pt>
                <c:pt idx="27">
                  <c:v>12419.215066552313</c:v>
                </c:pt>
                <c:pt idx="28">
                  <c:v>12654.010014122485</c:v>
                </c:pt>
                <c:pt idx="29">
                  <c:v>12888.804961692655</c:v>
                </c:pt>
                <c:pt idx="30">
                  <c:v>13123.599909262826</c:v>
                </c:pt>
                <c:pt idx="31">
                  <c:v>13358.394856832998</c:v>
                </c:pt>
                <c:pt idx="32">
                  <c:v>13593.18980440317</c:v>
                </c:pt>
                <c:pt idx="33">
                  <c:v>13827.984751973341</c:v>
                </c:pt>
                <c:pt idx="34">
                  <c:v>14062.779699543511</c:v>
                </c:pt>
                <c:pt idx="35">
                  <c:v>14297.574647113683</c:v>
                </c:pt>
                <c:pt idx="36">
                  <c:v>14532.369594683854</c:v>
                </c:pt>
                <c:pt idx="37">
                  <c:v>14767.164542254024</c:v>
                </c:pt>
                <c:pt idx="38">
                  <c:v>15001.959489824196</c:v>
                </c:pt>
                <c:pt idx="39">
                  <c:v>15236.754437394367</c:v>
                </c:pt>
                <c:pt idx="40">
                  <c:v>15471.549384964539</c:v>
                </c:pt>
                <c:pt idx="41">
                  <c:v>15706.344332534711</c:v>
                </c:pt>
                <c:pt idx="42">
                  <c:v>15941.139280104881</c:v>
                </c:pt>
                <c:pt idx="43">
                  <c:v>16175.934227675052</c:v>
                </c:pt>
                <c:pt idx="44">
                  <c:v>16410.729175245222</c:v>
                </c:pt>
                <c:pt idx="45">
                  <c:v>16645.524122815394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B6-4540-B7E4-48576505B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525295"/>
        <c:axId val="1259767551"/>
      </c:lineChart>
      <c:catAx>
        <c:axId val="208352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67551"/>
        <c:crosses val="autoZero"/>
        <c:auto val="1"/>
        <c:lblAlgn val="ctr"/>
        <c:lblOffset val="100"/>
        <c:noMultiLvlLbl val="0"/>
      </c:catAx>
      <c:valAx>
        <c:axId val="125976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2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 - </a:t>
            </a:r>
            <a:r>
              <a:rPr lang="en-ID" i="1"/>
              <a:t>Triple Exponential Smoothing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 - Forecast'!$D$32</c:f>
              <c:strCache>
                <c:ptCount val="1"/>
                <c:pt idx="0">
                  <c:v>Data penjualan Tripod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 - Forecast'!$D$33:$D$73</c:f>
              <c:numCache>
                <c:formatCode>0</c:formatCode>
                <c:ptCount val="41"/>
                <c:pt idx="0">
                  <c:v>5114</c:v>
                </c:pt>
                <c:pt idx="1">
                  <c:v>5570</c:v>
                </c:pt>
                <c:pt idx="2">
                  <c:v>5408</c:v>
                </c:pt>
                <c:pt idx="3">
                  <c:v>6816</c:v>
                </c:pt>
                <c:pt idx="4">
                  <c:v>6927</c:v>
                </c:pt>
                <c:pt idx="5">
                  <c:v>7508</c:v>
                </c:pt>
                <c:pt idx="6">
                  <c:v>7635</c:v>
                </c:pt>
                <c:pt idx="7">
                  <c:v>7843</c:v>
                </c:pt>
                <c:pt idx="8">
                  <c:v>6991</c:v>
                </c:pt>
                <c:pt idx="9">
                  <c:v>7212</c:v>
                </c:pt>
                <c:pt idx="10">
                  <c:v>7138</c:v>
                </c:pt>
                <c:pt idx="11">
                  <c:v>7150</c:v>
                </c:pt>
                <c:pt idx="12">
                  <c:v>7293</c:v>
                </c:pt>
                <c:pt idx="13">
                  <c:v>7038</c:v>
                </c:pt>
                <c:pt idx="14">
                  <c:v>7304</c:v>
                </c:pt>
                <c:pt idx="15">
                  <c:v>7474</c:v>
                </c:pt>
                <c:pt idx="16">
                  <c:v>7886</c:v>
                </c:pt>
                <c:pt idx="17">
                  <c:v>8688</c:v>
                </c:pt>
                <c:pt idx="18">
                  <c:v>9722</c:v>
                </c:pt>
                <c:pt idx="19">
                  <c:v>9457</c:v>
                </c:pt>
                <c:pt idx="20">
                  <c:v>10158</c:v>
                </c:pt>
                <c:pt idx="21">
                  <c:v>10921</c:v>
                </c:pt>
                <c:pt idx="22">
                  <c:v>12035</c:v>
                </c:pt>
                <c:pt idx="23">
                  <c:v>12118</c:v>
                </c:pt>
                <c:pt idx="24">
                  <c:v>13589</c:v>
                </c:pt>
                <c:pt idx="25">
                  <c:v>12640</c:v>
                </c:pt>
                <c:pt idx="26">
                  <c:v>12584</c:v>
                </c:pt>
                <c:pt idx="27">
                  <c:v>12196</c:v>
                </c:pt>
                <c:pt idx="28">
                  <c:v>12697</c:v>
                </c:pt>
                <c:pt idx="29">
                  <c:v>11957</c:v>
                </c:pt>
                <c:pt idx="30">
                  <c:v>12540</c:v>
                </c:pt>
                <c:pt idx="31">
                  <c:v>12095</c:v>
                </c:pt>
                <c:pt idx="32">
                  <c:v>11888</c:v>
                </c:pt>
                <c:pt idx="33">
                  <c:v>12764</c:v>
                </c:pt>
                <c:pt idx="34">
                  <c:v>11814</c:v>
                </c:pt>
                <c:pt idx="35">
                  <c:v>13380</c:v>
                </c:pt>
                <c:pt idx="36">
                  <c:v>12590</c:v>
                </c:pt>
                <c:pt idx="37">
                  <c:v>13911</c:v>
                </c:pt>
                <c:pt idx="38">
                  <c:v>14067</c:v>
                </c:pt>
                <c:pt idx="39">
                  <c:v>15341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F-4E11-889C-8622FDBECC7D}"/>
            </c:ext>
          </c:extLst>
        </c:ser>
        <c:ser>
          <c:idx val="1"/>
          <c:order val="1"/>
          <c:tx>
            <c:strRef>
              <c:f>'C - Forecast'!$I$32</c:f>
              <c:strCache>
                <c:ptCount val="1"/>
                <c:pt idx="0">
                  <c:v>F(t)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 - Forecast'!$I$33:$I$73</c:f>
              <c:numCache>
                <c:formatCode>0</c:formatCode>
                <c:ptCount val="41"/>
                <c:pt idx="12">
                  <c:v>7544.4762624617006</c:v>
                </c:pt>
                <c:pt idx="13">
                  <c:v>7294.7005846737657</c:v>
                </c:pt>
                <c:pt idx="14">
                  <c:v>7401.2682918552928</c:v>
                </c:pt>
                <c:pt idx="15">
                  <c:v>7735.6242754169862</c:v>
                </c:pt>
                <c:pt idx="16">
                  <c:v>8036.9303268053427</c:v>
                </c:pt>
                <c:pt idx="17">
                  <c:v>8825.1311967674555</c:v>
                </c:pt>
                <c:pt idx="18">
                  <c:v>9799.1465700473345</c:v>
                </c:pt>
                <c:pt idx="19">
                  <c:v>9704.124714313446</c:v>
                </c:pt>
                <c:pt idx="20">
                  <c:v>10188.967876158844</c:v>
                </c:pt>
                <c:pt idx="21">
                  <c:v>11149.577963926278</c:v>
                </c:pt>
                <c:pt idx="22">
                  <c:v>12107.579456947749</c:v>
                </c:pt>
                <c:pt idx="23">
                  <c:v>12329.039780383706</c:v>
                </c:pt>
                <c:pt idx="24">
                  <c:v>13625.469598194644</c:v>
                </c:pt>
                <c:pt idx="25">
                  <c:v>12963.023310325563</c:v>
                </c:pt>
                <c:pt idx="26">
                  <c:v>12667.760109978086</c:v>
                </c:pt>
                <c:pt idx="27">
                  <c:v>12572.439826930915</c:v>
                </c:pt>
                <c:pt idx="28">
                  <c:v>12842.023147503718</c:v>
                </c:pt>
                <c:pt idx="29">
                  <c:v>12257.718949556258</c:v>
                </c:pt>
                <c:pt idx="30">
                  <c:v>12672.312030663514</c:v>
                </c:pt>
                <c:pt idx="31">
                  <c:v>12373.120782655171</c:v>
                </c:pt>
                <c:pt idx="32">
                  <c:v>11986.442308520525</c:v>
                </c:pt>
                <c:pt idx="33">
                  <c:v>13007.324633824675</c:v>
                </c:pt>
                <c:pt idx="34">
                  <c:v>12087.950629267081</c:v>
                </c:pt>
                <c:pt idx="35">
                  <c:v>13461.699466354328</c:v>
                </c:pt>
                <c:pt idx="36">
                  <c:v>12834.330386411979</c:v>
                </c:pt>
                <c:pt idx="37">
                  <c:v>14024.638109746553</c:v>
                </c:pt>
                <c:pt idx="38">
                  <c:v>14097.591372479346</c:v>
                </c:pt>
                <c:pt idx="39">
                  <c:v>15562.326700821543</c:v>
                </c:pt>
                <c:pt idx="40">
                  <c:v>15753.259906332874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F-4E11-889C-8622FDBEC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329775"/>
        <c:axId val="1271720975"/>
      </c:lineChart>
      <c:catAx>
        <c:axId val="1117329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0975"/>
        <c:crosses val="autoZero"/>
        <c:auto val="1"/>
        <c:lblAlgn val="ctr"/>
        <c:lblOffset val="100"/>
        <c:noMultiLvlLbl val="0"/>
      </c:catAx>
      <c:valAx>
        <c:axId val="127172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 - </a:t>
            </a:r>
            <a:r>
              <a:rPr lang="en-ID" i="1"/>
              <a:t>Metode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 - Forecast'!$D$27</c:f>
              <c:strCache>
                <c:ptCount val="1"/>
                <c:pt idx="0">
                  <c:v>Data penjualan Tripod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 - Forecast'!$D$28:$D$73</c:f>
              <c:numCache>
                <c:formatCode>0</c:formatCode>
                <c:ptCount val="46"/>
                <c:pt idx="0">
                  <c:v>9163</c:v>
                </c:pt>
                <c:pt idx="1">
                  <c:v>3010</c:v>
                </c:pt>
                <c:pt idx="2">
                  <c:v>2018</c:v>
                </c:pt>
                <c:pt idx="3">
                  <c:v>17462</c:v>
                </c:pt>
                <c:pt idx="4">
                  <c:v>17199</c:v>
                </c:pt>
                <c:pt idx="5">
                  <c:v>11400</c:v>
                </c:pt>
                <c:pt idx="6">
                  <c:v>8070</c:v>
                </c:pt>
                <c:pt idx="7">
                  <c:v>2615</c:v>
                </c:pt>
                <c:pt idx="8">
                  <c:v>3114</c:v>
                </c:pt>
                <c:pt idx="9">
                  <c:v>8662</c:v>
                </c:pt>
                <c:pt idx="10">
                  <c:v>13586</c:v>
                </c:pt>
                <c:pt idx="11">
                  <c:v>10762</c:v>
                </c:pt>
                <c:pt idx="12">
                  <c:v>14133</c:v>
                </c:pt>
                <c:pt idx="13">
                  <c:v>6048</c:v>
                </c:pt>
                <c:pt idx="14">
                  <c:v>16848</c:v>
                </c:pt>
                <c:pt idx="15">
                  <c:v>12588</c:v>
                </c:pt>
                <c:pt idx="16">
                  <c:v>12281</c:v>
                </c:pt>
                <c:pt idx="17">
                  <c:v>11377</c:v>
                </c:pt>
                <c:pt idx="18">
                  <c:v>7792</c:v>
                </c:pt>
                <c:pt idx="19">
                  <c:v>7507</c:v>
                </c:pt>
                <c:pt idx="20">
                  <c:v>7411</c:v>
                </c:pt>
                <c:pt idx="21">
                  <c:v>12850</c:v>
                </c:pt>
                <c:pt idx="22">
                  <c:v>3357</c:v>
                </c:pt>
                <c:pt idx="23">
                  <c:v>2307</c:v>
                </c:pt>
                <c:pt idx="24">
                  <c:v>3900</c:v>
                </c:pt>
                <c:pt idx="25">
                  <c:v>3307</c:v>
                </c:pt>
                <c:pt idx="26">
                  <c:v>17813</c:v>
                </c:pt>
                <c:pt idx="27">
                  <c:v>12630</c:v>
                </c:pt>
                <c:pt idx="28">
                  <c:v>7171</c:v>
                </c:pt>
                <c:pt idx="29">
                  <c:v>2440</c:v>
                </c:pt>
                <c:pt idx="30">
                  <c:v>8747</c:v>
                </c:pt>
                <c:pt idx="31">
                  <c:v>8610</c:v>
                </c:pt>
                <c:pt idx="32">
                  <c:v>2979</c:v>
                </c:pt>
                <c:pt idx="33">
                  <c:v>8117</c:v>
                </c:pt>
                <c:pt idx="34">
                  <c:v>9278</c:v>
                </c:pt>
                <c:pt idx="35">
                  <c:v>11408</c:v>
                </c:pt>
                <c:pt idx="36">
                  <c:v>12547</c:v>
                </c:pt>
                <c:pt idx="37">
                  <c:v>2798</c:v>
                </c:pt>
                <c:pt idx="38">
                  <c:v>7782</c:v>
                </c:pt>
                <c:pt idx="39">
                  <c:v>13099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4-40F6-8915-588B620BF24F}"/>
            </c:ext>
          </c:extLst>
        </c:ser>
        <c:ser>
          <c:idx val="1"/>
          <c:order val="1"/>
          <c:tx>
            <c:strRef>
              <c:f>'D - Forecast'!$E$27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 - Forecast'!$E$28:$E$73</c:f>
              <c:numCache>
                <c:formatCode>0</c:formatCode>
                <c:ptCount val="46"/>
                <c:pt idx="0">
                  <c:v>9024.4710829976757</c:v>
                </c:pt>
                <c:pt idx="1">
                  <c:v>9000.3166253145191</c:v>
                </c:pt>
                <c:pt idx="2">
                  <c:v>8976.1621676313698</c:v>
                </c:pt>
                <c:pt idx="3">
                  <c:v>8952.0077099482114</c:v>
                </c:pt>
                <c:pt idx="4">
                  <c:v>8927.8532522650621</c:v>
                </c:pt>
                <c:pt idx="5">
                  <c:v>8903.6987945819037</c:v>
                </c:pt>
                <c:pt idx="6">
                  <c:v>8879.5443368987544</c:v>
                </c:pt>
                <c:pt idx="7">
                  <c:v>8855.389879215596</c:v>
                </c:pt>
                <c:pt idx="8">
                  <c:v>8831.2354215324467</c:v>
                </c:pt>
                <c:pt idx="9">
                  <c:v>8807.0809638492883</c:v>
                </c:pt>
                <c:pt idx="10">
                  <c:v>8782.926506166139</c:v>
                </c:pt>
                <c:pt idx="11">
                  <c:v>8758.7720484829824</c:v>
                </c:pt>
                <c:pt idx="12">
                  <c:v>8734.6175907998313</c:v>
                </c:pt>
                <c:pt idx="13">
                  <c:v>8710.4631331166747</c:v>
                </c:pt>
                <c:pt idx="14">
                  <c:v>8686.3086754335236</c:v>
                </c:pt>
                <c:pt idx="15">
                  <c:v>8662.154217750367</c:v>
                </c:pt>
                <c:pt idx="16">
                  <c:v>8637.9997600672159</c:v>
                </c:pt>
                <c:pt idx="17">
                  <c:v>8613.8453023840593</c:v>
                </c:pt>
                <c:pt idx="18">
                  <c:v>8589.69084470091</c:v>
                </c:pt>
                <c:pt idx="19">
                  <c:v>8565.5363870177516</c:v>
                </c:pt>
                <c:pt idx="20">
                  <c:v>8541.3819293346023</c:v>
                </c:pt>
                <c:pt idx="21">
                  <c:v>8517.2274716514439</c:v>
                </c:pt>
                <c:pt idx="22">
                  <c:v>8493.0730139682946</c:v>
                </c:pt>
                <c:pt idx="23">
                  <c:v>8468.9185562851362</c:v>
                </c:pt>
                <c:pt idx="24">
                  <c:v>8444.7640986019869</c:v>
                </c:pt>
                <c:pt idx="25">
                  <c:v>8420.6096409188303</c:v>
                </c:pt>
                <c:pt idx="26">
                  <c:v>8396.4551832356792</c:v>
                </c:pt>
                <c:pt idx="27">
                  <c:v>8372.3007255525226</c:v>
                </c:pt>
                <c:pt idx="28">
                  <c:v>8348.1462678693715</c:v>
                </c:pt>
                <c:pt idx="29">
                  <c:v>8323.9918101862149</c:v>
                </c:pt>
                <c:pt idx="30">
                  <c:v>8299.8373525030638</c:v>
                </c:pt>
                <c:pt idx="31">
                  <c:v>8275.6828948199072</c:v>
                </c:pt>
                <c:pt idx="32">
                  <c:v>8251.5284371367579</c:v>
                </c:pt>
                <c:pt idx="33">
                  <c:v>8227.3739794535995</c:v>
                </c:pt>
                <c:pt idx="34">
                  <c:v>8203.2195217704502</c:v>
                </c:pt>
                <c:pt idx="35">
                  <c:v>8179.0650640872918</c:v>
                </c:pt>
                <c:pt idx="36">
                  <c:v>8154.9106064041425</c:v>
                </c:pt>
                <c:pt idx="37">
                  <c:v>8130.756148720985</c:v>
                </c:pt>
                <c:pt idx="38">
                  <c:v>8106.6016910378348</c:v>
                </c:pt>
                <c:pt idx="39">
                  <c:v>8082.4472333546773</c:v>
                </c:pt>
                <c:pt idx="40">
                  <c:v>8058.2927756715271</c:v>
                </c:pt>
                <c:pt idx="41">
                  <c:v>8034.1383179883696</c:v>
                </c:pt>
                <c:pt idx="42">
                  <c:v>8009.9838603052194</c:v>
                </c:pt>
                <c:pt idx="43">
                  <c:v>7985.8294026220628</c:v>
                </c:pt>
                <c:pt idx="44">
                  <c:v>7961.6749449389126</c:v>
                </c:pt>
                <c:pt idx="45">
                  <c:v>7937.5204872557551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4-40F6-8915-588B620BF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291807"/>
        <c:axId val="1263974703"/>
      </c:lineChart>
      <c:catAx>
        <c:axId val="911291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74703"/>
        <c:crosses val="autoZero"/>
        <c:auto val="1"/>
        <c:lblAlgn val="ctr"/>
        <c:lblOffset val="100"/>
        <c:noMultiLvlLbl val="0"/>
      </c:catAx>
      <c:valAx>
        <c:axId val="12639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29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 - </a:t>
            </a:r>
            <a:r>
              <a:rPr lang="en-ID" i="1"/>
              <a:t>Metode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 - Forecast'!$K$27</c:f>
              <c:strCache>
                <c:ptCount val="1"/>
                <c:pt idx="0">
                  <c:v>Data penjualan Tripod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 - Forecast'!$K$28:$K$73</c:f>
              <c:numCache>
                <c:formatCode>0</c:formatCode>
                <c:ptCount val="46"/>
                <c:pt idx="0">
                  <c:v>9163</c:v>
                </c:pt>
                <c:pt idx="1">
                  <c:v>3010</c:v>
                </c:pt>
                <c:pt idx="2">
                  <c:v>2018</c:v>
                </c:pt>
                <c:pt idx="3">
                  <c:v>17462</c:v>
                </c:pt>
                <c:pt idx="4">
                  <c:v>17199</c:v>
                </c:pt>
                <c:pt idx="5">
                  <c:v>11400</c:v>
                </c:pt>
                <c:pt idx="6">
                  <c:v>8070</c:v>
                </c:pt>
                <c:pt idx="7">
                  <c:v>2615</c:v>
                </c:pt>
                <c:pt idx="8">
                  <c:v>3114</c:v>
                </c:pt>
                <c:pt idx="9">
                  <c:v>8662</c:v>
                </c:pt>
                <c:pt idx="10">
                  <c:v>13586</c:v>
                </c:pt>
                <c:pt idx="11">
                  <c:v>10762</c:v>
                </c:pt>
                <c:pt idx="12">
                  <c:v>14133</c:v>
                </c:pt>
                <c:pt idx="13">
                  <c:v>6048</c:v>
                </c:pt>
                <c:pt idx="14">
                  <c:v>16848</c:v>
                </c:pt>
                <c:pt idx="15">
                  <c:v>12588</c:v>
                </c:pt>
                <c:pt idx="16">
                  <c:v>12281</c:v>
                </c:pt>
                <c:pt idx="17">
                  <c:v>11377</c:v>
                </c:pt>
                <c:pt idx="18">
                  <c:v>7792</c:v>
                </c:pt>
                <c:pt idx="19">
                  <c:v>7507</c:v>
                </c:pt>
                <c:pt idx="20">
                  <c:v>7411</c:v>
                </c:pt>
                <c:pt idx="21">
                  <c:v>12850</c:v>
                </c:pt>
                <c:pt idx="22">
                  <c:v>3357</c:v>
                </c:pt>
                <c:pt idx="23">
                  <c:v>2307</c:v>
                </c:pt>
                <c:pt idx="24">
                  <c:v>3900</c:v>
                </c:pt>
                <c:pt idx="25">
                  <c:v>3307</c:v>
                </c:pt>
                <c:pt idx="26">
                  <c:v>17813</c:v>
                </c:pt>
                <c:pt idx="27">
                  <c:v>12630</c:v>
                </c:pt>
                <c:pt idx="28">
                  <c:v>7171</c:v>
                </c:pt>
                <c:pt idx="29">
                  <c:v>2440</c:v>
                </c:pt>
                <c:pt idx="30">
                  <c:v>8747</c:v>
                </c:pt>
                <c:pt idx="31">
                  <c:v>8610</c:v>
                </c:pt>
                <c:pt idx="32">
                  <c:v>2979</c:v>
                </c:pt>
                <c:pt idx="33">
                  <c:v>8117</c:v>
                </c:pt>
                <c:pt idx="34">
                  <c:v>9278</c:v>
                </c:pt>
                <c:pt idx="35">
                  <c:v>11408</c:v>
                </c:pt>
                <c:pt idx="36">
                  <c:v>12547</c:v>
                </c:pt>
                <c:pt idx="37">
                  <c:v>2798</c:v>
                </c:pt>
                <c:pt idx="38">
                  <c:v>7782</c:v>
                </c:pt>
                <c:pt idx="39">
                  <c:v>13099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B-414A-88B1-0919A19F2081}"/>
            </c:ext>
          </c:extLst>
        </c:ser>
        <c:ser>
          <c:idx val="1"/>
          <c:order val="1"/>
          <c:tx>
            <c:strRef>
              <c:f>'D - Forecast'!$L$27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 - Forecast'!$L$28:$L$73</c:f>
              <c:numCache>
                <c:formatCode>0</c:formatCode>
                <c:ptCount val="46"/>
                <c:pt idx="0">
                  <c:v>9024.4710829976757</c:v>
                </c:pt>
                <c:pt idx="1">
                  <c:v>9000.3166253145191</c:v>
                </c:pt>
                <c:pt idx="2">
                  <c:v>8976.1621676313698</c:v>
                </c:pt>
                <c:pt idx="3">
                  <c:v>8952.0077099482114</c:v>
                </c:pt>
                <c:pt idx="4">
                  <c:v>8927.8532522650621</c:v>
                </c:pt>
                <c:pt idx="5">
                  <c:v>8903.6987945819037</c:v>
                </c:pt>
                <c:pt idx="6">
                  <c:v>8879.5443368987544</c:v>
                </c:pt>
                <c:pt idx="7">
                  <c:v>8855.389879215596</c:v>
                </c:pt>
                <c:pt idx="8">
                  <c:v>8831.2354215324467</c:v>
                </c:pt>
                <c:pt idx="9">
                  <c:v>8807.0809638492883</c:v>
                </c:pt>
                <c:pt idx="10">
                  <c:v>8782.926506166139</c:v>
                </c:pt>
                <c:pt idx="11">
                  <c:v>8758.7720484829824</c:v>
                </c:pt>
                <c:pt idx="12">
                  <c:v>8734.6175907998313</c:v>
                </c:pt>
                <c:pt idx="13">
                  <c:v>8710.4631331166747</c:v>
                </c:pt>
                <c:pt idx="14">
                  <c:v>8686.3086754335236</c:v>
                </c:pt>
                <c:pt idx="15">
                  <c:v>8662.154217750367</c:v>
                </c:pt>
                <c:pt idx="16">
                  <c:v>8637.9997600672159</c:v>
                </c:pt>
                <c:pt idx="17">
                  <c:v>8613.8453023840593</c:v>
                </c:pt>
                <c:pt idx="18">
                  <c:v>8589.69084470091</c:v>
                </c:pt>
                <c:pt idx="19">
                  <c:v>8565.5363870177516</c:v>
                </c:pt>
                <c:pt idx="20">
                  <c:v>8541.3819293346023</c:v>
                </c:pt>
                <c:pt idx="21">
                  <c:v>8517.2274716514439</c:v>
                </c:pt>
                <c:pt idx="22">
                  <c:v>8493.0730139682946</c:v>
                </c:pt>
                <c:pt idx="23">
                  <c:v>8468.9185562851362</c:v>
                </c:pt>
                <c:pt idx="24">
                  <c:v>8444.7640986019869</c:v>
                </c:pt>
                <c:pt idx="25">
                  <c:v>8420.6096409188303</c:v>
                </c:pt>
                <c:pt idx="26">
                  <c:v>8396.4551832356792</c:v>
                </c:pt>
                <c:pt idx="27">
                  <c:v>8372.3007255525226</c:v>
                </c:pt>
                <c:pt idx="28">
                  <c:v>8348.1462678693715</c:v>
                </c:pt>
                <c:pt idx="29">
                  <c:v>8323.9918101862149</c:v>
                </c:pt>
                <c:pt idx="30">
                  <c:v>8299.8373525030638</c:v>
                </c:pt>
                <c:pt idx="31">
                  <c:v>8275.6828948199072</c:v>
                </c:pt>
                <c:pt idx="32">
                  <c:v>8251.5284371367579</c:v>
                </c:pt>
                <c:pt idx="33">
                  <c:v>8227.3739794535995</c:v>
                </c:pt>
                <c:pt idx="34">
                  <c:v>8203.2195217704502</c:v>
                </c:pt>
                <c:pt idx="35">
                  <c:v>8179.0650640872918</c:v>
                </c:pt>
                <c:pt idx="36">
                  <c:v>8154.9106064041425</c:v>
                </c:pt>
                <c:pt idx="37">
                  <c:v>8130.756148720985</c:v>
                </c:pt>
                <c:pt idx="38">
                  <c:v>8106.6016910378348</c:v>
                </c:pt>
                <c:pt idx="39">
                  <c:v>8082.4472333546773</c:v>
                </c:pt>
                <c:pt idx="40">
                  <c:v>8058.2927756715271</c:v>
                </c:pt>
                <c:pt idx="41">
                  <c:v>8034.1383179883696</c:v>
                </c:pt>
                <c:pt idx="42">
                  <c:v>8009.9838603052194</c:v>
                </c:pt>
                <c:pt idx="43">
                  <c:v>7985.8294026220628</c:v>
                </c:pt>
                <c:pt idx="44">
                  <c:v>7961.6749449389126</c:v>
                </c:pt>
                <c:pt idx="45">
                  <c:v>7937.5204872557551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B-414A-88B1-0919A19F2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291327"/>
        <c:axId val="1263973711"/>
      </c:lineChart>
      <c:catAx>
        <c:axId val="911291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73711"/>
        <c:crosses val="autoZero"/>
        <c:auto val="1"/>
        <c:lblAlgn val="ctr"/>
        <c:lblOffset val="100"/>
        <c:noMultiLvlLbl val="0"/>
      </c:catAx>
      <c:valAx>
        <c:axId val="126397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29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 -</a:t>
            </a:r>
            <a:r>
              <a:rPr lang="en-ID" baseline="0"/>
              <a:t> </a:t>
            </a:r>
            <a:r>
              <a:rPr lang="en-ID" i="1" baseline="0"/>
              <a:t>Metode 3</a:t>
            </a:r>
            <a:endParaRPr lang="en-ID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 - Forecast'!$R$27</c:f>
              <c:strCache>
                <c:ptCount val="1"/>
                <c:pt idx="0">
                  <c:v>Data penjualan Tripod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 - Forecast'!$R$28:$R$73</c:f>
              <c:numCache>
                <c:formatCode>0</c:formatCode>
                <c:ptCount val="46"/>
                <c:pt idx="0">
                  <c:v>9163</c:v>
                </c:pt>
                <c:pt idx="1">
                  <c:v>3010</c:v>
                </c:pt>
                <c:pt idx="2">
                  <c:v>2018</c:v>
                </c:pt>
                <c:pt idx="3">
                  <c:v>17462</c:v>
                </c:pt>
                <c:pt idx="4">
                  <c:v>17199</c:v>
                </c:pt>
                <c:pt idx="5">
                  <c:v>11400</c:v>
                </c:pt>
                <c:pt idx="6">
                  <c:v>8070</c:v>
                </c:pt>
                <c:pt idx="7">
                  <c:v>2615</c:v>
                </c:pt>
                <c:pt idx="8">
                  <c:v>3114</c:v>
                </c:pt>
                <c:pt idx="9">
                  <c:v>8662</c:v>
                </c:pt>
                <c:pt idx="10">
                  <c:v>13586</c:v>
                </c:pt>
                <c:pt idx="11">
                  <c:v>10762</c:v>
                </c:pt>
                <c:pt idx="12">
                  <c:v>14133</c:v>
                </c:pt>
                <c:pt idx="13">
                  <c:v>6048</c:v>
                </c:pt>
                <c:pt idx="14">
                  <c:v>16848</c:v>
                </c:pt>
                <c:pt idx="15">
                  <c:v>12588</c:v>
                </c:pt>
                <c:pt idx="16">
                  <c:v>12281</c:v>
                </c:pt>
                <c:pt idx="17">
                  <c:v>11377</c:v>
                </c:pt>
                <c:pt idx="18">
                  <c:v>7792</c:v>
                </c:pt>
                <c:pt idx="19">
                  <c:v>7507</c:v>
                </c:pt>
                <c:pt idx="20">
                  <c:v>7411</c:v>
                </c:pt>
                <c:pt idx="21">
                  <c:v>12850</c:v>
                </c:pt>
                <c:pt idx="22">
                  <c:v>3357</c:v>
                </c:pt>
                <c:pt idx="23">
                  <c:v>2307</c:v>
                </c:pt>
                <c:pt idx="24">
                  <c:v>3900</c:v>
                </c:pt>
                <c:pt idx="25">
                  <c:v>3307</c:v>
                </c:pt>
                <c:pt idx="26">
                  <c:v>17813</c:v>
                </c:pt>
                <c:pt idx="27">
                  <c:v>12630</c:v>
                </c:pt>
                <c:pt idx="28">
                  <c:v>7171</c:v>
                </c:pt>
                <c:pt idx="29">
                  <c:v>2440</c:v>
                </c:pt>
                <c:pt idx="30">
                  <c:v>8747</c:v>
                </c:pt>
                <c:pt idx="31">
                  <c:v>8610</c:v>
                </c:pt>
                <c:pt idx="32">
                  <c:v>2979</c:v>
                </c:pt>
                <c:pt idx="33">
                  <c:v>8117</c:v>
                </c:pt>
                <c:pt idx="34">
                  <c:v>9278</c:v>
                </c:pt>
                <c:pt idx="35">
                  <c:v>11408</c:v>
                </c:pt>
                <c:pt idx="36">
                  <c:v>12547</c:v>
                </c:pt>
                <c:pt idx="37">
                  <c:v>2798</c:v>
                </c:pt>
                <c:pt idx="38">
                  <c:v>7782</c:v>
                </c:pt>
                <c:pt idx="39">
                  <c:v>13099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5-4E63-A0D4-8CFA9D35887C}"/>
            </c:ext>
          </c:extLst>
        </c:ser>
        <c:ser>
          <c:idx val="1"/>
          <c:order val="1"/>
          <c:tx>
            <c:strRef>
              <c:f>'D - Forecast'!$S$27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 - Forecast'!$S$28:$S$73</c:f>
              <c:numCache>
                <c:formatCode>0</c:formatCode>
                <c:ptCount val="46"/>
                <c:pt idx="0">
                  <c:v>9163</c:v>
                </c:pt>
                <c:pt idx="1">
                  <c:v>9163</c:v>
                </c:pt>
                <c:pt idx="2">
                  <c:v>9150.6940000000013</c:v>
                </c:pt>
                <c:pt idx="3">
                  <c:v>9136.4286120000015</c:v>
                </c:pt>
                <c:pt idx="4">
                  <c:v>9153.079754776003</c:v>
                </c:pt>
                <c:pt idx="5">
                  <c:v>9169.1715952664508</c:v>
                </c:pt>
                <c:pt idx="6">
                  <c:v>9173.633252075917</c:v>
                </c:pt>
                <c:pt idx="7">
                  <c:v>9171.4259855717646</c:v>
                </c:pt>
                <c:pt idx="8">
                  <c:v>9158.3131336006209</c:v>
                </c:pt>
                <c:pt idx="9">
                  <c:v>9146.2245073334179</c:v>
                </c:pt>
                <c:pt idx="10">
                  <c:v>9145.2560583187515</c:v>
                </c:pt>
                <c:pt idx="11">
                  <c:v>9154.1375462021151</c:v>
                </c:pt>
                <c:pt idx="12">
                  <c:v>9157.3532711097105</c:v>
                </c:pt>
                <c:pt idx="13">
                  <c:v>9167.3045645674902</c:v>
                </c:pt>
                <c:pt idx="14">
                  <c:v>9161.0659554383546</c:v>
                </c:pt>
                <c:pt idx="15">
                  <c:v>9176.4398235274784</c:v>
                </c:pt>
                <c:pt idx="16">
                  <c:v>9183.2629438804233</c:v>
                </c:pt>
                <c:pt idx="17">
                  <c:v>9189.4584179926624</c:v>
                </c:pt>
                <c:pt idx="18">
                  <c:v>9193.8335011566778</c:v>
                </c:pt>
                <c:pt idx="19">
                  <c:v>9191.0298341543657</c:v>
                </c:pt>
                <c:pt idx="20">
                  <c:v>9187.6617744860559</c:v>
                </c:pt>
                <c:pt idx="21">
                  <c:v>9184.108450937083</c:v>
                </c:pt>
                <c:pt idx="22">
                  <c:v>9191.4402340352099</c:v>
                </c:pt>
                <c:pt idx="23">
                  <c:v>9179.7713535671392</c:v>
                </c:pt>
                <c:pt idx="24">
                  <c:v>9166.0258108600046</c:v>
                </c:pt>
                <c:pt idx="25">
                  <c:v>9155.493759238283</c:v>
                </c:pt>
                <c:pt idx="26">
                  <c:v>9143.7967717198062</c:v>
                </c:pt>
                <c:pt idx="27">
                  <c:v>9161.135178176366</c:v>
                </c:pt>
                <c:pt idx="28">
                  <c:v>9168.0729078200129</c:v>
                </c:pt>
                <c:pt idx="29">
                  <c:v>9164.0787620043739</c:v>
                </c:pt>
                <c:pt idx="30">
                  <c:v>9150.6306044803641</c:v>
                </c:pt>
                <c:pt idx="31">
                  <c:v>9149.8233432714042</c:v>
                </c:pt>
                <c:pt idx="32">
                  <c:v>9148.743696584861</c:v>
                </c:pt>
                <c:pt idx="33">
                  <c:v>9136.4042091916926</c:v>
                </c:pt>
                <c:pt idx="34">
                  <c:v>9134.3654007733094</c:v>
                </c:pt>
                <c:pt idx="35">
                  <c:v>9134.6526699717633</c:v>
                </c:pt>
                <c:pt idx="36">
                  <c:v>9139.1993646318206</c:v>
                </c:pt>
                <c:pt idx="37">
                  <c:v>9146.0149659025556</c:v>
                </c:pt>
                <c:pt idx="38">
                  <c:v>9133.3189359707503</c:v>
                </c:pt>
                <c:pt idx="39">
                  <c:v>9130.6162980988083</c:v>
                </c:pt>
                <c:pt idx="40">
                  <c:v>9138.5530655026105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95-4E63-A0D4-8CFA9D358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795359"/>
        <c:axId val="1272728639"/>
      </c:lineChart>
      <c:catAx>
        <c:axId val="911795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28639"/>
        <c:crosses val="autoZero"/>
        <c:auto val="1"/>
        <c:lblAlgn val="ctr"/>
        <c:lblOffset val="100"/>
        <c:noMultiLvlLbl val="0"/>
      </c:catAx>
      <c:valAx>
        <c:axId val="127272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79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 - </a:t>
            </a:r>
            <a:r>
              <a:rPr lang="en-ID" i="1"/>
              <a:t>Metode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 - Forecast'!$Y$27</c:f>
              <c:strCache>
                <c:ptCount val="1"/>
                <c:pt idx="0">
                  <c:v>Data penjualan Tripod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 - Forecast'!$Y$28:$Y$73</c:f>
              <c:numCache>
                <c:formatCode>0</c:formatCode>
                <c:ptCount val="46"/>
                <c:pt idx="0">
                  <c:v>9163</c:v>
                </c:pt>
                <c:pt idx="1">
                  <c:v>3010</c:v>
                </c:pt>
                <c:pt idx="2">
                  <c:v>2018</c:v>
                </c:pt>
                <c:pt idx="3">
                  <c:v>17462</c:v>
                </c:pt>
                <c:pt idx="4">
                  <c:v>17199</c:v>
                </c:pt>
                <c:pt idx="5">
                  <c:v>11400</c:v>
                </c:pt>
                <c:pt idx="6">
                  <c:v>8070</c:v>
                </c:pt>
                <c:pt idx="7">
                  <c:v>2615</c:v>
                </c:pt>
                <c:pt idx="8">
                  <c:v>3114</c:v>
                </c:pt>
                <c:pt idx="9">
                  <c:v>8662</c:v>
                </c:pt>
                <c:pt idx="10">
                  <c:v>13586</c:v>
                </c:pt>
                <c:pt idx="11">
                  <c:v>10762</c:v>
                </c:pt>
                <c:pt idx="12">
                  <c:v>14133</c:v>
                </c:pt>
                <c:pt idx="13">
                  <c:v>6048</c:v>
                </c:pt>
                <c:pt idx="14">
                  <c:v>16848</c:v>
                </c:pt>
                <c:pt idx="15">
                  <c:v>12588</c:v>
                </c:pt>
                <c:pt idx="16">
                  <c:v>12281</c:v>
                </c:pt>
                <c:pt idx="17">
                  <c:v>11377</c:v>
                </c:pt>
                <c:pt idx="18">
                  <c:v>7792</c:v>
                </c:pt>
                <c:pt idx="19">
                  <c:v>7507</c:v>
                </c:pt>
                <c:pt idx="20">
                  <c:v>7411</c:v>
                </c:pt>
                <c:pt idx="21">
                  <c:v>12850</c:v>
                </c:pt>
                <c:pt idx="22">
                  <c:v>3357</c:v>
                </c:pt>
                <c:pt idx="23">
                  <c:v>2307</c:v>
                </c:pt>
                <c:pt idx="24">
                  <c:v>3900</c:v>
                </c:pt>
                <c:pt idx="25">
                  <c:v>3307</c:v>
                </c:pt>
                <c:pt idx="26">
                  <c:v>17813</c:v>
                </c:pt>
                <c:pt idx="27">
                  <c:v>12630</c:v>
                </c:pt>
                <c:pt idx="28">
                  <c:v>7171</c:v>
                </c:pt>
                <c:pt idx="29">
                  <c:v>2440</c:v>
                </c:pt>
                <c:pt idx="30">
                  <c:v>8747</c:v>
                </c:pt>
                <c:pt idx="31">
                  <c:v>8610</c:v>
                </c:pt>
                <c:pt idx="32">
                  <c:v>2979</c:v>
                </c:pt>
                <c:pt idx="33">
                  <c:v>8117</c:v>
                </c:pt>
                <c:pt idx="34">
                  <c:v>9278</c:v>
                </c:pt>
                <c:pt idx="35">
                  <c:v>11408</c:v>
                </c:pt>
                <c:pt idx="36">
                  <c:v>12547</c:v>
                </c:pt>
                <c:pt idx="37">
                  <c:v>2798</c:v>
                </c:pt>
                <c:pt idx="38">
                  <c:v>7782</c:v>
                </c:pt>
                <c:pt idx="39">
                  <c:v>13099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7-4CF0-B330-38B534EA6E11}"/>
            </c:ext>
          </c:extLst>
        </c:ser>
        <c:ser>
          <c:idx val="1"/>
          <c:order val="1"/>
          <c:tx>
            <c:strRef>
              <c:f>'D - Forecast'!$Z$27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 - Forecast'!$Z$28:$Z$73</c:f>
              <c:numCache>
                <c:formatCode>0</c:formatCode>
                <c:ptCount val="46"/>
                <c:pt idx="0">
                  <c:v>9534.6402439024387</c:v>
                </c:pt>
                <c:pt idx="1">
                  <c:v>9499.768949343339</c:v>
                </c:pt>
                <c:pt idx="2">
                  <c:v>9464.8976547842394</c:v>
                </c:pt>
                <c:pt idx="3">
                  <c:v>9430.0263602251398</c:v>
                </c:pt>
                <c:pt idx="4">
                  <c:v>9395.155065666042</c:v>
                </c:pt>
                <c:pt idx="5">
                  <c:v>9360.2837711069424</c:v>
                </c:pt>
                <c:pt idx="6">
                  <c:v>9325.4124765478427</c:v>
                </c:pt>
                <c:pt idx="7">
                  <c:v>9290.5411819887431</c:v>
                </c:pt>
                <c:pt idx="8">
                  <c:v>9255.6698874296435</c:v>
                </c:pt>
                <c:pt idx="9">
                  <c:v>9220.7985928705439</c:v>
                </c:pt>
                <c:pt idx="10">
                  <c:v>9185.9272983114442</c:v>
                </c:pt>
                <c:pt idx="11">
                  <c:v>9151.0560037523446</c:v>
                </c:pt>
                <c:pt idx="12">
                  <c:v>9116.184709193245</c:v>
                </c:pt>
                <c:pt idx="13">
                  <c:v>9081.3134146341472</c:v>
                </c:pt>
                <c:pt idx="14">
                  <c:v>9046.4421200750476</c:v>
                </c:pt>
                <c:pt idx="15">
                  <c:v>9011.5708255159479</c:v>
                </c:pt>
                <c:pt idx="16">
                  <c:v>8976.6995309568483</c:v>
                </c:pt>
                <c:pt idx="17">
                  <c:v>8941.8282363977487</c:v>
                </c:pt>
                <c:pt idx="18">
                  <c:v>8906.9569418386491</c:v>
                </c:pt>
                <c:pt idx="19">
                  <c:v>8872.0856472795494</c:v>
                </c:pt>
                <c:pt idx="20">
                  <c:v>8837.2143527204498</c:v>
                </c:pt>
                <c:pt idx="21">
                  <c:v>8802.3430581613502</c:v>
                </c:pt>
                <c:pt idx="22">
                  <c:v>8767.4717636022506</c:v>
                </c:pt>
                <c:pt idx="23">
                  <c:v>8732.6004690431528</c:v>
                </c:pt>
                <c:pt idx="24">
                  <c:v>8697.7291744840531</c:v>
                </c:pt>
                <c:pt idx="25">
                  <c:v>8662.8578799249535</c:v>
                </c:pt>
                <c:pt idx="26">
                  <c:v>8627.9865853658539</c:v>
                </c:pt>
                <c:pt idx="27">
                  <c:v>8593.1152908067543</c:v>
                </c:pt>
                <c:pt idx="28">
                  <c:v>8558.2439962476546</c:v>
                </c:pt>
                <c:pt idx="29">
                  <c:v>8523.372701688555</c:v>
                </c:pt>
                <c:pt idx="30">
                  <c:v>8488.5014071294554</c:v>
                </c:pt>
                <c:pt idx="31">
                  <c:v>8453.6301125703576</c:v>
                </c:pt>
                <c:pt idx="32">
                  <c:v>8418.758818011258</c:v>
                </c:pt>
                <c:pt idx="33">
                  <c:v>8383.8875234521583</c:v>
                </c:pt>
                <c:pt idx="34">
                  <c:v>8349.0162288930587</c:v>
                </c:pt>
                <c:pt idx="35">
                  <c:v>8314.1449343339591</c:v>
                </c:pt>
                <c:pt idx="36">
                  <c:v>8279.2736397748595</c:v>
                </c:pt>
                <c:pt idx="37">
                  <c:v>8244.4023452157599</c:v>
                </c:pt>
                <c:pt idx="38">
                  <c:v>8209.5310506566602</c:v>
                </c:pt>
                <c:pt idx="39">
                  <c:v>8174.6597560975615</c:v>
                </c:pt>
                <c:pt idx="40">
                  <c:v>8139.7884615384619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C7-4CF0-B330-38B534EA6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234543"/>
        <c:axId val="1394769247"/>
      </c:lineChart>
      <c:catAx>
        <c:axId val="193423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69247"/>
        <c:crosses val="autoZero"/>
        <c:auto val="1"/>
        <c:lblAlgn val="ctr"/>
        <c:lblOffset val="100"/>
        <c:noMultiLvlLbl val="0"/>
      </c:catAx>
      <c:valAx>
        <c:axId val="13947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23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</a:t>
            </a:r>
            <a:r>
              <a:rPr lang="en-ID" baseline="0"/>
              <a:t> - </a:t>
            </a:r>
            <a:r>
              <a:rPr lang="en-ID" i="1" baseline="0"/>
              <a:t>Metode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 - Forecast'!$AF$27</c:f>
              <c:strCache>
                <c:ptCount val="1"/>
                <c:pt idx="0">
                  <c:v>Data penjualan Tripod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 - Forecast'!$AF$28:$AF$73</c:f>
              <c:numCache>
                <c:formatCode>0</c:formatCode>
                <c:ptCount val="46"/>
                <c:pt idx="0">
                  <c:v>9163</c:v>
                </c:pt>
                <c:pt idx="1">
                  <c:v>3010</c:v>
                </c:pt>
                <c:pt idx="2">
                  <c:v>2018</c:v>
                </c:pt>
                <c:pt idx="3">
                  <c:v>17462</c:v>
                </c:pt>
                <c:pt idx="4">
                  <c:v>17199</c:v>
                </c:pt>
                <c:pt idx="5">
                  <c:v>11400</c:v>
                </c:pt>
                <c:pt idx="6">
                  <c:v>8070</c:v>
                </c:pt>
                <c:pt idx="7">
                  <c:v>2615</c:v>
                </c:pt>
                <c:pt idx="8">
                  <c:v>3114</c:v>
                </c:pt>
                <c:pt idx="9">
                  <c:v>8662</c:v>
                </c:pt>
                <c:pt idx="10">
                  <c:v>13586</c:v>
                </c:pt>
                <c:pt idx="11">
                  <c:v>10762</c:v>
                </c:pt>
                <c:pt idx="12">
                  <c:v>14133</c:v>
                </c:pt>
                <c:pt idx="13">
                  <c:v>6048</c:v>
                </c:pt>
                <c:pt idx="14">
                  <c:v>16848</c:v>
                </c:pt>
                <c:pt idx="15">
                  <c:v>12588</c:v>
                </c:pt>
                <c:pt idx="16">
                  <c:v>12281</c:v>
                </c:pt>
                <c:pt idx="17">
                  <c:v>11377</c:v>
                </c:pt>
                <c:pt idx="18">
                  <c:v>7792</c:v>
                </c:pt>
                <c:pt idx="19">
                  <c:v>7507</c:v>
                </c:pt>
                <c:pt idx="20">
                  <c:v>7411</c:v>
                </c:pt>
                <c:pt idx="21">
                  <c:v>12850</c:v>
                </c:pt>
                <c:pt idx="22">
                  <c:v>3357</c:v>
                </c:pt>
                <c:pt idx="23">
                  <c:v>2307</c:v>
                </c:pt>
                <c:pt idx="24">
                  <c:v>3900</c:v>
                </c:pt>
                <c:pt idx="25">
                  <c:v>3307</c:v>
                </c:pt>
                <c:pt idx="26">
                  <c:v>17813</c:v>
                </c:pt>
                <c:pt idx="27">
                  <c:v>12630</c:v>
                </c:pt>
                <c:pt idx="28">
                  <c:v>7171</c:v>
                </c:pt>
                <c:pt idx="29">
                  <c:v>2440</c:v>
                </c:pt>
                <c:pt idx="30">
                  <c:v>8747</c:v>
                </c:pt>
                <c:pt idx="31">
                  <c:v>8610</c:v>
                </c:pt>
                <c:pt idx="32">
                  <c:v>2979</c:v>
                </c:pt>
                <c:pt idx="33">
                  <c:v>8117</c:v>
                </c:pt>
                <c:pt idx="34">
                  <c:v>9278</c:v>
                </c:pt>
                <c:pt idx="35">
                  <c:v>11408</c:v>
                </c:pt>
                <c:pt idx="36">
                  <c:v>12547</c:v>
                </c:pt>
                <c:pt idx="37">
                  <c:v>2798</c:v>
                </c:pt>
                <c:pt idx="38">
                  <c:v>7782</c:v>
                </c:pt>
                <c:pt idx="39">
                  <c:v>13099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F-4494-BE07-C7A5FCD6E228}"/>
            </c:ext>
          </c:extLst>
        </c:ser>
        <c:ser>
          <c:idx val="1"/>
          <c:order val="1"/>
          <c:tx>
            <c:strRef>
              <c:f>'D - Forecast'!$AG$27</c:f>
              <c:strCache>
                <c:ptCount val="1"/>
                <c:pt idx="0">
                  <c:v>Hasil Peramalan pada periode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 - Forecast'!$AG$29:$AG$73</c:f>
              <c:numCache>
                <c:formatCode>0</c:formatCode>
                <c:ptCount val="45"/>
                <c:pt idx="2">
                  <c:v>3539.5</c:v>
                </c:pt>
                <c:pt idx="3">
                  <c:v>9905.3333333333321</c:v>
                </c:pt>
                <c:pt idx="4">
                  <c:v>14756.5</c:v>
                </c:pt>
                <c:pt idx="5">
                  <c:v>14343.333333333332</c:v>
                </c:pt>
                <c:pt idx="6">
                  <c:v>10701.5</c:v>
                </c:pt>
                <c:pt idx="7">
                  <c:v>5897.5</c:v>
                </c:pt>
                <c:pt idx="8">
                  <c:v>3773.6666666666665</c:v>
                </c:pt>
                <c:pt idx="9">
                  <c:v>5804.833333333333</c:v>
                </c:pt>
                <c:pt idx="10">
                  <c:v>10199.333333333332</c:v>
                </c:pt>
                <c:pt idx="11">
                  <c:v>11353.333333333332</c:v>
                </c:pt>
                <c:pt idx="12">
                  <c:v>12918.166666666666</c:v>
                </c:pt>
                <c:pt idx="13">
                  <c:v>9528.6666666666661</c:v>
                </c:pt>
                <c:pt idx="14">
                  <c:v>12795.5</c:v>
                </c:pt>
                <c:pt idx="15">
                  <c:v>12918</c:v>
                </c:pt>
                <c:pt idx="16">
                  <c:v>13144.5</c:v>
                </c:pt>
                <c:pt idx="17">
                  <c:v>11880.166666666666</c:v>
                </c:pt>
                <c:pt idx="18">
                  <c:v>9735.1666666666661</c:v>
                </c:pt>
                <c:pt idx="19">
                  <c:v>8247</c:v>
                </c:pt>
                <c:pt idx="20">
                  <c:v>7506.5</c:v>
                </c:pt>
                <c:pt idx="21">
                  <c:v>10146.5</c:v>
                </c:pt>
                <c:pt idx="22">
                  <c:v>7197</c:v>
                </c:pt>
                <c:pt idx="23">
                  <c:v>4414.1666666666661</c:v>
                </c:pt>
                <c:pt idx="24">
                  <c:v>3278.5</c:v>
                </c:pt>
                <c:pt idx="25">
                  <c:v>3338</c:v>
                </c:pt>
                <c:pt idx="26">
                  <c:v>10658.833333333332</c:v>
                </c:pt>
                <c:pt idx="27">
                  <c:v>12803.833333333332</c:v>
                </c:pt>
                <c:pt idx="28">
                  <c:v>10764.333333333332</c:v>
                </c:pt>
                <c:pt idx="29">
                  <c:v>5715.333333333333</c:v>
                </c:pt>
                <c:pt idx="30">
                  <c:v>6382</c:v>
                </c:pt>
                <c:pt idx="31">
                  <c:v>7627.333333333333</c:v>
                </c:pt>
                <c:pt idx="32">
                  <c:v>5817.333333333333</c:v>
                </c:pt>
                <c:pt idx="33">
                  <c:v>6486.5</c:v>
                </c:pt>
                <c:pt idx="34">
                  <c:v>7841.1666666666661</c:v>
                </c:pt>
                <c:pt idx="35">
                  <c:v>10149.5</c:v>
                </c:pt>
                <c:pt idx="36">
                  <c:v>11622.5</c:v>
                </c:pt>
                <c:pt idx="37">
                  <c:v>7482.6666666666661</c:v>
                </c:pt>
                <c:pt idx="38">
                  <c:v>6914.833333333333</c:v>
                </c:pt>
                <c:pt idx="39">
                  <c:v>9609.8333333333321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F-4494-BE07-C7A5FCD6E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125887"/>
        <c:axId val="2075699407"/>
      </c:lineChart>
      <c:catAx>
        <c:axId val="91912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99407"/>
        <c:crosses val="autoZero"/>
        <c:auto val="1"/>
        <c:lblAlgn val="ctr"/>
        <c:lblOffset val="100"/>
        <c:noMultiLvlLbl val="0"/>
      </c:catAx>
      <c:valAx>
        <c:axId val="20756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2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i="1"/>
              <a:t>Individual Control Chart</a:t>
            </a:r>
            <a:r>
              <a:rPr lang="en-ID"/>
              <a:t> Tripod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'Verifikasi Hasil Forecast'!$C$53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'Verifikasi Hasil Forecast'!$C$54:$C$87</c:f>
              <c:numCache>
                <c:formatCode>0</c:formatCode>
                <c:ptCount val="34"/>
                <c:pt idx="0">
                  <c:v>0</c:v>
                </c:pt>
                <c:pt idx="1">
                  <c:v>-340</c:v>
                </c:pt>
                <c:pt idx="2">
                  <c:v>140</c:v>
                </c:pt>
                <c:pt idx="3">
                  <c:v>-427.99999999999818</c:v>
                </c:pt>
                <c:pt idx="4">
                  <c:v>-9.5999999999985448</c:v>
                </c:pt>
                <c:pt idx="5">
                  <c:v>311.88000000000102</c:v>
                </c:pt>
                <c:pt idx="6">
                  <c:v>-339.71399999999812</c:v>
                </c:pt>
                <c:pt idx="7">
                  <c:v>-237.72829999999885</c:v>
                </c:pt>
                <c:pt idx="8">
                  <c:v>-92.841884999998001</c:v>
                </c:pt>
                <c:pt idx="9">
                  <c:v>-209.19979074999719</c:v>
                </c:pt>
                <c:pt idx="10">
                  <c:v>-407.7398012124977</c:v>
                </c:pt>
                <c:pt idx="11">
                  <c:v>-63.35281115187172</c:v>
                </c:pt>
                <c:pt idx="12">
                  <c:v>-286.18517059427722</c:v>
                </c:pt>
                <c:pt idx="13">
                  <c:v>35.124087935437274</c:v>
                </c:pt>
                <c:pt idx="14">
                  <c:v>-245.63211646133459</c:v>
                </c:pt>
                <c:pt idx="15">
                  <c:v>260.64948936173278</c:v>
                </c:pt>
                <c:pt idx="16">
                  <c:v>-219.38298510635286</c:v>
                </c:pt>
                <c:pt idx="17">
                  <c:v>-115.4138358510354</c:v>
                </c:pt>
                <c:pt idx="18">
                  <c:v>117.35685594151619</c:v>
                </c:pt>
                <c:pt idx="19">
                  <c:v>-297.51098685555917</c:v>
                </c:pt>
                <c:pt idx="20">
                  <c:v>8.3645624872187909</c:v>
                </c:pt>
                <c:pt idx="21">
                  <c:v>223.94633436285949</c:v>
                </c:pt>
                <c:pt idx="22">
                  <c:v>-369.25098235528276</c:v>
                </c:pt>
                <c:pt idx="23">
                  <c:v>7.2115667624821072</c:v>
                </c:pt>
                <c:pt idx="24">
                  <c:v>21.850988424357638</c:v>
                </c:pt>
                <c:pt idx="25">
                  <c:v>124.75843900314067</c:v>
                </c:pt>
                <c:pt idx="26">
                  <c:v>-284.47948294701564</c:v>
                </c:pt>
                <c:pt idx="27">
                  <c:v>-287.25550879966431</c:v>
                </c:pt>
                <c:pt idx="28">
                  <c:v>95.107266640319722</c:v>
                </c:pt>
                <c:pt idx="29">
                  <c:v>45.351903308303008</c:v>
                </c:pt>
                <c:pt idx="30">
                  <c:v>34.084308142888403</c:v>
                </c:pt>
                <c:pt idx="31">
                  <c:v>51.380092735744256</c:v>
                </c:pt>
                <c:pt idx="32">
                  <c:v>-156.18891190104296</c:v>
                </c:pt>
                <c:pt idx="33">
                  <c:v>33.620533694009282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4-46D8-9A9B-EC6FDAEA03D4}"/>
            </c:ext>
          </c:extLst>
        </c:ser>
        <c:ser>
          <c:idx val="1"/>
          <c:order val="1"/>
          <c:tx>
            <c:strRef>
              <c:f>'Verifikasi Hasil Forecast'!$E$53</c:f>
              <c:strCache>
                <c:ptCount val="1"/>
                <c:pt idx="0">
                  <c:v>Xbar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'Verifikasi Hasil Forecast'!$E$54:$E$87</c:f>
              <c:numCache>
                <c:formatCode>0</c:formatCode>
                <c:ptCount val="34"/>
                <c:pt idx="0">
                  <c:v>-67.841696398107345</c:v>
                </c:pt>
                <c:pt idx="1">
                  <c:v>-67.841696398107345</c:v>
                </c:pt>
                <c:pt idx="2">
                  <c:v>-67.841696398107345</c:v>
                </c:pt>
                <c:pt idx="3">
                  <c:v>-67.841696398107345</c:v>
                </c:pt>
                <c:pt idx="4">
                  <c:v>-67.841696398107345</c:v>
                </c:pt>
                <c:pt idx="5">
                  <c:v>-67.841696398107345</c:v>
                </c:pt>
                <c:pt idx="6">
                  <c:v>-67.841696398107345</c:v>
                </c:pt>
                <c:pt idx="7">
                  <c:v>-67.841696398107345</c:v>
                </c:pt>
                <c:pt idx="8">
                  <c:v>-67.841696398107345</c:v>
                </c:pt>
                <c:pt idx="9">
                  <c:v>-67.841696398107345</c:v>
                </c:pt>
                <c:pt idx="10">
                  <c:v>-67.841696398107345</c:v>
                </c:pt>
                <c:pt idx="11">
                  <c:v>-67.841696398107345</c:v>
                </c:pt>
                <c:pt idx="12">
                  <c:v>-67.841696398107345</c:v>
                </c:pt>
                <c:pt idx="13">
                  <c:v>-67.841696398107345</c:v>
                </c:pt>
                <c:pt idx="14">
                  <c:v>-67.841696398107345</c:v>
                </c:pt>
                <c:pt idx="15">
                  <c:v>-67.841696398107345</c:v>
                </c:pt>
                <c:pt idx="16">
                  <c:v>-67.841696398107345</c:v>
                </c:pt>
                <c:pt idx="17">
                  <c:v>-67.841696398107345</c:v>
                </c:pt>
                <c:pt idx="18">
                  <c:v>-67.841696398107345</c:v>
                </c:pt>
                <c:pt idx="19">
                  <c:v>-67.841696398107345</c:v>
                </c:pt>
                <c:pt idx="20">
                  <c:v>-67.841696398107345</c:v>
                </c:pt>
                <c:pt idx="21">
                  <c:v>-67.841696398107345</c:v>
                </c:pt>
                <c:pt idx="22">
                  <c:v>-67.841696398107345</c:v>
                </c:pt>
                <c:pt idx="23">
                  <c:v>-67.841696398107345</c:v>
                </c:pt>
                <c:pt idx="24">
                  <c:v>-67.841696398107345</c:v>
                </c:pt>
                <c:pt idx="25">
                  <c:v>-67.841696398107345</c:v>
                </c:pt>
                <c:pt idx="26">
                  <c:v>-67.841696398107345</c:v>
                </c:pt>
                <c:pt idx="27">
                  <c:v>-67.841696398107345</c:v>
                </c:pt>
                <c:pt idx="28">
                  <c:v>-67.841696398107345</c:v>
                </c:pt>
                <c:pt idx="29">
                  <c:v>-67.841696398107345</c:v>
                </c:pt>
                <c:pt idx="30">
                  <c:v>-67.841696398107345</c:v>
                </c:pt>
                <c:pt idx="31">
                  <c:v>-67.841696398107345</c:v>
                </c:pt>
                <c:pt idx="32">
                  <c:v>-67.841696398107345</c:v>
                </c:pt>
                <c:pt idx="33">
                  <c:v>-67.841696398107345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54-46D8-9A9B-EC6FDAEA03D4}"/>
            </c:ext>
          </c:extLst>
        </c:ser>
        <c:ser>
          <c:idx val="2"/>
          <c:order val="2"/>
          <c:tx>
            <c:v>UCL 3sigma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'Verifikasi Hasil Forecast'!$F$54:$F$87</c:f>
              <c:numCache>
                <c:formatCode>0</c:formatCode>
                <c:ptCount val="34"/>
                <c:pt idx="0">
                  <c:v>674.23235321313007</c:v>
                </c:pt>
                <c:pt idx="1">
                  <c:v>674.23235321313007</c:v>
                </c:pt>
                <c:pt idx="2">
                  <c:v>674.23235321313007</c:v>
                </c:pt>
                <c:pt idx="3">
                  <c:v>674.23235321313007</c:v>
                </c:pt>
                <c:pt idx="4">
                  <c:v>674.23235321313007</c:v>
                </c:pt>
                <c:pt idx="5">
                  <c:v>674.23235321313007</c:v>
                </c:pt>
                <c:pt idx="6">
                  <c:v>674.23235321313007</c:v>
                </c:pt>
                <c:pt idx="7">
                  <c:v>674.23235321313007</c:v>
                </c:pt>
                <c:pt idx="8">
                  <c:v>674.23235321313007</c:v>
                </c:pt>
                <c:pt idx="9">
                  <c:v>674.23235321313007</c:v>
                </c:pt>
                <c:pt idx="10">
                  <c:v>674.23235321313007</c:v>
                </c:pt>
                <c:pt idx="11">
                  <c:v>674.23235321313007</c:v>
                </c:pt>
                <c:pt idx="12">
                  <c:v>674.23235321313007</c:v>
                </c:pt>
                <c:pt idx="13">
                  <c:v>674.23235321313007</c:v>
                </c:pt>
                <c:pt idx="14">
                  <c:v>674.23235321313007</c:v>
                </c:pt>
                <c:pt idx="15">
                  <c:v>674.23235321313007</c:v>
                </c:pt>
                <c:pt idx="16">
                  <c:v>674.23235321313007</c:v>
                </c:pt>
                <c:pt idx="17">
                  <c:v>674.23235321313007</c:v>
                </c:pt>
                <c:pt idx="18">
                  <c:v>674.23235321313007</c:v>
                </c:pt>
                <c:pt idx="19">
                  <c:v>674.23235321313007</c:v>
                </c:pt>
                <c:pt idx="20">
                  <c:v>674.23235321313007</c:v>
                </c:pt>
                <c:pt idx="21">
                  <c:v>674.23235321313007</c:v>
                </c:pt>
                <c:pt idx="22">
                  <c:v>674.23235321313007</c:v>
                </c:pt>
                <c:pt idx="23">
                  <c:v>674.23235321313007</c:v>
                </c:pt>
                <c:pt idx="24">
                  <c:v>674.23235321313007</c:v>
                </c:pt>
                <c:pt idx="25">
                  <c:v>674.23235321313007</c:v>
                </c:pt>
                <c:pt idx="26">
                  <c:v>674.23235321313007</c:v>
                </c:pt>
                <c:pt idx="27">
                  <c:v>674.23235321313007</c:v>
                </c:pt>
                <c:pt idx="28">
                  <c:v>674.23235321313007</c:v>
                </c:pt>
                <c:pt idx="29">
                  <c:v>674.23235321313007</c:v>
                </c:pt>
                <c:pt idx="30">
                  <c:v>674.23235321313007</c:v>
                </c:pt>
                <c:pt idx="31">
                  <c:v>674.23235321313007</c:v>
                </c:pt>
                <c:pt idx="32">
                  <c:v>674.23235321313007</c:v>
                </c:pt>
                <c:pt idx="33">
                  <c:v>674.23235321313007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54-46D8-9A9B-EC6FDAEA03D4}"/>
            </c:ext>
          </c:extLst>
        </c:ser>
        <c:ser>
          <c:idx val="3"/>
          <c:order val="3"/>
          <c:tx>
            <c:v>LCL 3sigma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'Verifikasi Hasil Forecast'!$G$54:$G$87</c:f>
              <c:numCache>
                <c:formatCode>0</c:formatCode>
                <c:ptCount val="34"/>
                <c:pt idx="0">
                  <c:v>-809.91574600934484</c:v>
                </c:pt>
                <c:pt idx="1">
                  <c:v>-809.91574600934484</c:v>
                </c:pt>
                <c:pt idx="2">
                  <c:v>-809.91574600934484</c:v>
                </c:pt>
                <c:pt idx="3">
                  <c:v>-809.91574600934484</c:v>
                </c:pt>
                <c:pt idx="4">
                  <c:v>-809.91574600934484</c:v>
                </c:pt>
                <c:pt idx="5">
                  <c:v>-809.91574600934484</c:v>
                </c:pt>
                <c:pt idx="6">
                  <c:v>-809.91574600934484</c:v>
                </c:pt>
                <c:pt idx="7">
                  <c:v>-809.91574600934484</c:v>
                </c:pt>
                <c:pt idx="8">
                  <c:v>-809.91574600934484</c:v>
                </c:pt>
                <c:pt idx="9">
                  <c:v>-809.91574600934484</c:v>
                </c:pt>
                <c:pt idx="10">
                  <c:v>-809.91574600934484</c:v>
                </c:pt>
                <c:pt idx="11">
                  <c:v>-809.91574600934484</c:v>
                </c:pt>
                <c:pt idx="12">
                  <c:v>-809.91574600934484</c:v>
                </c:pt>
                <c:pt idx="13">
                  <c:v>-809.91574600934484</c:v>
                </c:pt>
                <c:pt idx="14">
                  <c:v>-809.91574600934484</c:v>
                </c:pt>
                <c:pt idx="15">
                  <c:v>-809.91574600934484</c:v>
                </c:pt>
                <c:pt idx="16">
                  <c:v>-809.91574600934484</c:v>
                </c:pt>
                <c:pt idx="17">
                  <c:v>-809.91574600934484</c:v>
                </c:pt>
                <c:pt idx="18">
                  <c:v>-809.91574600934484</c:v>
                </c:pt>
                <c:pt idx="19">
                  <c:v>-809.91574600934484</c:v>
                </c:pt>
                <c:pt idx="20">
                  <c:v>-809.91574600934484</c:v>
                </c:pt>
                <c:pt idx="21">
                  <c:v>-809.91574600934484</c:v>
                </c:pt>
                <c:pt idx="22">
                  <c:v>-809.91574600934484</c:v>
                </c:pt>
                <c:pt idx="23">
                  <c:v>-809.91574600934484</c:v>
                </c:pt>
                <c:pt idx="24">
                  <c:v>-809.91574600934484</c:v>
                </c:pt>
                <c:pt idx="25">
                  <c:v>-809.91574600934484</c:v>
                </c:pt>
                <c:pt idx="26">
                  <c:v>-809.91574600934484</c:v>
                </c:pt>
                <c:pt idx="27">
                  <c:v>-809.91574600934484</c:v>
                </c:pt>
                <c:pt idx="28">
                  <c:v>-809.91574600934484</c:v>
                </c:pt>
                <c:pt idx="29">
                  <c:v>-809.91574600934484</c:v>
                </c:pt>
                <c:pt idx="30">
                  <c:v>-809.91574600934484</c:v>
                </c:pt>
                <c:pt idx="31">
                  <c:v>-809.91574600934484</c:v>
                </c:pt>
                <c:pt idx="32">
                  <c:v>-809.91574600934484</c:v>
                </c:pt>
                <c:pt idx="33">
                  <c:v>-809.91574600934484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54-46D8-9A9B-EC6FDAEA03D4}"/>
            </c:ext>
          </c:extLst>
        </c:ser>
        <c:ser>
          <c:idx val="4"/>
          <c:order val="4"/>
          <c:tx>
            <c:v>UCL 2sigma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'Verifikasi Hasil Forecast'!$H$54:$H$87</c:f>
              <c:numCache>
                <c:formatCode>0</c:formatCode>
                <c:ptCount val="34"/>
                <c:pt idx="0">
                  <c:v>426.87433667605097</c:v>
                </c:pt>
                <c:pt idx="1">
                  <c:v>426.87433667605097</c:v>
                </c:pt>
                <c:pt idx="2">
                  <c:v>426.87433667605097</c:v>
                </c:pt>
                <c:pt idx="3">
                  <c:v>426.87433667605097</c:v>
                </c:pt>
                <c:pt idx="4">
                  <c:v>426.87433667605097</c:v>
                </c:pt>
                <c:pt idx="5">
                  <c:v>426.87433667605097</c:v>
                </c:pt>
                <c:pt idx="6">
                  <c:v>426.87433667605097</c:v>
                </c:pt>
                <c:pt idx="7">
                  <c:v>426.87433667605097</c:v>
                </c:pt>
                <c:pt idx="8">
                  <c:v>426.87433667605097</c:v>
                </c:pt>
                <c:pt idx="9">
                  <c:v>426.87433667605097</c:v>
                </c:pt>
                <c:pt idx="10">
                  <c:v>426.87433667605097</c:v>
                </c:pt>
                <c:pt idx="11">
                  <c:v>426.87433667605097</c:v>
                </c:pt>
                <c:pt idx="12">
                  <c:v>426.87433667605097</c:v>
                </c:pt>
                <c:pt idx="13">
                  <c:v>426.87433667605097</c:v>
                </c:pt>
                <c:pt idx="14">
                  <c:v>426.87433667605097</c:v>
                </c:pt>
                <c:pt idx="15">
                  <c:v>426.87433667605097</c:v>
                </c:pt>
                <c:pt idx="16">
                  <c:v>426.87433667605097</c:v>
                </c:pt>
                <c:pt idx="17">
                  <c:v>426.87433667605097</c:v>
                </c:pt>
                <c:pt idx="18">
                  <c:v>426.87433667605097</c:v>
                </c:pt>
                <c:pt idx="19">
                  <c:v>426.87433667605097</c:v>
                </c:pt>
                <c:pt idx="20">
                  <c:v>426.87433667605097</c:v>
                </c:pt>
                <c:pt idx="21">
                  <c:v>426.87433667605097</c:v>
                </c:pt>
                <c:pt idx="22">
                  <c:v>426.87433667605097</c:v>
                </c:pt>
                <c:pt idx="23">
                  <c:v>426.87433667605097</c:v>
                </c:pt>
                <c:pt idx="24">
                  <c:v>426.87433667605097</c:v>
                </c:pt>
                <c:pt idx="25">
                  <c:v>426.87433667605097</c:v>
                </c:pt>
                <c:pt idx="26">
                  <c:v>426.87433667605097</c:v>
                </c:pt>
                <c:pt idx="27">
                  <c:v>426.87433667605097</c:v>
                </c:pt>
                <c:pt idx="28">
                  <c:v>426.87433667605097</c:v>
                </c:pt>
                <c:pt idx="29">
                  <c:v>426.87433667605097</c:v>
                </c:pt>
                <c:pt idx="30">
                  <c:v>426.87433667605097</c:v>
                </c:pt>
                <c:pt idx="31">
                  <c:v>426.87433667605097</c:v>
                </c:pt>
                <c:pt idx="32">
                  <c:v>426.87433667605097</c:v>
                </c:pt>
                <c:pt idx="33">
                  <c:v>426.87433667605097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54-46D8-9A9B-EC6FDAEA03D4}"/>
            </c:ext>
          </c:extLst>
        </c:ser>
        <c:ser>
          <c:idx val="5"/>
          <c:order val="5"/>
          <c:tx>
            <c:v>LCL 2sigma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'Verifikasi Hasil Forecast'!$I$54:$I$87</c:f>
              <c:numCache>
                <c:formatCode>0</c:formatCode>
                <c:ptCount val="34"/>
                <c:pt idx="0">
                  <c:v>-562.55772947226569</c:v>
                </c:pt>
                <c:pt idx="1">
                  <c:v>-562.55772947226569</c:v>
                </c:pt>
                <c:pt idx="2">
                  <c:v>-562.55772947226569</c:v>
                </c:pt>
                <c:pt idx="3">
                  <c:v>-562.55772947226569</c:v>
                </c:pt>
                <c:pt idx="4">
                  <c:v>-562.55772947226569</c:v>
                </c:pt>
                <c:pt idx="5">
                  <c:v>-562.55772947226569</c:v>
                </c:pt>
                <c:pt idx="6">
                  <c:v>-562.55772947226569</c:v>
                </c:pt>
                <c:pt idx="7">
                  <c:v>-562.55772947226569</c:v>
                </c:pt>
                <c:pt idx="8">
                  <c:v>-562.55772947226569</c:v>
                </c:pt>
                <c:pt idx="9">
                  <c:v>-562.55772947226569</c:v>
                </c:pt>
                <c:pt idx="10">
                  <c:v>-562.55772947226569</c:v>
                </c:pt>
                <c:pt idx="11">
                  <c:v>-562.55772947226569</c:v>
                </c:pt>
                <c:pt idx="12">
                  <c:v>-562.55772947226569</c:v>
                </c:pt>
                <c:pt idx="13">
                  <c:v>-562.55772947226569</c:v>
                </c:pt>
                <c:pt idx="14">
                  <c:v>-562.55772947226569</c:v>
                </c:pt>
                <c:pt idx="15">
                  <c:v>-562.55772947226569</c:v>
                </c:pt>
                <c:pt idx="16">
                  <c:v>-562.55772947226569</c:v>
                </c:pt>
                <c:pt idx="17">
                  <c:v>-562.55772947226569</c:v>
                </c:pt>
                <c:pt idx="18">
                  <c:v>-562.55772947226569</c:v>
                </c:pt>
                <c:pt idx="19">
                  <c:v>-562.55772947226569</c:v>
                </c:pt>
                <c:pt idx="20">
                  <c:v>-562.55772947226569</c:v>
                </c:pt>
                <c:pt idx="21">
                  <c:v>-562.55772947226569</c:v>
                </c:pt>
                <c:pt idx="22">
                  <c:v>-562.55772947226569</c:v>
                </c:pt>
                <c:pt idx="23">
                  <c:v>-562.55772947226569</c:v>
                </c:pt>
                <c:pt idx="24">
                  <c:v>-562.55772947226569</c:v>
                </c:pt>
                <c:pt idx="25">
                  <c:v>-562.55772947226569</c:v>
                </c:pt>
                <c:pt idx="26">
                  <c:v>-562.55772947226569</c:v>
                </c:pt>
                <c:pt idx="27">
                  <c:v>-562.55772947226569</c:v>
                </c:pt>
                <c:pt idx="28">
                  <c:v>-562.55772947226569</c:v>
                </c:pt>
                <c:pt idx="29">
                  <c:v>-562.55772947226569</c:v>
                </c:pt>
                <c:pt idx="30">
                  <c:v>-562.55772947226569</c:v>
                </c:pt>
                <c:pt idx="31">
                  <c:v>-562.55772947226569</c:v>
                </c:pt>
                <c:pt idx="32">
                  <c:v>-562.55772947226569</c:v>
                </c:pt>
                <c:pt idx="33">
                  <c:v>-562.55772947226569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54-46D8-9A9B-EC6FDAEA03D4}"/>
            </c:ext>
          </c:extLst>
        </c:ser>
        <c:ser>
          <c:idx val="6"/>
          <c:order val="6"/>
          <c:tx>
            <c:v>UCL 1sigma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'Verifikasi Hasil Forecast'!$J$54:$J$87</c:f>
              <c:numCache>
                <c:formatCode>0</c:formatCode>
                <c:ptCount val="34"/>
                <c:pt idx="0">
                  <c:v>179.51632013897182</c:v>
                </c:pt>
                <c:pt idx="1">
                  <c:v>179.51632013897182</c:v>
                </c:pt>
                <c:pt idx="2">
                  <c:v>179.51632013897182</c:v>
                </c:pt>
                <c:pt idx="3">
                  <c:v>179.51632013897182</c:v>
                </c:pt>
                <c:pt idx="4">
                  <c:v>179.51632013897182</c:v>
                </c:pt>
                <c:pt idx="5">
                  <c:v>179.51632013897182</c:v>
                </c:pt>
                <c:pt idx="6">
                  <c:v>179.51632013897182</c:v>
                </c:pt>
                <c:pt idx="7">
                  <c:v>179.51632013897182</c:v>
                </c:pt>
                <c:pt idx="8">
                  <c:v>179.51632013897182</c:v>
                </c:pt>
                <c:pt idx="9">
                  <c:v>179.51632013897182</c:v>
                </c:pt>
                <c:pt idx="10">
                  <c:v>179.51632013897182</c:v>
                </c:pt>
                <c:pt idx="11">
                  <c:v>179.51632013897182</c:v>
                </c:pt>
                <c:pt idx="12">
                  <c:v>179.51632013897182</c:v>
                </c:pt>
                <c:pt idx="13">
                  <c:v>179.51632013897182</c:v>
                </c:pt>
                <c:pt idx="14">
                  <c:v>179.51632013897182</c:v>
                </c:pt>
                <c:pt idx="15">
                  <c:v>179.51632013897182</c:v>
                </c:pt>
                <c:pt idx="16">
                  <c:v>179.51632013897182</c:v>
                </c:pt>
                <c:pt idx="17">
                  <c:v>179.51632013897182</c:v>
                </c:pt>
                <c:pt idx="18">
                  <c:v>179.51632013897182</c:v>
                </c:pt>
                <c:pt idx="19">
                  <c:v>179.51632013897182</c:v>
                </c:pt>
                <c:pt idx="20">
                  <c:v>179.51632013897182</c:v>
                </c:pt>
                <c:pt idx="21">
                  <c:v>179.51632013897182</c:v>
                </c:pt>
                <c:pt idx="22">
                  <c:v>179.51632013897182</c:v>
                </c:pt>
                <c:pt idx="23">
                  <c:v>179.51632013897182</c:v>
                </c:pt>
                <c:pt idx="24">
                  <c:v>179.51632013897182</c:v>
                </c:pt>
                <c:pt idx="25">
                  <c:v>179.51632013897182</c:v>
                </c:pt>
                <c:pt idx="26">
                  <c:v>179.51632013897182</c:v>
                </c:pt>
                <c:pt idx="27">
                  <c:v>179.51632013897182</c:v>
                </c:pt>
                <c:pt idx="28">
                  <c:v>179.51632013897182</c:v>
                </c:pt>
                <c:pt idx="29">
                  <c:v>179.51632013897182</c:v>
                </c:pt>
                <c:pt idx="30">
                  <c:v>179.51632013897182</c:v>
                </c:pt>
                <c:pt idx="31">
                  <c:v>179.51632013897182</c:v>
                </c:pt>
                <c:pt idx="32">
                  <c:v>179.51632013897182</c:v>
                </c:pt>
                <c:pt idx="33">
                  <c:v>179.51632013897182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54-46D8-9A9B-EC6FDAEA03D4}"/>
            </c:ext>
          </c:extLst>
        </c:ser>
        <c:ser>
          <c:idx val="7"/>
          <c:order val="7"/>
          <c:tx>
            <c:v>LCL 1sigma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'Verifikasi Hasil Forecast'!$K$54:$K$87</c:f>
              <c:numCache>
                <c:formatCode>0</c:formatCode>
                <c:ptCount val="34"/>
                <c:pt idx="0">
                  <c:v>-315.19971293518648</c:v>
                </c:pt>
                <c:pt idx="1">
                  <c:v>-315.19971293518648</c:v>
                </c:pt>
                <c:pt idx="2">
                  <c:v>-315.19971293518648</c:v>
                </c:pt>
                <c:pt idx="3">
                  <c:v>-315.19971293518648</c:v>
                </c:pt>
                <c:pt idx="4">
                  <c:v>-315.19971293518648</c:v>
                </c:pt>
                <c:pt idx="5">
                  <c:v>-315.19971293518648</c:v>
                </c:pt>
                <c:pt idx="6">
                  <c:v>-315.19971293518648</c:v>
                </c:pt>
                <c:pt idx="7">
                  <c:v>-315.19971293518648</c:v>
                </c:pt>
                <c:pt idx="8">
                  <c:v>-315.19971293518648</c:v>
                </c:pt>
                <c:pt idx="9">
                  <c:v>-315.19971293518648</c:v>
                </c:pt>
                <c:pt idx="10">
                  <c:v>-315.19971293518648</c:v>
                </c:pt>
                <c:pt idx="11">
                  <c:v>-315.19971293518648</c:v>
                </c:pt>
                <c:pt idx="12">
                  <c:v>-315.19971293518648</c:v>
                </c:pt>
                <c:pt idx="13">
                  <c:v>-315.19971293518648</c:v>
                </c:pt>
                <c:pt idx="14">
                  <c:v>-315.19971293518648</c:v>
                </c:pt>
                <c:pt idx="15">
                  <c:v>-315.19971293518648</c:v>
                </c:pt>
                <c:pt idx="16">
                  <c:v>-315.19971293518648</c:v>
                </c:pt>
                <c:pt idx="17">
                  <c:v>-315.19971293518648</c:v>
                </c:pt>
                <c:pt idx="18">
                  <c:v>-315.19971293518648</c:v>
                </c:pt>
                <c:pt idx="19">
                  <c:v>-315.19971293518648</c:v>
                </c:pt>
                <c:pt idx="20">
                  <c:v>-315.19971293518648</c:v>
                </c:pt>
                <c:pt idx="21">
                  <c:v>-315.19971293518648</c:v>
                </c:pt>
                <c:pt idx="22">
                  <c:v>-315.19971293518648</c:v>
                </c:pt>
                <c:pt idx="23">
                  <c:v>-315.19971293518648</c:v>
                </c:pt>
                <c:pt idx="24">
                  <c:v>-315.19971293518648</c:v>
                </c:pt>
                <c:pt idx="25">
                  <c:v>-315.19971293518648</c:v>
                </c:pt>
                <c:pt idx="26">
                  <c:v>-315.19971293518648</c:v>
                </c:pt>
                <c:pt idx="27">
                  <c:v>-315.19971293518648</c:v>
                </c:pt>
                <c:pt idx="28">
                  <c:v>-315.19971293518648</c:v>
                </c:pt>
                <c:pt idx="29">
                  <c:v>-315.19971293518648</c:v>
                </c:pt>
                <c:pt idx="30">
                  <c:v>-315.19971293518648</c:v>
                </c:pt>
                <c:pt idx="31">
                  <c:v>-315.19971293518648</c:v>
                </c:pt>
                <c:pt idx="32">
                  <c:v>-315.19971293518648</c:v>
                </c:pt>
                <c:pt idx="33">
                  <c:v>-315.19971293518648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54-46D8-9A9B-EC6FDAEA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773119"/>
        <c:axId val="721661327"/>
      </c:lineChart>
      <c:catAx>
        <c:axId val="2092773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1327"/>
        <c:crosses val="autoZero"/>
        <c:auto val="1"/>
        <c:lblAlgn val="ctr"/>
        <c:lblOffset val="100"/>
        <c:noMultiLvlLbl val="0"/>
      </c:catAx>
      <c:valAx>
        <c:axId val="7216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7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1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Individual Control Chart</a:t>
            </a: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Tripod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'Verifikasi Hasil Forecast'!$P$53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'Verifikasi Hasil Forecast'!$P$54:$P$87</c:f>
              <c:numCache>
                <c:formatCode>0</c:formatCode>
                <c:ptCount val="34"/>
                <c:pt idx="0">
                  <c:v>-416.41951219512157</c:v>
                </c:pt>
                <c:pt idx="1">
                  <c:v>116.88405253283327</c:v>
                </c:pt>
                <c:pt idx="2">
                  <c:v>234.1876172607881</c:v>
                </c:pt>
                <c:pt idx="3">
                  <c:v>-354.50881801125615</c:v>
                </c:pt>
                <c:pt idx="4">
                  <c:v>185.79474671669777</c:v>
                </c:pt>
                <c:pt idx="5">
                  <c:v>26.098311444653518</c:v>
                </c:pt>
                <c:pt idx="6">
                  <c:v>154.40187617260835</c:v>
                </c:pt>
                <c:pt idx="7">
                  <c:v>481.70544090056319</c:v>
                </c:pt>
                <c:pt idx="8">
                  <c:v>-154.99099437148197</c:v>
                </c:pt>
                <c:pt idx="9">
                  <c:v>-302.68742964352714</c:v>
                </c:pt>
                <c:pt idx="10">
                  <c:v>-337.38386491557139</c:v>
                </c:pt>
                <c:pt idx="11">
                  <c:v>-310.08030018761747</c:v>
                </c:pt>
                <c:pt idx="12">
                  <c:v>-83.776735459661722</c:v>
                </c:pt>
                <c:pt idx="13">
                  <c:v>47.526829268292204</c:v>
                </c:pt>
                <c:pt idx="14">
                  <c:v>33.830393996247949</c:v>
                </c:pt>
                <c:pt idx="15">
                  <c:v>204.13395872420369</c:v>
                </c:pt>
                <c:pt idx="16">
                  <c:v>-34.56247654784238</c:v>
                </c:pt>
                <c:pt idx="17">
                  <c:v>402.74108818011155</c:v>
                </c:pt>
                <c:pt idx="18">
                  <c:v>-106.95534709193271</c:v>
                </c:pt>
                <c:pt idx="19">
                  <c:v>793.34821763602304</c:v>
                </c:pt>
                <c:pt idx="20">
                  <c:v>170.65178236397696</c:v>
                </c:pt>
                <c:pt idx="21">
                  <c:v>-269.04465290806729</c:v>
                </c:pt>
                <c:pt idx="22">
                  <c:v>-327.74108818011155</c:v>
                </c:pt>
                <c:pt idx="23">
                  <c:v>143.56247654784238</c:v>
                </c:pt>
                <c:pt idx="24">
                  <c:v>-63.133958724203694</c:v>
                </c:pt>
                <c:pt idx="25">
                  <c:v>223.16960600375205</c:v>
                </c:pt>
                <c:pt idx="26">
                  <c:v>156.4731707317078</c:v>
                </c:pt>
                <c:pt idx="27">
                  <c:v>-1.2232645403382776</c:v>
                </c:pt>
                <c:pt idx="28">
                  <c:v>-228.91969981238253</c:v>
                </c:pt>
                <c:pt idx="29">
                  <c:v>-423.61613508442679</c:v>
                </c:pt>
                <c:pt idx="30">
                  <c:v>-97.312570356472861</c:v>
                </c:pt>
                <c:pt idx="31">
                  <c:v>298.99099437148107</c:v>
                </c:pt>
                <c:pt idx="32">
                  <c:v>111.29455909943863</c:v>
                </c:pt>
                <c:pt idx="33">
                  <c:v>-321.40187617260744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6-438A-B864-33F1A2F0FCB9}"/>
            </c:ext>
          </c:extLst>
        </c:ser>
        <c:ser>
          <c:idx val="1"/>
          <c:order val="1"/>
          <c:tx>
            <c:strRef>
              <c:f>'Verifikasi Hasil Forecast'!$R$53</c:f>
              <c:strCache>
                <c:ptCount val="1"/>
                <c:pt idx="0">
                  <c:v>Xbar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'Verifikasi Hasil Forecast'!$R$54:$R$87</c:f>
              <c:numCache>
                <c:formatCode>0</c:formatCode>
                <c:ptCount val="34"/>
                <c:pt idx="0">
                  <c:v>2.2737367544323207E-14</c:v>
                </c:pt>
                <c:pt idx="1">
                  <c:v>2.2737367544323207E-14</c:v>
                </c:pt>
                <c:pt idx="2">
                  <c:v>2.2737367544323207E-14</c:v>
                </c:pt>
                <c:pt idx="3">
                  <c:v>2.2737367544323207E-14</c:v>
                </c:pt>
                <c:pt idx="4">
                  <c:v>2.2737367544323207E-14</c:v>
                </c:pt>
                <c:pt idx="5">
                  <c:v>2.2737367544323207E-14</c:v>
                </c:pt>
                <c:pt idx="6">
                  <c:v>2.2737367544323207E-14</c:v>
                </c:pt>
                <c:pt idx="7">
                  <c:v>2.2737367544323207E-14</c:v>
                </c:pt>
                <c:pt idx="8">
                  <c:v>2.2737367544323207E-14</c:v>
                </c:pt>
                <c:pt idx="9">
                  <c:v>2.2737367544323207E-14</c:v>
                </c:pt>
                <c:pt idx="10">
                  <c:v>2.2737367544323207E-14</c:v>
                </c:pt>
                <c:pt idx="11">
                  <c:v>2.2737367544323207E-14</c:v>
                </c:pt>
                <c:pt idx="12">
                  <c:v>2.2737367544323207E-14</c:v>
                </c:pt>
                <c:pt idx="13">
                  <c:v>2.2737367544323207E-14</c:v>
                </c:pt>
                <c:pt idx="14">
                  <c:v>2.2737367544323207E-14</c:v>
                </c:pt>
                <c:pt idx="15">
                  <c:v>2.2737367544323207E-14</c:v>
                </c:pt>
                <c:pt idx="16">
                  <c:v>2.2737367544323207E-14</c:v>
                </c:pt>
                <c:pt idx="17">
                  <c:v>2.2737367544323207E-14</c:v>
                </c:pt>
                <c:pt idx="18">
                  <c:v>2.2737367544323207E-14</c:v>
                </c:pt>
                <c:pt idx="19">
                  <c:v>2.2737367544323207E-14</c:v>
                </c:pt>
                <c:pt idx="20">
                  <c:v>2.2737367544323207E-14</c:v>
                </c:pt>
                <c:pt idx="21">
                  <c:v>2.2737367544323207E-14</c:v>
                </c:pt>
                <c:pt idx="22">
                  <c:v>2.2737367544323207E-14</c:v>
                </c:pt>
                <c:pt idx="23">
                  <c:v>2.2737367544323207E-14</c:v>
                </c:pt>
                <c:pt idx="24">
                  <c:v>2.2737367544323207E-14</c:v>
                </c:pt>
                <c:pt idx="25">
                  <c:v>2.2737367544323207E-14</c:v>
                </c:pt>
                <c:pt idx="26">
                  <c:v>2.2737367544323207E-14</c:v>
                </c:pt>
                <c:pt idx="27">
                  <c:v>2.2737367544323207E-14</c:v>
                </c:pt>
                <c:pt idx="28">
                  <c:v>2.2737367544323207E-14</c:v>
                </c:pt>
                <c:pt idx="29">
                  <c:v>2.2737367544323207E-14</c:v>
                </c:pt>
                <c:pt idx="30">
                  <c:v>2.2737367544323207E-14</c:v>
                </c:pt>
                <c:pt idx="31">
                  <c:v>2.2737367544323207E-14</c:v>
                </c:pt>
                <c:pt idx="32">
                  <c:v>2.2737367544323207E-14</c:v>
                </c:pt>
                <c:pt idx="33">
                  <c:v>2.2737367544323207E-14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6-438A-B864-33F1A2F0FCB9}"/>
            </c:ext>
          </c:extLst>
        </c:ser>
        <c:ser>
          <c:idx val="2"/>
          <c:order val="2"/>
          <c:tx>
            <c:strRef>
              <c:f>'Verifikasi Hasil Forecast'!$S$53</c:f>
              <c:strCache>
                <c:ptCount val="1"/>
                <c:pt idx="0">
                  <c:v>UCL 3sigma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'Verifikasi Hasil Forecast'!$S$54:$S$87</c:f>
              <c:numCache>
                <c:formatCode>0</c:formatCode>
                <c:ptCount val="34"/>
                <c:pt idx="0">
                  <c:v>785.12611196236526</c:v>
                </c:pt>
                <c:pt idx="1">
                  <c:v>785.12611196236526</c:v>
                </c:pt>
                <c:pt idx="2">
                  <c:v>785.12611196236526</c:v>
                </c:pt>
                <c:pt idx="3">
                  <c:v>785.12611196236526</c:v>
                </c:pt>
                <c:pt idx="4">
                  <c:v>785.12611196236526</c:v>
                </c:pt>
                <c:pt idx="5">
                  <c:v>785.12611196236526</c:v>
                </c:pt>
                <c:pt idx="6">
                  <c:v>785.12611196236526</c:v>
                </c:pt>
                <c:pt idx="7">
                  <c:v>785.12611196236526</c:v>
                </c:pt>
                <c:pt idx="8">
                  <c:v>785.12611196236526</c:v>
                </c:pt>
                <c:pt idx="9">
                  <c:v>785.12611196236526</c:v>
                </c:pt>
                <c:pt idx="10">
                  <c:v>785.12611196236526</c:v>
                </c:pt>
                <c:pt idx="11">
                  <c:v>785.12611196236526</c:v>
                </c:pt>
                <c:pt idx="12">
                  <c:v>785.12611196236526</c:v>
                </c:pt>
                <c:pt idx="13">
                  <c:v>785.12611196236526</c:v>
                </c:pt>
                <c:pt idx="14">
                  <c:v>785.12611196236526</c:v>
                </c:pt>
                <c:pt idx="15">
                  <c:v>785.12611196236526</c:v>
                </c:pt>
                <c:pt idx="16">
                  <c:v>785.12611196236526</c:v>
                </c:pt>
                <c:pt idx="17">
                  <c:v>785.12611196236526</c:v>
                </c:pt>
                <c:pt idx="18">
                  <c:v>785.12611196236526</c:v>
                </c:pt>
                <c:pt idx="19">
                  <c:v>785.12611196236526</c:v>
                </c:pt>
                <c:pt idx="20">
                  <c:v>785.12611196236526</c:v>
                </c:pt>
                <c:pt idx="21">
                  <c:v>785.12611196236526</c:v>
                </c:pt>
                <c:pt idx="22">
                  <c:v>785.12611196236526</c:v>
                </c:pt>
                <c:pt idx="23">
                  <c:v>785.12611196236526</c:v>
                </c:pt>
                <c:pt idx="24">
                  <c:v>785.12611196236526</c:v>
                </c:pt>
                <c:pt idx="25">
                  <c:v>785.12611196236526</c:v>
                </c:pt>
                <c:pt idx="26">
                  <c:v>785.12611196236526</c:v>
                </c:pt>
                <c:pt idx="27">
                  <c:v>785.12611196236526</c:v>
                </c:pt>
                <c:pt idx="28">
                  <c:v>785.12611196236526</c:v>
                </c:pt>
                <c:pt idx="29">
                  <c:v>785.12611196236526</c:v>
                </c:pt>
                <c:pt idx="30">
                  <c:v>785.12611196236526</c:v>
                </c:pt>
                <c:pt idx="31">
                  <c:v>785.12611196236526</c:v>
                </c:pt>
                <c:pt idx="32">
                  <c:v>785.12611196236526</c:v>
                </c:pt>
                <c:pt idx="33">
                  <c:v>785.12611196236526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6-438A-B864-33F1A2F0FCB9}"/>
            </c:ext>
          </c:extLst>
        </c:ser>
        <c:ser>
          <c:idx val="3"/>
          <c:order val="3"/>
          <c:tx>
            <c:strRef>
              <c:f>'Verifikasi Hasil Forecast'!$T$53</c:f>
              <c:strCache>
                <c:ptCount val="1"/>
                <c:pt idx="0">
                  <c:v>LCL 3sigma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'Verifikasi Hasil Forecast'!$T$54:$T$87</c:f>
              <c:numCache>
                <c:formatCode>0</c:formatCode>
                <c:ptCount val="34"/>
                <c:pt idx="0">
                  <c:v>-785.12611196236526</c:v>
                </c:pt>
                <c:pt idx="1">
                  <c:v>-785.12611196236526</c:v>
                </c:pt>
                <c:pt idx="2">
                  <c:v>-785.12611196236526</c:v>
                </c:pt>
                <c:pt idx="3">
                  <c:v>-785.12611196236526</c:v>
                </c:pt>
                <c:pt idx="4">
                  <c:v>-785.12611196236526</c:v>
                </c:pt>
                <c:pt idx="5">
                  <c:v>-785.12611196236526</c:v>
                </c:pt>
                <c:pt idx="6">
                  <c:v>-785.12611196236526</c:v>
                </c:pt>
                <c:pt idx="7">
                  <c:v>-785.12611196236526</c:v>
                </c:pt>
                <c:pt idx="8">
                  <c:v>-785.12611196236526</c:v>
                </c:pt>
                <c:pt idx="9">
                  <c:v>-785.12611196236526</c:v>
                </c:pt>
                <c:pt idx="10">
                  <c:v>-785.12611196236526</c:v>
                </c:pt>
                <c:pt idx="11">
                  <c:v>-785.12611196236526</c:v>
                </c:pt>
                <c:pt idx="12">
                  <c:v>-785.12611196236526</c:v>
                </c:pt>
                <c:pt idx="13">
                  <c:v>-785.12611196236526</c:v>
                </c:pt>
                <c:pt idx="14">
                  <c:v>-785.12611196236526</c:v>
                </c:pt>
                <c:pt idx="15">
                  <c:v>-785.12611196236526</c:v>
                </c:pt>
                <c:pt idx="16">
                  <c:v>-785.12611196236526</c:v>
                </c:pt>
                <c:pt idx="17">
                  <c:v>-785.12611196236526</c:v>
                </c:pt>
                <c:pt idx="18">
                  <c:v>-785.12611196236526</c:v>
                </c:pt>
                <c:pt idx="19">
                  <c:v>-785.12611196236526</c:v>
                </c:pt>
                <c:pt idx="20">
                  <c:v>-785.12611196236526</c:v>
                </c:pt>
                <c:pt idx="21">
                  <c:v>-785.12611196236526</c:v>
                </c:pt>
                <c:pt idx="22">
                  <c:v>-785.12611196236526</c:v>
                </c:pt>
                <c:pt idx="23">
                  <c:v>-785.12611196236526</c:v>
                </c:pt>
                <c:pt idx="24">
                  <c:v>-785.12611196236526</c:v>
                </c:pt>
                <c:pt idx="25">
                  <c:v>-785.12611196236526</c:v>
                </c:pt>
                <c:pt idx="26">
                  <c:v>-785.12611196236526</c:v>
                </c:pt>
                <c:pt idx="27">
                  <c:v>-785.12611196236526</c:v>
                </c:pt>
                <c:pt idx="28">
                  <c:v>-785.12611196236526</c:v>
                </c:pt>
                <c:pt idx="29">
                  <c:v>-785.12611196236526</c:v>
                </c:pt>
                <c:pt idx="30">
                  <c:v>-785.12611196236526</c:v>
                </c:pt>
                <c:pt idx="31">
                  <c:v>-785.12611196236526</c:v>
                </c:pt>
                <c:pt idx="32">
                  <c:v>-785.12611196236526</c:v>
                </c:pt>
                <c:pt idx="33">
                  <c:v>-785.12611196236526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B6-438A-B864-33F1A2F0FCB9}"/>
            </c:ext>
          </c:extLst>
        </c:ser>
        <c:ser>
          <c:idx val="4"/>
          <c:order val="4"/>
          <c:tx>
            <c:strRef>
              <c:f>'Verifikasi Hasil Forecast'!$U$53</c:f>
              <c:strCache>
                <c:ptCount val="1"/>
                <c:pt idx="0">
                  <c:v>UCL 2sigma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'Verifikasi Hasil Forecast'!$U$54:$U$87</c:f>
              <c:numCache>
                <c:formatCode>0</c:formatCode>
                <c:ptCount val="34"/>
                <c:pt idx="0">
                  <c:v>523.41740797491013</c:v>
                </c:pt>
                <c:pt idx="1">
                  <c:v>523.41740797491013</c:v>
                </c:pt>
                <c:pt idx="2">
                  <c:v>523.41740797491013</c:v>
                </c:pt>
                <c:pt idx="3">
                  <c:v>523.41740797491013</c:v>
                </c:pt>
                <c:pt idx="4">
                  <c:v>523.41740797491013</c:v>
                </c:pt>
                <c:pt idx="5">
                  <c:v>523.41740797491013</c:v>
                </c:pt>
                <c:pt idx="6">
                  <c:v>523.41740797491013</c:v>
                </c:pt>
                <c:pt idx="7">
                  <c:v>523.41740797491013</c:v>
                </c:pt>
                <c:pt idx="8">
                  <c:v>523.41740797491013</c:v>
                </c:pt>
                <c:pt idx="9">
                  <c:v>523.41740797491013</c:v>
                </c:pt>
                <c:pt idx="10">
                  <c:v>523.41740797491013</c:v>
                </c:pt>
                <c:pt idx="11">
                  <c:v>523.41740797491013</c:v>
                </c:pt>
                <c:pt idx="12">
                  <c:v>523.41740797491013</c:v>
                </c:pt>
                <c:pt idx="13">
                  <c:v>523.41740797491013</c:v>
                </c:pt>
                <c:pt idx="14">
                  <c:v>523.41740797491013</c:v>
                </c:pt>
                <c:pt idx="15">
                  <c:v>523.41740797491013</c:v>
                </c:pt>
                <c:pt idx="16">
                  <c:v>523.41740797491013</c:v>
                </c:pt>
                <c:pt idx="17">
                  <c:v>523.41740797491013</c:v>
                </c:pt>
                <c:pt idx="18">
                  <c:v>523.41740797491013</c:v>
                </c:pt>
                <c:pt idx="19">
                  <c:v>523.41740797491013</c:v>
                </c:pt>
                <c:pt idx="20">
                  <c:v>523.41740797491013</c:v>
                </c:pt>
                <c:pt idx="21">
                  <c:v>523.41740797491013</c:v>
                </c:pt>
                <c:pt idx="22">
                  <c:v>523.41740797491013</c:v>
                </c:pt>
                <c:pt idx="23">
                  <c:v>523.41740797491013</c:v>
                </c:pt>
                <c:pt idx="24">
                  <c:v>523.41740797491013</c:v>
                </c:pt>
                <c:pt idx="25">
                  <c:v>523.41740797491013</c:v>
                </c:pt>
                <c:pt idx="26">
                  <c:v>523.41740797491013</c:v>
                </c:pt>
                <c:pt idx="27">
                  <c:v>523.41740797491013</c:v>
                </c:pt>
                <c:pt idx="28">
                  <c:v>523.41740797491013</c:v>
                </c:pt>
                <c:pt idx="29">
                  <c:v>523.41740797491013</c:v>
                </c:pt>
                <c:pt idx="30">
                  <c:v>523.41740797491013</c:v>
                </c:pt>
                <c:pt idx="31">
                  <c:v>523.41740797491013</c:v>
                </c:pt>
                <c:pt idx="32">
                  <c:v>523.41740797491013</c:v>
                </c:pt>
                <c:pt idx="33">
                  <c:v>523.41740797491013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B6-438A-B864-33F1A2F0FCB9}"/>
            </c:ext>
          </c:extLst>
        </c:ser>
        <c:ser>
          <c:idx val="5"/>
          <c:order val="5"/>
          <c:tx>
            <c:strRef>
              <c:f>'Verifikasi Hasil Forecast'!$V$53</c:f>
              <c:strCache>
                <c:ptCount val="1"/>
                <c:pt idx="0">
                  <c:v>LCL 2sigma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'Verifikasi Hasil Forecast'!$V$54:$V$87</c:f>
              <c:numCache>
                <c:formatCode>0</c:formatCode>
                <c:ptCount val="34"/>
                <c:pt idx="0">
                  <c:v>-523.41740797491013</c:v>
                </c:pt>
                <c:pt idx="1">
                  <c:v>-523.41740797491013</c:v>
                </c:pt>
                <c:pt idx="2">
                  <c:v>-523.41740797491013</c:v>
                </c:pt>
                <c:pt idx="3">
                  <c:v>-523.41740797491013</c:v>
                </c:pt>
                <c:pt idx="4">
                  <c:v>-523.41740797491013</c:v>
                </c:pt>
                <c:pt idx="5">
                  <c:v>-523.41740797491013</c:v>
                </c:pt>
                <c:pt idx="6">
                  <c:v>-523.41740797491013</c:v>
                </c:pt>
                <c:pt idx="7">
                  <c:v>-523.41740797491013</c:v>
                </c:pt>
                <c:pt idx="8">
                  <c:v>-523.41740797491013</c:v>
                </c:pt>
                <c:pt idx="9">
                  <c:v>-523.41740797491013</c:v>
                </c:pt>
                <c:pt idx="10">
                  <c:v>-523.41740797491013</c:v>
                </c:pt>
                <c:pt idx="11">
                  <c:v>-523.41740797491013</c:v>
                </c:pt>
                <c:pt idx="12">
                  <c:v>-523.41740797491013</c:v>
                </c:pt>
                <c:pt idx="13">
                  <c:v>-523.41740797491013</c:v>
                </c:pt>
                <c:pt idx="14">
                  <c:v>-523.41740797491013</c:v>
                </c:pt>
                <c:pt idx="15">
                  <c:v>-523.41740797491013</c:v>
                </c:pt>
                <c:pt idx="16">
                  <c:v>-523.41740797491013</c:v>
                </c:pt>
                <c:pt idx="17">
                  <c:v>-523.41740797491013</c:v>
                </c:pt>
                <c:pt idx="18">
                  <c:v>-523.41740797491013</c:v>
                </c:pt>
                <c:pt idx="19">
                  <c:v>-523.41740797491013</c:v>
                </c:pt>
                <c:pt idx="20">
                  <c:v>-523.41740797491013</c:v>
                </c:pt>
                <c:pt idx="21">
                  <c:v>-523.41740797491013</c:v>
                </c:pt>
                <c:pt idx="22">
                  <c:v>-523.41740797491013</c:v>
                </c:pt>
                <c:pt idx="23">
                  <c:v>-523.41740797491013</c:v>
                </c:pt>
                <c:pt idx="24">
                  <c:v>-523.41740797491013</c:v>
                </c:pt>
                <c:pt idx="25">
                  <c:v>-523.41740797491013</c:v>
                </c:pt>
                <c:pt idx="26">
                  <c:v>-523.41740797491013</c:v>
                </c:pt>
                <c:pt idx="27">
                  <c:v>-523.41740797491013</c:v>
                </c:pt>
                <c:pt idx="28">
                  <c:v>-523.41740797491013</c:v>
                </c:pt>
                <c:pt idx="29">
                  <c:v>-523.41740797491013</c:v>
                </c:pt>
                <c:pt idx="30">
                  <c:v>-523.41740797491013</c:v>
                </c:pt>
                <c:pt idx="31">
                  <c:v>-523.41740797491013</c:v>
                </c:pt>
                <c:pt idx="32">
                  <c:v>-523.41740797491013</c:v>
                </c:pt>
                <c:pt idx="33">
                  <c:v>-523.41740797491013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B6-438A-B864-33F1A2F0FCB9}"/>
            </c:ext>
          </c:extLst>
        </c:ser>
        <c:ser>
          <c:idx val="6"/>
          <c:order val="6"/>
          <c:tx>
            <c:strRef>
              <c:f>'Verifikasi Hasil Forecast'!$W$53</c:f>
              <c:strCache>
                <c:ptCount val="1"/>
                <c:pt idx="0">
                  <c:v>UCL 1sigma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'Verifikasi Hasil Forecast'!$W$54:$W$87</c:f>
              <c:numCache>
                <c:formatCode>0</c:formatCode>
                <c:ptCount val="34"/>
                <c:pt idx="0">
                  <c:v>261.70870398745507</c:v>
                </c:pt>
                <c:pt idx="1">
                  <c:v>261.70870398745507</c:v>
                </c:pt>
                <c:pt idx="2">
                  <c:v>261.70870398745507</c:v>
                </c:pt>
                <c:pt idx="3">
                  <c:v>261.70870398745507</c:v>
                </c:pt>
                <c:pt idx="4">
                  <c:v>261.70870398745507</c:v>
                </c:pt>
                <c:pt idx="5">
                  <c:v>261.70870398745507</c:v>
                </c:pt>
                <c:pt idx="6">
                  <c:v>261.70870398745507</c:v>
                </c:pt>
                <c:pt idx="7">
                  <c:v>261.70870398745507</c:v>
                </c:pt>
                <c:pt idx="8">
                  <c:v>261.70870398745507</c:v>
                </c:pt>
                <c:pt idx="9">
                  <c:v>261.70870398745507</c:v>
                </c:pt>
                <c:pt idx="10">
                  <c:v>261.70870398745507</c:v>
                </c:pt>
                <c:pt idx="11">
                  <c:v>261.70870398745507</c:v>
                </c:pt>
                <c:pt idx="12">
                  <c:v>261.70870398745507</c:v>
                </c:pt>
                <c:pt idx="13">
                  <c:v>261.70870398745507</c:v>
                </c:pt>
                <c:pt idx="14">
                  <c:v>261.70870398745507</c:v>
                </c:pt>
                <c:pt idx="15">
                  <c:v>261.70870398745507</c:v>
                </c:pt>
                <c:pt idx="16">
                  <c:v>261.70870398745507</c:v>
                </c:pt>
                <c:pt idx="17">
                  <c:v>261.70870398745507</c:v>
                </c:pt>
                <c:pt idx="18">
                  <c:v>261.70870398745507</c:v>
                </c:pt>
                <c:pt idx="19">
                  <c:v>261.70870398745507</c:v>
                </c:pt>
                <c:pt idx="20">
                  <c:v>261.70870398745507</c:v>
                </c:pt>
                <c:pt idx="21">
                  <c:v>261.70870398745507</c:v>
                </c:pt>
                <c:pt idx="22">
                  <c:v>261.70870398745507</c:v>
                </c:pt>
                <c:pt idx="23">
                  <c:v>261.70870398745507</c:v>
                </c:pt>
                <c:pt idx="24">
                  <c:v>261.70870398745507</c:v>
                </c:pt>
                <c:pt idx="25">
                  <c:v>261.70870398745507</c:v>
                </c:pt>
                <c:pt idx="26">
                  <c:v>261.70870398745507</c:v>
                </c:pt>
                <c:pt idx="27">
                  <c:v>261.70870398745507</c:v>
                </c:pt>
                <c:pt idx="28">
                  <c:v>261.70870398745507</c:v>
                </c:pt>
                <c:pt idx="29">
                  <c:v>261.70870398745507</c:v>
                </c:pt>
                <c:pt idx="30">
                  <c:v>261.70870398745507</c:v>
                </c:pt>
                <c:pt idx="31">
                  <c:v>261.70870398745507</c:v>
                </c:pt>
                <c:pt idx="32">
                  <c:v>261.70870398745507</c:v>
                </c:pt>
                <c:pt idx="33">
                  <c:v>261.70870398745507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B6-438A-B864-33F1A2F0FCB9}"/>
            </c:ext>
          </c:extLst>
        </c:ser>
        <c:ser>
          <c:idx val="7"/>
          <c:order val="7"/>
          <c:tx>
            <c:strRef>
              <c:f>'Verifikasi Hasil Forecast'!$X$53</c:f>
              <c:strCache>
                <c:ptCount val="1"/>
                <c:pt idx="0">
                  <c:v>LCL1sigma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'Verifikasi Hasil Forecast'!$X$54:$X$87</c:f>
              <c:numCache>
                <c:formatCode>0</c:formatCode>
                <c:ptCount val="34"/>
                <c:pt idx="0">
                  <c:v>-261.70870398745507</c:v>
                </c:pt>
                <c:pt idx="1">
                  <c:v>-261.70870398745507</c:v>
                </c:pt>
                <c:pt idx="2">
                  <c:v>-261.70870398745507</c:v>
                </c:pt>
                <c:pt idx="3">
                  <c:v>-261.70870398745507</c:v>
                </c:pt>
                <c:pt idx="4">
                  <c:v>-261.70870398745507</c:v>
                </c:pt>
                <c:pt idx="5">
                  <c:v>-261.70870398745507</c:v>
                </c:pt>
                <c:pt idx="6">
                  <c:v>-261.70870398745507</c:v>
                </c:pt>
                <c:pt idx="7">
                  <c:v>-261.70870398745507</c:v>
                </c:pt>
                <c:pt idx="8">
                  <c:v>-261.70870398745507</c:v>
                </c:pt>
                <c:pt idx="9">
                  <c:v>-261.70870398745507</c:v>
                </c:pt>
                <c:pt idx="10">
                  <c:v>-261.70870398745507</c:v>
                </c:pt>
                <c:pt idx="11">
                  <c:v>-261.70870398745507</c:v>
                </c:pt>
                <c:pt idx="12">
                  <c:v>-261.70870398745507</c:v>
                </c:pt>
                <c:pt idx="13">
                  <c:v>-261.70870398745507</c:v>
                </c:pt>
                <c:pt idx="14">
                  <c:v>-261.70870398745507</c:v>
                </c:pt>
                <c:pt idx="15">
                  <c:v>-261.70870398745507</c:v>
                </c:pt>
                <c:pt idx="16">
                  <c:v>-261.70870398745507</c:v>
                </c:pt>
                <c:pt idx="17">
                  <c:v>-261.70870398745507</c:v>
                </c:pt>
                <c:pt idx="18">
                  <c:v>-261.70870398745507</c:v>
                </c:pt>
                <c:pt idx="19">
                  <c:v>-261.70870398745507</c:v>
                </c:pt>
                <c:pt idx="20">
                  <c:v>-261.70870398745507</c:v>
                </c:pt>
                <c:pt idx="21">
                  <c:v>-261.70870398745507</c:v>
                </c:pt>
                <c:pt idx="22">
                  <c:v>-261.70870398745507</c:v>
                </c:pt>
                <c:pt idx="23">
                  <c:v>-261.70870398745507</c:v>
                </c:pt>
                <c:pt idx="24">
                  <c:v>-261.70870398745507</c:v>
                </c:pt>
                <c:pt idx="25">
                  <c:v>-261.70870398745507</c:v>
                </c:pt>
                <c:pt idx="26">
                  <c:v>-261.70870398745507</c:v>
                </c:pt>
                <c:pt idx="27">
                  <c:v>-261.70870398745507</c:v>
                </c:pt>
                <c:pt idx="28">
                  <c:v>-261.70870398745507</c:v>
                </c:pt>
                <c:pt idx="29">
                  <c:v>-261.70870398745507</c:v>
                </c:pt>
                <c:pt idx="30">
                  <c:v>-261.70870398745507</c:v>
                </c:pt>
                <c:pt idx="31">
                  <c:v>-261.70870398745507</c:v>
                </c:pt>
                <c:pt idx="32">
                  <c:v>-261.70870398745507</c:v>
                </c:pt>
                <c:pt idx="33">
                  <c:v>-261.70870398745507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B6-438A-B864-33F1A2F0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777919"/>
        <c:axId val="726291855"/>
      </c:lineChart>
      <c:catAx>
        <c:axId val="2092777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91855"/>
        <c:crosses val="autoZero"/>
        <c:auto val="1"/>
        <c:lblAlgn val="ctr"/>
        <c:lblOffset val="100"/>
        <c:noMultiLvlLbl val="0"/>
      </c:catAx>
      <c:valAx>
        <c:axId val="7262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7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1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Individual Control Chart</a:t>
            </a: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Tripod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'Verifikasi Hasil Forecast'!$AC$53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'Verifikasi Hasil Forecast'!$AC$54:$AC$87</c:f>
              <c:numCache>
                <c:formatCode>0</c:formatCode>
                <c:ptCount val="34"/>
                <c:pt idx="0">
                  <c:v>-67.289176636386401</c:v>
                </c:pt>
                <c:pt idx="1">
                  <c:v>103.0341349651053</c:v>
                </c:pt>
                <c:pt idx="2">
                  <c:v>-518.68836927405391</c:v>
                </c:pt>
                <c:pt idx="3">
                  <c:v>116.84439733216732</c:v>
                </c:pt>
                <c:pt idx="4">
                  <c:v>52.283627670960414</c:v>
                </c:pt>
                <c:pt idx="5">
                  <c:v>227.33813959260806</c:v>
                </c:pt>
                <c:pt idx="6">
                  <c:v>110.45906863943492</c:v>
                </c:pt>
                <c:pt idx="7">
                  <c:v>173.93358022303619</c:v>
                </c:pt>
                <c:pt idx="8">
                  <c:v>-676.74777151027229</c:v>
                </c:pt>
                <c:pt idx="9">
                  <c:v>239.7506507715625</c:v>
                </c:pt>
                <c:pt idx="10">
                  <c:v>144.95077035835493</c:v>
                </c:pt>
                <c:pt idx="11">
                  <c:v>228.5670809992298</c:v>
                </c:pt>
                <c:pt idx="12">
                  <c:v>155.97354332836221</c:v>
                </c:pt>
                <c:pt idx="13">
                  <c:v>180.4166325302067</c:v>
                </c:pt>
                <c:pt idx="14">
                  <c:v>-929.53900219945353</c:v>
                </c:pt>
                <c:pt idx="15">
                  <c:v>128.80055345298751</c:v>
                </c:pt>
                <c:pt idx="16">
                  <c:v>74.459753361512412</c:v>
                </c:pt>
                <c:pt idx="17">
                  <c:v>136.57253753493387</c:v>
                </c:pt>
                <c:pt idx="18">
                  <c:v>58.000738780750908</c:v>
                </c:pt>
                <c:pt idx="19">
                  <c:v>209.42719547141496</c:v>
                </c:pt>
                <c:pt idx="20">
                  <c:v>-890.31220184299309</c:v>
                </c:pt>
                <c:pt idx="21">
                  <c:v>272.46679335396038</c:v>
                </c:pt>
                <c:pt idx="22">
                  <c:v>-58.172304115028965</c:v>
                </c:pt>
                <c:pt idx="23">
                  <c:v>380.59137911700236</c:v>
                </c:pt>
                <c:pt idx="24">
                  <c:v>-54.797687231879536</c:v>
                </c:pt>
                <c:pt idx="25">
                  <c:v>414.95785904473451</c:v>
                </c:pt>
                <c:pt idx="26">
                  <c:v>-993.28779517146722</c:v>
                </c:pt>
                <c:pt idx="27">
                  <c:v>360.95073523256542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A-491C-8FA0-9C808EF23604}"/>
            </c:ext>
          </c:extLst>
        </c:ser>
        <c:ser>
          <c:idx val="1"/>
          <c:order val="1"/>
          <c:tx>
            <c:strRef>
              <c:f>'Verifikasi Hasil Forecast'!$AE$53</c:f>
              <c:strCache>
                <c:ptCount val="1"/>
                <c:pt idx="0">
                  <c:v>Xbar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'Verifikasi Hasil Forecast'!$AE$54:$AE$87</c:f>
              <c:numCache>
                <c:formatCode>0</c:formatCode>
                <c:ptCount val="34"/>
                <c:pt idx="0">
                  <c:v>-14.966254865023009</c:v>
                </c:pt>
                <c:pt idx="1">
                  <c:v>-14.966254865023009</c:v>
                </c:pt>
                <c:pt idx="2">
                  <c:v>-14.966254865023009</c:v>
                </c:pt>
                <c:pt idx="3">
                  <c:v>-14.966254865023009</c:v>
                </c:pt>
                <c:pt idx="4">
                  <c:v>-14.966254865023009</c:v>
                </c:pt>
                <c:pt idx="5">
                  <c:v>-14.966254865023009</c:v>
                </c:pt>
                <c:pt idx="6">
                  <c:v>-14.966254865023009</c:v>
                </c:pt>
                <c:pt idx="7">
                  <c:v>-14.966254865023009</c:v>
                </c:pt>
                <c:pt idx="8">
                  <c:v>-14.966254865023009</c:v>
                </c:pt>
                <c:pt idx="9">
                  <c:v>-14.966254865023009</c:v>
                </c:pt>
                <c:pt idx="10">
                  <c:v>-14.966254865023009</c:v>
                </c:pt>
                <c:pt idx="11">
                  <c:v>-14.966254865023009</c:v>
                </c:pt>
                <c:pt idx="12">
                  <c:v>-14.966254865023009</c:v>
                </c:pt>
                <c:pt idx="13">
                  <c:v>-14.966254865023009</c:v>
                </c:pt>
                <c:pt idx="14">
                  <c:v>-14.966254865023009</c:v>
                </c:pt>
                <c:pt idx="15">
                  <c:v>-14.966254865023009</c:v>
                </c:pt>
                <c:pt idx="16">
                  <c:v>-14.966254865023009</c:v>
                </c:pt>
                <c:pt idx="17">
                  <c:v>-14.966254865023009</c:v>
                </c:pt>
                <c:pt idx="18">
                  <c:v>-14.966254865023009</c:v>
                </c:pt>
                <c:pt idx="19">
                  <c:v>-14.966254865023009</c:v>
                </c:pt>
                <c:pt idx="20">
                  <c:v>-14.966254865023009</c:v>
                </c:pt>
                <c:pt idx="21">
                  <c:v>-14.966254865023009</c:v>
                </c:pt>
                <c:pt idx="22">
                  <c:v>-14.966254865023009</c:v>
                </c:pt>
                <c:pt idx="23">
                  <c:v>-14.966254865023009</c:v>
                </c:pt>
                <c:pt idx="24">
                  <c:v>-14.966254865023009</c:v>
                </c:pt>
                <c:pt idx="25">
                  <c:v>-14.966254865023009</c:v>
                </c:pt>
                <c:pt idx="26">
                  <c:v>-14.966254865023009</c:v>
                </c:pt>
                <c:pt idx="27">
                  <c:v>-14.966254865023009</c:v>
                </c:pt>
                <c:pt idx="28">
                  <c:v>-14.966254865023009</c:v>
                </c:pt>
                <c:pt idx="29">
                  <c:v>-14.966254865023009</c:v>
                </c:pt>
                <c:pt idx="30">
                  <c:v>-14.966254865023009</c:v>
                </c:pt>
                <c:pt idx="31">
                  <c:v>-14.966254865023009</c:v>
                </c:pt>
                <c:pt idx="32">
                  <c:v>-14.966254865023009</c:v>
                </c:pt>
                <c:pt idx="33">
                  <c:v>-14.966254865023009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A-491C-8FA0-9C808EF23604}"/>
            </c:ext>
          </c:extLst>
        </c:ser>
        <c:ser>
          <c:idx val="2"/>
          <c:order val="2"/>
          <c:tx>
            <c:strRef>
              <c:f>'Verifikasi Hasil Forecast'!$AF$53</c:f>
              <c:strCache>
                <c:ptCount val="1"/>
                <c:pt idx="0">
                  <c:v>UCL 3sigma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'Verifikasi Hasil Forecast'!$AF$54:$AF$87</c:f>
              <c:numCache>
                <c:formatCode>0</c:formatCode>
                <c:ptCount val="34"/>
                <c:pt idx="0">
                  <c:v>1275.8608766419111</c:v>
                </c:pt>
                <c:pt idx="1">
                  <c:v>1275.8608766419111</c:v>
                </c:pt>
                <c:pt idx="2">
                  <c:v>1275.8608766419111</c:v>
                </c:pt>
                <c:pt idx="3">
                  <c:v>1275.8608766419111</c:v>
                </c:pt>
                <c:pt idx="4">
                  <c:v>1275.8608766419111</c:v>
                </c:pt>
                <c:pt idx="5">
                  <c:v>1275.8608766419111</c:v>
                </c:pt>
                <c:pt idx="6">
                  <c:v>1275.8608766419111</c:v>
                </c:pt>
                <c:pt idx="7">
                  <c:v>1275.8608766419111</c:v>
                </c:pt>
                <c:pt idx="8">
                  <c:v>1275.8608766419111</c:v>
                </c:pt>
                <c:pt idx="9">
                  <c:v>1275.8608766419111</c:v>
                </c:pt>
                <c:pt idx="10">
                  <c:v>1275.8608766419111</c:v>
                </c:pt>
                <c:pt idx="11">
                  <c:v>1275.8608766419111</c:v>
                </c:pt>
                <c:pt idx="12">
                  <c:v>1275.8608766419111</c:v>
                </c:pt>
                <c:pt idx="13">
                  <c:v>1275.8608766419111</c:v>
                </c:pt>
                <c:pt idx="14">
                  <c:v>1275.8608766419111</c:v>
                </c:pt>
                <c:pt idx="15">
                  <c:v>1275.8608766419111</c:v>
                </c:pt>
                <c:pt idx="16">
                  <c:v>1275.8608766419111</c:v>
                </c:pt>
                <c:pt idx="17">
                  <c:v>1275.8608766419111</c:v>
                </c:pt>
                <c:pt idx="18">
                  <c:v>1275.8608766419111</c:v>
                </c:pt>
                <c:pt idx="19">
                  <c:v>1275.8608766419111</c:v>
                </c:pt>
                <c:pt idx="20">
                  <c:v>1275.8608766419111</c:v>
                </c:pt>
                <c:pt idx="21">
                  <c:v>1275.8608766419111</c:v>
                </c:pt>
                <c:pt idx="22">
                  <c:v>1275.8608766419111</c:v>
                </c:pt>
                <c:pt idx="23">
                  <c:v>1275.8608766419111</c:v>
                </c:pt>
                <c:pt idx="24">
                  <c:v>1275.8608766419111</c:v>
                </c:pt>
                <c:pt idx="25">
                  <c:v>1275.8608766419111</c:v>
                </c:pt>
                <c:pt idx="26">
                  <c:v>1275.8608766419111</c:v>
                </c:pt>
                <c:pt idx="27">
                  <c:v>1275.8608766419111</c:v>
                </c:pt>
                <c:pt idx="28">
                  <c:v>1275.8608766419111</c:v>
                </c:pt>
                <c:pt idx="29">
                  <c:v>1275.8608766419111</c:v>
                </c:pt>
                <c:pt idx="30">
                  <c:v>1275.8608766419111</c:v>
                </c:pt>
                <c:pt idx="31">
                  <c:v>1275.8608766419111</c:v>
                </c:pt>
                <c:pt idx="32">
                  <c:v>1275.8608766419111</c:v>
                </c:pt>
                <c:pt idx="33">
                  <c:v>1275.8608766419111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A-491C-8FA0-9C808EF23604}"/>
            </c:ext>
          </c:extLst>
        </c:ser>
        <c:ser>
          <c:idx val="3"/>
          <c:order val="3"/>
          <c:tx>
            <c:strRef>
              <c:f>'Verifikasi Hasil Forecast'!$AG$53</c:f>
              <c:strCache>
                <c:ptCount val="1"/>
                <c:pt idx="0">
                  <c:v>LCL 3sigma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'Verifikasi Hasil Forecast'!$AG$54:$AG$87</c:f>
              <c:numCache>
                <c:formatCode>0</c:formatCode>
                <c:ptCount val="34"/>
                <c:pt idx="0">
                  <c:v>-1305.7933863719572</c:v>
                </c:pt>
                <c:pt idx="1">
                  <c:v>-1305.7933863719572</c:v>
                </c:pt>
                <c:pt idx="2">
                  <c:v>-1305.7933863719572</c:v>
                </c:pt>
                <c:pt idx="3">
                  <c:v>-1305.7933863719572</c:v>
                </c:pt>
                <c:pt idx="4">
                  <c:v>-1305.7933863719572</c:v>
                </c:pt>
                <c:pt idx="5">
                  <c:v>-1305.7933863719572</c:v>
                </c:pt>
                <c:pt idx="6">
                  <c:v>-1305.7933863719572</c:v>
                </c:pt>
                <c:pt idx="7">
                  <c:v>-1305.7933863719572</c:v>
                </c:pt>
                <c:pt idx="8">
                  <c:v>-1305.7933863719572</c:v>
                </c:pt>
                <c:pt idx="9">
                  <c:v>-1305.7933863719572</c:v>
                </c:pt>
                <c:pt idx="10">
                  <c:v>-1305.7933863719572</c:v>
                </c:pt>
                <c:pt idx="11">
                  <c:v>-1305.7933863719572</c:v>
                </c:pt>
                <c:pt idx="12">
                  <c:v>-1305.7933863719572</c:v>
                </c:pt>
                <c:pt idx="13">
                  <c:v>-1305.7933863719572</c:v>
                </c:pt>
                <c:pt idx="14">
                  <c:v>-1305.7933863719572</c:v>
                </c:pt>
                <c:pt idx="15">
                  <c:v>-1305.7933863719572</c:v>
                </c:pt>
                <c:pt idx="16">
                  <c:v>-1305.7933863719572</c:v>
                </c:pt>
                <c:pt idx="17">
                  <c:v>-1305.7933863719572</c:v>
                </c:pt>
                <c:pt idx="18">
                  <c:v>-1305.7933863719572</c:v>
                </c:pt>
                <c:pt idx="19">
                  <c:v>-1305.7933863719572</c:v>
                </c:pt>
                <c:pt idx="20">
                  <c:v>-1305.7933863719572</c:v>
                </c:pt>
                <c:pt idx="21">
                  <c:v>-1305.7933863719572</c:v>
                </c:pt>
                <c:pt idx="22">
                  <c:v>-1305.7933863719572</c:v>
                </c:pt>
                <c:pt idx="23">
                  <c:v>-1305.7933863719572</c:v>
                </c:pt>
                <c:pt idx="24">
                  <c:v>-1305.7933863719572</c:v>
                </c:pt>
                <c:pt idx="25">
                  <c:v>-1305.7933863719572</c:v>
                </c:pt>
                <c:pt idx="26">
                  <c:v>-1305.7933863719572</c:v>
                </c:pt>
                <c:pt idx="27">
                  <c:v>-1305.7933863719572</c:v>
                </c:pt>
                <c:pt idx="28">
                  <c:v>-1305.7933863719572</c:v>
                </c:pt>
                <c:pt idx="29">
                  <c:v>-1305.7933863719572</c:v>
                </c:pt>
                <c:pt idx="30">
                  <c:v>-1305.7933863719572</c:v>
                </c:pt>
                <c:pt idx="31">
                  <c:v>-1305.7933863719572</c:v>
                </c:pt>
                <c:pt idx="32">
                  <c:v>-1305.7933863719572</c:v>
                </c:pt>
                <c:pt idx="33">
                  <c:v>-1305.7933863719572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8A-491C-8FA0-9C808EF23604}"/>
            </c:ext>
          </c:extLst>
        </c:ser>
        <c:ser>
          <c:idx val="4"/>
          <c:order val="4"/>
          <c:tx>
            <c:strRef>
              <c:f>'Verifikasi Hasil Forecast'!$AH$53</c:f>
              <c:strCache>
                <c:ptCount val="1"/>
                <c:pt idx="0">
                  <c:v>UCL 2sigma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'Verifikasi Hasil Forecast'!$AH$54:$AH$87</c:f>
              <c:numCache>
                <c:formatCode>0</c:formatCode>
                <c:ptCount val="34"/>
                <c:pt idx="0">
                  <c:v>845.58516613959989</c:v>
                </c:pt>
                <c:pt idx="1">
                  <c:v>845.58516613959989</c:v>
                </c:pt>
                <c:pt idx="2">
                  <c:v>845.58516613959989</c:v>
                </c:pt>
                <c:pt idx="3">
                  <c:v>845.58516613959989</c:v>
                </c:pt>
                <c:pt idx="4">
                  <c:v>845.58516613959989</c:v>
                </c:pt>
                <c:pt idx="5">
                  <c:v>845.58516613959989</c:v>
                </c:pt>
                <c:pt idx="6">
                  <c:v>845.58516613959989</c:v>
                </c:pt>
                <c:pt idx="7">
                  <c:v>845.58516613959989</c:v>
                </c:pt>
                <c:pt idx="8">
                  <c:v>845.58516613959989</c:v>
                </c:pt>
                <c:pt idx="9">
                  <c:v>845.58516613959989</c:v>
                </c:pt>
                <c:pt idx="10">
                  <c:v>845.58516613959989</c:v>
                </c:pt>
                <c:pt idx="11">
                  <c:v>845.58516613959989</c:v>
                </c:pt>
                <c:pt idx="12">
                  <c:v>845.58516613959989</c:v>
                </c:pt>
                <c:pt idx="13">
                  <c:v>845.58516613959989</c:v>
                </c:pt>
                <c:pt idx="14">
                  <c:v>845.58516613959989</c:v>
                </c:pt>
                <c:pt idx="15">
                  <c:v>845.58516613959989</c:v>
                </c:pt>
                <c:pt idx="16">
                  <c:v>845.58516613959989</c:v>
                </c:pt>
                <c:pt idx="17">
                  <c:v>845.58516613959989</c:v>
                </c:pt>
                <c:pt idx="18">
                  <c:v>845.58516613959989</c:v>
                </c:pt>
                <c:pt idx="19">
                  <c:v>845.58516613959989</c:v>
                </c:pt>
                <c:pt idx="20">
                  <c:v>845.58516613959989</c:v>
                </c:pt>
                <c:pt idx="21">
                  <c:v>845.58516613959989</c:v>
                </c:pt>
                <c:pt idx="22">
                  <c:v>845.58516613959989</c:v>
                </c:pt>
                <c:pt idx="23">
                  <c:v>845.58516613959989</c:v>
                </c:pt>
                <c:pt idx="24">
                  <c:v>845.58516613959989</c:v>
                </c:pt>
                <c:pt idx="25">
                  <c:v>845.58516613959989</c:v>
                </c:pt>
                <c:pt idx="26">
                  <c:v>845.58516613959989</c:v>
                </c:pt>
                <c:pt idx="27">
                  <c:v>845.58516613959989</c:v>
                </c:pt>
                <c:pt idx="28">
                  <c:v>845.58516613959989</c:v>
                </c:pt>
                <c:pt idx="29">
                  <c:v>845.58516613959989</c:v>
                </c:pt>
                <c:pt idx="30">
                  <c:v>845.58516613959989</c:v>
                </c:pt>
                <c:pt idx="31">
                  <c:v>845.58516613959989</c:v>
                </c:pt>
                <c:pt idx="32">
                  <c:v>845.58516613959989</c:v>
                </c:pt>
                <c:pt idx="33">
                  <c:v>845.58516613959989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8A-491C-8FA0-9C808EF23604}"/>
            </c:ext>
          </c:extLst>
        </c:ser>
        <c:ser>
          <c:idx val="5"/>
          <c:order val="5"/>
          <c:tx>
            <c:strRef>
              <c:f>'Verifikasi Hasil Forecast'!$AI$53</c:f>
              <c:strCache>
                <c:ptCount val="1"/>
                <c:pt idx="0">
                  <c:v>LCL 2sigma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'Verifikasi Hasil Forecast'!$AI$54:$AI$87</c:f>
              <c:numCache>
                <c:formatCode>0</c:formatCode>
                <c:ptCount val="34"/>
                <c:pt idx="0">
                  <c:v>-875.51767586964581</c:v>
                </c:pt>
                <c:pt idx="1">
                  <c:v>-875.51767586964581</c:v>
                </c:pt>
                <c:pt idx="2">
                  <c:v>-875.51767586964581</c:v>
                </c:pt>
                <c:pt idx="3">
                  <c:v>-875.51767586964581</c:v>
                </c:pt>
                <c:pt idx="4">
                  <c:v>-875.51767586964581</c:v>
                </c:pt>
                <c:pt idx="5">
                  <c:v>-875.51767586964581</c:v>
                </c:pt>
                <c:pt idx="6">
                  <c:v>-875.51767586964581</c:v>
                </c:pt>
                <c:pt idx="7">
                  <c:v>-875.51767586964581</c:v>
                </c:pt>
                <c:pt idx="8">
                  <c:v>-875.51767586964581</c:v>
                </c:pt>
                <c:pt idx="9">
                  <c:v>-875.51767586964581</c:v>
                </c:pt>
                <c:pt idx="10">
                  <c:v>-875.51767586964581</c:v>
                </c:pt>
                <c:pt idx="11">
                  <c:v>-875.51767586964581</c:v>
                </c:pt>
                <c:pt idx="12">
                  <c:v>-875.51767586964581</c:v>
                </c:pt>
                <c:pt idx="13">
                  <c:v>-875.51767586964581</c:v>
                </c:pt>
                <c:pt idx="14">
                  <c:v>-875.51767586964581</c:v>
                </c:pt>
                <c:pt idx="15">
                  <c:v>-875.51767586964581</c:v>
                </c:pt>
                <c:pt idx="16">
                  <c:v>-875.51767586964581</c:v>
                </c:pt>
                <c:pt idx="17">
                  <c:v>-875.51767586964581</c:v>
                </c:pt>
                <c:pt idx="18">
                  <c:v>-875.51767586964581</c:v>
                </c:pt>
                <c:pt idx="19">
                  <c:v>-875.51767586964581</c:v>
                </c:pt>
                <c:pt idx="20">
                  <c:v>-875.51767586964581</c:v>
                </c:pt>
                <c:pt idx="21">
                  <c:v>-875.51767586964581</c:v>
                </c:pt>
                <c:pt idx="22">
                  <c:v>-875.51767586964581</c:v>
                </c:pt>
                <c:pt idx="23">
                  <c:v>-875.51767586964581</c:v>
                </c:pt>
                <c:pt idx="24">
                  <c:v>-875.51767586964581</c:v>
                </c:pt>
                <c:pt idx="25">
                  <c:v>-875.51767586964581</c:v>
                </c:pt>
                <c:pt idx="26">
                  <c:v>-875.51767586964581</c:v>
                </c:pt>
                <c:pt idx="27">
                  <c:v>-875.51767586964581</c:v>
                </c:pt>
                <c:pt idx="28">
                  <c:v>-875.51767586964581</c:v>
                </c:pt>
                <c:pt idx="29">
                  <c:v>-875.51767586964581</c:v>
                </c:pt>
                <c:pt idx="30">
                  <c:v>-875.51767586964581</c:v>
                </c:pt>
                <c:pt idx="31">
                  <c:v>-875.51767586964581</c:v>
                </c:pt>
                <c:pt idx="32">
                  <c:v>-875.51767586964581</c:v>
                </c:pt>
                <c:pt idx="33">
                  <c:v>-875.51767586964581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8A-491C-8FA0-9C808EF23604}"/>
            </c:ext>
          </c:extLst>
        </c:ser>
        <c:ser>
          <c:idx val="6"/>
          <c:order val="6"/>
          <c:tx>
            <c:strRef>
              <c:f>'Verifikasi Hasil Forecast'!$AJ$53</c:f>
              <c:strCache>
                <c:ptCount val="1"/>
                <c:pt idx="0">
                  <c:v>UCL 1sigma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'Verifikasi Hasil Forecast'!$AJ$54:$AJ$87</c:f>
              <c:numCache>
                <c:formatCode>0</c:formatCode>
                <c:ptCount val="34"/>
                <c:pt idx="0">
                  <c:v>415.30945563728841</c:v>
                </c:pt>
                <c:pt idx="1">
                  <c:v>415.30945563728841</c:v>
                </c:pt>
                <c:pt idx="2">
                  <c:v>415.30945563728841</c:v>
                </c:pt>
                <c:pt idx="3">
                  <c:v>415.30945563728841</c:v>
                </c:pt>
                <c:pt idx="4">
                  <c:v>415.30945563728841</c:v>
                </c:pt>
                <c:pt idx="5">
                  <c:v>415.30945563728841</c:v>
                </c:pt>
                <c:pt idx="6">
                  <c:v>415.30945563728841</c:v>
                </c:pt>
                <c:pt idx="7">
                  <c:v>415.30945563728841</c:v>
                </c:pt>
                <c:pt idx="8">
                  <c:v>415.30945563728841</c:v>
                </c:pt>
                <c:pt idx="9">
                  <c:v>415.30945563728841</c:v>
                </c:pt>
                <c:pt idx="10">
                  <c:v>415.30945563728841</c:v>
                </c:pt>
                <c:pt idx="11">
                  <c:v>415.30945563728841</c:v>
                </c:pt>
                <c:pt idx="12">
                  <c:v>415.30945563728841</c:v>
                </c:pt>
                <c:pt idx="13">
                  <c:v>415.30945563728841</c:v>
                </c:pt>
                <c:pt idx="14">
                  <c:v>415.30945563728841</c:v>
                </c:pt>
                <c:pt idx="15">
                  <c:v>415.30945563728841</c:v>
                </c:pt>
                <c:pt idx="16">
                  <c:v>415.30945563728841</c:v>
                </c:pt>
                <c:pt idx="17">
                  <c:v>415.30945563728841</c:v>
                </c:pt>
                <c:pt idx="18">
                  <c:v>415.30945563728841</c:v>
                </c:pt>
                <c:pt idx="19">
                  <c:v>415.30945563728841</c:v>
                </c:pt>
                <c:pt idx="20">
                  <c:v>415.30945563728841</c:v>
                </c:pt>
                <c:pt idx="21">
                  <c:v>415.30945563728841</c:v>
                </c:pt>
                <c:pt idx="22">
                  <c:v>415.30945563728841</c:v>
                </c:pt>
                <c:pt idx="23">
                  <c:v>415.30945563728841</c:v>
                </c:pt>
                <c:pt idx="24">
                  <c:v>415.30945563728841</c:v>
                </c:pt>
                <c:pt idx="25">
                  <c:v>415.30945563728841</c:v>
                </c:pt>
                <c:pt idx="26">
                  <c:v>415.30945563728841</c:v>
                </c:pt>
                <c:pt idx="27">
                  <c:v>415.30945563728841</c:v>
                </c:pt>
                <c:pt idx="28">
                  <c:v>415.30945563728841</c:v>
                </c:pt>
                <c:pt idx="29">
                  <c:v>415.30945563728841</c:v>
                </c:pt>
                <c:pt idx="30">
                  <c:v>415.30945563728841</c:v>
                </c:pt>
                <c:pt idx="31">
                  <c:v>415.30945563728841</c:v>
                </c:pt>
                <c:pt idx="32">
                  <c:v>415.30945563728841</c:v>
                </c:pt>
                <c:pt idx="33">
                  <c:v>415.30945563728841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8A-491C-8FA0-9C808EF23604}"/>
            </c:ext>
          </c:extLst>
        </c:ser>
        <c:ser>
          <c:idx val="7"/>
          <c:order val="7"/>
          <c:tx>
            <c:strRef>
              <c:f>'Verifikasi Hasil Forecast'!$AK$53</c:f>
              <c:strCache>
                <c:ptCount val="1"/>
                <c:pt idx="0">
                  <c:v>LCL1sigma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'Verifikasi Hasil Forecast'!$AK$54:$AK$87</c:f>
              <c:numCache>
                <c:formatCode>0</c:formatCode>
                <c:ptCount val="34"/>
                <c:pt idx="0">
                  <c:v>-445.24196536733444</c:v>
                </c:pt>
                <c:pt idx="1">
                  <c:v>-445.24196536733444</c:v>
                </c:pt>
                <c:pt idx="2">
                  <c:v>-445.24196536733444</c:v>
                </c:pt>
                <c:pt idx="3">
                  <c:v>-445.24196536733444</c:v>
                </c:pt>
                <c:pt idx="4">
                  <c:v>-445.24196536733444</c:v>
                </c:pt>
                <c:pt idx="5">
                  <c:v>-445.24196536733444</c:v>
                </c:pt>
                <c:pt idx="6">
                  <c:v>-445.24196536733444</c:v>
                </c:pt>
                <c:pt idx="7">
                  <c:v>-445.24196536733444</c:v>
                </c:pt>
                <c:pt idx="8">
                  <c:v>-445.24196536733444</c:v>
                </c:pt>
                <c:pt idx="9">
                  <c:v>-445.24196536733444</c:v>
                </c:pt>
                <c:pt idx="10">
                  <c:v>-445.24196536733444</c:v>
                </c:pt>
                <c:pt idx="11">
                  <c:v>-445.24196536733444</c:v>
                </c:pt>
                <c:pt idx="12">
                  <c:v>-445.24196536733444</c:v>
                </c:pt>
                <c:pt idx="13">
                  <c:v>-445.24196536733444</c:v>
                </c:pt>
                <c:pt idx="14">
                  <c:v>-445.24196536733444</c:v>
                </c:pt>
                <c:pt idx="15">
                  <c:v>-445.24196536733444</c:v>
                </c:pt>
                <c:pt idx="16">
                  <c:v>-445.24196536733444</c:v>
                </c:pt>
                <c:pt idx="17">
                  <c:v>-445.24196536733444</c:v>
                </c:pt>
                <c:pt idx="18">
                  <c:v>-445.24196536733444</c:v>
                </c:pt>
                <c:pt idx="19">
                  <c:v>-445.24196536733444</c:v>
                </c:pt>
                <c:pt idx="20">
                  <c:v>-445.24196536733444</c:v>
                </c:pt>
                <c:pt idx="21">
                  <c:v>-445.24196536733444</c:v>
                </c:pt>
                <c:pt idx="22">
                  <c:v>-445.24196536733444</c:v>
                </c:pt>
                <c:pt idx="23">
                  <c:v>-445.24196536733444</c:v>
                </c:pt>
                <c:pt idx="24">
                  <c:v>-445.24196536733444</c:v>
                </c:pt>
                <c:pt idx="25">
                  <c:v>-445.24196536733444</c:v>
                </c:pt>
                <c:pt idx="26">
                  <c:v>-445.24196536733444</c:v>
                </c:pt>
                <c:pt idx="27">
                  <c:v>-445.24196536733444</c:v>
                </c:pt>
                <c:pt idx="28">
                  <c:v>-445.24196536733444</c:v>
                </c:pt>
                <c:pt idx="29">
                  <c:v>-445.24196536733444</c:v>
                </c:pt>
                <c:pt idx="30">
                  <c:v>-445.24196536733444</c:v>
                </c:pt>
                <c:pt idx="31">
                  <c:v>-445.24196536733444</c:v>
                </c:pt>
                <c:pt idx="32">
                  <c:v>-445.24196536733444</c:v>
                </c:pt>
                <c:pt idx="33">
                  <c:v>-445.24196536733444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88A-491C-8FA0-9C808EF23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763039"/>
        <c:axId val="726316159"/>
      </c:lineChart>
      <c:catAx>
        <c:axId val="2092763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16159"/>
        <c:crosses val="autoZero"/>
        <c:auto val="1"/>
        <c:lblAlgn val="ctr"/>
        <c:lblOffset val="100"/>
        <c:noMultiLvlLbl val="0"/>
      </c:catAx>
      <c:valAx>
        <c:axId val="7263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6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1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Individual Control Chart</a:t>
            </a: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Tripod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'Verifikasi Hasil Forecast'!$AP$53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'Verifikasi Hasil Forecast'!$AP$54:$AP$87</c:f>
              <c:numCache>
                <c:formatCode>0</c:formatCode>
                <c:ptCount val="34"/>
                <c:pt idx="0">
                  <c:v>13922.5</c:v>
                </c:pt>
                <c:pt idx="1">
                  <c:v>7293.6666666666679</c:v>
                </c:pt>
                <c:pt idx="2">
                  <c:v>-3356.5</c:v>
                </c:pt>
                <c:pt idx="3">
                  <c:v>-6273.3333333333321</c:v>
                </c:pt>
                <c:pt idx="4">
                  <c:v>-8086.5</c:v>
                </c:pt>
                <c:pt idx="5">
                  <c:v>-2783.5</c:v>
                </c:pt>
                <c:pt idx="6">
                  <c:v>4888.3333333333339</c:v>
                </c:pt>
                <c:pt idx="7">
                  <c:v>7781.166666666667</c:v>
                </c:pt>
                <c:pt idx="8">
                  <c:v>562.66666666666788</c:v>
                </c:pt>
                <c:pt idx="9">
                  <c:v>2779.6666666666679</c:v>
                </c:pt>
                <c:pt idx="10">
                  <c:v>-6870.1666666666661</c:v>
                </c:pt>
                <c:pt idx="11">
                  <c:v>7319.3333333333339</c:v>
                </c:pt>
                <c:pt idx="12">
                  <c:v>-207.5</c:v>
                </c:pt>
                <c:pt idx="13">
                  <c:v>-637</c:v>
                </c:pt>
                <c:pt idx="14">
                  <c:v>-1767.5</c:v>
                </c:pt>
                <c:pt idx="15">
                  <c:v>-4088.1666666666661</c:v>
                </c:pt>
                <c:pt idx="16">
                  <c:v>-2228.1666666666661</c:v>
                </c:pt>
                <c:pt idx="17">
                  <c:v>-836</c:v>
                </c:pt>
                <c:pt idx="18">
                  <c:v>5343.5</c:v>
                </c:pt>
                <c:pt idx="19">
                  <c:v>-6789.5</c:v>
                </c:pt>
                <c:pt idx="20">
                  <c:v>-4890</c:v>
                </c:pt>
                <c:pt idx="21">
                  <c:v>-514.16666666666606</c:v>
                </c:pt>
                <c:pt idx="22">
                  <c:v>28.5</c:v>
                </c:pt>
                <c:pt idx="23">
                  <c:v>14475</c:v>
                </c:pt>
                <c:pt idx="24">
                  <c:v>1971.1666666666679</c:v>
                </c:pt>
                <c:pt idx="25">
                  <c:v>-5632.8333333333321</c:v>
                </c:pt>
                <c:pt idx="26">
                  <c:v>-8324.3333333333321</c:v>
                </c:pt>
                <c:pt idx="27">
                  <c:v>3031.666666666667</c:v>
                </c:pt>
                <c:pt idx="28">
                  <c:v>2228</c:v>
                </c:pt>
                <c:pt idx="29">
                  <c:v>-4648.333333333333</c:v>
                </c:pt>
                <c:pt idx="30">
                  <c:v>2299.666666666667</c:v>
                </c:pt>
                <c:pt idx="31">
                  <c:v>2791.5</c:v>
                </c:pt>
                <c:pt idx="32">
                  <c:v>3566.8333333333339</c:v>
                </c:pt>
                <c:pt idx="33">
                  <c:v>2397.5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D-4305-9C22-7FCB26051B33}"/>
            </c:ext>
          </c:extLst>
        </c:ser>
        <c:ser>
          <c:idx val="1"/>
          <c:order val="1"/>
          <c:tx>
            <c:strRef>
              <c:f>'Verifikasi Hasil Forecast'!$AR$53</c:f>
              <c:strCache>
                <c:ptCount val="1"/>
                <c:pt idx="0">
                  <c:v>Xbar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'Verifikasi Hasil Forecast'!$AR$54:$AR$87</c:f>
              <c:numCache>
                <c:formatCode>0</c:formatCode>
                <c:ptCount val="34"/>
                <c:pt idx="0">
                  <c:v>73.587719298245972</c:v>
                </c:pt>
                <c:pt idx="1">
                  <c:v>73.587719298245972</c:v>
                </c:pt>
                <c:pt idx="2">
                  <c:v>73.587719298245972</c:v>
                </c:pt>
                <c:pt idx="3">
                  <c:v>73.587719298245972</c:v>
                </c:pt>
                <c:pt idx="4">
                  <c:v>73.587719298245972</c:v>
                </c:pt>
                <c:pt idx="5">
                  <c:v>73.587719298245972</c:v>
                </c:pt>
                <c:pt idx="6">
                  <c:v>73.587719298245972</c:v>
                </c:pt>
                <c:pt idx="7">
                  <c:v>73.587719298245972</c:v>
                </c:pt>
                <c:pt idx="8">
                  <c:v>73.587719298245972</c:v>
                </c:pt>
                <c:pt idx="9">
                  <c:v>73.587719298245972</c:v>
                </c:pt>
                <c:pt idx="10">
                  <c:v>73.587719298245972</c:v>
                </c:pt>
                <c:pt idx="11">
                  <c:v>73.587719298245972</c:v>
                </c:pt>
                <c:pt idx="12">
                  <c:v>73.587719298245972</c:v>
                </c:pt>
                <c:pt idx="13">
                  <c:v>73.587719298245972</c:v>
                </c:pt>
                <c:pt idx="14">
                  <c:v>73.587719298245972</c:v>
                </c:pt>
                <c:pt idx="15">
                  <c:v>73.587719298245972</c:v>
                </c:pt>
                <c:pt idx="16">
                  <c:v>73.587719298245972</c:v>
                </c:pt>
                <c:pt idx="17">
                  <c:v>73.587719298245972</c:v>
                </c:pt>
                <c:pt idx="18">
                  <c:v>73.587719298245972</c:v>
                </c:pt>
                <c:pt idx="19">
                  <c:v>73.587719298245972</c:v>
                </c:pt>
                <c:pt idx="20">
                  <c:v>73.587719298245972</c:v>
                </c:pt>
                <c:pt idx="21">
                  <c:v>73.587719298245972</c:v>
                </c:pt>
                <c:pt idx="22">
                  <c:v>73.587719298245972</c:v>
                </c:pt>
                <c:pt idx="23">
                  <c:v>73.587719298245972</c:v>
                </c:pt>
                <c:pt idx="24">
                  <c:v>73.587719298245972</c:v>
                </c:pt>
                <c:pt idx="25">
                  <c:v>73.587719298245972</c:v>
                </c:pt>
                <c:pt idx="26">
                  <c:v>73.587719298245972</c:v>
                </c:pt>
                <c:pt idx="27">
                  <c:v>73.587719298245972</c:v>
                </c:pt>
                <c:pt idx="28">
                  <c:v>73.587719298245972</c:v>
                </c:pt>
                <c:pt idx="29">
                  <c:v>73.587719298245972</c:v>
                </c:pt>
                <c:pt idx="30">
                  <c:v>73.587719298245972</c:v>
                </c:pt>
                <c:pt idx="31">
                  <c:v>73.587719298245972</c:v>
                </c:pt>
                <c:pt idx="32">
                  <c:v>73.587719298245972</c:v>
                </c:pt>
                <c:pt idx="33">
                  <c:v>73.587719298245972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D-4305-9C22-7FCB26051B33}"/>
            </c:ext>
          </c:extLst>
        </c:ser>
        <c:ser>
          <c:idx val="2"/>
          <c:order val="2"/>
          <c:tx>
            <c:strRef>
              <c:f>'Verifikasi Hasil Forecast'!$AS$53</c:f>
              <c:strCache>
                <c:ptCount val="1"/>
                <c:pt idx="0">
                  <c:v>UCL 3sigma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'Verifikasi Hasil Forecast'!$AS$54:$AS$87</c:f>
              <c:numCache>
                <c:formatCode>0</c:formatCode>
                <c:ptCount val="34"/>
                <c:pt idx="0">
                  <c:v>16048.00681224338</c:v>
                </c:pt>
                <c:pt idx="1">
                  <c:v>16048.00681224338</c:v>
                </c:pt>
                <c:pt idx="2">
                  <c:v>16048.00681224338</c:v>
                </c:pt>
                <c:pt idx="3">
                  <c:v>16048.00681224338</c:v>
                </c:pt>
                <c:pt idx="4">
                  <c:v>16048.00681224338</c:v>
                </c:pt>
                <c:pt idx="5">
                  <c:v>16048.00681224338</c:v>
                </c:pt>
                <c:pt idx="6">
                  <c:v>16048.00681224338</c:v>
                </c:pt>
                <c:pt idx="7">
                  <c:v>16048.00681224338</c:v>
                </c:pt>
                <c:pt idx="8">
                  <c:v>16048.00681224338</c:v>
                </c:pt>
                <c:pt idx="9">
                  <c:v>16048.00681224338</c:v>
                </c:pt>
                <c:pt idx="10">
                  <c:v>16048.00681224338</c:v>
                </c:pt>
                <c:pt idx="11">
                  <c:v>16048.00681224338</c:v>
                </c:pt>
                <c:pt idx="12">
                  <c:v>16048.00681224338</c:v>
                </c:pt>
                <c:pt idx="13">
                  <c:v>16048.00681224338</c:v>
                </c:pt>
                <c:pt idx="14">
                  <c:v>16048.00681224338</c:v>
                </c:pt>
                <c:pt idx="15">
                  <c:v>16048.00681224338</c:v>
                </c:pt>
                <c:pt idx="16">
                  <c:v>16048.00681224338</c:v>
                </c:pt>
                <c:pt idx="17">
                  <c:v>16048.00681224338</c:v>
                </c:pt>
                <c:pt idx="18">
                  <c:v>16048.00681224338</c:v>
                </c:pt>
                <c:pt idx="19">
                  <c:v>16048.00681224338</c:v>
                </c:pt>
                <c:pt idx="20">
                  <c:v>16048.00681224338</c:v>
                </c:pt>
                <c:pt idx="21">
                  <c:v>16048.00681224338</c:v>
                </c:pt>
                <c:pt idx="22">
                  <c:v>16048.00681224338</c:v>
                </c:pt>
                <c:pt idx="23">
                  <c:v>16048.00681224338</c:v>
                </c:pt>
                <c:pt idx="24">
                  <c:v>16048.00681224338</c:v>
                </c:pt>
                <c:pt idx="25">
                  <c:v>16048.00681224338</c:v>
                </c:pt>
                <c:pt idx="26">
                  <c:v>16048.00681224338</c:v>
                </c:pt>
                <c:pt idx="27">
                  <c:v>16048.00681224338</c:v>
                </c:pt>
                <c:pt idx="28">
                  <c:v>16048.00681224338</c:v>
                </c:pt>
                <c:pt idx="29">
                  <c:v>16048.00681224338</c:v>
                </c:pt>
                <c:pt idx="30">
                  <c:v>16048.00681224338</c:v>
                </c:pt>
                <c:pt idx="31">
                  <c:v>16048.00681224338</c:v>
                </c:pt>
                <c:pt idx="32">
                  <c:v>16048.00681224338</c:v>
                </c:pt>
                <c:pt idx="33">
                  <c:v>16048.00681224338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ED-4305-9C22-7FCB26051B33}"/>
            </c:ext>
          </c:extLst>
        </c:ser>
        <c:ser>
          <c:idx val="3"/>
          <c:order val="3"/>
          <c:tx>
            <c:strRef>
              <c:f>'Verifikasi Hasil Forecast'!$AT$53</c:f>
              <c:strCache>
                <c:ptCount val="1"/>
                <c:pt idx="0">
                  <c:v>LCL 3sigma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'Verifikasi Hasil Forecast'!$AT$54:$AT$87</c:f>
              <c:numCache>
                <c:formatCode>0</c:formatCode>
                <c:ptCount val="34"/>
                <c:pt idx="0">
                  <c:v>-15900.831373646888</c:v>
                </c:pt>
                <c:pt idx="1">
                  <c:v>-15900.831373646888</c:v>
                </c:pt>
                <c:pt idx="2">
                  <c:v>-15900.831373646888</c:v>
                </c:pt>
                <c:pt idx="3">
                  <c:v>-15900.831373646888</c:v>
                </c:pt>
                <c:pt idx="4">
                  <c:v>-15900.831373646888</c:v>
                </c:pt>
                <c:pt idx="5">
                  <c:v>-15900.831373646888</c:v>
                </c:pt>
                <c:pt idx="6">
                  <c:v>-15900.831373646888</c:v>
                </c:pt>
                <c:pt idx="7">
                  <c:v>-15900.831373646888</c:v>
                </c:pt>
                <c:pt idx="8">
                  <c:v>-15900.831373646888</c:v>
                </c:pt>
                <c:pt idx="9">
                  <c:v>-15900.831373646888</c:v>
                </c:pt>
                <c:pt idx="10">
                  <c:v>-15900.831373646888</c:v>
                </c:pt>
                <c:pt idx="11">
                  <c:v>-15900.831373646888</c:v>
                </c:pt>
                <c:pt idx="12">
                  <c:v>-15900.831373646888</c:v>
                </c:pt>
                <c:pt idx="13">
                  <c:v>-15900.831373646888</c:v>
                </c:pt>
                <c:pt idx="14">
                  <c:v>-15900.831373646888</c:v>
                </c:pt>
                <c:pt idx="15">
                  <c:v>-15900.831373646888</c:v>
                </c:pt>
                <c:pt idx="16">
                  <c:v>-15900.831373646888</c:v>
                </c:pt>
                <c:pt idx="17">
                  <c:v>-15900.831373646888</c:v>
                </c:pt>
                <c:pt idx="18">
                  <c:v>-15900.831373646888</c:v>
                </c:pt>
                <c:pt idx="19">
                  <c:v>-15900.831373646888</c:v>
                </c:pt>
                <c:pt idx="20">
                  <c:v>-15900.831373646888</c:v>
                </c:pt>
                <c:pt idx="21">
                  <c:v>-15900.831373646888</c:v>
                </c:pt>
                <c:pt idx="22">
                  <c:v>-15900.831373646888</c:v>
                </c:pt>
                <c:pt idx="23">
                  <c:v>-15900.831373646888</c:v>
                </c:pt>
                <c:pt idx="24">
                  <c:v>-15900.831373646888</c:v>
                </c:pt>
                <c:pt idx="25">
                  <c:v>-15900.831373646888</c:v>
                </c:pt>
                <c:pt idx="26">
                  <c:v>-15900.831373646888</c:v>
                </c:pt>
                <c:pt idx="27">
                  <c:v>-15900.831373646888</c:v>
                </c:pt>
                <c:pt idx="28">
                  <c:v>-15900.831373646888</c:v>
                </c:pt>
                <c:pt idx="29">
                  <c:v>-15900.831373646888</c:v>
                </c:pt>
                <c:pt idx="30">
                  <c:v>-15900.831373646888</c:v>
                </c:pt>
                <c:pt idx="31">
                  <c:v>-15900.831373646888</c:v>
                </c:pt>
                <c:pt idx="32">
                  <c:v>-15900.831373646888</c:v>
                </c:pt>
                <c:pt idx="33">
                  <c:v>-15900.831373646888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ED-4305-9C22-7FCB26051B33}"/>
            </c:ext>
          </c:extLst>
        </c:ser>
        <c:ser>
          <c:idx val="4"/>
          <c:order val="4"/>
          <c:tx>
            <c:strRef>
              <c:f>'Verifikasi Hasil Forecast'!$AU$53</c:f>
              <c:strCache>
                <c:ptCount val="1"/>
                <c:pt idx="0">
                  <c:v>UCL 2sigma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'Verifikasi Hasil Forecast'!$AU$54:$AU$87</c:f>
              <c:numCache>
                <c:formatCode>0</c:formatCode>
                <c:ptCount val="34"/>
                <c:pt idx="0">
                  <c:v>10723.200447928337</c:v>
                </c:pt>
                <c:pt idx="1">
                  <c:v>10723.200447928337</c:v>
                </c:pt>
                <c:pt idx="2">
                  <c:v>10723.200447928337</c:v>
                </c:pt>
                <c:pt idx="3">
                  <c:v>10723.200447928337</c:v>
                </c:pt>
                <c:pt idx="4">
                  <c:v>10723.200447928337</c:v>
                </c:pt>
                <c:pt idx="5">
                  <c:v>10723.200447928337</c:v>
                </c:pt>
                <c:pt idx="6">
                  <c:v>10723.200447928337</c:v>
                </c:pt>
                <c:pt idx="7">
                  <c:v>10723.200447928337</c:v>
                </c:pt>
                <c:pt idx="8">
                  <c:v>10723.200447928337</c:v>
                </c:pt>
                <c:pt idx="9">
                  <c:v>10723.200447928337</c:v>
                </c:pt>
                <c:pt idx="10">
                  <c:v>10723.200447928337</c:v>
                </c:pt>
                <c:pt idx="11">
                  <c:v>10723.200447928337</c:v>
                </c:pt>
                <c:pt idx="12">
                  <c:v>10723.200447928337</c:v>
                </c:pt>
                <c:pt idx="13">
                  <c:v>10723.200447928337</c:v>
                </c:pt>
                <c:pt idx="14">
                  <c:v>10723.200447928337</c:v>
                </c:pt>
                <c:pt idx="15">
                  <c:v>10723.200447928337</c:v>
                </c:pt>
                <c:pt idx="16">
                  <c:v>10723.200447928337</c:v>
                </c:pt>
                <c:pt idx="17">
                  <c:v>10723.200447928337</c:v>
                </c:pt>
                <c:pt idx="18">
                  <c:v>10723.200447928337</c:v>
                </c:pt>
                <c:pt idx="19">
                  <c:v>10723.200447928337</c:v>
                </c:pt>
                <c:pt idx="20">
                  <c:v>10723.200447928337</c:v>
                </c:pt>
                <c:pt idx="21">
                  <c:v>10723.200447928337</c:v>
                </c:pt>
                <c:pt idx="22">
                  <c:v>10723.200447928337</c:v>
                </c:pt>
                <c:pt idx="23">
                  <c:v>10723.200447928337</c:v>
                </c:pt>
                <c:pt idx="24">
                  <c:v>10723.200447928337</c:v>
                </c:pt>
                <c:pt idx="25">
                  <c:v>10723.200447928337</c:v>
                </c:pt>
                <c:pt idx="26">
                  <c:v>10723.200447928337</c:v>
                </c:pt>
                <c:pt idx="27">
                  <c:v>10723.200447928337</c:v>
                </c:pt>
                <c:pt idx="28">
                  <c:v>10723.200447928337</c:v>
                </c:pt>
                <c:pt idx="29">
                  <c:v>10723.200447928337</c:v>
                </c:pt>
                <c:pt idx="30">
                  <c:v>10723.200447928337</c:v>
                </c:pt>
                <c:pt idx="31">
                  <c:v>10723.200447928337</c:v>
                </c:pt>
                <c:pt idx="32">
                  <c:v>10723.200447928337</c:v>
                </c:pt>
                <c:pt idx="33">
                  <c:v>10723.200447928337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ED-4305-9C22-7FCB26051B33}"/>
            </c:ext>
          </c:extLst>
        </c:ser>
        <c:ser>
          <c:idx val="5"/>
          <c:order val="5"/>
          <c:tx>
            <c:strRef>
              <c:f>'Verifikasi Hasil Forecast'!$AV$53</c:f>
              <c:strCache>
                <c:ptCount val="1"/>
                <c:pt idx="0">
                  <c:v>LCL 2sigma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'Verifikasi Hasil Forecast'!$AV$54:$AV$87</c:f>
              <c:numCache>
                <c:formatCode>0</c:formatCode>
                <c:ptCount val="34"/>
                <c:pt idx="0">
                  <c:v>-10576.025009331845</c:v>
                </c:pt>
                <c:pt idx="1">
                  <c:v>-10576.025009331845</c:v>
                </c:pt>
                <c:pt idx="2">
                  <c:v>-10576.025009331845</c:v>
                </c:pt>
                <c:pt idx="3">
                  <c:v>-10576.025009331845</c:v>
                </c:pt>
                <c:pt idx="4">
                  <c:v>-10576.025009331845</c:v>
                </c:pt>
                <c:pt idx="5">
                  <c:v>-10576.025009331845</c:v>
                </c:pt>
                <c:pt idx="6">
                  <c:v>-10576.025009331845</c:v>
                </c:pt>
                <c:pt idx="7">
                  <c:v>-10576.025009331845</c:v>
                </c:pt>
                <c:pt idx="8">
                  <c:v>-10576.025009331845</c:v>
                </c:pt>
                <c:pt idx="9">
                  <c:v>-10576.025009331845</c:v>
                </c:pt>
                <c:pt idx="10">
                  <c:v>-10576.025009331845</c:v>
                </c:pt>
                <c:pt idx="11">
                  <c:v>-10576.025009331845</c:v>
                </c:pt>
                <c:pt idx="12">
                  <c:v>-10576.025009331845</c:v>
                </c:pt>
                <c:pt idx="13">
                  <c:v>-10576.025009331845</c:v>
                </c:pt>
                <c:pt idx="14">
                  <c:v>-10576.025009331845</c:v>
                </c:pt>
                <c:pt idx="15">
                  <c:v>-10576.025009331845</c:v>
                </c:pt>
                <c:pt idx="16">
                  <c:v>-10576.025009331845</c:v>
                </c:pt>
                <c:pt idx="17">
                  <c:v>-10576.025009331845</c:v>
                </c:pt>
                <c:pt idx="18">
                  <c:v>-10576.025009331845</c:v>
                </c:pt>
                <c:pt idx="19">
                  <c:v>-10576.025009331845</c:v>
                </c:pt>
                <c:pt idx="20">
                  <c:v>-10576.025009331845</c:v>
                </c:pt>
                <c:pt idx="21">
                  <c:v>-10576.025009331845</c:v>
                </c:pt>
                <c:pt idx="22">
                  <c:v>-10576.025009331845</c:v>
                </c:pt>
                <c:pt idx="23">
                  <c:v>-10576.025009331845</c:v>
                </c:pt>
                <c:pt idx="24">
                  <c:v>-10576.025009331845</c:v>
                </c:pt>
                <c:pt idx="25">
                  <c:v>-10576.025009331845</c:v>
                </c:pt>
                <c:pt idx="26">
                  <c:v>-10576.025009331845</c:v>
                </c:pt>
                <c:pt idx="27">
                  <c:v>-10576.025009331845</c:v>
                </c:pt>
                <c:pt idx="28">
                  <c:v>-10576.025009331845</c:v>
                </c:pt>
                <c:pt idx="29">
                  <c:v>-10576.025009331845</c:v>
                </c:pt>
                <c:pt idx="30">
                  <c:v>-10576.025009331845</c:v>
                </c:pt>
                <c:pt idx="31">
                  <c:v>-10576.025009331845</c:v>
                </c:pt>
                <c:pt idx="32">
                  <c:v>-10576.025009331845</c:v>
                </c:pt>
                <c:pt idx="33">
                  <c:v>-10576.025009331845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ED-4305-9C22-7FCB26051B33}"/>
            </c:ext>
          </c:extLst>
        </c:ser>
        <c:ser>
          <c:idx val="6"/>
          <c:order val="6"/>
          <c:tx>
            <c:strRef>
              <c:f>'Verifikasi Hasil Forecast'!$AW$53</c:f>
              <c:strCache>
                <c:ptCount val="1"/>
                <c:pt idx="0">
                  <c:v>UCL 1sigma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'Verifikasi Hasil Forecast'!$AW$54:$AW$87</c:f>
              <c:numCache>
                <c:formatCode>0</c:formatCode>
                <c:ptCount val="34"/>
                <c:pt idx="0">
                  <c:v>5398.3940836132915</c:v>
                </c:pt>
                <c:pt idx="1">
                  <c:v>5398.3940836132915</c:v>
                </c:pt>
                <c:pt idx="2">
                  <c:v>5398.3940836132915</c:v>
                </c:pt>
                <c:pt idx="3">
                  <c:v>5398.3940836132915</c:v>
                </c:pt>
                <c:pt idx="4">
                  <c:v>5398.3940836132915</c:v>
                </c:pt>
                <c:pt idx="5">
                  <c:v>5398.3940836132915</c:v>
                </c:pt>
                <c:pt idx="6">
                  <c:v>5398.3940836132915</c:v>
                </c:pt>
                <c:pt idx="7">
                  <c:v>5398.3940836132915</c:v>
                </c:pt>
                <c:pt idx="8">
                  <c:v>5398.3940836132915</c:v>
                </c:pt>
                <c:pt idx="9">
                  <c:v>5398.3940836132915</c:v>
                </c:pt>
                <c:pt idx="10">
                  <c:v>5398.3940836132915</c:v>
                </c:pt>
                <c:pt idx="11">
                  <c:v>5398.3940836132915</c:v>
                </c:pt>
                <c:pt idx="12">
                  <c:v>5398.3940836132915</c:v>
                </c:pt>
                <c:pt idx="13">
                  <c:v>5398.3940836132915</c:v>
                </c:pt>
                <c:pt idx="14">
                  <c:v>5398.3940836132915</c:v>
                </c:pt>
                <c:pt idx="15">
                  <c:v>5398.3940836132915</c:v>
                </c:pt>
                <c:pt idx="16">
                  <c:v>5398.3940836132915</c:v>
                </c:pt>
                <c:pt idx="17">
                  <c:v>5398.3940836132915</c:v>
                </c:pt>
                <c:pt idx="18">
                  <c:v>5398.3940836132915</c:v>
                </c:pt>
                <c:pt idx="19">
                  <c:v>5398.3940836132915</c:v>
                </c:pt>
                <c:pt idx="20">
                  <c:v>5398.3940836132915</c:v>
                </c:pt>
                <c:pt idx="21">
                  <c:v>5398.3940836132915</c:v>
                </c:pt>
                <c:pt idx="22">
                  <c:v>5398.3940836132915</c:v>
                </c:pt>
                <c:pt idx="23">
                  <c:v>5398.3940836132915</c:v>
                </c:pt>
                <c:pt idx="24">
                  <c:v>5398.3940836132915</c:v>
                </c:pt>
                <c:pt idx="25">
                  <c:v>5398.3940836132915</c:v>
                </c:pt>
                <c:pt idx="26">
                  <c:v>5398.3940836132915</c:v>
                </c:pt>
                <c:pt idx="27">
                  <c:v>5398.3940836132915</c:v>
                </c:pt>
                <c:pt idx="28">
                  <c:v>5398.3940836132915</c:v>
                </c:pt>
                <c:pt idx="29">
                  <c:v>5398.3940836132915</c:v>
                </c:pt>
                <c:pt idx="30">
                  <c:v>5398.3940836132915</c:v>
                </c:pt>
                <c:pt idx="31">
                  <c:v>5398.3940836132915</c:v>
                </c:pt>
                <c:pt idx="32">
                  <c:v>5398.3940836132915</c:v>
                </c:pt>
                <c:pt idx="33">
                  <c:v>5398.3940836132915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ED-4305-9C22-7FCB26051B33}"/>
            </c:ext>
          </c:extLst>
        </c:ser>
        <c:ser>
          <c:idx val="7"/>
          <c:order val="7"/>
          <c:tx>
            <c:strRef>
              <c:f>'Verifikasi Hasil Forecast'!$AX$53</c:f>
              <c:strCache>
                <c:ptCount val="1"/>
                <c:pt idx="0">
                  <c:v>LCL1sigma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'Verifikasi Hasil Forecast'!$AX$54:$AX$87</c:f>
              <c:numCache>
                <c:formatCode>0</c:formatCode>
                <c:ptCount val="34"/>
                <c:pt idx="0">
                  <c:v>-5251.2186450167992</c:v>
                </c:pt>
                <c:pt idx="1">
                  <c:v>-5251.2186450167992</c:v>
                </c:pt>
                <c:pt idx="2">
                  <c:v>-5251.2186450167992</c:v>
                </c:pt>
                <c:pt idx="3">
                  <c:v>-5251.2186450167992</c:v>
                </c:pt>
                <c:pt idx="4">
                  <c:v>-5251.2186450167992</c:v>
                </c:pt>
                <c:pt idx="5">
                  <c:v>-5251.2186450167992</c:v>
                </c:pt>
                <c:pt idx="6">
                  <c:v>-5251.2186450167992</c:v>
                </c:pt>
                <c:pt idx="7">
                  <c:v>-5251.2186450167992</c:v>
                </c:pt>
                <c:pt idx="8">
                  <c:v>-5251.2186450167992</c:v>
                </c:pt>
                <c:pt idx="9">
                  <c:v>-5251.2186450167992</c:v>
                </c:pt>
                <c:pt idx="10">
                  <c:v>-5251.2186450167992</c:v>
                </c:pt>
                <c:pt idx="11">
                  <c:v>-5251.2186450167992</c:v>
                </c:pt>
                <c:pt idx="12">
                  <c:v>-5251.2186450167992</c:v>
                </c:pt>
                <c:pt idx="13">
                  <c:v>-5251.2186450167992</c:v>
                </c:pt>
                <c:pt idx="14">
                  <c:v>-5251.2186450167992</c:v>
                </c:pt>
                <c:pt idx="15">
                  <c:v>-5251.2186450167992</c:v>
                </c:pt>
                <c:pt idx="16">
                  <c:v>-5251.2186450167992</c:v>
                </c:pt>
                <c:pt idx="17">
                  <c:v>-5251.2186450167992</c:v>
                </c:pt>
                <c:pt idx="18">
                  <c:v>-5251.2186450167992</c:v>
                </c:pt>
                <c:pt idx="19">
                  <c:v>-5251.2186450167992</c:v>
                </c:pt>
                <c:pt idx="20">
                  <c:v>-5251.2186450167992</c:v>
                </c:pt>
                <c:pt idx="21">
                  <c:v>-5251.2186450167992</c:v>
                </c:pt>
                <c:pt idx="22">
                  <c:v>-5251.2186450167992</c:v>
                </c:pt>
                <c:pt idx="23">
                  <c:v>-5251.2186450167992</c:v>
                </c:pt>
                <c:pt idx="24">
                  <c:v>-5251.2186450167992</c:v>
                </c:pt>
                <c:pt idx="25">
                  <c:v>-5251.2186450167992</c:v>
                </c:pt>
                <c:pt idx="26">
                  <c:v>-5251.2186450167992</c:v>
                </c:pt>
                <c:pt idx="27">
                  <c:v>-5251.2186450167992</c:v>
                </c:pt>
                <c:pt idx="28">
                  <c:v>-5251.2186450167992</c:v>
                </c:pt>
                <c:pt idx="29">
                  <c:v>-5251.2186450167992</c:v>
                </c:pt>
                <c:pt idx="30">
                  <c:v>-5251.2186450167992</c:v>
                </c:pt>
                <c:pt idx="31">
                  <c:v>-5251.2186450167992</c:v>
                </c:pt>
                <c:pt idx="32">
                  <c:v>-5251.2186450167992</c:v>
                </c:pt>
                <c:pt idx="33">
                  <c:v>-5251.2186450167992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ED-4305-9C22-7FCB26051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766399"/>
        <c:axId val="706662159"/>
      </c:lineChart>
      <c:catAx>
        <c:axId val="2092766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62159"/>
        <c:crosses val="autoZero"/>
        <c:auto val="1"/>
        <c:lblAlgn val="ctr"/>
        <c:lblOffset val="100"/>
        <c:noMultiLvlLbl val="0"/>
      </c:catAx>
      <c:valAx>
        <c:axId val="7066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6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1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MR Control Chart</a:t>
            </a: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Tripod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'Verifikasi Hasil Forecast'!$D$53</c:f>
              <c:strCache>
                <c:ptCount val="1"/>
                <c:pt idx="0">
                  <c:v>Moving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'Verifikasi Hasil Forecast'!$D$54:$D$87</c:f>
              <c:numCache>
                <c:formatCode>0</c:formatCode>
                <c:ptCount val="34"/>
                <c:pt idx="1">
                  <c:v>340</c:v>
                </c:pt>
                <c:pt idx="2">
                  <c:v>480</c:v>
                </c:pt>
                <c:pt idx="3">
                  <c:v>567.99999999999818</c:v>
                </c:pt>
                <c:pt idx="4">
                  <c:v>418.39999999999964</c:v>
                </c:pt>
                <c:pt idx="5">
                  <c:v>321.47999999999956</c:v>
                </c:pt>
                <c:pt idx="6">
                  <c:v>651.59399999999914</c:v>
                </c:pt>
                <c:pt idx="7">
                  <c:v>101.98569999999927</c:v>
                </c:pt>
                <c:pt idx="8">
                  <c:v>144.88641500000085</c:v>
                </c:pt>
                <c:pt idx="9">
                  <c:v>116.35790574999919</c:v>
                </c:pt>
                <c:pt idx="10">
                  <c:v>198.5400104625005</c:v>
                </c:pt>
                <c:pt idx="11">
                  <c:v>344.38699006062598</c:v>
                </c:pt>
                <c:pt idx="12">
                  <c:v>222.8323594424055</c:v>
                </c:pt>
                <c:pt idx="13">
                  <c:v>321.3092585297145</c:v>
                </c:pt>
                <c:pt idx="14">
                  <c:v>280.75620439677186</c:v>
                </c:pt>
                <c:pt idx="15">
                  <c:v>506.28160582306737</c:v>
                </c:pt>
                <c:pt idx="16">
                  <c:v>480.03247446808564</c:v>
                </c:pt>
                <c:pt idx="17">
                  <c:v>103.96914925531746</c:v>
                </c:pt>
                <c:pt idx="18">
                  <c:v>232.77069179255159</c:v>
                </c:pt>
                <c:pt idx="19">
                  <c:v>414.86784279707535</c:v>
                </c:pt>
                <c:pt idx="20">
                  <c:v>305.87554934277796</c:v>
                </c:pt>
                <c:pt idx="21">
                  <c:v>215.5817718756407</c:v>
                </c:pt>
                <c:pt idx="22">
                  <c:v>593.19731671814225</c:v>
                </c:pt>
                <c:pt idx="23">
                  <c:v>376.46254911776487</c:v>
                </c:pt>
                <c:pt idx="24">
                  <c:v>14.639421661875531</c:v>
                </c:pt>
                <c:pt idx="25">
                  <c:v>102.90745057878303</c:v>
                </c:pt>
                <c:pt idx="26">
                  <c:v>409.23792195015631</c:v>
                </c:pt>
                <c:pt idx="27">
                  <c:v>2.7760258526486723</c:v>
                </c:pt>
                <c:pt idx="28">
                  <c:v>382.36277543998403</c:v>
                </c:pt>
                <c:pt idx="29">
                  <c:v>49.755363332016714</c:v>
                </c:pt>
                <c:pt idx="30">
                  <c:v>11.267595165414605</c:v>
                </c:pt>
                <c:pt idx="31">
                  <c:v>17.295784592855853</c:v>
                </c:pt>
                <c:pt idx="32">
                  <c:v>207.56900463678721</c:v>
                </c:pt>
                <c:pt idx="33">
                  <c:v>189.80944559505224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3-4083-B266-292FBD7755F8}"/>
            </c:ext>
          </c:extLst>
        </c:ser>
        <c:ser>
          <c:idx val="1"/>
          <c:order val="1"/>
          <c:tx>
            <c:strRef>
              <c:f>'Verifikasi Hasil Forecast'!$L$53</c:f>
              <c:strCache>
                <c:ptCount val="1"/>
                <c:pt idx="0">
                  <c:v>MRbar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'Verifikasi Hasil Forecast'!$L$54:$L$87</c:f>
              <c:numCache>
                <c:formatCode>0</c:formatCode>
                <c:ptCount val="34"/>
                <c:pt idx="1">
                  <c:v>279.01984265382526</c:v>
                </c:pt>
                <c:pt idx="2">
                  <c:v>279.01984265382526</c:v>
                </c:pt>
                <c:pt idx="3">
                  <c:v>279.01984265382526</c:v>
                </c:pt>
                <c:pt idx="4">
                  <c:v>279.01984265382526</c:v>
                </c:pt>
                <c:pt idx="5">
                  <c:v>279.01984265382526</c:v>
                </c:pt>
                <c:pt idx="6">
                  <c:v>279.01984265382526</c:v>
                </c:pt>
                <c:pt idx="7">
                  <c:v>279.01984265382526</c:v>
                </c:pt>
                <c:pt idx="8">
                  <c:v>279.01984265382526</c:v>
                </c:pt>
                <c:pt idx="9">
                  <c:v>279.01984265382526</c:v>
                </c:pt>
                <c:pt idx="10">
                  <c:v>279.01984265382526</c:v>
                </c:pt>
                <c:pt idx="11">
                  <c:v>279.01984265382526</c:v>
                </c:pt>
                <c:pt idx="12">
                  <c:v>279.01984265382526</c:v>
                </c:pt>
                <c:pt idx="13">
                  <c:v>279.01984265382526</c:v>
                </c:pt>
                <c:pt idx="14">
                  <c:v>279.01984265382526</c:v>
                </c:pt>
                <c:pt idx="15">
                  <c:v>279.01984265382526</c:v>
                </c:pt>
                <c:pt idx="16">
                  <c:v>279.01984265382526</c:v>
                </c:pt>
                <c:pt idx="17">
                  <c:v>279.01984265382526</c:v>
                </c:pt>
                <c:pt idx="18">
                  <c:v>279.01984265382526</c:v>
                </c:pt>
                <c:pt idx="19">
                  <c:v>279.01984265382526</c:v>
                </c:pt>
                <c:pt idx="20">
                  <c:v>279.01984265382526</c:v>
                </c:pt>
                <c:pt idx="21">
                  <c:v>279.01984265382526</c:v>
                </c:pt>
                <c:pt idx="22">
                  <c:v>279.01984265382526</c:v>
                </c:pt>
                <c:pt idx="23">
                  <c:v>279.01984265382526</c:v>
                </c:pt>
                <c:pt idx="24">
                  <c:v>279.01984265382526</c:v>
                </c:pt>
                <c:pt idx="25">
                  <c:v>279.01984265382526</c:v>
                </c:pt>
                <c:pt idx="26">
                  <c:v>279.01984265382526</c:v>
                </c:pt>
                <c:pt idx="27">
                  <c:v>279.01984265382526</c:v>
                </c:pt>
                <c:pt idx="28">
                  <c:v>279.01984265382526</c:v>
                </c:pt>
                <c:pt idx="29">
                  <c:v>279.01984265382526</c:v>
                </c:pt>
                <c:pt idx="30">
                  <c:v>279.01984265382526</c:v>
                </c:pt>
                <c:pt idx="31">
                  <c:v>279.01984265382526</c:v>
                </c:pt>
                <c:pt idx="32">
                  <c:v>279.01984265382526</c:v>
                </c:pt>
                <c:pt idx="33">
                  <c:v>279.01984265382526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3-4083-B266-292FBD7755F8}"/>
            </c:ext>
          </c:extLst>
        </c:ser>
        <c:ser>
          <c:idx val="2"/>
          <c:order val="2"/>
          <c:tx>
            <c:strRef>
              <c:f>'Verifikasi Hasil Forecast'!$M$53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'Verifikasi Hasil Forecast'!$M$54:$M$87</c:f>
              <c:numCache>
                <c:formatCode>0</c:formatCode>
                <c:ptCount val="34"/>
                <c:pt idx="1">
                  <c:v>911.55782595004712</c:v>
                </c:pt>
                <c:pt idx="2">
                  <c:v>911.55782595004712</c:v>
                </c:pt>
                <c:pt idx="3">
                  <c:v>911.55782595004712</c:v>
                </c:pt>
                <c:pt idx="4">
                  <c:v>911.55782595004712</c:v>
                </c:pt>
                <c:pt idx="5">
                  <c:v>911.55782595004712</c:v>
                </c:pt>
                <c:pt idx="6">
                  <c:v>911.55782595004712</c:v>
                </c:pt>
                <c:pt idx="7">
                  <c:v>911.55782595004712</c:v>
                </c:pt>
                <c:pt idx="8">
                  <c:v>911.55782595004712</c:v>
                </c:pt>
                <c:pt idx="9">
                  <c:v>911.55782595004712</c:v>
                </c:pt>
                <c:pt idx="10">
                  <c:v>911.55782595004712</c:v>
                </c:pt>
                <c:pt idx="11">
                  <c:v>911.55782595004712</c:v>
                </c:pt>
                <c:pt idx="12">
                  <c:v>911.55782595004712</c:v>
                </c:pt>
                <c:pt idx="13">
                  <c:v>911.55782595004712</c:v>
                </c:pt>
                <c:pt idx="14">
                  <c:v>911.55782595004712</c:v>
                </c:pt>
                <c:pt idx="15">
                  <c:v>911.55782595004712</c:v>
                </c:pt>
                <c:pt idx="16">
                  <c:v>911.55782595004712</c:v>
                </c:pt>
                <c:pt idx="17">
                  <c:v>911.55782595004712</c:v>
                </c:pt>
                <c:pt idx="18">
                  <c:v>911.55782595004712</c:v>
                </c:pt>
                <c:pt idx="19">
                  <c:v>911.55782595004712</c:v>
                </c:pt>
                <c:pt idx="20">
                  <c:v>911.55782595004712</c:v>
                </c:pt>
                <c:pt idx="21">
                  <c:v>911.55782595004712</c:v>
                </c:pt>
                <c:pt idx="22">
                  <c:v>911.55782595004712</c:v>
                </c:pt>
                <c:pt idx="23">
                  <c:v>911.55782595004712</c:v>
                </c:pt>
                <c:pt idx="24">
                  <c:v>911.55782595004712</c:v>
                </c:pt>
                <c:pt idx="25">
                  <c:v>911.55782595004712</c:v>
                </c:pt>
                <c:pt idx="26">
                  <c:v>911.55782595004712</c:v>
                </c:pt>
                <c:pt idx="27">
                  <c:v>911.55782595004712</c:v>
                </c:pt>
                <c:pt idx="28">
                  <c:v>911.55782595004712</c:v>
                </c:pt>
                <c:pt idx="29">
                  <c:v>911.55782595004712</c:v>
                </c:pt>
                <c:pt idx="30">
                  <c:v>911.55782595004712</c:v>
                </c:pt>
                <c:pt idx="31">
                  <c:v>911.55782595004712</c:v>
                </c:pt>
                <c:pt idx="32">
                  <c:v>911.55782595004712</c:v>
                </c:pt>
                <c:pt idx="33">
                  <c:v>911.55782595004712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3-4083-B266-292FBD775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207840"/>
        <c:axId val="2070208320"/>
      </c:lineChart>
      <c:catAx>
        <c:axId val="20702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208320"/>
        <c:crosses val="autoZero"/>
        <c:auto val="1"/>
        <c:lblAlgn val="ctr"/>
        <c:lblOffset val="100"/>
        <c:noMultiLvlLbl val="0"/>
      </c:catAx>
      <c:valAx>
        <c:axId val="20702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20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1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MR Control Chart</a:t>
            </a: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Tripod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'Verifikasi Hasil Forecast'!$Q$53</c:f>
              <c:strCache>
                <c:ptCount val="1"/>
                <c:pt idx="0">
                  <c:v>Moving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'Verifikasi Hasil Forecast'!$Q$54:$Q$87</c:f>
              <c:numCache>
                <c:formatCode>0</c:formatCode>
                <c:ptCount val="34"/>
                <c:pt idx="1">
                  <c:v>533.30356472795484</c:v>
                </c:pt>
                <c:pt idx="2">
                  <c:v>117.30356472795484</c:v>
                </c:pt>
                <c:pt idx="3">
                  <c:v>588.69643527204425</c:v>
                </c:pt>
                <c:pt idx="4">
                  <c:v>540.30356472795393</c:v>
                </c:pt>
                <c:pt idx="5">
                  <c:v>159.69643527204425</c:v>
                </c:pt>
                <c:pt idx="6">
                  <c:v>128.30356472795484</c:v>
                </c:pt>
                <c:pt idx="7">
                  <c:v>327.30356472795484</c:v>
                </c:pt>
                <c:pt idx="8">
                  <c:v>636.69643527204516</c:v>
                </c:pt>
                <c:pt idx="9">
                  <c:v>147.69643527204516</c:v>
                </c:pt>
                <c:pt idx="10">
                  <c:v>34.696435272044255</c:v>
                </c:pt>
                <c:pt idx="11">
                  <c:v>27.303564727953926</c:v>
                </c:pt>
                <c:pt idx="12">
                  <c:v>226.30356472795575</c:v>
                </c:pt>
                <c:pt idx="13">
                  <c:v>131.30356472795393</c:v>
                </c:pt>
                <c:pt idx="14">
                  <c:v>13.696435272044255</c:v>
                </c:pt>
                <c:pt idx="15">
                  <c:v>170.30356472795575</c:v>
                </c:pt>
                <c:pt idx="16">
                  <c:v>238.69643527204607</c:v>
                </c:pt>
                <c:pt idx="17">
                  <c:v>437.30356472795393</c:v>
                </c:pt>
                <c:pt idx="18">
                  <c:v>509.69643527204425</c:v>
                </c:pt>
                <c:pt idx="19">
                  <c:v>900.30356472795575</c:v>
                </c:pt>
                <c:pt idx="20">
                  <c:v>622.69643527204607</c:v>
                </c:pt>
                <c:pt idx="21">
                  <c:v>439.69643527204425</c:v>
                </c:pt>
                <c:pt idx="22">
                  <c:v>58.696435272044255</c:v>
                </c:pt>
                <c:pt idx="23">
                  <c:v>471.30356472795393</c:v>
                </c:pt>
                <c:pt idx="24">
                  <c:v>206.69643527204607</c:v>
                </c:pt>
                <c:pt idx="25">
                  <c:v>286.30356472795575</c:v>
                </c:pt>
                <c:pt idx="26">
                  <c:v>66.696435272044255</c:v>
                </c:pt>
                <c:pt idx="27">
                  <c:v>157.69643527204607</c:v>
                </c:pt>
                <c:pt idx="28">
                  <c:v>227.69643527204425</c:v>
                </c:pt>
                <c:pt idx="29">
                  <c:v>194.69643527204425</c:v>
                </c:pt>
                <c:pt idx="30">
                  <c:v>326.30356472795393</c:v>
                </c:pt>
                <c:pt idx="31">
                  <c:v>396.30356472795393</c:v>
                </c:pt>
                <c:pt idx="32">
                  <c:v>187.69643527204244</c:v>
                </c:pt>
                <c:pt idx="33">
                  <c:v>432.69643527204607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00-4320-B8FB-96ACF44A7AA4}"/>
            </c:ext>
          </c:extLst>
        </c:ser>
        <c:ser>
          <c:idx val="1"/>
          <c:order val="1"/>
          <c:tx>
            <c:strRef>
              <c:f>'Verifikasi Hasil Forecast'!$Y$53</c:f>
              <c:strCache>
                <c:ptCount val="1"/>
                <c:pt idx="0">
                  <c:v>MRbar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'Verifikasi Hasil Forecast'!$Y$54:$Y$87</c:f>
              <c:numCache>
                <c:formatCode>0</c:formatCode>
                <c:ptCount val="34"/>
                <c:pt idx="1">
                  <c:v>295.20741809784926</c:v>
                </c:pt>
                <c:pt idx="2">
                  <c:v>295.20741809784926</c:v>
                </c:pt>
                <c:pt idx="3">
                  <c:v>295.20741809784926</c:v>
                </c:pt>
                <c:pt idx="4">
                  <c:v>295.20741809784926</c:v>
                </c:pt>
                <c:pt idx="5">
                  <c:v>295.20741809784926</c:v>
                </c:pt>
                <c:pt idx="6">
                  <c:v>295.20741809784926</c:v>
                </c:pt>
                <c:pt idx="7">
                  <c:v>295.20741809784926</c:v>
                </c:pt>
                <c:pt idx="8">
                  <c:v>295.20741809784926</c:v>
                </c:pt>
                <c:pt idx="9">
                  <c:v>295.20741809784926</c:v>
                </c:pt>
                <c:pt idx="10">
                  <c:v>295.20741809784926</c:v>
                </c:pt>
                <c:pt idx="11">
                  <c:v>295.20741809784926</c:v>
                </c:pt>
                <c:pt idx="12">
                  <c:v>295.20741809784926</c:v>
                </c:pt>
                <c:pt idx="13">
                  <c:v>295.20741809784926</c:v>
                </c:pt>
                <c:pt idx="14">
                  <c:v>295.20741809784926</c:v>
                </c:pt>
                <c:pt idx="15">
                  <c:v>295.20741809784926</c:v>
                </c:pt>
                <c:pt idx="16">
                  <c:v>295.20741809784926</c:v>
                </c:pt>
                <c:pt idx="17">
                  <c:v>295.20741809784926</c:v>
                </c:pt>
                <c:pt idx="18">
                  <c:v>295.20741809784926</c:v>
                </c:pt>
                <c:pt idx="19">
                  <c:v>295.20741809784926</c:v>
                </c:pt>
                <c:pt idx="20">
                  <c:v>295.20741809784926</c:v>
                </c:pt>
                <c:pt idx="21">
                  <c:v>295.20741809784926</c:v>
                </c:pt>
                <c:pt idx="22">
                  <c:v>295.20741809784926</c:v>
                </c:pt>
                <c:pt idx="23">
                  <c:v>295.20741809784926</c:v>
                </c:pt>
                <c:pt idx="24">
                  <c:v>295.20741809784926</c:v>
                </c:pt>
                <c:pt idx="25">
                  <c:v>295.20741809784926</c:v>
                </c:pt>
                <c:pt idx="26">
                  <c:v>295.20741809784926</c:v>
                </c:pt>
                <c:pt idx="27">
                  <c:v>295.20741809784926</c:v>
                </c:pt>
                <c:pt idx="28">
                  <c:v>295.20741809784926</c:v>
                </c:pt>
                <c:pt idx="29">
                  <c:v>295.20741809784926</c:v>
                </c:pt>
                <c:pt idx="30">
                  <c:v>295.20741809784926</c:v>
                </c:pt>
                <c:pt idx="31">
                  <c:v>295.20741809784926</c:v>
                </c:pt>
                <c:pt idx="32">
                  <c:v>295.20741809784926</c:v>
                </c:pt>
                <c:pt idx="33">
                  <c:v>295.20741809784926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00-4320-B8FB-96ACF44A7AA4}"/>
            </c:ext>
          </c:extLst>
        </c:ser>
        <c:ser>
          <c:idx val="2"/>
          <c:order val="2"/>
          <c:tx>
            <c:strRef>
              <c:f>'Verifikasi Hasil Forecast'!$Z$53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'Verifikasi Hasil Forecast'!$Z$54:$Z$87</c:f>
              <c:numCache>
                <c:formatCode>0</c:formatCode>
                <c:ptCount val="34"/>
                <c:pt idx="1">
                  <c:v>964.44263492567347</c:v>
                </c:pt>
                <c:pt idx="2">
                  <c:v>964.44263492567347</c:v>
                </c:pt>
                <c:pt idx="3">
                  <c:v>964.44263492567347</c:v>
                </c:pt>
                <c:pt idx="4">
                  <c:v>964.44263492567347</c:v>
                </c:pt>
                <c:pt idx="5">
                  <c:v>964.44263492567347</c:v>
                </c:pt>
                <c:pt idx="6">
                  <c:v>964.44263492567347</c:v>
                </c:pt>
                <c:pt idx="7">
                  <c:v>964.44263492567347</c:v>
                </c:pt>
                <c:pt idx="8">
                  <c:v>964.44263492567347</c:v>
                </c:pt>
                <c:pt idx="9">
                  <c:v>964.44263492567347</c:v>
                </c:pt>
                <c:pt idx="10">
                  <c:v>964.44263492567347</c:v>
                </c:pt>
                <c:pt idx="11">
                  <c:v>964.44263492567347</c:v>
                </c:pt>
                <c:pt idx="12">
                  <c:v>964.44263492567347</c:v>
                </c:pt>
                <c:pt idx="13">
                  <c:v>964.44263492567347</c:v>
                </c:pt>
                <c:pt idx="14">
                  <c:v>964.44263492567347</c:v>
                </c:pt>
                <c:pt idx="15">
                  <c:v>964.44263492567347</c:v>
                </c:pt>
                <c:pt idx="16">
                  <c:v>964.44263492567347</c:v>
                </c:pt>
                <c:pt idx="17">
                  <c:v>964.44263492567347</c:v>
                </c:pt>
                <c:pt idx="18">
                  <c:v>964.44263492567347</c:v>
                </c:pt>
                <c:pt idx="19">
                  <c:v>964.44263492567347</c:v>
                </c:pt>
                <c:pt idx="20">
                  <c:v>964.44263492567347</c:v>
                </c:pt>
                <c:pt idx="21">
                  <c:v>964.44263492567347</c:v>
                </c:pt>
                <c:pt idx="22">
                  <c:v>964.44263492567347</c:v>
                </c:pt>
                <c:pt idx="23">
                  <c:v>964.44263492567347</c:v>
                </c:pt>
                <c:pt idx="24">
                  <c:v>964.44263492567347</c:v>
                </c:pt>
                <c:pt idx="25">
                  <c:v>964.44263492567347</c:v>
                </c:pt>
                <c:pt idx="26">
                  <c:v>964.44263492567347</c:v>
                </c:pt>
                <c:pt idx="27">
                  <c:v>964.44263492567347</c:v>
                </c:pt>
                <c:pt idx="28">
                  <c:v>964.44263492567347</c:v>
                </c:pt>
                <c:pt idx="29">
                  <c:v>964.44263492567347</c:v>
                </c:pt>
                <c:pt idx="30">
                  <c:v>964.44263492567347</c:v>
                </c:pt>
                <c:pt idx="31">
                  <c:v>964.44263492567347</c:v>
                </c:pt>
                <c:pt idx="32">
                  <c:v>964.44263492567347</c:v>
                </c:pt>
                <c:pt idx="33">
                  <c:v>964.44263492567347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00-4320-B8FB-96ACF44A7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62096"/>
        <c:axId val="314655856"/>
      </c:lineChart>
      <c:catAx>
        <c:axId val="314662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655856"/>
        <c:crosses val="autoZero"/>
        <c:auto val="1"/>
        <c:lblAlgn val="ctr"/>
        <c:lblOffset val="100"/>
        <c:noMultiLvlLbl val="0"/>
      </c:catAx>
      <c:valAx>
        <c:axId val="31465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66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1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MR Control Chart</a:t>
            </a: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Tripod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'Verifikasi Hasil Forecast'!$AD$53</c:f>
              <c:strCache>
                <c:ptCount val="1"/>
                <c:pt idx="0">
                  <c:v>Moving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'Verifikasi Hasil Forecast'!$AD$54:$AD$87</c:f>
              <c:numCache>
                <c:formatCode>0</c:formatCode>
                <c:ptCount val="34"/>
                <c:pt idx="1">
                  <c:v>170.3233116014917</c:v>
                </c:pt>
                <c:pt idx="2">
                  <c:v>621.72250423915921</c:v>
                </c:pt>
                <c:pt idx="3">
                  <c:v>635.53276660622123</c:v>
                </c:pt>
                <c:pt idx="4">
                  <c:v>64.560769661206905</c:v>
                </c:pt>
                <c:pt idx="5">
                  <c:v>175.05451192164765</c:v>
                </c:pt>
                <c:pt idx="6">
                  <c:v>116.87907095317314</c:v>
                </c:pt>
                <c:pt idx="7">
                  <c:v>63.47451158360127</c:v>
                </c:pt>
                <c:pt idx="8">
                  <c:v>850.68135173330847</c:v>
                </c:pt>
                <c:pt idx="9">
                  <c:v>916.49842228183479</c:v>
                </c:pt>
                <c:pt idx="10">
                  <c:v>94.799880413207575</c:v>
                </c:pt>
                <c:pt idx="11">
                  <c:v>83.616310640874872</c:v>
                </c:pt>
                <c:pt idx="12">
                  <c:v>72.59353767086759</c:v>
                </c:pt>
                <c:pt idx="13">
                  <c:v>24.443089201844487</c:v>
                </c:pt>
                <c:pt idx="14">
                  <c:v>1109.9556347296602</c:v>
                </c:pt>
                <c:pt idx="15">
                  <c:v>1058.339555652441</c:v>
                </c:pt>
                <c:pt idx="16">
                  <c:v>54.340800091475103</c:v>
                </c:pt>
                <c:pt idx="17">
                  <c:v>62.11278417342146</c:v>
                </c:pt>
                <c:pt idx="18">
                  <c:v>78.571798754182964</c:v>
                </c:pt>
                <c:pt idx="19">
                  <c:v>151.42645669066405</c:v>
                </c:pt>
                <c:pt idx="20">
                  <c:v>1099.7393973144081</c:v>
                </c:pt>
                <c:pt idx="21">
                  <c:v>1162.7789951969535</c:v>
                </c:pt>
                <c:pt idx="22">
                  <c:v>330.63909746898935</c:v>
                </c:pt>
                <c:pt idx="23">
                  <c:v>438.76368323203133</c:v>
                </c:pt>
                <c:pt idx="24">
                  <c:v>435.3890663488819</c:v>
                </c:pt>
                <c:pt idx="25">
                  <c:v>469.75554627661404</c:v>
                </c:pt>
                <c:pt idx="26">
                  <c:v>1408.2456542162017</c:v>
                </c:pt>
                <c:pt idx="27">
                  <c:v>1354.2385304040326</c:v>
                </c:pt>
                <c:pt idx="28">
                  <c:v>360.95073523256542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3-490C-AE95-4AED86F2BDA7}"/>
            </c:ext>
          </c:extLst>
        </c:ser>
        <c:ser>
          <c:idx val="1"/>
          <c:order val="1"/>
          <c:tx>
            <c:strRef>
              <c:f>'Verifikasi Hasil Forecast'!$AL$53</c:f>
              <c:strCache>
                <c:ptCount val="1"/>
                <c:pt idx="0">
                  <c:v>MRbar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'Verifikasi Hasil Forecast'!$AL$54:$AL$87</c:f>
              <c:numCache>
                <c:formatCode>0</c:formatCode>
                <c:ptCount val="34"/>
                <c:pt idx="1">
                  <c:v>485.35100144660726</c:v>
                </c:pt>
                <c:pt idx="2">
                  <c:v>485.35100144660726</c:v>
                </c:pt>
                <c:pt idx="3">
                  <c:v>485.35100144660726</c:v>
                </c:pt>
                <c:pt idx="4">
                  <c:v>485.35100144660726</c:v>
                </c:pt>
                <c:pt idx="5">
                  <c:v>485.35100144660726</c:v>
                </c:pt>
                <c:pt idx="6">
                  <c:v>485.35100144660726</c:v>
                </c:pt>
                <c:pt idx="7">
                  <c:v>485.35100144660726</c:v>
                </c:pt>
                <c:pt idx="8">
                  <c:v>485.35100144660726</c:v>
                </c:pt>
                <c:pt idx="9">
                  <c:v>485.35100144660726</c:v>
                </c:pt>
                <c:pt idx="10">
                  <c:v>485.35100144660726</c:v>
                </c:pt>
                <c:pt idx="11">
                  <c:v>485.35100144660726</c:v>
                </c:pt>
                <c:pt idx="12">
                  <c:v>485.35100144660726</c:v>
                </c:pt>
                <c:pt idx="13">
                  <c:v>485.35100144660726</c:v>
                </c:pt>
                <c:pt idx="14">
                  <c:v>485.35100144660726</c:v>
                </c:pt>
                <c:pt idx="15">
                  <c:v>485.35100144660726</c:v>
                </c:pt>
                <c:pt idx="16">
                  <c:v>485.35100144660726</c:v>
                </c:pt>
                <c:pt idx="17">
                  <c:v>485.35100144660726</c:v>
                </c:pt>
                <c:pt idx="18">
                  <c:v>485.35100144660726</c:v>
                </c:pt>
                <c:pt idx="19">
                  <c:v>485.35100144660726</c:v>
                </c:pt>
                <c:pt idx="20">
                  <c:v>485.35100144660726</c:v>
                </c:pt>
                <c:pt idx="21">
                  <c:v>485.35100144660726</c:v>
                </c:pt>
                <c:pt idx="22">
                  <c:v>485.35100144660726</c:v>
                </c:pt>
                <c:pt idx="23">
                  <c:v>485.35100144660726</c:v>
                </c:pt>
                <c:pt idx="24">
                  <c:v>485.35100144660726</c:v>
                </c:pt>
                <c:pt idx="25">
                  <c:v>485.35100144660726</c:v>
                </c:pt>
                <c:pt idx="26">
                  <c:v>485.35100144660726</c:v>
                </c:pt>
                <c:pt idx="27">
                  <c:v>485.35100144660726</c:v>
                </c:pt>
                <c:pt idx="28">
                  <c:v>485.35100144660726</c:v>
                </c:pt>
                <c:pt idx="29">
                  <c:v>485.35100144660726</c:v>
                </c:pt>
                <c:pt idx="30">
                  <c:v>485.35100144660726</c:v>
                </c:pt>
                <c:pt idx="31">
                  <c:v>485.35100144660726</c:v>
                </c:pt>
                <c:pt idx="32">
                  <c:v>485.35100144660726</c:v>
                </c:pt>
                <c:pt idx="33">
                  <c:v>485.35100144660726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3-490C-AE95-4AED86F2BDA7}"/>
            </c:ext>
          </c:extLst>
        </c:ser>
        <c:ser>
          <c:idx val="2"/>
          <c:order val="2"/>
          <c:tx>
            <c:strRef>
              <c:f>'Verifikasi Hasil Forecast'!$AM$53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'Verifikasi Hasil Forecast'!$AM$54:$AM$87</c:f>
              <c:numCache>
                <c:formatCode>0</c:formatCode>
                <c:ptCount val="34"/>
                <c:pt idx="1">
                  <c:v>1585.641721726066</c:v>
                </c:pt>
                <c:pt idx="2">
                  <c:v>1585.641721726066</c:v>
                </c:pt>
                <c:pt idx="3">
                  <c:v>1585.641721726066</c:v>
                </c:pt>
                <c:pt idx="4">
                  <c:v>1585.641721726066</c:v>
                </c:pt>
                <c:pt idx="5">
                  <c:v>1585.641721726066</c:v>
                </c:pt>
                <c:pt idx="6">
                  <c:v>1585.641721726066</c:v>
                </c:pt>
                <c:pt idx="7">
                  <c:v>1585.641721726066</c:v>
                </c:pt>
                <c:pt idx="8">
                  <c:v>1585.641721726066</c:v>
                </c:pt>
                <c:pt idx="9">
                  <c:v>1585.641721726066</c:v>
                </c:pt>
                <c:pt idx="10">
                  <c:v>1585.641721726066</c:v>
                </c:pt>
                <c:pt idx="11">
                  <c:v>1585.641721726066</c:v>
                </c:pt>
                <c:pt idx="12">
                  <c:v>1585.641721726066</c:v>
                </c:pt>
                <c:pt idx="13">
                  <c:v>1585.641721726066</c:v>
                </c:pt>
                <c:pt idx="14">
                  <c:v>1585.641721726066</c:v>
                </c:pt>
                <c:pt idx="15">
                  <c:v>1585.641721726066</c:v>
                </c:pt>
                <c:pt idx="16">
                  <c:v>1585.641721726066</c:v>
                </c:pt>
                <c:pt idx="17">
                  <c:v>1585.641721726066</c:v>
                </c:pt>
                <c:pt idx="18">
                  <c:v>1585.641721726066</c:v>
                </c:pt>
                <c:pt idx="19">
                  <c:v>1585.641721726066</c:v>
                </c:pt>
                <c:pt idx="20">
                  <c:v>1585.641721726066</c:v>
                </c:pt>
                <c:pt idx="21">
                  <c:v>1585.641721726066</c:v>
                </c:pt>
                <c:pt idx="22">
                  <c:v>1585.641721726066</c:v>
                </c:pt>
                <c:pt idx="23">
                  <c:v>1585.641721726066</c:v>
                </c:pt>
                <c:pt idx="24">
                  <c:v>1585.641721726066</c:v>
                </c:pt>
                <c:pt idx="25">
                  <c:v>1585.641721726066</c:v>
                </c:pt>
                <c:pt idx="26">
                  <c:v>1585.641721726066</c:v>
                </c:pt>
                <c:pt idx="27">
                  <c:v>1585.641721726066</c:v>
                </c:pt>
                <c:pt idx="28">
                  <c:v>1585.641721726066</c:v>
                </c:pt>
                <c:pt idx="29">
                  <c:v>1585.641721726066</c:v>
                </c:pt>
                <c:pt idx="30">
                  <c:v>1585.641721726066</c:v>
                </c:pt>
                <c:pt idx="31">
                  <c:v>1585.641721726066</c:v>
                </c:pt>
                <c:pt idx="32">
                  <c:v>1585.641721726066</c:v>
                </c:pt>
                <c:pt idx="33">
                  <c:v>1585.641721726066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F3-490C-AE95-4AED86F2B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604144"/>
        <c:axId val="325597904"/>
      </c:lineChart>
      <c:catAx>
        <c:axId val="325604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97904"/>
        <c:crosses val="autoZero"/>
        <c:auto val="1"/>
        <c:lblAlgn val="ctr"/>
        <c:lblOffset val="100"/>
        <c:noMultiLvlLbl val="0"/>
      </c:catAx>
      <c:valAx>
        <c:axId val="3255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0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1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MR Control Chart</a:t>
            </a:r>
            <a:r>
              <a:rPr lang="en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Tripod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'Verifikasi Hasil Forecast'!$AQ$53</c:f>
              <c:strCache>
                <c:ptCount val="1"/>
                <c:pt idx="0">
                  <c:v>Moving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'Verifikasi Hasil Forecast'!$AQ$54:$AQ$87</c:f>
              <c:numCache>
                <c:formatCode>0</c:formatCode>
                <c:ptCount val="34"/>
                <c:pt idx="1">
                  <c:v>6628.8333333333321</c:v>
                </c:pt>
                <c:pt idx="2">
                  <c:v>10650.166666666668</c:v>
                </c:pt>
                <c:pt idx="3">
                  <c:v>2916.8333333333321</c:v>
                </c:pt>
                <c:pt idx="4">
                  <c:v>1813.1666666666679</c:v>
                </c:pt>
                <c:pt idx="5">
                  <c:v>5303</c:v>
                </c:pt>
                <c:pt idx="6">
                  <c:v>7671.8333333333339</c:v>
                </c:pt>
                <c:pt idx="7">
                  <c:v>2892.833333333333</c:v>
                </c:pt>
                <c:pt idx="8">
                  <c:v>7218.4999999999991</c:v>
                </c:pt>
                <c:pt idx="9">
                  <c:v>2217</c:v>
                </c:pt>
                <c:pt idx="10">
                  <c:v>9649.8333333333339</c:v>
                </c:pt>
                <c:pt idx="11">
                  <c:v>14189.5</c:v>
                </c:pt>
                <c:pt idx="12">
                  <c:v>7526.8333333333339</c:v>
                </c:pt>
                <c:pt idx="13">
                  <c:v>429.5</c:v>
                </c:pt>
                <c:pt idx="14">
                  <c:v>1130.5</c:v>
                </c:pt>
                <c:pt idx="15">
                  <c:v>2320.6666666666661</c:v>
                </c:pt>
                <c:pt idx="16">
                  <c:v>1860</c:v>
                </c:pt>
                <c:pt idx="17">
                  <c:v>1392.1666666666661</c:v>
                </c:pt>
                <c:pt idx="18">
                  <c:v>6179.5</c:v>
                </c:pt>
                <c:pt idx="19">
                  <c:v>12133</c:v>
                </c:pt>
                <c:pt idx="20">
                  <c:v>1899.5</c:v>
                </c:pt>
                <c:pt idx="21">
                  <c:v>4375.8333333333339</c:v>
                </c:pt>
                <c:pt idx="22">
                  <c:v>542.66666666666606</c:v>
                </c:pt>
                <c:pt idx="23">
                  <c:v>14446.5</c:v>
                </c:pt>
                <c:pt idx="24">
                  <c:v>12503.833333333332</c:v>
                </c:pt>
                <c:pt idx="25">
                  <c:v>7604</c:v>
                </c:pt>
                <c:pt idx="26">
                  <c:v>2691.5</c:v>
                </c:pt>
                <c:pt idx="27">
                  <c:v>11356</c:v>
                </c:pt>
                <c:pt idx="28">
                  <c:v>803.66666666666697</c:v>
                </c:pt>
                <c:pt idx="29">
                  <c:v>6876.333333333333</c:v>
                </c:pt>
                <c:pt idx="30">
                  <c:v>6948</c:v>
                </c:pt>
                <c:pt idx="31">
                  <c:v>491.83333333333303</c:v>
                </c:pt>
                <c:pt idx="32">
                  <c:v>775.33333333333394</c:v>
                </c:pt>
                <c:pt idx="33">
                  <c:v>1169.3333333333339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4-4724-B2E8-19E487A00F63}"/>
            </c:ext>
          </c:extLst>
        </c:ser>
        <c:ser>
          <c:idx val="1"/>
          <c:order val="1"/>
          <c:tx>
            <c:strRef>
              <c:f>'Verifikasi Hasil Forecast'!$AY$53</c:f>
              <c:strCache>
                <c:ptCount val="1"/>
                <c:pt idx="0">
                  <c:v>MRbar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'Verifikasi Hasil Forecast'!$AY$54:$AY$87</c:f>
              <c:numCache>
                <c:formatCode>0</c:formatCode>
                <c:ptCount val="34"/>
                <c:pt idx="1">
                  <c:v>6006.3815789473701</c:v>
                </c:pt>
                <c:pt idx="2">
                  <c:v>6006.3815789473701</c:v>
                </c:pt>
                <c:pt idx="3">
                  <c:v>6006.3815789473701</c:v>
                </c:pt>
                <c:pt idx="4">
                  <c:v>6006.3815789473701</c:v>
                </c:pt>
                <c:pt idx="5">
                  <c:v>6006.3815789473701</c:v>
                </c:pt>
                <c:pt idx="6">
                  <c:v>6006.3815789473701</c:v>
                </c:pt>
                <c:pt idx="7">
                  <c:v>6006.3815789473701</c:v>
                </c:pt>
                <c:pt idx="8">
                  <c:v>6006.3815789473701</c:v>
                </c:pt>
                <c:pt idx="9">
                  <c:v>6006.3815789473701</c:v>
                </c:pt>
                <c:pt idx="10">
                  <c:v>6006.3815789473701</c:v>
                </c:pt>
                <c:pt idx="11">
                  <c:v>6006.3815789473701</c:v>
                </c:pt>
                <c:pt idx="12">
                  <c:v>6006.3815789473701</c:v>
                </c:pt>
                <c:pt idx="13">
                  <c:v>6006.3815789473701</c:v>
                </c:pt>
                <c:pt idx="14">
                  <c:v>6006.3815789473701</c:v>
                </c:pt>
                <c:pt idx="15">
                  <c:v>6006.3815789473701</c:v>
                </c:pt>
                <c:pt idx="16">
                  <c:v>6006.3815789473701</c:v>
                </c:pt>
                <c:pt idx="17">
                  <c:v>6006.3815789473701</c:v>
                </c:pt>
                <c:pt idx="18">
                  <c:v>6006.3815789473701</c:v>
                </c:pt>
                <c:pt idx="19">
                  <c:v>6006.3815789473701</c:v>
                </c:pt>
                <c:pt idx="20">
                  <c:v>6006.3815789473701</c:v>
                </c:pt>
                <c:pt idx="21">
                  <c:v>6006.3815789473701</c:v>
                </c:pt>
                <c:pt idx="22">
                  <c:v>6006.3815789473701</c:v>
                </c:pt>
                <c:pt idx="23">
                  <c:v>6006.3815789473701</c:v>
                </c:pt>
                <c:pt idx="24">
                  <c:v>6006.3815789473701</c:v>
                </c:pt>
                <c:pt idx="25">
                  <c:v>6006.3815789473701</c:v>
                </c:pt>
                <c:pt idx="26">
                  <c:v>6006.3815789473701</c:v>
                </c:pt>
                <c:pt idx="27">
                  <c:v>6006.3815789473701</c:v>
                </c:pt>
                <c:pt idx="28">
                  <c:v>6006.3815789473701</c:v>
                </c:pt>
                <c:pt idx="29">
                  <c:v>6006.3815789473701</c:v>
                </c:pt>
                <c:pt idx="30">
                  <c:v>6006.3815789473701</c:v>
                </c:pt>
                <c:pt idx="31">
                  <c:v>6006.3815789473701</c:v>
                </c:pt>
                <c:pt idx="32">
                  <c:v>6006.3815789473701</c:v>
                </c:pt>
                <c:pt idx="33">
                  <c:v>6006.3815789473701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4-4724-B2E8-19E487A00F63}"/>
            </c:ext>
          </c:extLst>
        </c:ser>
        <c:ser>
          <c:idx val="2"/>
          <c:order val="2"/>
          <c:tx>
            <c:strRef>
              <c:f>'Verifikasi Hasil Forecast'!$AZ$53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'Verifikasi Hasil Forecast'!$AZ$54:$AZ$87</c:f>
              <c:numCache>
                <c:formatCode>0</c:formatCode>
                <c:ptCount val="34"/>
                <c:pt idx="1">
                  <c:v>19622.848618421056</c:v>
                </c:pt>
                <c:pt idx="2">
                  <c:v>19622.848618421056</c:v>
                </c:pt>
                <c:pt idx="3">
                  <c:v>19622.848618421056</c:v>
                </c:pt>
                <c:pt idx="4">
                  <c:v>19622.848618421056</c:v>
                </c:pt>
                <c:pt idx="5">
                  <c:v>19622.848618421056</c:v>
                </c:pt>
                <c:pt idx="6">
                  <c:v>19622.848618421056</c:v>
                </c:pt>
                <c:pt idx="7">
                  <c:v>19622.848618421056</c:v>
                </c:pt>
                <c:pt idx="8">
                  <c:v>19622.848618421056</c:v>
                </c:pt>
                <c:pt idx="9">
                  <c:v>19622.848618421056</c:v>
                </c:pt>
                <c:pt idx="10">
                  <c:v>19622.848618421056</c:v>
                </c:pt>
                <c:pt idx="11">
                  <c:v>19622.848618421056</c:v>
                </c:pt>
                <c:pt idx="12">
                  <c:v>19622.848618421056</c:v>
                </c:pt>
                <c:pt idx="13">
                  <c:v>19622.848618421056</c:v>
                </c:pt>
                <c:pt idx="14">
                  <c:v>19622.848618421056</c:v>
                </c:pt>
                <c:pt idx="15">
                  <c:v>19622.848618421056</c:v>
                </c:pt>
                <c:pt idx="16">
                  <c:v>19622.848618421056</c:v>
                </c:pt>
                <c:pt idx="17">
                  <c:v>19622.848618421056</c:v>
                </c:pt>
                <c:pt idx="18">
                  <c:v>19622.848618421056</c:v>
                </c:pt>
                <c:pt idx="19">
                  <c:v>19622.848618421056</c:v>
                </c:pt>
                <c:pt idx="20">
                  <c:v>19622.848618421056</c:v>
                </c:pt>
                <c:pt idx="21">
                  <c:v>19622.848618421056</c:v>
                </c:pt>
                <c:pt idx="22">
                  <c:v>19622.848618421056</c:v>
                </c:pt>
                <c:pt idx="23">
                  <c:v>19622.848618421056</c:v>
                </c:pt>
                <c:pt idx="24">
                  <c:v>19622.848618421056</c:v>
                </c:pt>
                <c:pt idx="25">
                  <c:v>19622.848618421056</c:v>
                </c:pt>
                <c:pt idx="26">
                  <c:v>19622.848618421056</c:v>
                </c:pt>
                <c:pt idx="27">
                  <c:v>19622.848618421056</c:v>
                </c:pt>
                <c:pt idx="28">
                  <c:v>19622.848618421056</c:v>
                </c:pt>
                <c:pt idx="29">
                  <c:v>19622.848618421056</c:v>
                </c:pt>
                <c:pt idx="30">
                  <c:v>19622.848618421056</c:v>
                </c:pt>
                <c:pt idx="31">
                  <c:v>19622.848618421056</c:v>
                </c:pt>
                <c:pt idx="32">
                  <c:v>19622.848618421056</c:v>
                </c:pt>
                <c:pt idx="33">
                  <c:v>19622.848618421056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A4-4724-B2E8-19E487A00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753280"/>
        <c:axId val="324755680"/>
      </c:lineChart>
      <c:catAx>
        <c:axId val="324753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5680"/>
        <c:crosses val="autoZero"/>
        <c:auto val="1"/>
        <c:lblAlgn val="ctr"/>
        <c:lblOffset val="100"/>
        <c:noMultiLvlLbl val="0"/>
      </c:catAx>
      <c:valAx>
        <c:axId val="32475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2</xdr:row>
      <xdr:rowOff>0</xdr:rowOff>
    </xdr:from>
    <xdr:ext cx="6353175" cy="4067175"/>
    <xdr:graphicFrame macro="">
      <xdr:nvGraphicFramePr>
        <xdr:cNvPr id="1770892848" name="Chart 1">
          <a:extLst>
            <a:ext uri="{FF2B5EF4-FFF2-40B4-BE49-F238E27FC236}">
              <a16:creationId xmlns:a16="http://schemas.microsoft.com/office/drawing/2014/main" id="{00000000-0008-0000-0200-000030AE8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275622</xdr:colOff>
      <xdr:row>0</xdr:row>
      <xdr:rowOff>129396</xdr:rowOff>
    </xdr:from>
    <xdr:to>
      <xdr:col>6</xdr:col>
      <xdr:colOff>526633</xdr:colOff>
      <xdr:row>16</xdr:row>
      <xdr:rowOff>10656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171768</xdr:colOff>
      <xdr:row>0</xdr:row>
      <xdr:rowOff>115019</xdr:rowOff>
    </xdr:from>
    <xdr:to>
      <xdr:col>13</xdr:col>
      <xdr:colOff>654170</xdr:colOff>
      <xdr:row>15</xdr:row>
      <xdr:rowOff>168807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434959</xdr:colOff>
      <xdr:row>0</xdr:row>
      <xdr:rowOff>143773</xdr:rowOff>
    </xdr:from>
    <xdr:to>
      <xdr:col>20</xdr:col>
      <xdr:colOff>703900</xdr:colOff>
      <xdr:row>16</xdr:row>
      <xdr:rowOff>25033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513223</xdr:colOff>
      <xdr:row>0</xdr:row>
      <xdr:rowOff>75127</xdr:rowOff>
    </xdr:from>
    <xdr:to>
      <xdr:col>6</xdr:col>
      <xdr:colOff>779923</xdr:colOff>
      <xdr:row>16</xdr:row>
      <xdr:rowOff>17709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575983</xdr:colOff>
      <xdr:row>0</xdr:row>
      <xdr:rowOff>107576</xdr:rowOff>
    </xdr:from>
    <xdr:to>
      <xdr:col>15</xdr:col>
      <xdr:colOff>789343</xdr:colOff>
      <xdr:row>16</xdr:row>
      <xdr:rowOff>42582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443000</xdr:colOff>
      <xdr:row>0</xdr:row>
      <xdr:rowOff>54428</xdr:rowOff>
    </xdr:from>
    <xdr:to>
      <xdr:col>21</xdr:col>
      <xdr:colOff>489383</xdr:colOff>
      <xdr:row>16</xdr:row>
      <xdr:rowOff>39282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540616</xdr:colOff>
      <xdr:row>0</xdr:row>
      <xdr:rowOff>53109</xdr:rowOff>
    </xdr:from>
    <xdr:to>
      <xdr:col>11</xdr:col>
      <xdr:colOff>69273</xdr:colOff>
      <xdr:row>16</xdr:row>
      <xdr:rowOff>37963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348476</xdr:colOff>
      <xdr:row>26</xdr:row>
      <xdr:rowOff>85183</xdr:rowOff>
    </xdr:from>
    <xdr:to>
      <xdr:col>14</xdr:col>
      <xdr:colOff>123902</xdr:colOff>
      <xdr:row>29</xdr:row>
      <xdr:rowOff>124991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9721"/>
        <a:stretch>
          <a:fillRect/>
        </a:stretch>
      </xdr:blipFill>
      <xdr:spPr>
        <a:xfrm>
          <a:off x="12692256" y="4716037"/>
          <a:ext cx="1796585" cy="574137"/>
        </a:xfrm>
        <a:prstGeom prst="rect">
          <a:avLst/>
        </a:prstGeom>
      </xdr:spPr>
    </xdr:pic>
    <xdr:clientData/>
  </xdr:twoCellAnchor>
  <xdr:twoCellAnchor editAs="oneCell">
    <xdr:from>
      <xdr:col>4</xdr:col>
      <xdr:colOff>135957</xdr:colOff>
      <xdr:row>32</xdr:row>
      <xdr:rowOff>163285</xdr:rowOff>
    </xdr:from>
    <xdr:to>
      <xdr:col>6</xdr:col>
      <xdr:colOff>544286</xdr:colOff>
      <xdr:row>35</xdr:row>
      <xdr:rowOff>40340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5061"/>
        <a:stretch>
          <a:fillRect/>
        </a:stretch>
      </xdr:blipFill>
      <xdr:spPr>
        <a:xfrm>
          <a:off x="3193028" y="6522356"/>
          <a:ext cx="2512901" cy="421341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35</xdr:row>
      <xdr:rowOff>36286</xdr:rowOff>
    </xdr:from>
    <xdr:to>
      <xdr:col>6</xdr:col>
      <xdr:colOff>272143</xdr:colOff>
      <xdr:row>36</xdr:row>
      <xdr:rowOff>141231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47571" y="6939643"/>
          <a:ext cx="2186215" cy="286374"/>
        </a:xfrm>
        <a:prstGeom prst="rect">
          <a:avLst/>
        </a:prstGeom>
      </xdr:spPr>
    </xdr:pic>
    <xdr:clientData/>
  </xdr:twoCellAnchor>
  <xdr:twoCellAnchor editAs="oneCell">
    <xdr:from>
      <xdr:col>4</xdr:col>
      <xdr:colOff>199573</xdr:colOff>
      <xdr:row>36</xdr:row>
      <xdr:rowOff>145143</xdr:rowOff>
    </xdr:from>
    <xdr:to>
      <xdr:col>5</xdr:col>
      <xdr:colOff>961573</xdr:colOff>
      <xdr:row>38</xdr:row>
      <xdr:rowOff>114081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56644" y="7229929"/>
          <a:ext cx="1814286" cy="3317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143771</xdr:colOff>
      <xdr:row>1</xdr:row>
      <xdr:rowOff>0</xdr:rowOff>
    </xdr:from>
    <xdr:to>
      <xdr:col>7</xdr:col>
      <xdr:colOff>841846</xdr:colOff>
      <xdr:row>16</xdr:row>
      <xdr:rowOff>41563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183820</xdr:colOff>
      <xdr:row>0</xdr:row>
      <xdr:rowOff>163286</xdr:rowOff>
    </xdr:from>
    <xdr:to>
      <xdr:col>14</xdr:col>
      <xdr:colOff>876299</xdr:colOff>
      <xdr:row>16</xdr:row>
      <xdr:rowOff>27957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158337</xdr:colOff>
      <xdr:row>1</xdr:row>
      <xdr:rowOff>13607</xdr:rowOff>
    </xdr:from>
    <xdr:to>
      <xdr:col>22</xdr:col>
      <xdr:colOff>75210</xdr:colOff>
      <xdr:row>16</xdr:row>
      <xdr:rowOff>55171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374816</xdr:colOff>
      <xdr:row>1</xdr:row>
      <xdr:rowOff>13607</xdr:rowOff>
    </xdr:from>
    <xdr:to>
      <xdr:col>28</xdr:col>
      <xdr:colOff>1067543</xdr:colOff>
      <xdr:row>16</xdr:row>
      <xdr:rowOff>55171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292677</xdr:colOff>
      <xdr:row>1</xdr:row>
      <xdr:rowOff>27214</xdr:rowOff>
    </xdr:from>
    <xdr:to>
      <xdr:col>35</xdr:col>
      <xdr:colOff>985404</xdr:colOff>
      <xdr:row>16</xdr:row>
      <xdr:rowOff>68778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4041</xdr:colOff>
      <xdr:row>24</xdr:row>
      <xdr:rowOff>93229</xdr:rowOff>
    </xdr:from>
    <xdr:to>
      <xdr:col>13</xdr:col>
      <xdr:colOff>0</xdr:colOff>
      <xdr:row>39</xdr:row>
      <xdr:rowOff>134793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583910</xdr:colOff>
      <xdr:row>24</xdr:row>
      <xdr:rowOff>88900</xdr:rowOff>
    </xdr:from>
    <xdr:to>
      <xdr:col>25</xdr:col>
      <xdr:colOff>816427</xdr:colOff>
      <xdr:row>39</xdr:row>
      <xdr:rowOff>131783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611167</xdr:colOff>
      <xdr:row>24</xdr:row>
      <xdr:rowOff>95456</xdr:rowOff>
    </xdr:from>
    <xdr:to>
      <xdr:col>38</xdr:col>
      <xdr:colOff>879929</xdr:colOff>
      <xdr:row>39</xdr:row>
      <xdr:rowOff>131536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25976</xdr:colOff>
      <xdr:row>24</xdr:row>
      <xdr:rowOff>118629</xdr:rowOff>
    </xdr:from>
    <xdr:to>
      <xdr:col>51</xdr:col>
      <xdr:colOff>843643</xdr:colOff>
      <xdr:row>39</xdr:row>
      <xdr:rowOff>154709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40</xdr:row>
          <xdr:rowOff>171450</xdr:rowOff>
        </xdr:from>
        <xdr:to>
          <xdr:col>12</xdr:col>
          <xdr:colOff>781050</xdr:colOff>
          <xdr:row>42</xdr:row>
          <xdr:rowOff>47625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8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44</xdr:row>
          <xdr:rowOff>0</xdr:rowOff>
        </xdr:from>
        <xdr:to>
          <xdr:col>12</xdr:col>
          <xdr:colOff>781050</xdr:colOff>
          <xdr:row>45</xdr:row>
          <xdr:rowOff>57150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8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44</xdr:row>
          <xdr:rowOff>0</xdr:rowOff>
        </xdr:from>
        <xdr:to>
          <xdr:col>12</xdr:col>
          <xdr:colOff>781050</xdr:colOff>
          <xdr:row>45</xdr:row>
          <xdr:rowOff>57150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8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44</xdr:row>
          <xdr:rowOff>0</xdr:rowOff>
        </xdr:from>
        <xdr:to>
          <xdr:col>12</xdr:col>
          <xdr:colOff>781050</xdr:colOff>
          <xdr:row>45</xdr:row>
          <xdr:rowOff>66675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8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40</xdr:row>
          <xdr:rowOff>171450</xdr:rowOff>
        </xdr:from>
        <xdr:to>
          <xdr:col>25</xdr:col>
          <xdr:colOff>781050</xdr:colOff>
          <xdr:row>42</xdr:row>
          <xdr:rowOff>47625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8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44</xdr:row>
          <xdr:rowOff>0</xdr:rowOff>
        </xdr:from>
        <xdr:to>
          <xdr:col>25</xdr:col>
          <xdr:colOff>781050</xdr:colOff>
          <xdr:row>45</xdr:row>
          <xdr:rowOff>57150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8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44</xdr:row>
          <xdr:rowOff>0</xdr:rowOff>
        </xdr:from>
        <xdr:to>
          <xdr:col>25</xdr:col>
          <xdr:colOff>781050</xdr:colOff>
          <xdr:row>45</xdr:row>
          <xdr:rowOff>57150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8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44</xdr:row>
          <xdr:rowOff>0</xdr:rowOff>
        </xdr:from>
        <xdr:to>
          <xdr:col>25</xdr:col>
          <xdr:colOff>781050</xdr:colOff>
          <xdr:row>45</xdr:row>
          <xdr:rowOff>66675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8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40</xdr:row>
          <xdr:rowOff>171450</xdr:rowOff>
        </xdr:from>
        <xdr:to>
          <xdr:col>38</xdr:col>
          <xdr:colOff>781050</xdr:colOff>
          <xdr:row>42</xdr:row>
          <xdr:rowOff>47625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8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44</xdr:row>
          <xdr:rowOff>0</xdr:rowOff>
        </xdr:from>
        <xdr:to>
          <xdr:col>38</xdr:col>
          <xdr:colOff>781050</xdr:colOff>
          <xdr:row>45</xdr:row>
          <xdr:rowOff>57150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8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44</xdr:row>
          <xdr:rowOff>0</xdr:rowOff>
        </xdr:from>
        <xdr:to>
          <xdr:col>38</xdr:col>
          <xdr:colOff>781050</xdr:colOff>
          <xdr:row>45</xdr:row>
          <xdr:rowOff>57150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8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44</xdr:row>
          <xdr:rowOff>0</xdr:rowOff>
        </xdr:from>
        <xdr:to>
          <xdr:col>38</xdr:col>
          <xdr:colOff>781050</xdr:colOff>
          <xdr:row>45</xdr:row>
          <xdr:rowOff>66675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8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40</xdr:row>
          <xdr:rowOff>171450</xdr:rowOff>
        </xdr:from>
        <xdr:to>
          <xdr:col>51</xdr:col>
          <xdr:colOff>781050</xdr:colOff>
          <xdr:row>42</xdr:row>
          <xdr:rowOff>47625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8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44</xdr:row>
          <xdr:rowOff>0</xdr:rowOff>
        </xdr:from>
        <xdr:to>
          <xdr:col>51</xdr:col>
          <xdr:colOff>781050</xdr:colOff>
          <xdr:row>45</xdr:row>
          <xdr:rowOff>57150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8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44</xdr:row>
          <xdr:rowOff>0</xdr:rowOff>
        </xdr:from>
        <xdr:to>
          <xdr:col>51</xdr:col>
          <xdr:colOff>781050</xdr:colOff>
          <xdr:row>45</xdr:row>
          <xdr:rowOff>57150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8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44</xdr:row>
          <xdr:rowOff>0</xdr:rowOff>
        </xdr:from>
        <xdr:to>
          <xdr:col>51</xdr:col>
          <xdr:colOff>781050</xdr:colOff>
          <xdr:row>45</xdr:row>
          <xdr:rowOff>66675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8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13605</xdr:colOff>
      <xdr:row>2</xdr:row>
      <xdr:rowOff>66221</xdr:rowOff>
    </xdr:from>
    <xdr:to>
      <xdr:col>13</xdr:col>
      <xdr:colOff>9069</xdr:colOff>
      <xdr:row>17</xdr:row>
      <xdr:rowOff>87992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566965</xdr:colOff>
      <xdr:row>2</xdr:row>
      <xdr:rowOff>84365</xdr:rowOff>
    </xdr:from>
    <xdr:to>
      <xdr:col>25</xdr:col>
      <xdr:colOff>816429</xdr:colOff>
      <xdr:row>17</xdr:row>
      <xdr:rowOff>106136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612323</xdr:colOff>
      <xdr:row>2</xdr:row>
      <xdr:rowOff>29935</xdr:rowOff>
    </xdr:from>
    <xdr:to>
      <xdr:col>38</xdr:col>
      <xdr:colOff>879929</xdr:colOff>
      <xdr:row>17</xdr:row>
      <xdr:rowOff>51706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875392</xdr:colOff>
      <xdr:row>2</xdr:row>
      <xdr:rowOff>20864</xdr:rowOff>
    </xdr:from>
    <xdr:to>
      <xdr:col>51</xdr:col>
      <xdr:colOff>852714</xdr:colOff>
      <xdr:row>17</xdr:row>
      <xdr:rowOff>42635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41</xdr:row>
          <xdr:rowOff>171450</xdr:rowOff>
        </xdr:from>
        <xdr:to>
          <xdr:col>12</xdr:col>
          <xdr:colOff>781050</xdr:colOff>
          <xdr:row>43</xdr:row>
          <xdr:rowOff>47625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8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42</xdr:row>
          <xdr:rowOff>171450</xdr:rowOff>
        </xdr:from>
        <xdr:to>
          <xdr:col>12</xdr:col>
          <xdr:colOff>781050</xdr:colOff>
          <xdr:row>44</xdr:row>
          <xdr:rowOff>47625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8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43</xdr:row>
          <xdr:rowOff>171450</xdr:rowOff>
        </xdr:from>
        <xdr:to>
          <xdr:col>12</xdr:col>
          <xdr:colOff>781050</xdr:colOff>
          <xdr:row>45</xdr:row>
          <xdr:rowOff>47625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8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44</xdr:row>
          <xdr:rowOff>0</xdr:rowOff>
        </xdr:from>
        <xdr:to>
          <xdr:col>12</xdr:col>
          <xdr:colOff>781050</xdr:colOff>
          <xdr:row>45</xdr:row>
          <xdr:rowOff>57150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8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40</xdr:row>
          <xdr:rowOff>171450</xdr:rowOff>
        </xdr:from>
        <xdr:to>
          <xdr:col>25</xdr:col>
          <xdr:colOff>781050</xdr:colOff>
          <xdr:row>42</xdr:row>
          <xdr:rowOff>47625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8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44</xdr:row>
          <xdr:rowOff>0</xdr:rowOff>
        </xdr:from>
        <xdr:to>
          <xdr:col>25</xdr:col>
          <xdr:colOff>781050</xdr:colOff>
          <xdr:row>45</xdr:row>
          <xdr:rowOff>57150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8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44</xdr:row>
          <xdr:rowOff>0</xdr:rowOff>
        </xdr:from>
        <xdr:to>
          <xdr:col>25</xdr:col>
          <xdr:colOff>781050</xdr:colOff>
          <xdr:row>45</xdr:row>
          <xdr:rowOff>57150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8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44</xdr:row>
          <xdr:rowOff>0</xdr:rowOff>
        </xdr:from>
        <xdr:to>
          <xdr:col>25</xdr:col>
          <xdr:colOff>781050</xdr:colOff>
          <xdr:row>45</xdr:row>
          <xdr:rowOff>66675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8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41</xdr:row>
          <xdr:rowOff>171450</xdr:rowOff>
        </xdr:from>
        <xdr:to>
          <xdr:col>25</xdr:col>
          <xdr:colOff>781050</xdr:colOff>
          <xdr:row>43</xdr:row>
          <xdr:rowOff>47625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8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42</xdr:row>
          <xdr:rowOff>171450</xdr:rowOff>
        </xdr:from>
        <xdr:to>
          <xdr:col>25</xdr:col>
          <xdr:colOff>781050</xdr:colOff>
          <xdr:row>44</xdr:row>
          <xdr:rowOff>47625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8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43</xdr:row>
          <xdr:rowOff>171450</xdr:rowOff>
        </xdr:from>
        <xdr:to>
          <xdr:col>25</xdr:col>
          <xdr:colOff>781050</xdr:colOff>
          <xdr:row>45</xdr:row>
          <xdr:rowOff>47625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8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44</xdr:row>
          <xdr:rowOff>0</xdr:rowOff>
        </xdr:from>
        <xdr:to>
          <xdr:col>25</xdr:col>
          <xdr:colOff>781050</xdr:colOff>
          <xdr:row>45</xdr:row>
          <xdr:rowOff>57150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8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40</xdr:row>
          <xdr:rowOff>171450</xdr:rowOff>
        </xdr:from>
        <xdr:to>
          <xdr:col>38</xdr:col>
          <xdr:colOff>781050</xdr:colOff>
          <xdr:row>42</xdr:row>
          <xdr:rowOff>47625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8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44</xdr:row>
          <xdr:rowOff>0</xdr:rowOff>
        </xdr:from>
        <xdr:to>
          <xdr:col>38</xdr:col>
          <xdr:colOff>781050</xdr:colOff>
          <xdr:row>45</xdr:row>
          <xdr:rowOff>57150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8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44</xdr:row>
          <xdr:rowOff>0</xdr:rowOff>
        </xdr:from>
        <xdr:to>
          <xdr:col>38</xdr:col>
          <xdr:colOff>781050</xdr:colOff>
          <xdr:row>45</xdr:row>
          <xdr:rowOff>57150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8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44</xdr:row>
          <xdr:rowOff>0</xdr:rowOff>
        </xdr:from>
        <xdr:to>
          <xdr:col>38</xdr:col>
          <xdr:colOff>781050</xdr:colOff>
          <xdr:row>45</xdr:row>
          <xdr:rowOff>66675</xdr:rowOff>
        </xdr:to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8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41</xdr:row>
          <xdr:rowOff>171450</xdr:rowOff>
        </xdr:from>
        <xdr:to>
          <xdr:col>38</xdr:col>
          <xdr:colOff>781050</xdr:colOff>
          <xdr:row>43</xdr:row>
          <xdr:rowOff>47625</xdr:rowOff>
        </xdr:to>
        <xdr:sp macro="" textlink=""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8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42</xdr:row>
          <xdr:rowOff>171450</xdr:rowOff>
        </xdr:from>
        <xdr:to>
          <xdr:col>38</xdr:col>
          <xdr:colOff>781050</xdr:colOff>
          <xdr:row>44</xdr:row>
          <xdr:rowOff>47625</xdr:rowOff>
        </xdr:to>
        <xdr:sp macro="" textlink=""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8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43</xdr:row>
          <xdr:rowOff>171450</xdr:rowOff>
        </xdr:from>
        <xdr:to>
          <xdr:col>38</xdr:col>
          <xdr:colOff>781050</xdr:colOff>
          <xdr:row>45</xdr:row>
          <xdr:rowOff>47625</xdr:rowOff>
        </xdr:to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8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44</xdr:row>
          <xdr:rowOff>0</xdr:rowOff>
        </xdr:from>
        <xdr:to>
          <xdr:col>38</xdr:col>
          <xdr:colOff>781050</xdr:colOff>
          <xdr:row>45</xdr:row>
          <xdr:rowOff>57150</xdr:rowOff>
        </xdr:to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8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40</xdr:row>
          <xdr:rowOff>171450</xdr:rowOff>
        </xdr:from>
        <xdr:to>
          <xdr:col>51</xdr:col>
          <xdr:colOff>781050</xdr:colOff>
          <xdr:row>42</xdr:row>
          <xdr:rowOff>47625</xdr:rowOff>
        </xdr:to>
        <xdr:sp macro="" textlink="">
          <xdr:nvSpPr>
            <xdr:cNvPr id="11301" name="Check Box 37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8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44</xdr:row>
          <xdr:rowOff>0</xdr:rowOff>
        </xdr:from>
        <xdr:to>
          <xdr:col>51</xdr:col>
          <xdr:colOff>781050</xdr:colOff>
          <xdr:row>45</xdr:row>
          <xdr:rowOff>57150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8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44</xdr:row>
          <xdr:rowOff>0</xdr:rowOff>
        </xdr:from>
        <xdr:to>
          <xdr:col>51</xdr:col>
          <xdr:colOff>781050</xdr:colOff>
          <xdr:row>45</xdr:row>
          <xdr:rowOff>57150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8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44</xdr:row>
          <xdr:rowOff>0</xdr:rowOff>
        </xdr:from>
        <xdr:to>
          <xdr:col>51</xdr:col>
          <xdr:colOff>781050</xdr:colOff>
          <xdr:row>45</xdr:row>
          <xdr:rowOff>66675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8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41</xdr:row>
          <xdr:rowOff>171450</xdr:rowOff>
        </xdr:from>
        <xdr:to>
          <xdr:col>51</xdr:col>
          <xdr:colOff>781050</xdr:colOff>
          <xdr:row>43</xdr:row>
          <xdr:rowOff>47625</xdr:rowOff>
        </xdr:to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8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42</xdr:row>
          <xdr:rowOff>171450</xdr:rowOff>
        </xdr:from>
        <xdr:to>
          <xdr:col>51</xdr:col>
          <xdr:colOff>781050</xdr:colOff>
          <xdr:row>44</xdr:row>
          <xdr:rowOff>47625</xdr:rowOff>
        </xdr:to>
        <xdr:sp macro="" textlink="">
          <xdr:nvSpPr>
            <xdr:cNvPr id="11306" name="Check Box 42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8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43</xdr:row>
          <xdr:rowOff>171450</xdr:rowOff>
        </xdr:from>
        <xdr:to>
          <xdr:col>51</xdr:col>
          <xdr:colOff>781050</xdr:colOff>
          <xdr:row>45</xdr:row>
          <xdr:rowOff>47625</xdr:rowOff>
        </xdr:to>
        <xdr:sp macro="" textlink="">
          <xdr:nvSpPr>
            <xdr:cNvPr id="11307" name="Check Box 43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8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44</xdr:row>
          <xdr:rowOff>0</xdr:rowOff>
        </xdr:from>
        <xdr:to>
          <xdr:col>51</xdr:col>
          <xdr:colOff>781050</xdr:colOff>
          <xdr:row>45</xdr:row>
          <xdr:rowOff>57150</xdr:rowOff>
        </xdr:to>
        <xdr:sp macro="" textlink="">
          <xdr:nvSpPr>
            <xdr:cNvPr id="11308" name="Check Box 44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8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18</xdr:row>
          <xdr:rowOff>171450</xdr:rowOff>
        </xdr:from>
        <xdr:to>
          <xdr:col>12</xdr:col>
          <xdr:colOff>781050</xdr:colOff>
          <xdr:row>20</xdr:row>
          <xdr:rowOff>47625</xdr:rowOff>
        </xdr:to>
        <xdr:sp macro="" textlink="">
          <xdr:nvSpPr>
            <xdr:cNvPr id="11309" name="Check Box 45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8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19</xdr:row>
          <xdr:rowOff>171450</xdr:rowOff>
        </xdr:from>
        <xdr:to>
          <xdr:col>12</xdr:col>
          <xdr:colOff>781050</xdr:colOff>
          <xdr:row>21</xdr:row>
          <xdr:rowOff>47625</xdr:rowOff>
        </xdr:to>
        <xdr:sp macro="" textlink="">
          <xdr:nvSpPr>
            <xdr:cNvPr id="11310" name="Check Box 46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8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18</xdr:row>
          <xdr:rowOff>171450</xdr:rowOff>
        </xdr:from>
        <xdr:to>
          <xdr:col>25</xdr:col>
          <xdr:colOff>781050</xdr:colOff>
          <xdr:row>20</xdr:row>
          <xdr:rowOff>47625</xdr:rowOff>
        </xdr:to>
        <xdr:sp macro="" textlink="">
          <xdr:nvSpPr>
            <xdr:cNvPr id="11311" name="Check Box 47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8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19</xdr:row>
          <xdr:rowOff>171450</xdr:rowOff>
        </xdr:from>
        <xdr:to>
          <xdr:col>25</xdr:col>
          <xdr:colOff>781050</xdr:colOff>
          <xdr:row>21</xdr:row>
          <xdr:rowOff>47625</xdr:rowOff>
        </xdr:to>
        <xdr:sp macro="" textlink="">
          <xdr:nvSpPr>
            <xdr:cNvPr id="11312" name="Check Box 48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8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18</xdr:row>
          <xdr:rowOff>171450</xdr:rowOff>
        </xdr:from>
        <xdr:to>
          <xdr:col>38</xdr:col>
          <xdr:colOff>781050</xdr:colOff>
          <xdr:row>20</xdr:row>
          <xdr:rowOff>47625</xdr:rowOff>
        </xdr:to>
        <xdr:sp macro="" textlink="">
          <xdr:nvSpPr>
            <xdr:cNvPr id="11313" name="Check Box 49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8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19</xdr:row>
          <xdr:rowOff>171450</xdr:rowOff>
        </xdr:from>
        <xdr:to>
          <xdr:col>38</xdr:col>
          <xdr:colOff>781050</xdr:colOff>
          <xdr:row>21</xdr:row>
          <xdr:rowOff>47625</xdr:rowOff>
        </xdr:to>
        <xdr:sp macro="" textlink="">
          <xdr:nvSpPr>
            <xdr:cNvPr id="11314" name="Check Box 50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8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18</xdr:row>
          <xdr:rowOff>171450</xdr:rowOff>
        </xdr:from>
        <xdr:to>
          <xdr:col>51</xdr:col>
          <xdr:colOff>781050</xdr:colOff>
          <xdr:row>20</xdr:row>
          <xdr:rowOff>47625</xdr:rowOff>
        </xdr:to>
        <xdr:sp macro="" textlink="">
          <xdr:nvSpPr>
            <xdr:cNvPr id="11315" name="Check Box 51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8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57150</xdr:colOff>
          <xdr:row>19</xdr:row>
          <xdr:rowOff>171450</xdr:rowOff>
        </xdr:from>
        <xdr:to>
          <xdr:col>51</xdr:col>
          <xdr:colOff>781050</xdr:colOff>
          <xdr:row>21</xdr:row>
          <xdr:rowOff>47625</xdr:rowOff>
        </xdr:to>
        <xdr:sp macro="" textlink="">
          <xdr:nvSpPr>
            <xdr:cNvPr id="11316" name="Check Box 52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8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52</xdr:col>
      <xdr:colOff>552450</xdr:colOff>
      <xdr:row>46</xdr:row>
      <xdr:rowOff>19050</xdr:rowOff>
    </xdr:from>
    <xdr:ext cx="4524375" cy="32766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800-00003E000000}"/>
            </a:ext>
            <a:ext uri="{147F2762-F138-4A5C-976F-8EAC2B608ADB}">
              <a16:predDERef xmlns:a16="http://schemas.microsoft.com/office/drawing/2014/main" pred="{00000000-0008-0000-0800-000044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577750" y="8782050"/>
          <a:ext cx="4524375" cy="32766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el/Downloads/Kunci%20Pengolah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 5"/>
      <sheetName val="Instruksi"/>
      <sheetName val="Data Awal"/>
      <sheetName val="Syntax SQL"/>
      <sheetName val="Dataset"/>
      <sheetName val="A - Forecast"/>
      <sheetName val="B - Forecast"/>
      <sheetName val="C - Forecast"/>
      <sheetName val="D - Forecast"/>
      <sheetName val="Verifikasi Hasil Forecast"/>
      <sheetName val="Hasil"/>
    </sheetNames>
    <sheetDataSet>
      <sheetData sheetId="0"/>
      <sheetData sheetId="1"/>
      <sheetData sheetId="2">
        <row r="4">
          <cell r="C4" t="str">
            <v>Horizontal</v>
          </cell>
          <cell r="D4" t="str">
            <v>Trend</v>
          </cell>
          <cell r="E4" t="str">
            <v>Seasonal with Trend</v>
          </cell>
          <cell r="F4" t="str">
            <v>Unknown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50" Type="http://schemas.openxmlformats.org/officeDocument/2006/relationships/ctrlProp" Target="../ctrlProps/ctrlProp48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92F2F"/>
  </sheetPr>
  <dimension ref="A1:Z1000"/>
  <sheetViews>
    <sheetView showGridLines="0" zoomScale="88" workbookViewId="0">
      <selection activeCell="I17" sqref="I17"/>
    </sheetView>
  </sheetViews>
  <sheetFormatPr defaultColWidth="14.42578125" defaultRowHeight="15" customHeight="1"/>
  <cols>
    <col min="1" max="9" width="8.5703125" customWidth="1"/>
    <col min="10" max="12" width="11.42578125" customWidth="1"/>
    <col min="13" max="26" width="8.5703125" customWidth="1"/>
  </cols>
  <sheetData>
    <row r="1" spans="1:26" ht="14.2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2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>
      <c r="A4" s="39"/>
      <c r="B4" s="39"/>
      <c r="C4" s="39"/>
      <c r="D4" s="133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5"/>
      <c r="S4" s="39"/>
      <c r="T4" s="39"/>
      <c r="U4" s="39"/>
    </row>
    <row r="5" spans="1:26">
      <c r="A5" s="39"/>
      <c r="B5" s="39"/>
      <c r="C5" s="39"/>
      <c r="D5" s="136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8"/>
      <c r="S5" s="39"/>
      <c r="T5" s="39"/>
      <c r="U5" s="39"/>
    </row>
    <row r="6" spans="1:26" ht="22.5">
      <c r="A6" s="39"/>
      <c r="B6" s="39"/>
      <c r="C6" s="39"/>
      <c r="D6" s="139" t="s">
        <v>0</v>
      </c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8"/>
      <c r="S6" s="39"/>
      <c r="T6" s="39"/>
      <c r="U6" s="39"/>
    </row>
    <row r="7" spans="1:26" ht="22.5">
      <c r="A7" s="39"/>
      <c r="B7" s="39"/>
      <c r="C7" s="39"/>
      <c r="D7" s="139" t="s">
        <v>1</v>
      </c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8"/>
      <c r="S7" s="39"/>
      <c r="T7" s="39"/>
      <c r="U7" s="39"/>
    </row>
    <row r="8" spans="1:26">
      <c r="A8" s="39"/>
      <c r="B8" s="39"/>
      <c r="C8" s="39"/>
      <c r="D8" s="140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8"/>
      <c r="S8" s="39"/>
      <c r="T8" s="39"/>
      <c r="U8" s="39"/>
    </row>
    <row r="9" spans="1:26">
      <c r="A9" s="39"/>
      <c r="B9" s="39"/>
      <c r="C9" s="39"/>
      <c r="D9" s="136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38"/>
      <c r="S9" s="39"/>
      <c r="T9" s="39"/>
      <c r="U9" s="39"/>
    </row>
    <row r="10" spans="1:26">
      <c r="A10" s="39"/>
      <c r="B10" s="39"/>
      <c r="C10" s="39"/>
      <c r="D10" s="142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2"/>
      <c r="S10" s="39"/>
      <c r="T10" s="39"/>
      <c r="U10" s="39"/>
    </row>
    <row r="11" spans="1:26" ht="14.25" customHeight="1">
      <c r="A11" s="39"/>
      <c r="B11" s="39"/>
      <c r="C11" s="39"/>
      <c r="D11" s="39"/>
      <c r="E11" s="39"/>
      <c r="F11" s="39"/>
      <c r="G11" s="39"/>
      <c r="H11" s="40"/>
      <c r="I11" s="40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>
      <c r="A12" s="39"/>
      <c r="B12" s="39"/>
      <c r="C12" s="39"/>
      <c r="D12" s="39"/>
      <c r="E12" s="39"/>
      <c r="F12" s="39"/>
      <c r="G12" s="39"/>
      <c r="H12" s="40"/>
      <c r="I12" s="40"/>
      <c r="J12" s="40"/>
      <c r="K12" s="40"/>
      <c r="L12" s="40"/>
      <c r="M12" s="40"/>
      <c r="N12" s="40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>
      <c r="A13" s="39"/>
      <c r="B13" s="39"/>
      <c r="C13" s="39"/>
      <c r="D13" s="39"/>
      <c r="E13" s="39"/>
      <c r="F13" s="39"/>
      <c r="G13" s="41"/>
      <c r="H13" s="41"/>
      <c r="I13" s="41"/>
      <c r="J13" s="41"/>
      <c r="K13" s="42" t="s">
        <v>2</v>
      </c>
      <c r="L13" s="39"/>
      <c r="M13" s="43"/>
      <c r="N13" s="40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7.25" customHeight="1">
      <c r="A14" s="39"/>
      <c r="B14" s="39"/>
      <c r="C14" s="39"/>
      <c r="D14" s="39"/>
      <c r="E14" s="39"/>
      <c r="F14" s="39"/>
      <c r="G14" s="39"/>
      <c r="H14" s="39"/>
      <c r="I14" s="143" t="s">
        <v>3</v>
      </c>
      <c r="J14" s="137"/>
      <c r="K14" s="137"/>
      <c r="L14" s="137"/>
      <c r="M14" s="137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7.25" customHeight="1">
      <c r="A15" s="39"/>
      <c r="B15" s="39"/>
      <c r="C15" s="39"/>
      <c r="D15" s="39"/>
      <c r="E15" s="39"/>
      <c r="F15" s="39"/>
      <c r="G15" s="39"/>
      <c r="H15" s="39"/>
      <c r="I15" s="143" t="s">
        <v>4</v>
      </c>
      <c r="J15" s="137"/>
      <c r="K15" s="137"/>
      <c r="L15" s="137"/>
      <c r="M15" s="137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7.25" customHeight="1">
      <c r="A16" s="39"/>
      <c r="B16" s="39"/>
      <c r="C16" s="39"/>
      <c r="D16" s="39"/>
      <c r="E16" s="39"/>
      <c r="F16" s="39"/>
      <c r="G16" s="39"/>
      <c r="H16" s="39"/>
      <c r="I16" s="146" t="s">
        <v>5</v>
      </c>
      <c r="J16" s="146"/>
      <c r="K16" s="146"/>
      <c r="L16" s="146"/>
      <c r="M16" s="146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25" customHeight="1" thickBo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25" customHeight="1">
      <c r="A18" s="39"/>
      <c r="B18" s="39"/>
      <c r="C18" s="39"/>
      <c r="D18" s="14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5"/>
      <c r="S18" s="39"/>
      <c r="T18" s="39"/>
      <c r="U18" s="39"/>
    </row>
    <row r="19" spans="1:26" ht="14.25" customHeight="1">
      <c r="A19" s="39"/>
      <c r="B19" s="39"/>
      <c r="C19" s="39"/>
      <c r="D19" s="145" t="s">
        <v>6</v>
      </c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8"/>
      <c r="S19" s="39"/>
      <c r="T19" s="39"/>
      <c r="U19" s="39"/>
    </row>
    <row r="20" spans="1:26" ht="14.25" customHeight="1">
      <c r="A20" s="39"/>
      <c r="B20" s="39"/>
      <c r="C20" s="39"/>
      <c r="D20" s="145" t="s">
        <v>7</v>
      </c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8"/>
      <c r="S20" s="39"/>
      <c r="T20" s="39"/>
      <c r="U20" s="39"/>
    </row>
    <row r="21" spans="1:26" ht="14.25" customHeight="1">
      <c r="A21" s="39"/>
      <c r="B21" s="39"/>
      <c r="C21" s="39"/>
      <c r="D21" s="145" t="s">
        <v>8</v>
      </c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8"/>
      <c r="S21" s="39"/>
      <c r="T21" s="39"/>
      <c r="U21" s="39"/>
    </row>
    <row r="22" spans="1:26" ht="14.25" customHeight="1">
      <c r="A22" s="39"/>
      <c r="B22" s="39"/>
      <c r="C22" s="39"/>
      <c r="D22" s="145">
        <v>2025</v>
      </c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8"/>
      <c r="S22" s="39"/>
      <c r="T22" s="39"/>
      <c r="U22" s="39"/>
    </row>
    <row r="23" spans="1:26" ht="14.25" customHeight="1">
      <c r="A23" s="39"/>
      <c r="B23" s="39"/>
      <c r="C23" s="39"/>
      <c r="D23" s="130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2"/>
      <c r="S23" s="39"/>
      <c r="T23" s="39"/>
      <c r="U23" s="39"/>
    </row>
    <row r="24" spans="1:26" ht="14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4.2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4.2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4.2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4.2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4.2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4.2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2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2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2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</row>
    <row r="102" spans="1:26" ht="14.2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</row>
    <row r="103" spans="1:26" ht="14.2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</row>
    <row r="104" spans="1:26" ht="14.2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</row>
    <row r="105" spans="1:26" ht="14.2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</row>
    <row r="106" spans="1:26" ht="14.2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</row>
    <row r="107" spans="1:26" ht="14.2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</row>
    <row r="108" spans="1:26" ht="14.2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</row>
    <row r="109" spans="1:26" ht="14.2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</row>
    <row r="110" spans="1:26" ht="14.2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</row>
    <row r="111" spans="1:26" ht="14.2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</row>
    <row r="112" spans="1:26" ht="14.2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</row>
    <row r="113" spans="1:21" ht="14.2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</row>
    <row r="114" spans="1:21" ht="14.2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</row>
    <row r="115" spans="1:21" ht="14.2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</row>
    <row r="116" spans="1:21" ht="14.2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</row>
    <row r="117" spans="1:21" ht="14.2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</row>
    <row r="118" spans="1:21" ht="14.2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</row>
    <row r="119" spans="1:21" ht="14.2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</row>
    <row r="120" spans="1:21" ht="14.2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</row>
    <row r="121" spans="1:21" ht="14.2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</row>
    <row r="122" spans="1:21" ht="14.2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</row>
    <row r="123" spans="1:21" ht="14.2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</row>
    <row r="124" spans="1:21" ht="14.2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</row>
    <row r="125" spans="1:21" ht="14.2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</row>
    <row r="126" spans="1:21" ht="14.2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</row>
    <row r="127" spans="1:21" ht="14.2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</row>
    <row r="128" spans="1:21" ht="14.2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</row>
    <row r="129" spans="1:21" ht="14.2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</row>
    <row r="130" spans="1:21" ht="14.2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</row>
    <row r="131" spans="1:21" ht="14.2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</row>
    <row r="132" spans="1:21" ht="14.2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</row>
    <row r="133" spans="1:21" ht="14.2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</row>
    <row r="134" spans="1:21" ht="14.2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</row>
    <row r="135" spans="1:21" ht="14.2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</row>
    <row r="136" spans="1:21" ht="14.2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</row>
    <row r="137" spans="1:21" ht="14.2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</row>
    <row r="138" spans="1:21" ht="14.2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</row>
    <row r="139" spans="1:21" ht="14.2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</row>
    <row r="140" spans="1:21" ht="14.2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</row>
    <row r="141" spans="1:21" ht="14.2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</row>
    <row r="142" spans="1:21" ht="14.2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</row>
    <row r="143" spans="1:21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</row>
    <row r="144" spans="1:21" ht="14.2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</row>
    <row r="145" spans="1:21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</row>
    <row r="146" spans="1:21" ht="14.2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</row>
    <row r="147" spans="1:21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</row>
    <row r="148" spans="1:21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</row>
    <row r="149" spans="1:21" ht="14.2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</row>
    <row r="150" spans="1:21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</row>
    <row r="151" spans="1:21" ht="14.2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</row>
    <row r="152" spans="1:21" ht="14.2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</row>
    <row r="153" spans="1:21" ht="14.2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</row>
    <row r="154" spans="1:21" ht="14.2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</row>
    <row r="155" spans="1:21" ht="14.2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</row>
    <row r="156" spans="1:21" ht="14.2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</row>
    <row r="157" spans="1:21" ht="14.2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</row>
    <row r="158" spans="1:21" ht="14.2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</row>
    <row r="159" spans="1:21" ht="14.2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</row>
    <row r="160" spans="1:21" ht="14.2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</row>
    <row r="161" spans="1:21" ht="14.2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</row>
    <row r="162" spans="1:21" ht="14.2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</row>
    <row r="163" spans="1:21" ht="14.2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</row>
    <row r="164" spans="1:21" ht="14.2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</row>
    <row r="165" spans="1:21" ht="14.2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</row>
    <row r="166" spans="1:21" ht="14.2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</row>
    <row r="167" spans="1:21" ht="14.2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</row>
    <row r="168" spans="1:21" ht="14.2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</row>
    <row r="169" spans="1:21" ht="14.2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</row>
    <row r="170" spans="1:21" ht="14.2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</row>
    <row r="171" spans="1:21" ht="14.2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</row>
    <row r="172" spans="1:21" ht="14.2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</row>
    <row r="173" spans="1:21" ht="14.2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</row>
    <row r="174" spans="1:21" ht="14.2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</row>
    <row r="175" spans="1:21" ht="14.2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</row>
    <row r="176" spans="1:21" ht="14.2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</row>
    <row r="177" spans="1:21" ht="14.2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</row>
    <row r="178" spans="1:21" ht="14.2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</row>
    <row r="179" spans="1:21" ht="14.2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</row>
    <row r="180" spans="1:21" ht="14.2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</row>
    <row r="181" spans="1:21" ht="14.2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</row>
    <row r="182" spans="1:21" ht="14.2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</row>
    <row r="183" spans="1:21" ht="14.2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</row>
    <row r="184" spans="1:21" ht="14.2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</row>
    <row r="185" spans="1:21" ht="14.2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</row>
    <row r="186" spans="1:21" ht="14.2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</row>
    <row r="187" spans="1:21" ht="14.2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</row>
    <row r="188" spans="1:21" ht="14.2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</row>
    <row r="189" spans="1:21" ht="14.2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</row>
    <row r="190" spans="1:21" ht="14.2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</row>
    <row r="191" spans="1:21" ht="14.2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</row>
    <row r="192" spans="1:21" ht="14.2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</row>
    <row r="193" spans="1:21" ht="14.2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</row>
    <row r="194" spans="1:21" ht="14.2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</row>
    <row r="195" spans="1:21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</row>
    <row r="196" spans="1:21" ht="14.2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</row>
    <row r="197" spans="1:21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</row>
    <row r="198" spans="1:21" ht="14.2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</row>
    <row r="199" spans="1:21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</row>
    <row r="200" spans="1:21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</row>
    <row r="201" spans="1:21" ht="14.2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</row>
    <row r="202" spans="1:21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</row>
    <row r="203" spans="1:21" ht="14.2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</row>
    <row r="204" spans="1:21" ht="14.2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</row>
    <row r="205" spans="1:21" ht="14.2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</row>
    <row r="206" spans="1:21" ht="14.2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</row>
    <row r="207" spans="1:21" ht="14.2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</row>
    <row r="208" spans="1:21" ht="14.2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</row>
    <row r="209" spans="1:21" ht="14.2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</row>
    <row r="210" spans="1:21" ht="14.2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</row>
    <row r="211" spans="1:21" ht="14.2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</row>
    <row r="212" spans="1:21" ht="14.2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</row>
    <row r="213" spans="1:21" ht="14.2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</row>
    <row r="214" spans="1:21" ht="14.2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</row>
    <row r="215" spans="1:21" ht="14.2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</row>
    <row r="216" spans="1:21" ht="14.2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</row>
    <row r="217" spans="1:21" ht="14.2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</row>
    <row r="218" spans="1:21" ht="14.2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</row>
    <row r="219" spans="1:21" ht="14.2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</row>
    <row r="220" spans="1:21" ht="14.2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</row>
    <row r="221" spans="1:21" ht="14.2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</row>
    <row r="222" spans="1:21" ht="14.2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</row>
    <row r="223" spans="1:21" ht="14.2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</row>
    <row r="224" spans="1:21" ht="14.2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</row>
    <row r="225" spans="1:21" ht="14.2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</row>
    <row r="226" spans="1:21" ht="14.2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</row>
    <row r="227" spans="1:21" ht="14.2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</row>
    <row r="228" spans="1:21" ht="14.2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</row>
    <row r="229" spans="1:21" ht="14.2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</row>
    <row r="230" spans="1:21" ht="14.2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</row>
    <row r="231" spans="1:21" ht="14.2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</row>
    <row r="232" spans="1:21" ht="14.2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</row>
    <row r="233" spans="1:21" ht="14.2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</row>
    <row r="234" spans="1:21" ht="14.2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</row>
    <row r="235" spans="1:21" ht="14.2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</row>
    <row r="236" spans="1:21" ht="14.2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</row>
    <row r="237" spans="1:21" ht="14.2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</row>
    <row r="238" spans="1:21" ht="14.2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</row>
    <row r="239" spans="1:21" ht="14.2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</row>
    <row r="240" spans="1:21" ht="14.2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</row>
    <row r="241" spans="1:21" ht="14.2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</row>
    <row r="242" spans="1:21" ht="14.2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</row>
    <row r="243" spans="1:21" ht="14.2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</row>
    <row r="244" spans="1:21" ht="14.2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</row>
    <row r="245" spans="1:21" ht="14.2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</row>
    <row r="246" spans="1:21" ht="14.2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</row>
    <row r="247" spans="1:21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</row>
    <row r="248" spans="1:21" ht="14.2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</row>
    <row r="249" spans="1:21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</row>
    <row r="250" spans="1:21" ht="14.2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</row>
    <row r="251" spans="1:2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</row>
    <row r="252" spans="1:21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</row>
    <row r="253" spans="1:21" ht="14.2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</row>
    <row r="254" spans="1:21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</row>
    <row r="255" spans="1:21" ht="14.2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</row>
    <row r="256" spans="1:21" ht="14.2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</row>
    <row r="257" spans="1:21" ht="14.2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</row>
    <row r="258" spans="1:21" ht="14.2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</row>
    <row r="259" spans="1:21" ht="14.2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</row>
    <row r="260" spans="1:21" ht="14.2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</row>
    <row r="261" spans="1:21" ht="14.2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</row>
    <row r="262" spans="1:21" ht="14.2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</row>
    <row r="263" spans="1:21" ht="14.2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</row>
    <row r="264" spans="1:21" ht="14.2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</row>
    <row r="265" spans="1:21" ht="14.2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</row>
    <row r="266" spans="1:21" ht="14.2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</row>
    <row r="267" spans="1:21" ht="14.2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</row>
    <row r="268" spans="1:21" ht="14.2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</row>
    <row r="269" spans="1:21" ht="14.2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</row>
    <row r="270" spans="1:21" ht="14.2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</row>
    <row r="271" spans="1:21" ht="14.2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</row>
    <row r="272" spans="1:21" ht="14.2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</row>
    <row r="273" spans="1:21" ht="14.2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</row>
    <row r="274" spans="1:21" ht="14.2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</row>
    <row r="275" spans="1:21" ht="14.2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</row>
    <row r="276" spans="1:21" ht="14.2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</row>
    <row r="277" spans="1:21" ht="14.2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</row>
    <row r="278" spans="1:21" ht="14.2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</row>
    <row r="279" spans="1:21" ht="14.2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</row>
    <row r="280" spans="1:21" ht="14.2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</row>
    <row r="281" spans="1:21" ht="14.2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</row>
    <row r="282" spans="1:21" ht="14.2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</row>
    <row r="283" spans="1:21" ht="14.2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</row>
    <row r="284" spans="1:21" ht="14.2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</row>
    <row r="285" spans="1:21" ht="14.2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</row>
    <row r="286" spans="1:21" ht="14.2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</row>
    <row r="287" spans="1:21" ht="14.2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</row>
    <row r="288" spans="1:21" ht="14.2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</row>
    <row r="289" spans="1:21" ht="14.2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</row>
    <row r="290" spans="1:21" ht="14.2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</row>
    <row r="291" spans="1:21" ht="14.2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</row>
    <row r="292" spans="1:21" ht="14.2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</row>
    <row r="293" spans="1:21" ht="14.2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</row>
    <row r="294" spans="1:21" ht="14.2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</row>
    <row r="295" spans="1:21" ht="14.2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</row>
    <row r="296" spans="1:21" ht="14.2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</row>
    <row r="297" spans="1:21" ht="14.2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</row>
    <row r="298" spans="1:21" ht="14.2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</row>
    <row r="299" spans="1:21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</row>
    <row r="300" spans="1:21" ht="14.2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</row>
    <row r="301" spans="1:2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</row>
    <row r="302" spans="1:21" ht="14.2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</row>
    <row r="303" spans="1:21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</row>
    <row r="304" spans="1:21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</row>
    <row r="305" spans="1:21" ht="14.2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</row>
    <row r="306" spans="1:21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</row>
    <row r="307" spans="1:21" ht="14.2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</row>
    <row r="308" spans="1:21" ht="14.2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</row>
    <row r="309" spans="1:21" ht="14.2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</row>
    <row r="310" spans="1:21" ht="14.2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</row>
    <row r="311" spans="1:21" ht="14.2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</row>
    <row r="312" spans="1:21" ht="14.2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</row>
    <row r="313" spans="1:21" ht="14.2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</row>
    <row r="314" spans="1:21" ht="14.2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</row>
    <row r="315" spans="1:21" ht="14.2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</row>
    <row r="316" spans="1:21" ht="14.2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</row>
    <row r="317" spans="1:21" ht="14.2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</row>
    <row r="318" spans="1:21" ht="14.2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</row>
    <row r="319" spans="1:21" ht="14.2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</row>
    <row r="320" spans="1:21" ht="14.2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</row>
    <row r="321" spans="1:21" ht="14.2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</row>
    <row r="322" spans="1:21" ht="14.2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</row>
    <row r="323" spans="1:21" ht="14.2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</row>
    <row r="324" spans="1:21" ht="14.2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</row>
    <row r="325" spans="1:21" ht="14.2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</row>
    <row r="326" spans="1:21" ht="14.2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</row>
    <row r="327" spans="1:21" ht="14.2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</row>
    <row r="328" spans="1:21" ht="14.2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</row>
    <row r="329" spans="1:21" ht="14.2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</row>
    <row r="330" spans="1:21" ht="14.2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</row>
    <row r="331" spans="1:21" ht="14.2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</row>
    <row r="332" spans="1:21" ht="14.2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</row>
    <row r="333" spans="1:21" ht="14.2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</row>
    <row r="334" spans="1:21" ht="14.2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</row>
    <row r="335" spans="1:21" ht="14.2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</row>
    <row r="336" spans="1:21" ht="14.2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</row>
    <row r="337" spans="1:21" ht="14.2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</row>
    <row r="338" spans="1:21" ht="14.2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</row>
    <row r="339" spans="1:21" ht="14.2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</row>
    <row r="340" spans="1:21" ht="14.2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</row>
    <row r="341" spans="1:21" ht="14.2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</row>
    <row r="342" spans="1:21" ht="14.2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</row>
    <row r="343" spans="1:21" ht="14.2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</row>
    <row r="344" spans="1:21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</row>
    <row r="345" spans="1:21" ht="14.2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</row>
    <row r="346" spans="1:21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</row>
    <row r="347" spans="1:21" ht="14.2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</row>
    <row r="348" spans="1:21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</row>
    <row r="349" spans="1:21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</row>
    <row r="350" spans="1:21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</row>
    <row r="351" spans="1:2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</row>
    <row r="352" spans="1:21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</row>
    <row r="353" spans="1:21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</row>
    <row r="354" spans="1:21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</row>
    <row r="355" spans="1:21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</row>
    <row r="356" spans="1:21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</row>
    <row r="357" spans="1:21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</row>
    <row r="358" spans="1:21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</row>
    <row r="359" spans="1:21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</row>
    <row r="360" spans="1:21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</row>
    <row r="361" spans="1:2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</row>
    <row r="362" spans="1:21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</row>
    <row r="363" spans="1:21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</row>
    <row r="364" spans="1:21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</row>
    <row r="365" spans="1:21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</row>
    <row r="366" spans="1:21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</row>
    <row r="367" spans="1:21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</row>
    <row r="368" spans="1:21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</row>
    <row r="369" spans="1:21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</row>
    <row r="370" spans="1:21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</row>
    <row r="371" spans="1:2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</row>
    <row r="372" spans="1:21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</row>
    <row r="373" spans="1:21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</row>
    <row r="374" spans="1:21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</row>
    <row r="375" spans="1:21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</row>
    <row r="376" spans="1:21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</row>
    <row r="377" spans="1:21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</row>
    <row r="378" spans="1:21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</row>
    <row r="379" spans="1:21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</row>
    <row r="380" spans="1:21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</row>
    <row r="381" spans="1:2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</row>
    <row r="382" spans="1:21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</row>
    <row r="383" spans="1:21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</row>
    <row r="384" spans="1:21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</row>
    <row r="385" spans="1:21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</row>
    <row r="386" spans="1:21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</row>
    <row r="387" spans="1:21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</row>
    <row r="388" spans="1:21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</row>
    <row r="389" spans="1:21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</row>
    <row r="390" spans="1:21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</row>
    <row r="391" spans="1:2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</row>
    <row r="392" spans="1:21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</row>
    <row r="393" spans="1:21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</row>
    <row r="394" spans="1:21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</row>
    <row r="395" spans="1:21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</row>
    <row r="396" spans="1:21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</row>
    <row r="397" spans="1:21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</row>
    <row r="398" spans="1:21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</row>
    <row r="399" spans="1:21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</row>
    <row r="400" spans="1:21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</row>
    <row r="401" spans="1:2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</row>
    <row r="402" spans="1:21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</row>
    <row r="403" spans="1:21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</row>
    <row r="404" spans="1:21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</row>
    <row r="405" spans="1:21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</row>
    <row r="406" spans="1:21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</row>
    <row r="407" spans="1:21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</row>
    <row r="408" spans="1:21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</row>
    <row r="409" spans="1:21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</row>
    <row r="410" spans="1:21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</row>
    <row r="411" spans="1:2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</row>
    <row r="412" spans="1:21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</row>
    <row r="413" spans="1:21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</row>
    <row r="414" spans="1:21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</row>
    <row r="415" spans="1:21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</row>
    <row r="416" spans="1:21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</row>
    <row r="417" spans="1:21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</row>
    <row r="418" spans="1:21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</row>
    <row r="419" spans="1:21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</row>
    <row r="420" spans="1:21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</row>
    <row r="421" spans="1: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</row>
    <row r="422" spans="1:21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</row>
    <row r="423" spans="1:21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</row>
    <row r="424" spans="1:21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</row>
    <row r="425" spans="1:21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</row>
    <row r="426" spans="1:21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</row>
    <row r="427" spans="1:21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</row>
    <row r="428" spans="1:21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</row>
    <row r="429" spans="1:21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</row>
    <row r="430" spans="1:21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</row>
    <row r="431" spans="1:2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</row>
    <row r="432" spans="1:21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</row>
    <row r="433" spans="1:21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</row>
    <row r="434" spans="1:21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</row>
    <row r="435" spans="1:21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</row>
    <row r="436" spans="1:21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</row>
    <row r="437" spans="1:21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</row>
    <row r="438" spans="1:21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</row>
    <row r="439" spans="1:21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</row>
    <row r="440" spans="1:21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</row>
    <row r="441" spans="1:2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</row>
    <row r="442" spans="1:21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</row>
    <row r="443" spans="1:21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</row>
    <row r="444" spans="1:21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</row>
    <row r="445" spans="1:21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</row>
    <row r="446" spans="1:21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</row>
    <row r="447" spans="1:21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</row>
    <row r="448" spans="1:21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</row>
    <row r="449" spans="1:21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</row>
    <row r="450" spans="1:21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</row>
    <row r="451" spans="1:2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</row>
    <row r="452" spans="1:21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</row>
    <row r="453" spans="1:21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</row>
    <row r="454" spans="1:21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</row>
    <row r="455" spans="1:21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</row>
    <row r="456" spans="1:21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</row>
    <row r="457" spans="1:21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</row>
    <row r="458" spans="1:21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</row>
    <row r="459" spans="1:21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</row>
    <row r="460" spans="1:21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</row>
    <row r="461" spans="1:2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</row>
    <row r="462" spans="1:21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</row>
    <row r="463" spans="1:21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</row>
    <row r="464" spans="1:21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</row>
    <row r="465" spans="1:21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</row>
    <row r="466" spans="1:21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</row>
    <row r="467" spans="1:21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</row>
    <row r="468" spans="1:21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</row>
    <row r="469" spans="1:21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</row>
    <row r="470" spans="1:21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</row>
    <row r="471" spans="1:2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</row>
    <row r="472" spans="1:21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</row>
    <row r="473" spans="1:21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</row>
    <row r="474" spans="1:21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</row>
    <row r="475" spans="1:21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</row>
    <row r="476" spans="1:21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</row>
    <row r="477" spans="1:21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</row>
    <row r="478" spans="1:21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</row>
    <row r="479" spans="1:21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</row>
    <row r="480" spans="1:21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</row>
    <row r="481" spans="1:2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</row>
    <row r="482" spans="1:21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</row>
    <row r="483" spans="1:21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</row>
    <row r="484" spans="1:21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</row>
    <row r="485" spans="1:21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</row>
    <row r="486" spans="1:21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</row>
    <row r="487" spans="1:21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</row>
    <row r="488" spans="1:21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</row>
    <row r="489" spans="1:21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</row>
    <row r="490" spans="1:21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</row>
    <row r="491" spans="1:2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</row>
    <row r="492" spans="1:21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</row>
    <row r="493" spans="1:21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</row>
    <row r="494" spans="1:21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</row>
    <row r="495" spans="1:21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</row>
    <row r="496" spans="1:21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</row>
    <row r="497" spans="1:21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</row>
    <row r="498" spans="1:21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</row>
    <row r="499" spans="1:21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</row>
    <row r="500" spans="1:21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</row>
    <row r="501" spans="1:2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</row>
    <row r="502" spans="1:21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</row>
    <row r="503" spans="1:21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</row>
    <row r="504" spans="1:21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</row>
    <row r="505" spans="1:21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</row>
    <row r="506" spans="1:21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</row>
    <row r="507" spans="1:21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</row>
    <row r="508" spans="1:21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</row>
    <row r="509" spans="1:21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</row>
    <row r="510" spans="1:21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</row>
    <row r="511" spans="1:2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</row>
    <row r="512" spans="1:21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</row>
    <row r="513" spans="1:21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</row>
    <row r="514" spans="1:21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</row>
    <row r="515" spans="1:21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</row>
    <row r="516" spans="1:21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</row>
    <row r="517" spans="1:21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</row>
    <row r="518" spans="1:21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</row>
    <row r="519" spans="1:21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</row>
    <row r="520" spans="1:21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</row>
    <row r="521" spans="1: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</row>
    <row r="522" spans="1:21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</row>
    <row r="523" spans="1:21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</row>
    <row r="524" spans="1:21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</row>
    <row r="525" spans="1:21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</row>
    <row r="526" spans="1:21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</row>
    <row r="527" spans="1:21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</row>
    <row r="528" spans="1:21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</row>
    <row r="529" spans="1:21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</row>
    <row r="530" spans="1:21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</row>
    <row r="531" spans="1:2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</row>
    <row r="532" spans="1:21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</row>
    <row r="533" spans="1:21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</row>
    <row r="534" spans="1:21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</row>
    <row r="535" spans="1:21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</row>
    <row r="536" spans="1:21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</row>
    <row r="537" spans="1:21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</row>
    <row r="538" spans="1:21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</row>
    <row r="539" spans="1:21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</row>
    <row r="540" spans="1:21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</row>
    <row r="541" spans="1:2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</row>
    <row r="542" spans="1:21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</row>
    <row r="543" spans="1:21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</row>
    <row r="544" spans="1:21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</row>
    <row r="545" spans="1:21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</row>
    <row r="546" spans="1:21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</row>
    <row r="547" spans="1:21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</row>
    <row r="548" spans="1:21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</row>
    <row r="549" spans="1:21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</row>
    <row r="550" spans="1:21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</row>
    <row r="551" spans="1:2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</row>
    <row r="552" spans="1:21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</row>
    <row r="553" spans="1:21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</row>
    <row r="554" spans="1:21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</row>
    <row r="555" spans="1:21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</row>
    <row r="556" spans="1:21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</row>
    <row r="557" spans="1:21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</row>
    <row r="558" spans="1:21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</row>
    <row r="559" spans="1:21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</row>
    <row r="560" spans="1:21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</row>
    <row r="561" spans="1:2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</row>
    <row r="562" spans="1:21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</row>
    <row r="563" spans="1:21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</row>
    <row r="564" spans="1:21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</row>
    <row r="565" spans="1:21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</row>
    <row r="566" spans="1:21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</row>
    <row r="567" spans="1:21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</row>
    <row r="568" spans="1:21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</row>
    <row r="569" spans="1:21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</row>
    <row r="570" spans="1:21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</row>
    <row r="571" spans="1:2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</row>
    <row r="572" spans="1:21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</row>
    <row r="573" spans="1:21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</row>
    <row r="574" spans="1:21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</row>
    <row r="575" spans="1:21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</row>
    <row r="576" spans="1:21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</row>
    <row r="577" spans="1:21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</row>
    <row r="578" spans="1:21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</row>
    <row r="579" spans="1:21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</row>
    <row r="580" spans="1:21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</row>
    <row r="581" spans="1:2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</row>
    <row r="582" spans="1:21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</row>
    <row r="583" spans="1:21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</row>
    <row r="584" spans="1:21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</row>
    <row r="585" spans="1:21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</row>
    <row r="586" spans="1:21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</row>
    <row r="587" spans="1:21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</row>
    <row r="588" spans="1:21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</row>
    <row r="589" spans="1:21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</row>
    <row r="590" spans="1:21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</row>
    <row r="591" spans="1:2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</row>
    <row r="592" spans="1:21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</row>
    <row r="593" spans="1:21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</row>
    <row r="594" spans="1:21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</row>
    <row r="595" spans="1:21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</row>
    <row r="596" spans="1:21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</row>
    <row r="597" spans="1:21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</row>
    <row r="598" spans="1:21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</row>
    <row r="599" spans="1:21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</row>
    <row r="600" spans="1:21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</row>
    <row r="601" spans="1:2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</row>
    <row r="602" spans="1:21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</row>
    <row r="603" spans="1:21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</row>
    <row r="604" spans="1:21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</row>
    <row r="605" spans="1:21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</row>
    <row r="606" spans="1:21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</row>
    <row r="607" spans="1:21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</row>
    <row r="608" spans="1:21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</row>
    <row r="609" spans="1:21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</row>
    <row r="610" spans="1:21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</row>
    <row r="611" spans="1:2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</row>
    <row r="612" spans="1:21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</row>
    <row r="613" spans="1:21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</row>
    <row r="614" spans="1:21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</row>
    <row r="615" spans="1:21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</row>
    <row r="616" spans="1:21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</row>
    <row r="617" spans="1:21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</row>
    <row r="618" spans="1:21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</row>
    <row r="619" spans="1:21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</row>
    <row r="620" spans="1:21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</row>
    <row r="621" spans="1: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</row>
    <row r="622" spans="1:21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</row>
    <row r="623" spans="1:21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</row>
    <row r="624" spans="1:21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</row>
    <row r="625" spans="1:21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</row>
    <row r="626" spans="1:21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</row>
    <row r="627" spans="1:21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</row>
    <row r="628" spans="1:21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</row>
    <row r="629" spans="1:21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</row>
    <row r="630" spans="1:21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</row>
    <row r="631" spans="1:2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</row>
    <row r="632" spans="1:21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</row>
    <row r="633" spans="1:21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</row>
    <row r="634" spans="1:21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</row>
    <row r="635" spans="1:21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</row>
    <row r="636" spans="1:21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</row>
    <row r="637" spans="1:21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</row>
    <row r="638" spans="1:21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</row>
    <row r="639" spans="1:21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</row>
    <row r="640" spans="1:21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</row>
    <row r="641" spans="1:2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</row>
    <row r="642" spans="1:21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</row>
    <row r="643" spans="1:21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</row>
    <row r="644" spans="1:21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</row>
    <row r="645" spans="1:21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</row>
    <row r="646" spans="1:21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</row>
    <row r="647" spans="1:21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</row>
    <row r="648" spans="1:21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</row>
    <row r="649" spans="1:21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</row>
    <row r="650" spans="1:21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</row>
    <row r="651" spans="1:2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</row>
    <row r="652" spans="1:21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</row>
    <row r="653" spans="1:21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</row>
    <row r="654" spans="1:21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</row>
    <row r="655" spans="1:21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</row>
    <row r="656" spans="1:21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</row>
    <row r="657" spans="1:21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</row>
    <row r="658" spans="1:21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</row>
    <row r="659" spans="1:21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</row>
    <row r="660" spans="1:21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</row>
    <row r="661" spans="1:2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</row>
    <row r="662" spans="1:21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</row>
    <row r="663" spans="1:21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</row>
    <row r="664" spans="1:21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</row>
    <row r="665" spans="1:21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</row>
    <row r="666" spans="1:21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</row>
    <row r="667" spans="1:21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</row>
    <row r="668" spans="1:21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</row>
    <row r="669" spans="1:21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</row>
    <row r="670" spans="1:21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</row>
    <row r="671" spans="1:2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</row>
    <row r="672" spans="1:21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</row>
    <row r="673" spans="1:21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</row>
    <row r="674" spans="1:21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</row>
    <row r="675" spans="1:21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</row>
    <row r="676" spans="1:21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</row>
    <row r="677" spans="1:21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</row>
    <row r="678" spans="1:21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</row>
    <row r="679" spans="1:21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</row>
    <row r="680" spans="1:21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</row>
    <row r="681" spans="1:2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</row>
    <row r="682" spans="1:21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</row>
    <row r="683" spans="1:21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</row>
    <row r="684" spans="1:21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</row>
    <row r="685" spans="1:21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</row>
    <row r="686" spans="1:21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</row>
    <row r="687" spans="1:21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</row>
    <row r="688" spans="1:21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</row>
    <row r="689" spans="1:21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</row>
    <row r="690" spans="1:21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</row>
    <row r="691" spans="1:2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</row>
    <row r="692" spans="1:21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</row>
    <row r="693" spans="1:21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</row>
    <row r="694" spans="1:21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</row>
    <row r="695" spans="1:21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</row>
    <row r="696" spans="1:21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</row>
    <row r="697" spans="1:21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</row>
    <row r="698" spans="1:21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</row>
    <row r="699" spans="1:21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</row>
    <row r="700" spans="1:21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</row>
    <row r="701" spans="1:2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</row>
    <row r="702" spans="1:21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</row>
    <row r="703" spans="1:21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</row>
    <row r="704" spans="1:21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</row>
    <row r="705" spans="1:21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</row>
    <row r="706" spans="1:21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</row>
    <row r="707" spans="1:21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</row>
    <row r="708" spans="1:21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</row>
    <row r="709" spans="1:21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</row>
    <row r="710" spans="1:21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</row>
    <row r="711" spans="1:2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</row>
    <row r="712" spans="1:21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</row>
    <row r="713" spans="1:21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</row>
    <row r="714" spans="1:21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</row>
    <row r="715" spans="1:21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</row>
    <row r="716" spans="1:21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</row>
    <row r="717" spans="1:21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</row>
    <row r="718" spans="1:21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</row>
    <row r="719" spans="1:21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</row>
    <row r="720" spans="1:21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</row>
    <row r="721" spans="1: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</row>
    <row r="722" spans="1:21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</row>
    <row r="723" spans="1:21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</row>
    <row r="724" spans="1:21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</row>
    <row r="725" spans="1:21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</row>
    <row r="726" spans="1:21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</row>
    <row r="727" spans="1:21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</row>
    <row r="728" spans="1:21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</row>
    <row r="729" spans="1:21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</row>
    <row r="730" spans="1:21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</row>
    <row r="731" spans="1:2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</row>
    <row r="732" spans="1:21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</row>
    <row r="733" spans="1:21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</row>
    <row r="734" spans="1:21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</row>
    <row r="735" spans="1:21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</row>
    <row r="736" spans="1:21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</row>
    <row r="737" spans="1:21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</row>
    <row r="738" spans="1:21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</row>
    <row r="739" spans="1:21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</row>
    <row r="740" spans="1:21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</row>
    <row r="741" spans="1:2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</row>
    <row r="742" spans="1:21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</row>
    <row r="743" spans="1:21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</row>
    <row r="744" spans="1:21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</row>
    <row r="745" spans="1:21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</row>
    <row r="746" spans="1:21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</row>
    <row r="747" spans="1:21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</row>
    <row r="748" spans="1:21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</row>
    <row r="749" spans="1:21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</row>
    <row r="750" spans="1:21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</row>
    <row r="751" spans="1:2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</row>
    <row r="752" spans="1:21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</row>
    <row r="753" spans="1:21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</row>
    <row r="754" spans="1:21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</row>
    <row r="755" spans="1:21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</row>
    <row r="756" spans="1:21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</row>
    <row r="757" spans="1:21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</row>
    <row r="758" spans="1:21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</row>
    <row r="759" spans="1:21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</row>
    <row r="760" spans="1:21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</row>
    <row r="761" spans="1:2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</row>
    <row r="762" spans="1:21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</row>
    <row r="763" spans="1:21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</row>
    <row r="764" spans="1:21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</row>
    <row r="765" spans="1:21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</row>
    <row r="766" spans="1:21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</row>
    <row r="767" spans="1:21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</row>
    <row r="768" spans="1:21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</row>
    <row r="769" spans="1:21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</row>
    <row r="770" spans="1:21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</row>
    <row r="771" spans="1:2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</row>
    <row r="772" spans="1:21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</row>
    <row r="773" spans="1:21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</row>
    <row r="774" spans="1:21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</row>
    <row r="775" spans="1:21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</row>
    <row r="776" spans="1:21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</row>
    <row r="777" spans="1:21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</row>
    <row r="778" spans="1:21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</row>
    <row r="779" spans="1:21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</row>
    <row r="780" spans="1:21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</row>
    <row r="781" spans="1:2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</row>
    <row r="782" spans="1:21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</row>
    <row r="783" spans="1:21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</row>
    <row r="784" spans="1:21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</row>
    <row r="785" spans="1:21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</row>
    <row r="786" spans="1:21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</row>
    <row r="787" spans="1:21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</row>
    <row r="788" spans="1:21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</row>
    <row r="789" spans="1:21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</row>
    <row r="790" spans="1:21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</row>
    <row r="791" spans="1:2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</row>
    <row r="792" spans="1:21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</row>
    <row r="793" spans="1:21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</row>
    <row r="794" spans="1:21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</row>
    <row r="795" spans="1:21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</row>
    <row r="796" spans="1:21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</row>
    <row r="797" spans="1:21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</row>
    <row r="798" spans="1:21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</row>
    <row r="799" spans="1:21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</row>
    <row r="800" spans="1:21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</row>
    <row r="801" spans="1:2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</row>
    <row r="802" spans="1:21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</row>
    <row r="803" spans="1:21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</row>
    <row r="804" spans="1:21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</row>
    <row r="805" spans="1:21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</row>
    <row r="806" spans="1:21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</row>
    <row r="807" spans="1:21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</row>
    <row r="808" spans="1:21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</row>
    <row r="809" spans="1:21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</row>
    <row r="810" spans="1:21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</row>
    <row r="811" spans="1:2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</row>
    <row r="812" spans="1:21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</row>
    <row r="813" spans="1:21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</row>
    <row r="814" spans="1:21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</row>
    <row r="815" spans="1:21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</row>
    <row r="816" spans="1:21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</row>
    <row r="817" spans="1:21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</row>
    <row r="818" spans="1:21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</row>
    <row r="819" spans="1:21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</row>
    <row r="820" spans="1:21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</row>
    <row r="821" spans="1: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</row>
    <row r="822" spans="1:21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</row>
    <row r="823" spans="1:21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</row>
    <row r="824" spans="1:21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</row>
    <row r="825" spans="1:21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</row>
    <row r="826" spans="1:21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</row>
    <row r="827" spans="1:21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</row>
    <row r="828" spans="1:21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</row>
    <row r="829" spans="1:21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</row>
    <row r="830" spans="1:21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</row>
    <row r="831" spans="1:2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</row>
    <row r="832" spans="1:21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</row>
    <row r="833" spans="1:21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</row>
    <row r="834" spans="1:21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</row>
    <row r="835" spans="1:21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</row>
    <row r="836" spans="1:21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</row>
    <row r="837" spans="1:21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</row>
    <row r="838" spans="1:21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</row>
    <row r="839" spans="1:21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</row>
    <row r="840" spans="1:21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</row>
    <row r="841" spans="1:2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</row>
    <row r="842" spans="1:21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</row>
    <row r="843" spans="1:21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</row>
    <row r="844" spans="1:21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</row>
    <row r="845" spans="1:21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</row>
    <row r="846" spans="1:21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</row>
    <row r="847" spans="1:21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</row>
    <row r="848" spans="1:21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</row>
    <row r="849" spans="1:21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</row>
    <row r="850" spans="1:21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</row>
    <row r="851" spans="1:2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</row>
    <row r="852" spans="1:21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</row>
    <row r="853" spans="1:21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</row>
    <row r="854" spans="1:21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</row>
    <row r="855" spans="1:21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</row>
    <row r="856" spans="1:21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</row>
    <row r="857" spans="1:21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</row>
    <row r="858" spans="1:21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</row>
    <row r="859" spans="1:21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</row>
    <row r="860" spans="1:21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</row>
    <row r="861" spans="1:2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</row>
    <row r="862" spans="1:21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</row>
    <row r="863" spans="1:21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</row>
    <row r="864" spans="1:21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</row>
    <row r="865" spans="1:21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</row>
    <row r="866" spans="1:21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</row>
    <row r="867" spans="1:21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</row>
    <row r="868" spans="1:21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</row>
    <row r="869" spans="1:21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</row>
    <row r="870" spans="1:21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</row>
    <row r="871" spans="1:2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</row>
    <row r="872" spans="1:21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</row>
    <row r="873" spans="1:21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</row>
    <row r="874" spans="1:21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</row>
    <row r="875" spans="1:21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</row>
    <row r="876" spans="1:21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</row>
    <row r="877" spans="1:21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</row>
    <row r="878" spans="1:21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</row>
    <row r="879" spans="1:21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</row>
    <row r="880" spans="1:21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</row>
    <row r="881" spans="1:2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</row>
    <row r="882" spans="1:21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</row>
    <row r="883" spans="1:21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</row>
    <row r="884" spans="1:21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</row>
    <row r="885" spans="1:21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</row>
    <row r="886" spans="1:21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</row>
    <row r="887" spans="1:21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</row>
    <row r="888" spans="1:21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</row>
    <row r="889" spans="1:21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</row>
    <row r="890" spans="1:21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</row>
    <row r="891" spans="1:2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</row>
    <row r="892" spans="1:21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</row>
    <row r="893" spans="1:21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</row>
    <row r="894" spans="1:21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</row>
    <row r="895" spans="1:21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</row>
    <row r="896" spans="1:21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</row>
    <row r="897" spans="1:21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</row>
    <row r="898" spans="1:21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</row>
    <row r="899" spans="1:21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</row>
    <row r="900" spans="1:21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</row>
    <row r="901" spans="1:2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</row>
    <row r="902" spans="1:21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</row>
    <row r="903" spans="1:21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</row>
    <row r="904" spans="1:21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</row>
    <row r="905" spans="1:21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</row>
    <row r="906" spans="1:21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</row>
    <row r="907" spans="1:21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</row>
    <row r="908" spans="1:21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</row>
    <row r="909" spans="1:21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</row>
    <row r="910" spans="1:21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</row>
    <row r="911" spans="1:2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</row>
    <row r="912" spans="1:21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</row>
    <row r="913" spans="1:21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</row>
    <row r="914" spans="1:21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</row>
    <row r="915" spans="1:21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</row>
    <row r="916" spans="1:21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</row>
    <row r="917" spans="1:21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</row>
    <row r="918" spans="1:21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</row>
    <row r="919" spans="1:21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</row>
    <row r="920" spans="1:21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</row>
    <row r="921" spans="1: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</row>
    <row r="922" spans="1:21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</row>
    <row r="923" spans="1:21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</row>
    <row r="924" spans="1:21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</row>
    <row r="925" spans="1:21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</row>
    <row r="926" spans="1:21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</row>
    <row r="927" spans="1:21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</row>
    <row r="928" spans="1:21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</row>
    <row r="929" spans="1:21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</row>
    <row r="930" spans="1:21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</row>
    <row r="931" spans="1:2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</row>
    <row r="932" spans="1:21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</row>
    <row r="933" spans="1:21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</row>
    <row r="934" spans="1:21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</row>
    <row r="935" spans="1:21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</row>
    <row r="936" spans="1:21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</row>
    <row r="937" spans="1:21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</row>
    <row r="938" spans="1:21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</row>
    <row r="939" spans="1:21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</row>
    <row r="940" spans="1:21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</row>
    <row r="941" spans="1:2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</row>
    <row r="942" spans="1:21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</row>
    <row r="943" spans="1:21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</row>
    <row r="944" spans="1:21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</row>
    <row r="945" spans="1:21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</row>
    <row r="946" spans="1:21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</row>
    <row r="947" spans="1:21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</row>
    <row r="948" spans="1:21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</row>
    <row r="949" spans="1:21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</row>
    <row r="950" spans="1:21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</row>
    <row r="951" spans="1:2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</row>
    <row r="952" spans="1:21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</row>
    <row r="953" spans="1:21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</row>
    <row r="954" spans="1:21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</row>
    <row r="955" spans="1:21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</row>
    <row r="956" spans="1:21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</row>
    <row r="957" spans="1:21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</row>
    <row r="958" spans="1:21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</row>
    <row r="959" spans="1:21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</row>
    <row r="960" spans="1:21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</row>
    <row r="961" spans="1:2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</row>
    <row r="962" spans="1:21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</row>
    <row r="963" spans="1:21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</row>
    <row r="964" spans="1:21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1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1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1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</row>
    <row r="968" spans="1:21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</row>
    <row r="969" spans="1:21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</row>
    <row r="970" spans="1:21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</row>
    <row r="971" spans="1:2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</row>
    <row r="972" spans="1:21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</row>
    <row r="973" spans="1:21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</row>
    <row r="974" spans="1:21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</row>
    <row r="975" spans="1:21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</row>
    <row r="976" spans="1:21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</row>
    <row r="977" spans="1:21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</row>
    <row r="978" spans="1:21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</row>
    <row r="979" spans="1:21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</row>
    <row r="980" spans="1:21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</row>
    <row r="981" spans="1:2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</row>
    <row r="982" spans="1:21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</row>
    <row r="983" spans="1:21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</row>
    <row r="984" spans="1:21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</row>
    <row r="985" spans="1:21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</row>
    <row r="986" spans="1:21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</row>
    <row r="987" spans="1:21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</row>
    <row r="988" spans="1:21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</row>
    <row r="989" spans="1:21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</row>
    <row r="990" spans="1:21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</row>
    <row r="991" spans="1:2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</row>
    <row r="992" spans="1:21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</row>
    <row r="993" spans="1:21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</row>
    <row r="994" spans="1:21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</row>
    <row r="995" spans="1:21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</row>
    <row r="996" spans="1:21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</row>
    <row r="997" spans="1:21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</row>
    <row r="998" spans="1:21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</row>
    <row r="999" spans="1:21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</row>
    <row r="1000" spans="1:21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</row>
  </sheetData>
  <mergeCells count="13">
    <mergeCell ref="D23:R23"/>
    <mergeCell ref="D4:R5"/>
    <mergeCell ref="D6:R6"/>
    <mergeCell ref="D7:R7"/>
    <mergeCell ref="D8:R10"/>
    <mergeCell ref="I14:M14"/>
    <mergeCell ref="I15:M15"/>
    <mergeCell ref="D18:R18"/>
    <mergeCell ref="D19:R19"/>
    <mergeCell ref="D20:R20"/>
    <mergeCell ref="D21:R21"/>
    <mergeCell ref="D22:R22"/>
    <mergeCell ref="I16:M1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CF1"/>
  </sheetPr>
  <dimension ref="A1:Z1000"/>
  <sheetViews>
    <sheetView showGridLines="0" zoomScale="98" workbookViewId="0">
      <selection activeCell="B6" sqref="B6"/>
    </sheetView>
  </sheetViews>
  <sheetFormatPr defaultColWidth="14.42578125" defaultRowHeight="15" customHeight="1"/>
  <cols>
    <col min="1" max="1" width="1.5703125" customWidth="1"/>
    <col min="2" max="2" width="11.42578125" customWidth="1"/>
    <col min="3" max="3" width="17.42578125" customWidth="1"/>
    <col min="4" max="4" width="142.42578125" customWidth="1"/>
    <col min="5" max="5" width="1.5703125" customWidth="1"/>
    <col min="6" max="6" width="35" hidden="1" customWidth="1"/>
    <col min="7" max="26" width="8.5703125" customWidth="1"/>
  </cols>
  <sheetData>
    <row r="1" spans="1:26" ht="14.25" customHeight="1">
      <c r="A1" s="44"/>
      <c r="B1" s="45" t="s">
        <v>9</v>
      </c>
      <c r="C1" s="45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4.25" customHeight="1">
      <c r="A2" s="46"/>
      <c r="B2" s="47" t="s">
        <v>10</v>
      </c>
      <c r="C2" s="48"/>
      <c r="D2" s="48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4.25" customHeight="1">
      <c r="A3" s="39"/>
      <c r="B3" s="39"/>
      <c r="C3" s="4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25" customHeight="1">
      <c r="A4" s="50"/>
      <c r="B4" s="51" t="s">
        <v>11</v>
      </c>
      <c r="C4" s="52"/>
      <c r="D4" s="52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4.25" customHeight="1">
      <c r="A5" s="39"/>
      <c r="B5" s="53" t="s">
        <v>12</v>
      </c>
      <c r="C5" s="53"/>
      <c r="D5" s="53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>
      <c r="A6" s="39"/>
      <c r="B6" s="53" t="s">
        <v>13</v>
      </c>
      <c r="C6" s="53"/>
      <c r="D6" s="53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>
      <c r="A8" s="46"/>
      <c r="B8" s="47" t="s">
        <v>14</v>
      </c>
      <c r="C8" s="48"/>
      <c r="D8" s="48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4.25" customHeight="1">
      <c r="A9" s="39"/>
      <c r="B9" s="39" t="s">
        <v>15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25" customHeight="1">
      <c r="A11" s="39"/>
      <c r="B11" s="54" t="s">
        <v>16</v>
      </c>
      <c r="C11" s="55" t="s">
        <v>17</v>
      </c>
      <c r="D11" s="55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>
      <c r="A12" s="39"/>
      <c r="B12" s="39"/>
      <c r="C12" s="56" t="s">
        <v>18</v>
      </c>
      <c r="D12" s="57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>
      <c r="A13" s="39"/>
      <c r="B13" s="39"/>
      <c r="C13" s="58" t="s">
        <v>19</v>
      </c>
      <c r="D13" s="5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25" customHeight="1">
      <c r="A15" s="39"/>
      <c r="B15" s="54" t="s">
        <v>20</v>
      </c>
      <c r="C15" s="59" t="s">
        <v>21</v>
      </c>
      <c r="D15" s="60"/>
      <c r="E15" s="3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39"/>
      <c r="B16" s="39"/>
      <c r="C16" s="61" t="s">
        <v>22</v>
      </c>
      <c r="D16" s="62"/>
      <c r="E16" s="3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39"/>
      <c r="B17" s="39"/>
      <c r="C17" s="63" t="s">
        <v>23</v>
      </c>
      <c r="D17" s="64"/>
      <c r="E17" s="3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39"/>
      <c r="B18" s="39"/>
      <c r="C18" s="39"/>
      <c r="D18" s="39"/>
      <c r="E18" s="3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39"/>
      <c r="B19" s="39"/>
      <c r="C19" s="39"/>
      <c r="D19" s="39"/>
      <c r="E19" s="3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39"/>
      <c r="B20" s="39"/>
      <c r="C20" s="39"/>
      <c r="D20" s="39"/>
      <c r="E20" s="3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39"/>
      <c r="B21" s="39"/>
      <c r="C21" s="39"/>
      <c r="D21" s="39"/>
      <c r="E21" s="3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39"/>
      <c r="B22" s="39"/>
      <c r="C22" s="39"/>
      <c r="D22" s="39"/>
      <c r="E22" s="3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9"/>
      <c r="B23" s="39"/>
      <c r="C23" s="39"/>
      <c r="D23" s="39"/>
      <c r="E23" s="3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39"/>
      <c r="B24" s="39"/>
      <c r="C24" s="39"/>
      <c r="D24" s="39"/>
      <c r="E24" s="3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39"/>
      <c r="B25" s="39"/>
      <c r="C25" s="39"/>
      <c r="D25" s="39"/>
      <c r="E25" s="3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39"/>
      <c r="B26" s="39"/>
      <c r="C26" s="39"/>
      <c r="D26" s="39"/>
      <c r="E26" s="3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39"/>
      <c r="B27" s="39"/>
      <c r="C27" s="39"/>
      <c r="D27" s="39"/>
      <c r="E27" s="3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39"/>
      <c r="B28" s="39"/>
      <c r="C28" s="39"/>
      <c r="D28" s="39"/>
      <c r="E28" s="3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39"/>
      <c r="B29" s="39"/>
      <c r="C29" s="39"/>
      <c r="D29" s="39"/>
      <c r="E29" s="3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39"/>
      <c r="B30" s="39"/>
      <c r="C30" s="39"/>
      <c r="D30" s="39"/>
      <c r="E30" s="3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B1:W1001"/>
  <sheetViews>
    <sheetView showGridLines="0" topLeftCell="M2" zoomScale="82" zoomScaleNormal="85" workbookViewId="0">
      <selection activeCell="I36" sqref="I36"/>
    </sheetView>
  </sheetViews>
  <sheetFormatPr defaultColWidth="14.42578125" defaultRowHeight="15" customHeight="1"/>
  <cols>
    <col min="1" max="2" width="8.5703125" customWidth="1"/>
    <col min="3" max="4" width="13.5703125" customWidth="1"/>
    <col min="5" max="5" width="17.42578125" customWidth="1"/>
    <col min="6" max="6" width="13.5703125" customWidth="1"/>
    <col min="7" max="26" width="8.5703125" customWidth="1"/>
  </cols>
  <sheetData>
    <row r="1" spans="2:23" ht="14.25" customHeight="1"/>
    <row r="2" spans="2:23" ht="14.25" customHeight="1">
      <c r="B2" s="147" t="s">
        <v>24</v>
      </c>
      <c r="C2" s="148"/>
      <c r="D2" s="148"/>
      <c r="E2" s="148"/>
      <c r="F2" s="148"/>
    </row>
    <row r="3" spans="2:23" ht="14.25" customHeight="1">
      <c r="B3" s="149" t="s">
        <v>25</v>
      </c>
      <c r="C3" s="150"/>
      <c r="D3" s="150"/>
      <c r="E3" s="150"/>
      <c r="F3" s="150"/>
    </row>
    <row r="4" spans="2:23" ht="14.25" customHeight="1">
      <c r="B4" s="31" t="s">
        <v>26</v>
      </c>
      <c r="C4" s="16"/>
      <c r="D4" s="16"/>
      <c r="E4" s="16"/>
      <c r="F4" s="16"/>
    </row>
    <row r="5" spans="2:23" ht="14.25" customHeight="1"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</row>
    <row r="6" spans="2:23" ht="14.25" customHeight="1">
      <c r="B6" s="76" t="s">
        <v>32</v>
      </c>
      <c r="C6" s="77">
        <v>8658</v>
      </c>
      <c r="D6" s="6">
        <v>4708</v>
      </c>
      <c r="E6" s="6">
        <v>5114</v>
      </c>
      <c r="F6" s="6">
        <v>9163</v>
      </c>
    </row>
    <row r="7" spans="2:23" ht="14.25" customHeight="1">
      <c r="B7" s="74" t="s">
        <v>33</v>
      </c>
      <c r="C7" s="75">
        <v>8318</v>
      </c>
      <c r="D7" s="8">
        <v>5518</v>
      </c>
      <c r="E7" s="8">
        <v>5570</v>
      </c>
      <c r="F7" s="8">
        <v>3010</v>
      </c>
    </row>
    <row r="8" spans="2:23" ht="14.25" customHeight="1">
      <c r="B8" s="4" t="s">
        <v>34</v>
      </c>
      <c r="C8" s="5">
        <v>8781</v>
      </c>
      <c r="D8" s="6">
        <v>5912</v>
      </c>
      <c r="E8" s="6">
        <v>5408</v>
      </c>
      <c r="F8" s="6">
        <v>2018</v>
      </c>
    </row>
    <row r="9" spans="2:23" ht="14.25" customHeight="1">
      <c r="B9" s="78" t="s">
        <v>35</v>
      </c>
      <c r="C9" s="9">
        <v>8220</v>
      </c>
      <c r="D9" s="10">
        <v>5600</v>
      </c>
      <c r="E9" s="10">
        <v>6816</v>
      </c>
      <c r="F9" s="10">
        <v>17462</v>
      </c>
    </row>
    <row r="10" spans="2:23" ht="14.25" customHeight="1">
      <c r="B10" s="4" t="s">
        <v>36</v>
      </c>
      <c r="C10" s="7">
        <v>8617</v>
      </c>
      <c r="D10" s="8">
        <v>6417</v>
      </c>
      <c r="E10" s="8">
        <v>6927</v>
      </c>
      <c r="F10" s="8">
        <v>17199</v>
      </c>
      <c r="V10" s="90" t="s">
        <v>37</v>
      </c>
      <c r="W10" s="90" t="s">
        <v>38</v>
      </c>
    </row>
    <row r="11" spans="2:23" ht="14.25" customHeight="1">
      <c r="B11" s="4" t="s">
        <v>39</v>
      </c>
      <c r="C11" s="5">
        <v>8938</v>
      </c>
      <c r="D11" s="6">
        <v>6534</v>
      </c>
      <c r="E11" s="6">
        <v>7508</v>
      </c>
      <c r="F11" s="6">
        <v>11400</v>
      </c>
      <c r="V11" s="90" t="s">
        <v>40</v>
      </c>
      <c r="W11" s="90" t="s">
        <v>41</v>
      </c>
    </row>
    <row r="12" spans="2:23" ht="14.25" customHeight="1">
      <c r="B12" s="78" t="s">
        <v>42</v>
      </c>
      <c r="C12" s="9">
        <v>8302</v>
      </c>
      <c r="D12" s="10">
        <v>6939</v>
      </c>
      <c r="E12" s="10">
        <v>7635</v>
      </c>
      <c r="F12" s="10">
        <v>8070</v>
      </c>
      <c r="V12" s="90" t="s">
        <v>43</v>
      </c>
      <c r="W12" s="90" t="s">
        <v>44</v>
      </c>
    </row>
    <row r="13" spans="2:23" ht="14.25" customHeight="1">
      <c r="B13" s="4" t="s">
        <v>45</v>
      </c>
      <c r="C13" s="7">
        <v>8387</v>
      </c>
      <c r="D13" s="8">
        <v>7543</v>
      </c>
      <c r="E13" s="8">
        <v>7843</v>
      </c>
      <c r="F13" s="8">
        <v>2615</v>
      </c>
      <c r="V13" s="90" t="s">
        <v>46</v>
      </c>
      <c r="W13" s="90" t="s">
        <v>47</v>
      </c>
    </row>
    <row r="14" spans="2:23" ht="14.25" customHeight="1">
      <c r="B14" s="4" t="s">
        <v>48</v>
      </c>
      <c r="C14" s="5">
        <v>8520</v>
      </c>
      <c r="D14" s="6">
        <v>7183</v>
      </c>
      <c r="E14" s="6">
        <v>6991</v>
      </c>
      <c r="F14" s="6">
        <v>3114</v>
      </c>
    </row>
    <row r="15" spans="2:23" ht="14.25" customHeight="1">
      <c r="B15" s="78" t="s">
        <v>49</v>
      </c>
      <c r="C15" s="9">
        <v>8399</v>
      </c>
      <c r="D15" s="10">
        <v>7312</v>
      </c>
      <c r="E15" s="10">
        <v>7212</v>
      </c>
      <c r="F15" s="10">
        <v>8662</v>
      </c>
    </row>
    <row r="16" spans="2:23" ht="14.25" customHeight="1">
      <c r="B16" s="4" t="s">
        <v>50</v>
      </c>
      <c r="C16" s="7">
        <v>8190</v>
      </c>
      <c r="D16" s="8">
        <v>7554</v>
      </c>
      <c r="E16" s="8">
        <v>7138</v>
      </c>
      <c r="F16" s="8">
        <v>13586</v>
      </c>
    </row>
    <row r="17" spans="2:7" ht="14.25" customHeight="1">
      <c r="B17" s="4" t="s">
        <v>51</v>
      </c>
      <c r="C17" s="5">
        <v>8514</v>
      </c>
      <c r="D17" s="6">
        <v>7858</v>
      </c>
      <c r="E17" s="6">
        <v>7150</v>
      </c>
      <c r="F17" s="6">
        <v>10762</v>
      </c>
    </row>
    <row r="18" spans="2:7" ht="14.25" customHeight="1">
      <c r="B18" s="78" t="s">
        <v>52</v>
      </c>
      <c r="C18" s="9">
        <v>8288</v>
      </c>
      <c r="D18" s="10">
        <v>8361</v>
      </c>
      <c r="E18" s="10">
        <v>7293</v>
      </c>
      <c r="F18" s="10">
        <v>14133</v>
      </c>
    </row>
    <row r="19" spans="2:7" ht="14.25" customHeight="1">
      <c r="B19" s="4" t="s">
        <v>53</v>
      </c>
      <c r="C19" s="7">
        <v>8595</v>
      </c>
      <c r="D19" s="8">
        <v>8769</v>
      </c>
      <c r="E19" s="8">
        <v>7038</v>
      </c>
      <c r="F19" s="8">
        <v>6048</v>
      </c>
    </row>
    <row r="20" spans="2:7" ht="14.25" customHeight="1">
      <c r="B20" s="4" t="s">
        <v>54</v>
      </c>
      <c r="C20" s="5">
        <v>8316</v>
      </c>
      <c r="D20" s="6">
        <v>9032</v>
      </c>
      <c r="E20" s="6">
        <v>7304</v>
      </c>
      <c r="F20" s="6">
        <v>16848</v>
      </c>
    </row>
    <row r="21" spans="2:7" ht="14.25" customHeight="1">
      <c r="B21" s="78" t="s">
        <v>55</v>
      </c>
      <c r="C21" s="9">
        <v>8810</v>
      </c>
      <c r="D21" s="10">
        <v>9479</v>
      </c>
      <c r="E21" s="10">
        <v>7474</v>
      </c>
      <c r="F21" s="10">
        <v>12588</v>
      </c>
    </row>
    <row r="22" spans="2:7" ht="14.25" customHeight="1">
      <c r="B22" s="4" t="s">
        <v>56</v>
      </c>
      <c r="C22" s="7">
        <v>8343</v>
      </c>
      <c r="D22" s="8">
        <v>9517</v>
      </c>
      <c r="E22" s="8">
        <v>7886</v>
      </c>
      <c r="F22" s="8">
        <v>12281</v>
      </c>
    </row>
    <row r="23" spans="2:7" ht="14.25" customHeight="1">
      <c r="B23" s="4" t="s">
        <v>57</v>
      </c>
      <c r="C23" s="5">
        <v>8436</v>
      </c>
      <c r="D23" s="6">
        <v>10231</v>
      </c>
      <c r="E23" s="6">
        <v>8688</v>
      </c>
      <c r="F23" s="6">
        <v>11377</v>
      </c>
    </row>
    <row r="24" spans="2:7" ht="14.25" customHeight="1">
      <c r="B24" s="78" t="s">
        <v>58</v>
      </c>
      <c r="C24" s="9">
        <v>8663</v>
      </c>
      <c r="D24" s="10">
        <v>9998</v>
      </c>
      <c r="E24" s="10">
        <v>9722</v>
      </c>
      <c r="F24" s="10">
        <v>7792</v>
      </c>
    </row>
    <row r="25" spans="2:7" ht="14.25" customHeight="1">
      <c r="B25" s="4" t="s">
        <v>59</v>
      </c>
      <c r="C25" s="7">
        <v>8254</v>
      </c>
      <c r="D25" s="8">
        <v>11175</v>
      </c>
      <c r="E25" s="8">
        <v>9457</v>
      </c>
      <c r="F25" s="8">
        <v>7507</v>
      </c>
    </row>
    <row r="26" spans="2:7" ht="14.25" customHeight="1">
      <c r="B26" s="4" t="s">
        <v>60</v>
      </c>
      <c r="C26" s="5">
        <v>8545</v>
      </c>
      <c r="D26" s="6">
        <v>10829</v>
      </c>
      <c r="E26" s="6">
        <v>10158</v>
      </c>
      <c r="F26" s="6">
        <v>7411</v>
      </c>
    </row>
    <row r="27" spans="2:7" ht="14.25" customHeight="1">
      <c r="B27" s="78" t="s">
        <v>61</v>
      </c>
      <c r="C27" s="9">
        <v>8761</v>
      </c>
      <c r="D27" s="10">
        <v>10666</v>
      </c>
      <c r="E27" s="10">
        <v>10921</v>
      </c>
      <c r="F27" s="10">
        <v>12850</v>
      </c>
    </row>
    <row r="28" spans="2:7" ht="14.25" customHeight="1">
      <c r="B28" s="4" t="s">
        <v>62</v>
      </c>
      <c r="C28" s="7">
        <v>8179</v>
      </c>
      <c r="D28" s="8">
        <v>10884</v>
      </c>
      <c r="E28" s="8">
        <v>12035</v>
      </c>
      <c r="F28" s="8">
        <v>3357</v>
      </c>
    </row>
    <row r="29" spans="2:7" ht="14.25" customHeight="1">
      <c r="B29" s="4" t="s">
        <v>63</v>
      </c>
      <c r="C29" s="5">
        <v>8537</v>
      </c>
      <c r="D29" s="6">
        <v>11632</v>
      </c>
      <c r="E29" s="6">
        <v>12118</v>
      </c>
      <c r="F29" s="6">
        <v>2307</v>
      </c>
    </row>
    <row r="30" spans="2:7" ht="14.25" customHeight="1">
      <c r="B30" s="78" t="s">
        <v>64</v>
      </c>
      <c r="C30" s="9">
        <v>8552</v>
      </c>
      <c r="D30" s="10">
        <v>11702</v>
      </c>
      <c r="E30" s="10">
        <v>13589</v>
      </c>
      <c r="F30" s="10">
        <v>3900</v>
      </c>
    </row>
    <row r="31" spans="2:7" ht="14.25" customHeight="1">
      <c r="B31" s="4" t="s">
        <v>65</v>
      </c>
      <c r="C31" s="7">
        <v>8656</v>
      </c>
      <c r="D31" s="8">
        <v>12265</v>
      </c>
      <c r="E31" s="8">
        <v>12640</v>
      </c>
      <c r="F31" s="8">
        <v>3307</v>
      </c>
    </row>
    <row r="32" spans="2:7" ht="14.25" customHeight="1">
      <c r="B32" s="4" t="s">
        <v>66</v>
      </c>
      <c r="C32" s="5">
        <v>8253</v>
      </c>
      <c r="D32" s="6">
        <v>12475</v>
      </c>
      <c r="E32" s="6">
        <v>12584</v>
      </c>
      <c r="F32" s="6">
        <v>17813</v>
      </c>
      <c r="G32" s="11"/>
    </row>
    <row r="33" spans="2:7" ht="14.25" customHeight="1">
      <c r="B33" s="78" t="s">
        <v>67</v>
      </c>
      <c r="C33" s="9">
        <v>8236</v>
      </c>
      <c r="D33" s="10">
        <v>12594</v>
      </c>
      <c r="E33" s="10">
        <v>12196</v>
      </c>
      <c r="F33" s="10">
        <v>12630</v>
      </c>
      <c r="G33" s="11"/>
    </row>
    <row r="34" spans="2:7" ht="14.25" customHeight="1">
      <c r="B34" s="4" t="s">
        <v>68</v>
      </c>
      <c r="C34" s="7">
        <v>8604</v>
      </c>
      <c r="D34" s="8">
        <v>12643</v>
      </c>
      <c r="E34" s="8">
        <v>12697</v>
      </c>
      <c r="F34" s="8">
        <v>7171</v>
      </c>
      <c r="G34" s="11"/>
    </row>
    <row r="35" spans="2:7" ht="14.25" customHeight="1">
      <c r="B35" s="4" t="s">
        <v>69</v>
      </c>
      <c r="C35" s="5">
        <v>8559</v>
      </c>
      <c r="D35" s="6">
        <v>12725</v>
      </c>
      <c r="E35" s="6">
        <v>11957</v>
      </c>
      <c r="F35" s="6">
        <v>2440</v>
      </c>
      <c r="G35" s="11"/>
    </row>
    <row r="36" spans="2:7" ht="14.25" customHeight="1">
      <c r="B36" s="78" t="s">
        <v>70</v>
      </c>
      <c r="C36" s="9">
        <v>8550</v>
      </c>
      <c r="D36" s="10">
        <v>13328</v>
      </c>
      <c r="E36" s="10">
        <v>12540</v>
      </c>
      <c r="F36" s="10">
        <v>8747</v>
      </c>
      <c r="G36" s="11"/>
    </row>
    <row r="37" spans="2:7" ht="14.25" customHeight="1">
      <c r="B37" s="4" t="s">
        <v>71</v>
      </c>
      <c r="C37" s="7">
        <v>8569</v>
      </c>
      <c r="D37" s="8">
        <v>14001</v>
      </c>
      <c r="E37" s="8">
        <v>12095</v>
      </c>
      <c r="F37" s="8">
        <v>8610</v>
      </c>
      <c r="G37" s="11"/>
    </row>
    <row r="38" spans="2:7" ht="14.25" customHeight="1">
      <c r="B38" s="4" t="s">
        <v>72</v>
      </c>
      <c r="C38" s="5">
        <v>8364</v>
      </c>
      <c r="D38" s="6">
        <v>14090</v>
      </c>
      <c r="E38" s="6">
        <v>11888</v>
      </c>
      <c r="F38" s="6">
        <v>2979</v>
      </c>
      <c r="G38" s="11"/>
    </row>
    <row r="39" spans="2:7" ht="14.25" customHeight="1">
      <c r="B39" s="78" t="s">
        <v>73</v>
      </c>
      <c r="C39" s="9">
        <v>8546</v>
      </c>
      <c r="D39" s="10">
        <v>13934</v>
      </c>
      <c r="E39" s="10">
        <v>12764</v>
      </c>
      <c r="F39" s="10">
        <v>8117</v>
      </c>
      <c r="G39" s="11"/>
    </row>
    <row r="40" spans="2:7" ht="14.25" customHeight="1">
      <c r="B40" s="4" t="s">
        <v>74</v>
      </c>
      <c r="C40" s="7">
        <v>8559</v>
      </c>
      <c r="D40" s="8">
        <v>14642</v>
      </c>
      <c r="E40" s="8">
        <v>11814</v>
      </c>
      <c r="F40" s="8">
        <v>9278</v>
      </c>
      <c r="G40" s="11"/>
    </row>
    <row r="41" spans="2:7" ht="14.25" customHeight="1">
      <c r="B41" s="4" t="s">
        <v>75</v>
      </c>
      <c r="C41" s="5">
        <v>8357</v>
      </c>
      <c r="D41" s="6">
        <v>14987</v>
      </c>
      <c r="E41" s="6">
        <v>13380</v>
      </c>
      <c r="F41" s="6">
        <v>11408</v>
      </c>
      <c r="G41" s="11"/>
    </row>
    <row r="42" spans="2:7" ht="14.25" customHeight="1">
      <c r="B42" s="78" t="s">
        <v>76</v>
      </c>
      <c r="C42" s="9">
        <v>8873</v>
      </c>
      <c r="D42" s="10">
        <v>14889</v>
      </c>
      <c r="E42" s="10">
        <v>12590</v>
      </c>
      <c r="F42" s="10">
        <v>12547</v>
      </c>
      <c r="G42" s="11"/>
    </row>
    <row r="43" spans="2:7" ht="14.25" customHeight="1">
      <c r="B43" s="4" t="s">
        <v>77</v>
      </c>
      <c r="C43" s="7">
        <v>8595</v>
      </c>
      <c r="D43" s="8">
        <v>15482</v>
      </c>
      <c r="E43" s="8">
        <v>13911</v>
      </c>
      <c r="F43" s="8">
        <v>2798</v>
      </c>
      <c r="G43" s="11"/>
    </row>
    <row r="44" spans="2:7" ht="14.25" customHeight="1">
      <c r="B44" s="4" t="s">
        <v>78</v>
      </c>
      <c r="C44" s="5">
        <v>8262</v>
      </c>
      <c r="D44" s="6">
        <v>15735</v>
      </c>
      <c r="E44" s="6">
        <v>14067</v>
      </c>
      <c r="F44" s="6">
        <v>7782</v>
      </c>
      <c r="G44" s="11"/>
    </row>
    <row r="45" spans="2:7" ht="14.25" customHeight="1">
      <c r="B45" s="78" t="s">
        <v>79</v>
      </c>
      <c r="C45" s="9">
        <v>8631</v>
      </c>
      <c r="D45" s="10">
        <v>15657</v>
      </c>
      <c r="E45" s="10">
        <v>15341</v>
      </c>
      <c r="F45" s="10">
        <v>13099</v>
      </c>
      <c r="G45" s="11"/>
    </row>
    <row r="46" spans="2:7" ht="14.25" customHeight="1">
      <c r="B46" s="4"/>
      <c r="G46" s="11"/>
    </row>
    <row r="47" spans="2:7" ht="14.25" customHeight="1">
      <c r="G47" s="11"/>
    </row>
    <row r="48" spans="2:7" ht="14.25" customHeight="1">
      <c r="G48" s="11"/>
    </row>
    <row r="49" spans="7:7" ht="14.25" customHeight="1">
      <c r="G49" s="11"/>
    </row>
    <row r="50" spans="7:7" ht="14.25" customHeight="1">
      <c r="G50" s="11"/>
    </row>
    <row r="51" spans="7:7" ht="14.25" customHeight="1">
      <c r="G51" s="11"/>
    </row>
    <row r="52" spans="7:7" ht="14.25" customHeight="1"/>
    <row r="53" spans="7:7" ht="14.25" customHeight="1"/>
    <row r="54" spans="7:7" ht="14.25" customHeight="1"/>
    <row r="55" spans="7:7" ht="14.25" customHeight="1"/>
    <row r="56" spans="7:7" ht="14.25" customHeight="1"/>
    <row r="57" spans="7:7" ht="14.25" customHeight="1"/>
    <row r="58" spans="7:7" ht="14.25" customHeight="1"/>
    <row r="59" spans="7:7" ht="14.25" customHeight="1"/>
    <row r="60" spans="7:7" ht="14.25" customHeight="1"/>
    <row r="61" spans="7:7" ht="14.25" customHeight="1"/>
    <row r="62" spans="7:7" ht="14.25" customHeight="1"/>
    <row r="63" spans="7:7" ht="14.25" customHeight="1"/>
    <row r="64" spans="7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B2:F2"/>
    <mergeCell ref="B3:F3"/>
  </mergeCells>
  <conditionalFormatting sqref="E6:F45">
    <cfRule type="cellIs" dxfId="18" priority="1" operator="lessThan">
      <formula>0</formula>
    </cfRule>
  </conditionalFormatting>
  <dataValidations count="1">
    <dataValidation type="list" allowBlank="1" showErrorMessage="1" sqref="C4:F4" xr:uid="{0F2F22B0-189B-4165-BA6A-F25CC096F915}">
      <formula1>"Horizontal,Trend,Seasonal,Seasonal with Trend,Cyclical,Unknown"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B1:X1000"/>
  <sheetViews>
    <sheetView showGridLines="0" topLeftCell="G13" zoomScale="60" zoomScaleNormal="60" workbookViewId="0">
      <selection activeCell="D25" sqref="D25:G25"/>
    </sheetView>
  </sheetViews>
  <sheetFormatPr defaultColWidth="14.42578125" defaultRowHeight="15" customHeight="1"/>
  <cols>
    <col min="1" max="1" width="8.5703125" customWidth="1"/>
    <col min="2" max="2" width="12.42578125" customWidth="1"/>
    <col min="3" max="3" width="13.42578125" bestFit="1" customWidth="1"/>
    <col min="4" max="4" width="14.42578125" bestFit="1" customWidth="1"/>
    <col min="5" max="5" width="19" customWidth="1"/>
    <col min="6" max="6" width="16.42578125" bestFit="1" customWidth="1"/>
    <col min="7" max="7" width="15.5703125" bestFit="1" customWidth="1"/>
    <col min="8" max="8" width="8.5703125" customWidth="1"/>
    <col min="9" max="9" width="11.5703125" customWidth="1"/>
    <col min="10" max="10" width="13.42578125" bestFit="1" customWidth="1"/>
    <col min="11" max="11" width="14.42578125" bestFit="1" customWidth="1"/>
    <col min="12" max="12" width="15.5703125" bestFit="1" customWidth="1"/>
    <col min="13" max="13" width="16.42578125" bestFit="1" customWidth="1"/>
    <col min="14" max="14" width="15.5703125" customWidth="1"/>
    <col min="15" max="15" width="8.5703125" customWidth="1"/>
    <col min="16" max="16" width="11.5703125" customWidth="1"/>
    <col min="17" max="17" width="14.5703125" bestFit="1" customWidth="1"/>
    <col min="18" max="19" width="15.5703125" bestFit="1" customWidth="1"/>
    <col min="20" max="21" width="16.42578125" bestFit="1" customWidth="1"/>
    <col min="22" max="23" width="8.5703125" customWidth="1"/>
    <col min="24" max="24" width="16.42578125" bestFit="1" customWidth="1"/>
    <col min="25" max="26" width="8.5703125" customWidth="1"/>
  </cols>
  <sheetData>
    <row r="1" spans="9:14" ht="14.25" customHeight="1">
      <c r="I1" s="14"/>
      <c r="J1" s="14"/>
      <c r="K1" s="14"/>
      <c r="L1" s="14"/>
      <c r="M1" s="14"/>
      <c r="N1" s="14"/>
    </row>
    <row r="2" spans="9:14" ht="14.25" customHeight="1">
      <c r="I2" s="14"/>
      <c r="J2" s="14"/>
      <c r="K2" s="14"/>
      <c r="L2" s="14"/>
      <c r="M2" s="14"/>
      <c r="N2" s="14"/>
    </row>
    <row r="3" spans="9:14" ht="14.25" customHeight="1">
      <c r="I3" s="14"/>
      <c r="J3" s="14"/>
      <c r="K3" s="14"/>
      <c r="L3" s="14"/>
      <c r="M3" s="14"/>
      <c r="N3" s="14"/>
    </row>
    <row r="4" spans="9:14" ht="14.25" customHeight="1">
      <c r="I4" s="14"/>
      <c r="J4" s="14"/>
      <c r="K4" s="14"/>
      <c r="L4" s="14"/>
      <c r="M4" s="14"/>
      <c r="N4" s="14"/>
    </row>
    <row r="5" spans="9:14" ht="14.25" customHeight="1">
      <c r="I5" s="14"/>
      <c r="J5" s="14"/>
      <c r="K5" s="14"/>
      <c r="L5" s="14"/>
      <c r="M5" s="14"/>
      <c r="N5" s="14"/>
    </row>
    <row r="6" spans="9:14" ht="14.25" customHeight="1">
      <c r="I6" s="14"/>
      <c r="J6" s="14"/>
      <c r="K6" s="14"/>
      <c r="L6" s="14"/>
      <c r="M6" s="14"/>
      <c r="N6" s="14"/>
    </row>
    <row r="7" spans="9:14" ht="14.25" customHeight="1">
      <c r="I7" s="14"/>
      <c r="J7" s="14"/>
      <c r="K7" s="14"/>
      <c r="L7" s="14"/>
      <c r="M7" s="14"/>
      <c r="N7" s="14"/>
    </row>
    <row r="8" spans="9:14" ht="14.25" customHeight="1">
      <c r="I8" s="14"/>
      <c r="J8" s="14"/>
      <c r="K8" s="14"/>
      <c r="L8" s="14"/>
      <c r="M8" s="14"/>
      <c r="N8" s="14"/>
    </row>
    <row r="9" spans="9:14" ht="14.25" customHeight="1">
      <c r="I9" s="14"/>
      <c r="J9" s="14"/>
      <c r="K9" s="14"/>
      <c r="L9" s="14"/>
      <c r="M9" s="14"/>
      <c r="N9" s="14"/>
    </row>
    <row r="10" spans="9:14" ht="14.25" customHeight="1">
      <c r="I10" s="14"/>
      <c r="J10" s="14"/>
      <c r="K10" s="14"/>
      <c r="L10" s="14"/>
      <c r="M10" s="14"/>
      <c r="N10" s="14"/>
    </row>
    <row r="11" spans="9:14" ht="14.25" customHeight="1">
      <c r="I11" s="14"/>
      <c r="J11" s="14"/>
      <c r="K11" s="14"/>
      <c r="L11" s="14"/>
      <c r="M11" s="14"/>
      <c r="N11" s="14"/>
    </row>
    <row r="12" spans="9:14" ht="14.25" customHeight="1">
      <c r="I12" s="14"/>
      <c r="J12" s="14"/>
      <c r="K12" s="14"/>
      <c r="L12" s="14"/>
      <c r="M12" s="14"/>
      <c r="N12" s="14"/>
    </row>
    <row r="13" spans="9:14" ht="14.25" customHeight="1">
      <c r="I13" s="14"/>
      <c r="J13" s="14"/>
      <c r="K13" s="14"/>
      <c r="L13" s="14"/>
      <c r="M13" s="14"/>
      <c r="N13" s="14"/>
    </row>
    <row r="14" spans="9:14" ht="14.25" customHeight="1">
      <c r="I14" s="14"/>
      <c r="J14" s="14"/>
      <c r="K14" s="14"/>
      <c r="L14" s="14"/>
      <c r="M14" s="14"/>
      <c r="N14" s="14"/>
    </row>
    <row r="15" spans="9:14" ht="14.25" customHeight="1">
      <c r="I15" s="14"/>
      <c r="J15" s="14"/>
      <c r="K15" s="14"/>
      <c r="L15" s="14"/>
      <c r="M15" s="14"/>
      <c r="N15" s="14"/>
    </row>
    <row r="16" spans="9:14" ht="14.25" customHeight="1">
      <c r="I16" s="14"/>
      <c r="J16" s="14"/>
      <c r="K16" s="14"/>
      <c r="L16" s="14"/>
      <c r="M16" s="14"/>
      <c r="N16" s="14"/>
    </row>
    <row r="17" spans="2:24" ht="14.25" customHeight="1">
      <c r="I17" s="14"/>
      <c r="J17" s="14"/>
      <c r="K17" s="14"/>
      <c r="L17" s="14"/>
      <c r="M17" s="14"/>
      <c r="N17" s="14"/>
    </row>
    <row r="18" spans="2:24" ht="14.25" customHeight="1">
      <c r="B18" s="162" t="s">
        <v>80</v>
      </c>
      <c r="C18" s="159"/>
      <c r="D18" s="159"/>
      <c r="E18" s="159"/>
      <c r="F18" s="159"/>
      <c r="G18" s="159"/>
      <c r="I18" s="162" t="s">
        <v>81</v>
      </c>
      <c r="J18" s="159"/>
      <c r="K18" s="159"/>
      <c r="L18" s="159"/>
      <c r="M18" s="159"/>
      <c r="N18" s="159"/>
      <c r="P18" s="162" t="s">
        <v>82</v>
      </c>
      <c r="Q18" s="159"/>
      <c r="R18" s="159"/>
      <c r="S18" s="159"/>
      <c r="T18" s="159"/>
      <c r="U18" s="159"/>
    </row>
    <row r="19" spans="2:24" ht="14.25" customHeight="1">
      <c r="B19" s="161"/>
      <c r="C19" s="161"/>
      <c r="D19" s="161"/>
      <c r="E19" s="161"/>
      <c r="F19" s="161"/>
      <c r="G19" s="161"/>
      <c r="I19" s="161"/>
      <c r="J19" s="161"/>
      <c r="K19" s="161"/>
      <c r="L19" s="161"/>
      <c r="M19" s="161"/>
      <c r="N19" s="161"/>
      <c r="P19" s="161"/>
      <c r="Q19" s="161"/>
      <c r="R19" s="161"/>
      <c r="S19" s="161"/>
      <c r="T19" s="161"/>
      <c r="U19" s="161"/>
    </row>
    <row r="20" spans="2:24" ht="14.25" customHeight="1">
      <c r="B20" s="151" t="s">
        <v>83</v>
      </c>
      <c r="C20" s="2" t="s">
        <v>84</v>
      </c>
      <c r="D20" s="158">
        <v>3</v>
      </c>
      <c r="E20" s="159"/>
      <c r="F20" s="159"/>
      <c r="G20" s="159"/>
      <c r="I20" s="151" t="s">
        <v>83</v>
      </c>
      <c r="J20" s="2" t="s">
        <v>85</v>
      </c>
      <c r="K20" s="158">
        <v>1</v>
      </c>
      <c r="L20" s="159"/>
      <c r="M20" s="159"/>
      <c r="N20" s="159"/>
      <c r="P20" s="151" t="s">
        <v>83</v>
      </c>
      <c r="Q20" s="2" t="s">
        <v>86</v>
      </c>
      <c r="R20" s="170">
        <v>0.05</v>
      </c>
      <c r="S20" s="171"/>
      <c r="T20" s="171"/>
      <c r="U20" s="171"/>
    </row>
    <row r="21" spans="2:24" ht="14.25" customHeight="1">
      <c r="B21" s="141"/>
      <c r="C21" s="14"/>
      <c r="D21" s="164"/>
      <c r="E21" s="141"/>
      <c r="F21" s="141"/>
      <c r="G21" s="141"/>
      <c r="I21" s="141"/>
      <c r="J21" s="14" t="s">
        <v>87</v>
      </c>
      <c r="K21" s="160">
        <v>2</v>
      </c>
      <c r="L21" s="161"/>
      <c r="M21" s="161"/>
      <c r="N21" s="161"/>
      <c r="P21" s="141"/>
      <c r="Q21" s="14"/>
      <c r="R21" s="172"/>
      <c r="S21" s="161"/>
      <c r="T21" s="161"/>
      <c r="U21" s="161"/>
    </row>
    <row r="22" spans="2:24" ht="14.25" customHeight="1">
      <c r="B22" s="163"/>
      <c r="C22" s="19"/>
      <c r="D22" s="167"/>
      <c r="E22" s="163"/>
      <c r="F22" s="163"/>
      <c r="G22" s="163"/>
      <c r="I22" s="163"/>
      <c r="J22" s="19" t="s">
        <v>88</v>
      </c>
      <c r="K22" s="168">
        <v>3</v>
      </c>
      <c r="L22" s="169"/>
      <c r="M22" s="169"/>
      <c r="N22" s="169"/>
      <c r="P22" s="163"/>
      <c r="Q22" s="19"/>
      <c r="R22" s="168"/>
      <c r="S22" s="169"/>
      <c r="T22" s="169"/>
      <c r="U22" s="169"/>
    </row>
    <row r="23" spans="2:24" ht="14.25" customHeight="1">
      <c r="B23" s="151" t="s">
        <v>89</v>
      </c>
      <c r="C23" s="20" t="s">
        <v>90</v>
      </c>
      <c r="D23" s="152">
        <f>AVERAGE(E31:E68)</f>
        <v>183.43243243243239</v>
      </c>
      <c r="E23" s="148"/>
      <c r="F23" s="148"/>
      <c r="G23" s="148"/>
      <c r="I23" s="151" t="s">
        <v>89</v>
      </c>
      <c r="J23" s="20" t="s">
        <v>90</v>
      </c>
      <c r="K23" s="152">
        <f>AVERAGE(L31:L67)</f>
        <v>206.0585585585587</v>
      </c>
      <c r="L23" s="148"/>
      <c r="M23" s="148"/>
      <c r="N23" s="148"/>
      <c r="P23" s="151" t="s">
        <v>89</v>
      </c>
      <c r="Q23" s="20" t="s">
        <v>90</v>
      </c>
      <c r="R23" s="152">
        <f>AVERAGE(S28:S67)</f>
        <v>172.9973175016965</v>
      </c>
      <c r="S23" s="148"/>
      <c r="T23" s="148"/>
      <c r="U23" s="148"/>
      <c r="V23" s="21"/>
    </row>
    <row r="24" spans="2:24" ht="14.25" customHeight="1">
      <c r="B24" s="141"/>
      <c r="C24" s="90" t="s">
        <v>91</v>
      </c>
      <c r="D24" s="155">
        <f>AVERAGE(F31:F67)</f>
        <v>48517.546546546524</v>
      </c>
      <c r="E24" s="155"/>
      <c r="F24" s="155"/>
      <c r="G24" s="155"/>
      <c r="I24" s="141"/>
      <c r="J24" s="90" t="s">
        <v>91</v>
      </c>
      <c r="K24" s="165">
        <f>AVERAGE(M31:M67)</f>
        <v>58259.961711711767</v>
      </c>
      <c r="L24" s="166"/>
      <c r="M24" s="166"/>
      <c r="N24" s="166"/>
      <c r="P24" s="141"/>
      <c r="Q24" s="90" t="s">
        <v>91</v>
      </c>
      <c r="R24" s="165">
        <f>AVERAGE(T28:T67)</f>
        <v>46049.013075074894</v>
      </c>
      <c r="S24" s="166"/>
      <c r="T24" s="166"/>
      <c r="U24" s="166"/>
    </row>
    <row r="25" spans="2:24" ht="14.25" customHeight="1">
      <c r="B25" s="150"/>
      <c r="C25" s="22" t="s">
        <v>92</v>
      </c>
      <c r="D25" s="153">
        <f>AVERAGE(G31:G67)</f>
        <v>2.1636072632136474E-2</v>
      </c>
      <c r="E25" s="154"/>
      <c r="F25" s="154"/>
      <c r="G25" s="154"/>
      <c r="I25" s="150"/>
      <c r="J25" s="22" t="s">
        <v>92</v>
      </c>
      <c r="K25" s="156">
        <f>AVERAGE(N31:N67)</f>
        <v>2.431058044495029E-2</v>
      </c>
      <c r="L25" s="157"/>
      <c r="M25" s="157"/>
      <c r="N25" s="157"/>
      <c r="P25" s="150"/>
      <c r="Q25" s="22" t="s">
        <v>92</v>
      </c>
      <c r="R25" s="156">
        <f>AVERAGE(U28:U67)</f>
        <v>2.0533795721109957E-2</v>
      </c>
      <c r="S25" s="157"/>
      <c r="T25" s="157"/>
      <c r="U25" s="157"/>
    </row>
    <row r="26" spans="2:24" ht="14.25" customHeight="1">
      <c r="B26" s="14"/>
      <c r="C26" s="14"/>
      <c r="D26" s="14"/>
      <c r="E26" s="14"/>
      <c r="F26" s="14"/>
      <c r="G26" s="14"/>
      <c r="I26" s="14"/>
      <c r="J26" s="14"/>
      <c r="K26" s="14"/>
      <c r="L26" s="14"/>
      <c r="M26" s="14"/>
      <c r="N26" s="14"/>
      <c r="V26" s="23"/>
    </row>
    <row r="27" spans="2:24" s="35" customFormat="1" ht="75">
      <c r="B27" s="34" t="s">
        <v>27</v>
      </c>
      <c r="C27" s="86" t="s">
        <v>93</v>
      </c>
      <c r="D27" s="34" t="s">
        <v>94</v>
      </c>
      <c r="E27" s="34" t="s">
        <v>95</v>
      </c>
      <c r="F27" s="34" t="s">
        <v>96</v>
      </c>
      <c r="G27" s="34" t="s">
        <v>97</v>
      </c>
      <c r="I27" s="34" t="s">
        <v>27</v>
      </c>
      <c r="J27" s="34" t="s">
        <v>93</v>
      </c>
      <c r="K27" s="34" t="s">
        <v>94</v>
      </c>
      <c r="L27" s="34" t="s">
        <v>95</v>
      </c>
      <c r="M27" s="34" t="s">
        <v>96</v>
      </c>
      <c r="N27" s="34" t="s">
        <v>97</v>
      </c>
      <c r="P27" s="34" t="s">
        <v>27</v>
      </c>
      <c r="Q27" s="34" t="s">
        <v>93</v>
      </c>
      <c r="R27" s="34" t="s">
        <v>94</v>
      </c>
      <c r="S27" s="34" t="s">
        <v>95</v>
      </c>
      <c r="T27" s="34" t="s">
        <v>96</v>
      </c>
      <c r="U27" s="34" t="s">
        <v>97</v>
      </c>
    </row>
    <row r="28" spans="2:24" ht="14.25" customHeight="1">
      <c r="B28" s="14">
        <v>1</v>
      </c>
      <c r="C28" s="77">
        <v>8658</v>
      </c>
      <c r="D28" s="18"/>
      <c r="E28" s="18"/>
      <c r="F28" s="18"/>
      <c r="G28" s="24"/>
      <c r="I28" s="14">
        <v>1</v>
      </c>
      <c r="J28" s="77">
        <v>8658</v>
      </c>
      <c r="K28" s="18"/>
      <c r="L28" s="18"/>
      <c r="M28" s="18"/>
      <c r="N28" s="24"/>
      <c r="P28" s="14">
        <v>1</v>
      </c>
      <c r="Q28" s="77">
        <v>8658</v>
      </c>
      <c r="R28" s="77">
        <v>8658</v>
      </c>
      <c r="S28" s="18">
        <f>ABS(R28-Q28)</f>
        <v>0</v>
      </c>
      <c r="T28" s="18">
        <f>S28^2</f>
        <v>0</v>
      </c>
      <c r="U28" s="24">
        <f>S28/Q28</f>
        <v>0</v>
      </c>
    </row>
    <row r="29" spans="2:24" ht="14.25" customHeight="1">
      <c r="B29" s="14">
        <v>2</v>
      </c>
      <c r="C29" s="75">
        <v>8318</v>
      </c>
      <c r="D29" s="18"/>
      <c r="E29" s="18"/>
      <c r="F29" s="18"/>
      <c r="G29" s="24"/>
      <c r="I29" s="14">
        <v>2</v>
      </c>
      <c r="J29" s="75">
        <v>8318</v>
      </c>
      <c r="K29" s="18"/>
      <c r="L29" s="18"/>
      <c r="M29" s="18"/>
      <c r="N29" s="24"/>
      <c r="P29" s="14">
        <v>2</v>
      </c>
      <c r="Q29" s="75">
        <v>8318</v>
      </c>
      <c r="R29" s="18">
        <f>R$20*Q28+(1-R$20)*R28</f>
        <v>8658</v>
      </c>
      <c r="S29" s="18">
        <f t="shared" ref="S29:S67" si="0">ABS(R29-Q29)</f>
        <v>340</v>
      </c>
      <c r="T29" s="18">
        <f t="shared" ref="T29:T67" si="1">S29^2</f>
        <v>115600</v>
      </c>
      <c r="U29" s="24">
        <f t="shared" ref="U29:U67" si="2">S29/Q29</f>
        <v>4.0875210387112289E-2</v>
      </c>
    </row>
    <row r="30" spans="2:24" ht="14.25" customHeight="1">
      <c r="B30" s="14">
        <v>3</v>
      </c>
      <c r="C30" s="5">
        <v>8781</v>
      </c>
      <c r="D30" s="18"/>
      <c r="E30" s="18"/>
      <c r="F30" s="18"/>
      <c r="G30" s="24"/>
      <c r="I30" s="14">
        <v>3</v>
      </c>
      <c r="J30" s="5">
        <v>8781</v>
      </c>
      <c r="K30" s="18"/>
      <c r="L30" s="18"/>
      <c r="M30" s="18"/>
      <c r="N30" s="24"/>
      <c r="P30" s="14">
        <v>3</v>
      </c>
      <c r="Q30" s="5">
        <v>8781</v>
      </c>
      <c r="R30" s="18">
        <f t="shared" ref="R30:R68" si="3">R$20*Q29+(1-R$20)*R29</f>
        <v>8641</v>
      </c>
      <c r="S30" s="18">
        <f t="shared" si="0"/>
        <v>140</v>
      </c>
      <c r="T30" s="18">
        <f t="shared" si="1"/>
        <v>19600</v>
      </c>
      <c r="U30" s="24">
        <f t="shared" si="2"/>
        <v>1.5943514406104087E-2</v>
      </c>
    </row>
    <row r="31" spans="2:24" ht="14.25" customHeight="1">
      <c r="B31" s="14">
        <v>4</v>
      </c>
      <c r="C31" s="9">
        <v>8220</v>
      </c>
      <c r="D31" s="18">
        <f>SUM(C28:C30)/$D$20</f>
        <v>8585.6666666666661</v>
      </c>
      <c r="E31" s="18">
        <f>ABS(C31-D31)</f>
        <v>365.66666666666606</v>
      </c>
      <c r="F31" s="18">
        <f>E31^2</f>
        <v>133712.11111111066</v>
      </c>
      <c r="G31" s="24">
        <f>E31/C31</f>
        <v>4.4484995944849885E-2</v>
      </c>
      <c r="I31" s="14">
        <v>4</v>
      </c>
      <c r="J31" s="9">
        <v>8220</v>
      </c>
      <c r="K31" s="18">
        <f>(1/6)*($K$20*J28+K$21*J29+K$22*J30)</f>
        <v>8606.1666666666661</v>
      </c>
      <c r="L31" s="18">
        <f>ABS(J31-K31)</f>
        <v>386.16666666666606</v>
      </c>
      <c r="M31" s="18">
        <f>L31^2</f>
        <v>149124.69444444397</v>
      </c>
      <c r="N31" s="24">
        <f>L31/J31</f>
        <v>4.6978913219789059E-2</v>
      </c>
      <c r="P31" s="14">
        <v>4</v>
      </c>
      <c r="Q31" s="9">
        <v>8220</v>
      </c>
      <c r="R31" s="18">
        <f t="shared" si="3"/>
        <v>8647.9999999999982</v>
      </c>
      <c r="S31" s="18">
        <f t="shared" si="0"/>
        <v>427.99999999999818</v>
      </c>
      <c r="T31" s="18">
        <f t="shared" si="1"/>
        <v>183183.99999999843</v>
      </c>
      <c r="U31" s="24">
        <f t="shared" si="2"/>
        <v>5.2068126520681046E-2</v>
      </c>
    </row>
    <row r="32" spans="2:24" ht="14.25" customHeight="1">
      <c r="B32" s="14">
        <v>5</v>
      </c>
      <c r="C32" s="7">
        <v>8617</v>
      </c>
      <c r="D32" s="18">
        <f>SUM(C29:C31)/$D$20</f>
        <v>8439.6666666666661</v>
      </c>
      <c r="E32" s="18">
        <f t="shared" ref="E32:E67" si="4">ABS(C32-D32)</f>
        <v>177.33333333333394</v>
      </c>
      <c r="F32" s="18">
        <f t="shared" ref="F32:F67" si="5">E32^2</f>
        <v>31447.111111111328</v>
      </c>
      <c r="G32" s="24">
        <f t="shared" ref="G32:G67" si="6">E32/C32</f>
        <v>2.0579474681830561E-2</v>
      </c>
      <c r="I32" s="14">
        <v>5</v>
      </c>
      <c r="J32" s="7">
        <v>8617</v>
      </c>
      <c r="K32" s="18">
        <f t="shared" ref="K32:K68" si="7">(1/6)*($K$20*J29+K$21*J30+K$22*J31)</f>
        <v>8423.3333333333321</v>
      </c>
      <c r="L32" s="18">
        <f t="shared" ref="L32:L67" si="8">ABS(J32-K32)</f>
        <v>193.66666666666788</v>
      </c>
      <c r="M32" s="18">
        <f t="shared" ref="M32:M67" si="9">L32^2</f>
        <v>37506.777777778247</v>
      </c>
      <c r="N32" s="24">
        <f t="shared" ref="N32:N67" si="10">L32/J32</f>
        <v>2.2474952613051859E-2</v>
      </c>
      <c r="P32" s="14">
        <v>5</v>
      </c>
      <c r="Q32" s="7">
        <v>8617</v>
      </c>
      <c r="R32" s="18">
        <f t="shared" si="3"/>
        <v>8626.5999999999985</v>
      </c>
      <c r="S32" s="18">
        <f t="shared" si="0"/>
        <v>9.5999999999985448</v>
      </c>
      <c r="T32" s="18">
        <f t="shared" si="1"/>
        <v>92.159999999972058</v>
      </c>
      <c r="U32" s="24">
        <f t="shared" si="2"/>
        <v>1.1140768248808803E-3</v>
      </c>
      <c r="X32" s="66"/>
    </row>
    <row r="33" spans="2:21" ht="14.25" customHeight="1">
      <c r="B33" s="14">
        <v>6</v>
      </c>
      <c r="C33" s="5">
        <v>8938</v>
      </c>
      <c r="D33" s="18">
        <f t="shared" ref="D33:D68" si="11">SUM(C30:C32)/$D$20</f>
        <v>8539.3333333333339</v>
      </c>
      <c r="E33" s="18">
        <f t="shared" si="4"/>
        <v>398.66666666666606</v>
      </c>
      <c r="F33" s="18">
        <f t="shared" si="5"/>
        <v>158935.11111111063</v>
      </c>
      <c r="G33" s="24">
        <f t="shared" si="6"/>
        <v>4.4603565301707997E-2</v>
      </c>
      <c r="I33" s="14">
        <v>6</v>
      </c>
      <c r="J33" s="5">
        <v>8938</v>
      </c>
      <c r="K33" s="18">
        <f t="shared" si="7"/>
        <v>8512</v>
      </c>
      <c r="L33" s="18">
        <f t="shared" si="8"/>
        <v>426</v>
      </c>
      <c r="M33" s="18">
        <f t="shared" si="9"/>
        <v>181476</v>
      </c>
      <c r="N33" s="24">
        <f t="shared" si="10"/>
        <v>4.7661669277243232E-2</v>
      </c>
      <c r="P33" s="14">
        <v>6</v>
      </c>
      <c r="Q33" s="5">
        <v>8938</v>
      </c>
      <c r="R33" s="18">
        <f t="shared" si="3"/>
        <v>8626.119999999999</v>
      </c>
      <c r="S33" s="18">
        <f t="shared" si="0"/>
        <v>311.88000000000102</v>
      </c>
      <c r="T33" s="18">
        <f t="shared" si="1"/>
        <v>97269.134400000636</v>
      </c>
      <c r="U33" s="24">
        <f t="shared" si="2"/>
        <v>3.4893712239874808E-2</v>
      </c>
    </row>
    <row r="34" spans="2:21" ht="14.25" customHeight="1">
      <c r="B34" s="14">
        <v>7</v>
      </c>
      <c r="C34" s="9">
        <v>8302</v>
      </c>
      <c r="D34" s="18">
        <f t="shared" si="11"/>
        <v>8591.6666666666661</v>
      </c>
      <c r="E34" s="18">
        <f t="shared" si="4"/>
        <v>289.66666666666606</v>
      </c>
      <c r="F34" s="18">
        <f t="shared" si="5"/>
        <v>83906.777777777432</v>
      </c>
      <c r="G34" s="24">
        <f t="shared" si="6"/>
        <v>3.4891190877700082E-2</v>
      </c>
      <c r="I34" s="14">
        <v>7</v>
      </c>
      <c r="J34" s="9">
        <v>8302</v>
      </c>
      <c r="K34" s="18">
        <f t="shared" si="7"/>
        <v>8711.3333333333321</v>
      </c>
      <c r="L34" s="18">
        <f t="shared" si="8"/>
        <v>409.33333333333212</v>
      </c>
      <c r="M34" s="18">
        <f t="shared" si="9"/>
        <v>167553.77777777679</v>
      </c>
      <c r="N34" s="24">
        <f t="shared" si="10"/>
        <v>4.9305388259856919E-2</v>
      </c>
      <c r="P34" s="14">
        <v>7</v>
      </c>
      <c r="Q34" s="9">
        <v>8302</v>
      </c>
      <c r="R34" s="18">
        <f t="shared" si="3"/>
        <v>8641.7139999999981</v>
      </c>
      <c r="S34" s="18">
        <f t="shared" si="0"/>
        <v>339.71399999999812</v>
      </c>
      <c r="T34" s="18">
        <f t="shared" si="1"/>
        <v>115405.60179599872</v>
      </c>
      <c r="U34" s="24">
        <f t="shared" si="2"/>
        <v>4.0919537460852577E-2</v>
      </c>
    </row>
    <row r="35" spans="2:21" ht="14.25" customHeight="1">
      <c r="B35" s="14">
        <v>8</v>
      </c>
      <c r="C35" s="7">
        <v>8387</v>
      </c>
      <c r="D35" s="18">
        <f t="shared" si="11"/>
        <v>8619</v>
      </c>
      <c r="E35" s="18">
        <f t="shared" si="4"/>
        <v>232</v>
      </c>
      <c r="F35" s="18">
        <f t="shared" si="5"/>
        <v>53824</v>
      </c>
      <c r="G35" s="24">
        <f t="shared" si="6"/>
        <v>2.7661857636818887E-2</v>
      </c>
      <c r="I35" s="14">
        <v>8</v>
      </c>
      <c r="J35" s="7">
        <v>8387</v>
      </c>
      <c r="K35" s="18">
        <f t="shared" si="7"/>
        <v>8566.5</v>
      </c>
      <c r="L35" s="18">
        <f t="shared" si="8"/>
        <v>179.5</v>
      </c>
      <c r="M35" s="18">
        <f t="shared" si="9"/>
        <v>32220.25</v>
      </c>
      <c r="N35" s="24">
        <f t="shared" si="10"/>
        <v>2.140217002503875E-2</v>
      </c>
      <c r="P35" s="14">
        <v>8</v>
      </c>
      <c r="Q35" s="7">
        <v>8387</v>
      </c>
      <c r="R35" s="18">
        <f t="shared" si="3"/>
        <v>8624.7282999999989</v>
      </c>
      <c r="S35" s="18">
        <f t="shared" si="0"/>
        <v>237.72829999999885</v>
      </c>
      <c r="T35" s="18">
        <f t="shared" si="1"/>
        <v>56514.744620889454</v>
      </c>
      <c r="U35" s="24">
        <f t="shared" si="2"/>
        <v>2.8344855132943703E-2</v>
      </c>
    </row>
    <row r="36" spans="2:21" ht="14.25" customHeight="1">
      <c r="B36" s="14">
        <v>9</v>
      </c>
      <c r="C36" s="5">
        <v>8520</v>
      </c>
      <c r="D36" s="18">
        <f t="shared" si="11"/>
        <v>8542.3333333333339</v>
      </c>
      <c r="E36" s="18">
        <f t="shared" si="4"/>
        <v>22.33333333333394</v>
      </c>
      <c r="F36" s="18">
        <f t="shared" si="5"/>
        <v>498.77777777780489</v>
      </c>
      <c r="G36" s="24">
        <f t="shared" si="6"/>
        <v>2.621283255086143E-3</v>
      </c>
      <c r="I36" s="14">
        <v>9</v>
      </c>
      <c r="J36" s="5">
        <v>8520</v>
      </c>
      <c r="K36" s="18">
        <f t="shared" si="7"/>
        <v>8450.5</v>
      </c>
      <c r="L36" s="18">
        <f t="shared" si="8"/>
        <v>69.5</v>
      </c>
      <c r="M36" s="18">
        <f t="shared" si="9"/>
        <v>4830.25</v>
      </c>
      <c r="N36" s="24">
        <f t="shared" si="10"/>
        <v>8.1572769953051644E-3</v>
      </c>
      <c r="P36" s="14">
        <v>9</v>
      </c>
      <c r="Q36" s="5">
        <v>8520</v>
      </c>
      <c r="R36" s="18">
        <f t="shared" si="3"/>
        <v>8612.841884999998</v>
      </c>
      <c r="S36" s="18">
        <f t="shared" si="0"/>
        <v>92.841884999998001</v>
      </c>
      <c r="T36" s="18">
        <f t="shared" si="1"/>
        <v>8619.6156103528538</v>
      </c>
      <c r="U36" s="24">
        <f t="shared" si="2"/>
        <v>1.0896934859154696E-2</v>
      </c>
    </row>
    <row r="37" spans="2:21" ht="14.25" customHeight="1">
      <c r="B37" s="14">
        <v>10</v>
      </c>
      <c r="C37" s="9">
        <v>8399</v>
      </c>
      <c r="D37" s="18">
        <f t="shared" si="11"/>
        <v>8403</v>
      </c>
      <c r="E37" s="18">
        <f t="shared" si="4"/>
        <v>4</v>
      </c>
      <c r="F37" s="18">
        <f t="shared" si="5"/>
        <v>16</v>
      </c>
      <c r="G37" s="24">
        <f t="shared" si="6"/>
        <v>4.7624717228241458E-4</v>
      </c>
      <c r="I37" s="14">
        <v>10</v>
      </c>
      <c r="J37" s="9">
        <v>8399</v>
      </c>
      <c r="K37" s="18">
        <f t="shared" si="7"/>
        <v>8439.3333333333321</v>
      </c>
      <c r="L37" s="18">
        <f t="shared" si="8"/>
        <v>40.333333333332121</v>
      </c>
      <c r="M37" s="18">
        <f t="shared" si="9"/>
        <v>1626.7777777776801</v>
      </c>
      <c r="N37" s="24">
        <f t="shared" si="10"/>
        <v>4.8021589871808691E-3</v>
      </c>
      <c r="P37" s="14">
        <v>10</v>
      </c>
      <c r="Q37" s="9">
        <v>8399</v>
      </c>
      <c r="R37" s="18">
        <f t="shared" si="3"/>
        <v>8608.1997907499972</v>
      </c>
      <c r="S37" s="18">
        <f t="shared" si="0"/>
        <v>209.19979074999719</v>
      </c>
      <c r="T37" s="18">
        <f t="shared" si="1"/>
        <v>43764.552449842609</v>
      </c>
      <c r="U37" s="24">
        <f t="shared" si="2"/>
        <v>2.4907702196689748E-2</v>
      </c>
    </row>
    <row r="38" spans="2:21" ht="14.25" customHeight="1">
      <c r="B38" s="14">
        <v>11</v>
      </c>
      <c r="C38" s="7">
        <v>8190</v>
      </c>
      <c r="D38" s="18">
        <f t="shared" si="11"/>
        <v>8435.3333333333339</v>
      </c>
      <c r="E38" s="18">
        <f t="shared" si="4"/>
        <v>245.33333333333394</v>
      </c>
      <c r="F38" s="18">
        <f t="shared" si="5"/>
        <v>60188.444444444744</v>
      </c>
      <c r="G38" s="24">
        <f t="shared" si="6"/>
        <v>2.995522995523003E-2</v>
      </c>
      <c r="I38" s="14">
        <v>11</v>
      </c>
      <c r="J38" s="7">
        <v>8190</v>
      </c>
      <c r="K38" s="18">
        <f t="shared" si="7"/>
        <v>8437.3333333333321</v>
      </c>
      <c r="L38" s="18">
        <f t="shared" si="8"/>
        <v>247.33333333333212</v>
      </c>
      <c r="M38" s="18">
        <f t="shared" si="9"/>
        <v>61173.777777777177</v>
      </c>
      <c r="N38" s="24">
        <f t="shared" si="10"/>
        <v>3.0199430199430052E-2</v>
      </c>
      <c r="P38" s="14">
        <v>11</v>
      </c>
      <c r="Q38" s="7">
        <v>8190</v>
      </c>
      <c r="R38" s="18">
        <f t="shared" si="3"/>
        <v>8597.7398012124977</v>
      </c>
      <c r="S38" s="18">
        <f t="shared" si="0"/>
        <v>407.7398012124977</v>
      </c>
      <c r="T38" s="18">
        <f t="shared" si="1"/>
        <v>166251.74549280712</v>
      </c>
      <c r="U38" s="24">
        <f t="shared" si="2"/>
        <v>4.9785079513125483E-2</v>
      </c>
    </row>
    <row r="39" spans="2:21" ht="14.25" customHeight="1">
      <c r="B39" s="14">
        <v>12</v>
      </c>
      <c r="C39" s="5">
        <v>8514</v>
      </c>
      <c r="D39" s="18">
        <f t="shared" si="11"/>
        <v>8369.6666666666661</v>
      </c>
      <c r="E39" s="18">
        <f t="shared" si="4"/>
        <v>144.33333333333394</v>
      </c>
      <c r="F39" s="18">
        <f t="shared" si="5"/>
        <v>20832.111111111288</v>
      </c>
      <c r="G39" s="24">
        <f t="shared" si="6"/>
        <v>1.6952470440842606E-2</v>
      </c>
      <c r="I39" s="14">
        <v>12</v>
      </c>
      <c r="J39" s="5">
        <v>8514</v>
      </c>
      <c r="K39" s="18">
        <f t="shared" si="7"/>
        <v>8314.6666666666661</v>
      </c>
      <c r="L39" s="18">
        <f t="shared" si="8"/>
        <v>199.33333333333394</v>
      </c>
      <c r="M39" s="18">
        <f t="shared" si="9"/>
        <v>39733.777777778021</v>
      </c>
      <c r="N39" s="24">
        <f t="shared" si="10"/>
        <v>2.3412418761256042E-2</v>
      </c>
      <c r="P39" s="14">
        <v>12</v>
      </c>
      <c r="Q39" s="5">
        <v>8514</v>
      </c>
      <c r="R39" s="18">
        <f t="shared" si="3"/>
        <v>8577.3528111518717</v>
      </c>
      <c r="S39" s="18">
        <f t="shared" si="0"/>
        <v>63.35281115187172</v>
      </c>
      <c r="T39" s="18">
        <f t="shared" si="1"/>
        <v>4013.5786808447219</v>
      </c>
      <c r="U39" s="24">
        <f t="shared" si="2"/>
        <v>7.441016108981879E-3</v>
      </c>
    </row>
    <row r="40" spans="2:21" ht="14.25" customHeight="1">
      <c r="B40" s="14">
        <v>13</v>
      </c>
      <c r="C40" s="9">
        <v>8288</v>
      </c>
      <c r="D40" s="18">
        <f t="shared" si="11"/>
        <v>8367.6666666666661</v>
      </c>
      <c r="E40" s="18">
        <f t="shared" si="4"/>
        <v>79.66666666666606</v>
      </c>
      <c r="F40" s="18">
        <f t="shared" si="5"/>
        <v>6346.777777777681</v>
      </c>
      <c r="G40" s="24">
        <f t="shared" si="6"/>
        <v>9.6122908622907899E-3</v>
      </c>
      <c r="I40" s="14">
        <v>13</v>
      </c>
      <c r="J40" s="9">
        <v>8288</v>
      </c>
      <c r="K40" s="18">
        <f t="shared" si="7"/>
        <v>8386.8333333333321</v>
      </c>
      <c r="L40" s="18">
        <f t="shared" si="8"/>
        <v>98.833333333332121</v>
      </c>
      <c r="M40" s="18">
        <f t="shared" si="9"/>
        <v>9768.0277777775373</v>
      </c>
      <c r="N40" s="24">
        <f t="shared" si="10"/>
        <v>1.1924871299871154E-2</v>
      </c>
      <c r="P40" s="14">
        <v>13</v>
      </c>
      <c r="Q40" s="9">
        <v>8288</v>
      </c>
      <c r="R40" s="18">
        <f t="shared" si="3"/>
        <v>8574.1851705942772</v>
      </c>
      <c r="S40" s="18">
        <f t="shared" si="0"/>
        <v>286.18517059427722</v>
      </c>
      <c r="T40" s="18">
        <f t="shared" si="1"/>
        <v>81901.951868075557</v>
      </c>
      <c r="U40" s="24">
        <f t="shared" si="2"/>
        <v>3.4530064019579781E-2</v>
      </c>
    </row>
    <row r="41" spans="2:21" ht="14.25" customHeight="1">
      <c r="B41" s="14">
        <v>14</v>
      </c>
      <c r="C41" s="7">
        <v>8595</v>
      </c>
      <c r="D41" s="18">
        <f t="shared" si="11"/>
        <v>8330.6666666666661</v>
      </c>
      <c r="E41" s="18">
        <f t="shared" si="4"/>
        <v>264.33333333333394</v>
      </c>
      <c r="F41" s="18">
        <f t="shared" si="5"/>
        <v>69872.11111111143</v>
      </c>
      <c r="G41" s="24">
        <f t="shared" si="6"/>
        <v>3.0754314523948102E-2</v>
      </c>
      <c r="I41" s="14">
        <v>14</v>
      </c>
      <c r="J41" s="7">
        <v>8595</v>
      </c>
      <c r="K41" s="18">
        <f t="shared" si="7"/>
        <v>8347</v>
      </c>
      <c r="L41" s="18">
        <f t="shared" si="8"/>
        <v>248</v>
      </c>
      <c r="M41" s="18">
        <f t="shared" si="9"/>
        <v>61504</v>
      </c>
      <c r="N41" s="24">
        <f t="shared" si="10"/>
        <v>2.8853984874927283E-2</v>
      </c>
      <c r="P41" s="14">
        <v>14</v>
      </c>
      <c r="Q41" s="7">
        <v>8595</v>
      </c>
      <c r="R41" s="18">
        <f t="shared" si="3"/>
        <v>8559.8759120645627</v>
      </c>
      <c r="S41" s="18">
        <f t="shared" si="0"/>
        <v>35.124087935437274</v>
      </c>
      <c r="T41" s="18">
        <f t="shared" si="1"/>
        <v>1233.7015532963303</v>
      </c>
      <c r="U41" s="24">
        <f t="shared" si="2"/>
        <v>4.0865721856238827E-3</v>
      </c>
    </row>
    <row r="42" spans="2:21" ht="14.25" customHeight="1">
      <c r="B42" s="14">
        <v>15</v>
      </c>
      <c r="C42" s="5">
        <v>8316</v>
      </c>
      <c r="D42" s="18">
        <f t="shared" si="11"/>
        <v>8465.6666666666661</v>
      </c>
      <c r="E42" s="18">
        <f t="shared" si="4"/>
        <v>149.66666666666606</v>
      </c>
      <c r="F42" s="18">
        <f t="shared" si="5"/>
        <v>22400.111111110931</v>
      </c>
      <c r="G42" s="24">
        <f t="shared" si="6"/>
        <v>1.7997434664101256E-2</v>
      </c>
      <c r="I42" s="14">
        <v>15</v>
      </c>
      <c r="J42" s="5">
        <v>8316</v>
      </c>
      <c r="K42" s="18">
        <f t="shared" si="7"/>
        <v>8479.1666666666661</v>
      </c>
      <c r="L42" s="18">
        <f t="shared" si="8"/>
        <v>163.16666666666606</v>
      </c>
      <c r="M42" s="18">
        <f t="shared" si="9"/>
        <v>26623.361111110913</v>
      </c>
      <c r="N42" s="24">
        <f t="shared" si="10"/>
        <v>1.962081128747788E-2</v>
      </c>
      <c r="P42" s="14">
        <v>15</v>
      </c>
      <c r="Q42" s="5">
        <v>8316</v>
      </c>
      <c r="R42" s="18">
        <f t="shared" si="3"/>
        <v>8561.6321164613346</v>
      </c>
      <c r="S42" s="18">
        <f t="shared" si="0"/>
        <v>245.63211646133459</v>
      </c>
      <c r="T42" s="18">
        <f t="shared" si="1"/>
        <v>60335.136637274642</v>
      </c>
      <c r="U42" s="24">
        <f t="shared" si="2"/>
        <v>2.9537291541767027E-2</v>
      </c>
    </row>
    <row r="43" spans="2:21" ht="14.25" customHeight="1">
      <c r="B43" s="14">
        <v>16</v>
      </c>
      <c r="C43" s="9">
        <v>8810</v>
      </c>
      <c r="D43" s="18">
        <f t="shared" si="11"/>
        <v>8399.6666666666661</v>
      </c>
      <c r="E43" s="18">
        <f t="shared" si="4"/>
        <v>410.33333333333394</v>
      </c>
      <c r="F43" s="18">
        <f t="shared" si="5"/>
        <v>168373.44444444493</v>
      </c>
      <c r="G43" s="24">
        <f t="shared" si="6"/>
        <v>4.6575860764283078E-2</v>
      </c>
      <c r="I43" s="14">
        <v>16</v>
      </c>
      <c r="J43" s="9">
        <v>8810</v>
      </c>
      <c r="K43" s="18">
        <f t="shared" si="7"/>
        <v>8404.3333333333321</v>
      </c>
      <c r="L43" s="18">
        <f t="shared" si="8"/>
        <v>405.66666666666788</v>
      </c>
      <c r="M43" s="18">
        <f t="shared" si="9"/>
        <v>164565.44444444543</v>
      </c>
      <c r="N43" s="24">
        <f t="shared" si="10"/>
        <v>4.6046159667045165E-2</v>
      </c>
      <c r="P43" s="14">
        <v>16</v>
      </c>
      <c r="Q43" s="9">
        <v>8810</v>
      </c>
      <c r="R43" s="18">
        <f t="shared" si="3"/>
        <v>8549.3505106382672</v>
      </c>
      <c r="S43" s="18">
        <f t="shared" si="0"/>
        <v>260.64948936173278</v>
      </c>
      <c r="T43" s="18">
        <f t="shared" si="1"/>
        <v>67938.156304532051</v>
      </c>
      <c r="U43" s="24">
        <f t="shared" si="2"/>
        <v>2.9585640109163765E-2</v>
      </c>
    </row>
    <row r="44" spans="2:21" ht="14.25" customHeight="1">
      <c r="B44" s="14">
        <v>17</v>
      </c>
      <c r="C44" s="7">
        <v>8343</v>
      </c>
      <c r="D44" s="18">
        <f t="shared" si="11"/>
        <v>8573.6666666666661</v>
      </c>
      <c r="E44" s="18">
        <f t="shared" si="4"/>
        <v>230.66666666666606</v>
      </c>
      <c r="F44" s="18">
        <f t="shared" si="5"/>
        <v>53207.111111110833</v>
      </c>
      <c r="G44" s="24">
        <f t="shared" si="6"/>
        <v>2.7647928403052385E-2</v>
      </c>
      <c r="I44" s="14">
        <v>17</v>
      </c>
      <c r="J44" s="7">
        <v>8343</v>
      </c>
      <c r="K44" s="18">
        <f t="shared" si="7"/>
        <v>8609.5</v>
      </c>
      <c r="L44" s="18">
        <f t="shared" si="8"/>
        <v>266.5</v>
      </c>
      <c r="M44" s="18">
        <f t="shared" si="9"/>
        <v>71022.25</v>
      </c>
      <c r="N44" s="24">
        <f t="shared" si="10"/>
        <v>3.1942946182428385E-2</v>
      </c>
      <c r="P44" s="14">
        <v>17</v>
      </c>
      <c r="Q44" s="7">
        <v>8343</v>
      </c>
      <c r="R44" s="18">
        <f t="shared" si="3"/>
        <v>8562.3829851063529</v>
      </c>
      <c r="S44" s="18">
        <f t="shared" si="0"/>
        <v>219.38298510635286</v>
      </c>
      <c r="T44" s="18">
        <f t="shared" si="1"/>
        <v>48128.894154174239</v>
      </c>
      <c r="U44" s="24">
        <f t="shared" si="2"/>
        <v>2.6295455484400439E-2</v>
      </c>
    </row>
    <row r="45" spans="2:21" ht="14.25" customHeight="1">
      <c r="B45" s="14">
        <v>18</v>
      </c>
      <c r="C45" s="5">
        <v>8436</v>
      </c>
      <c r="D45" s="18">
        <f t="shared" si="11"/>
        <v>8489.6666666666661</v>
      </c>
      <c r="E45" s="18">
        <f t="shared" si="4"/>
        <v>53.66666666666606</v>
      </c>
      <c r="F45" s="18">
        <f t="shared" si="5"/>
        <v>2880.1111111110458</v>
      </c>
      <c r="G45" s="24">
        <f t="shared" si="6"/>
        <v>6.361624782677342E-3</v>
      </c>
      <c r="I45" s="14">
        <v>18</v>
      </c>
      <c r="J45" s="5">
        <v>8436</v>
      </c>
      <c r="K45" s="18">
        <f t="shared" si="7"/>
        <v>8494.1666666666661</v>
      </c>
      <c r="L45" s="18">
        <f t="shared" si="8"/>
        <v>58.16666666666606</v>
      </c>
      <c r="M45" s="18">
        <f t="shared" si="9"/>
        <v>3383.3611111110404</v>
      </c>
      <c r="N45" s="24">
        <f t="shared" si="10"/>
        <v>6.8950529476844548E-3</v>
      </c>
      <c r="P45" s="14">
        <v>18</v>
      </c>
      <c r="Q45" s="5">
        <v>8436</v>
      </c>
      <c r="R45" s="18">
        <f t="shared" si="3"/>
        <v>8551.4138358510354</v>
      </c>
      <c r="S45" s="18">
        <f t="shared" si="0"/>
        <v>115.4138358510354</v>
      </c>
      <c r="T45" s="18">
        <f t="shared" si="1"/>
        <v>13320.353505849744</v>
      </c>
      <c r="U45" s="24">
        <f t="shared" si="2"/>
        <v>1.3681109038766643E-2</v>
      </c>
    </row>
    <row r="46" spans="2:21" ht="14.25" customHeight="1">
      <c r="B46" s="14">
        <v>19</v>
      </c>
      <c r="C46" s="9">
        <v>8663</v>
      </c>
      <c r="D46" s="18">
        <f t="shared" si="11"/>
        <v>8529.6666666666661</v>
      </c>
      <c r="E46" s="18">
        <f t="shared" si="4"/>
        <v>133.33333333333394</v>
      </c>
      <c r="F46" s="18">
        <f t="shared" si="5"/>
        <v>17777.777777777941</v>
      </c>
      <c r="G46" s="24">
        <f t="shared" si="6"/>
        <v>1.5391127015275764E-2</v>
      </c>
      <c r="I46" s="14">
        <v>19</v>
      </c>
      <c r="J46" s="9">
        <v>8663</v>
      </c>
      <c r="K46" s="18">
        <f t="shared" si="7"/>
        <v>8467.3333333333321</v>
      </c>
      <c r="L46" s="18">
        <f t="shared" si="8"/>
        <v>195.66666666666788</v>
      </c>
      <c r="M46" s="18">
        <f t="shared" si="9"/>
        <v>38285.444444444918</v>
      </c>
      <c r="N46" s="24">
        <f t="shared" si="10"/>
        <v>2.258647889491722E-2</v>
      </c>
      <c r="P46" s="14">
        <v>19</v>
      </c>
      <c r="Q46" s="9">
        <v>8663</v>
      </c>
      <c r="R46" s="18">
        <f t="shared" si="3"/>
        <v>8545.6431440584838</v>
      </c>
      <c r="S46" s="18">
        <f t="shared" si="0"/>
        <v>117.35685594151619</v>
      </c>
      <c r="T46" s="18">
        <f t="shared" si="1"/>
        <v>13772.631636477783</v>
      </c>
      <c r="U46" s="24">
        <f t="shared" si="2"/>
        <v>1.3546907069319656E-2</v>
      </c>
    </row>
    <row r="47" spans="2:21" ht="14.25" customHeight="1">
      <c r="B47" s="14">
        <v>20</v>
      </c>
      <c r="C47" s="7">
        <v>8254</v>
      </c>
      <c r="D47" s="18">
        <f t="shared" si="11"/>
        <v>8480.6666666666661</v>
      </c>
      <c r="E47" s="18">
        <f t="shared" si="4"/>
        <v>226.66666666666606</v>
      </c>
      <c r="F47" s="18">
        <f t="shared" si="5"/>
        <v>51377.777777777505</v>
      </c>
      <c r="G47" s="24">
        <f t="shared" si="6"/>
        <v>2.7461432840642848E-2</v>
      </c>
      <c r="I47" s="14">
        <v>20</v>
      </c>
      <c r="J47" s="7">
        <v>8254</v>
      </c>
      <c r="K47" s="18">
        <f t="shared" si="7"/>
        <v>8534</v>
      </c>
      <c r="L47" s="18">
        <f t="shared" si="8"/>
        <v>280</v>
      </c>
      <c r="M47" s="18">
        <f t="shared" si="9"/>
        <v>78400</v>
      </c>
      <c r="N47" s="24">
        <f t="shared" si="10"/>
        <v>3.3922946450205958E-2</v>
      </c>
      <c r="P47" s="14">
        <v>20</v>
      </c>
      <c r="Q47" s="7">
        <v>8254</v>
      </c>
      <c r="R47" s="18">
        <f t="shared" si="3"/>
        <v>8551.5109868555592</v>
      </c>
      <c r="S47" s="18">
        <f t="shared" si="0"/>
        <v>297.51098685555917</v>
      </c>
      <c r="T47" s="18">
        <f t="shared" si="1"/>
        <v>88512.787299768694</v>
      </c>
      <c r="U47" s="24">
        <f t="shared" si="2"/>
        <v>3.6044461698032368E-2</v>
      </c>
    </row>
    <row r="48" spans="2:21" ht="14.25" customHeight="1">
      <c r="B48" s="14">
        <v>21</v>
      </c>
      <c r="C48" s="5">
        <v>8545</v>
      </c>
      <c r="D48" s="18">
        <f t="shared" si="11"/>
        <v>8451</v>
      </c>
      <c r="E48" s="18">
        <f t="shared" si="4"/>
        <v>94</v>
      </c>
      <c r="F48" s="18">
        <f t="shared" si="5"/>
        <v>8836</v>
      </c>
      <c r="G48" s="24">
        <f t="shared" si="6"/>
        <v>1.1000585137507315E-2</v>
      </c>
      <c r="I48" s="14">
        <v>21</v>
      </c>
      <c r="J48" s="5">
        <v>8545</v>
      </c>
      <c r="K48" s="18">
        <f t="shared" si="7"/>
        <v>8420.6666666666661</v>
      </c>
      <c r="L48" s="18">
        <f t="shared" si="8"/>
        <v>124.33333333333394</v>
      </c>
      <c r="M48" s="18">
        <f t="shared" si="9"/>
        <v>15458.777777777928</v>
      </c>
      <c r="N48" s="24">
        <f t="shared" si="10"/>
        <v>1.455041934854698E-2</v>
      </c>
      <c r="P48" s="14">
        <v>21</v>
      </c>
      <c r="Q48" s="5">
        <v>8545</v>
      </c>
      <c r="R48" s="18">
        <f t="shared" si="3"/>
        <v>8536.6354375127812</v>
      </c>
      <c r="S48" s="18">
        <f t="shared" si="0"/>
        <v>8.3645624872187909</v>
      </c>
      <c r="T48" s="18">
        <f t="shared" si="1"/>
        <v>69.96590560258781</v>
      </c>
      <c r="U48" s="24">
        <f t="shared" si="2"/>
        <v>9.7888384870904515E-4</v>
      </c>
    </row>
    <row r="49" spans="2:21" ht="14.25" customHeight="1">
      <c r="B49" s="14">
        <v>22</v>
      </c>
      <c r="C49" s="9">
        <v>8761</v>
      </c>
      <c r="D49" s="18">
        <f t="shared" si="11"/>
        <v>8487.3333333333339</v>
      </c>
      <c r="E49" s="18">
        <f t="shared" si="4"/>
        <v>273.66666666666606</v>
      </c>
      <c r="F49" s="18">
        <f t="shared" si="5"/>
        <v>74893.444444444118</v>
      </c>
      <c r="G49" s="24">
        <f t="shared" si="6"/>
        <v>3.1236921203819889E-2</v>
      </c>
      <c r="I49" s="14">
        <v>22</v>
      </c>
      <c r="J49" s="9">
        <v>8761</v>
      </c>
      <c r="K49" s="18">
        <f t="shared" si="7"/>
        <v>8467.6666666666661</v>
      </c>
      <c r="L49" s="18">
        <f t="shared" si="8"/>
        <v>293.33333333333394</v>
      </c>
      <c r="M49" s="18">
        <f t="shared" si="9"/>
        <v>86044.444444444802</v>
      </c>
      <c r="N49" s="24">
        <f t="shared" si="10"/>
        <v>3.3481718220903317E-2</v>
      </c>
      <c r="P49" s="14">
        <v>22</v>
      </c>
      <c r="Q49" s="9">
        <v>8761</v>
      </c>
      <c r="R49" s="18">
        <f t="shared" si="3"/>
        <v>8537.0536656371405</v>
      </c>
      <c r="S49" s="18">
        <f t="shared" si="0"/>
        <v>223.94633436285949</v>
      </c>
      <c r="T49" s="18">
        <f t="shared" si="1"/>
        <v>50151.960674561662</v>
      </c>
      <c r="U49" s="24">
        <f t="shared" si="2"/>
        <v>2.5561732035482194E-2</v>
      </c>
    </row>
    <row r="50" spans="2:21" ht="14.25" customHeight="1">
      <c r="B50" s="14">
        <v>23</v>
      </c>
      <c r="C50" s="7">
        <v>8179</v>
      </c>
      <c r="D50" s="18">
        <f t="shared" si="11"/>
        <v>8520</v>
      </c>
      <c r="E50" s="18">
        <f t="shared" si="4"/>
        <v>341</v>
      </c>
      <c r="F50" s="18">
        <f t="shared" si="5"/>
        <v>116281</v>
      </c>
      <c r="G50" s="24">
        <f t="shared" si="6"/>
        <v>4.1692138403227781E-2</v>
      </c>
      <c r="I50" s="14">
        <v>23</v>
      </c>
      <c r="J50" s="7">
        <v>8179</v>
      </c>
      <c r="K50" s="18">
        <f t="shared" si="7"/>
        <v>8604.5</v>
      </c>
      <c r="L50" s="18">
        <f t="shared" si="8"/>
        <v>425.5</v>
      </c>
      <c r="M50" s="18">
        <f t="shared" si="9"/>
        <v>181050.25</v>
      </c>
      <c r="N50" s="24">
        <f t="shared" si="10"/>
        <v>5.2023474752414721E-2</v>
      </c>
      <c r="P50" s="14">
        <v>23</v>
      </c>
      <c r="Q50" s="7">
        <v>8179</v>
      </c>
      <c r="R50" s="18">
        <f t="shared" si="3"/>
        <v>8548.2509823552828</v>
      </c>
      <c r="S50" s="18">
        <f t="shared" si="0"/>
        <v>369.25098235528276</v>
      </c>
      <c r="T50" s="18">
        <f t="shared" si="1"/>
        <v>136346.28797034133</v>
      </c>
      <c r="U50" s="24">
        <f t="shared" si="2"/>
        <v>4.5146225987930402E-2</v>
      </c>
    </row>
    <row r="51" spans="2:21" ht="14.25" customHeight="1">
      <c r="B51" s="14">
        <v>24</v>
      </c>
      <c r="C51" s="5">
        <v>8537</v>
      </c>
      <c r="D51" s="18">
        <f t="shared" si="11"/>
        <v>8495</v>
      </c>
      <c r="E51" s="18">
        <f t="shared" si="4"/>
        <v>42</v>
      </c>
      <c r="F51" s="18">
        <f t="shared" si="5"/>
        <v>1764</v>
      </c>
      <c r="G51" s="24">
        <f t="shared" si="6"/>
        <v>4.9197610401780483E-3</v>
      </c>
      <c r="I51" s="14">
        <v>24</v>
      </c>
      <c r="J51" s="5">
        <v>8537</v>
      </c>
      <c r="K51" s="18">
        <f t="shared" si="7"/>
        <v>8434</v>
      </c>
      <c r="L51" s="18">
        <f t="shared" si="8"/>
        <v>103</v>
      </c>
      <c r="M51" s="18">
        <f t="shared" si="9"/>
        <v>10609</v>
      </c>
      <c r="N51" s="24">
        <f t="shared" si="10"/>
        <v>1.2065128265198547E-2</v>
      </c>
      <c r="P51" s="14">
        <v>24</v>
      </c>
      <c r="Q51" s="5">
        <v>8537</v>
      </c>
      <c r="R51" s="18">
        <f t="shared" si="3"/>
        <v>8529.7884332375179</v>
      </c>
      <c r="S51" s="18">
        <f t="shared" si="0"/>
        <v>7.2115667624821072</v>
      </c>
      <c r="T51" s="18">
        <f t="shared" si="1"/>
        <v>52.006695169736659</v>
      </c>
      <c r="U51" s="24">
        <f t="shared" si="2"/>
        <v>8.4474250468339078E-4</v>
      </c>
    </row>
    <row r="52" spans="2:21" ht="14.25" customHeight="1">
      <c r="B52" s="14">
        <v>25</v>
      </c>
      <c r="C52" s="9">
        <v>8552</v>
      </c>
      <c r="D52" s="18">
        <f t="shared" si="11"/>
        <v>8492.3333333333339</v>
      </c>
      <c r="E52" s="18">
        <f t="shared" si="4"/>
        <v>59.66666666666606</v>
      </c>
      <c r="F52" s="18">
        <f t="shared" si="5"/>
        <v>3560.1111111110386</v>
      </c>
      <c r="G52" s="24">
        <f t="shared" si="6"/>
        <v>6.9769254755222242E-3</v>
      </c>
      <c r="I52" s="14">
        <v>25</v>
      </c>
      <c r="J52" s="9">
        <v>8552</v>
      </c>
      <c r="K52" s="18">
        <f t="shared" si="7"/>
        <v>8455</v>
      </c>
      <c r="L52" s="18">
        <f t="shared" si="8"/>
        <v>97</v>
      </c>
      <c r="M52" s="18">
        <f t="shared" si="9"/>
        <v>9409</v>
      </c>
      <c r="N52" s="24">
        <f t="shared" si="10"/>
        <v>1.1342376052385406E-2</v>
      </c>
      <c r="P52" s="14">
        <v>25</v>
      </c>
      <c r="Q52" s="9">
        <v>8552</v>
      </c>
      <c r="R52" s="18">
        <f t="shared" si="3"/>
        <v>8530.1490115756424</v>
      </c>
      <c r="S52" s="18">
        <f t="shared" si="0"/>
        <v>21.850988424357638</v>
      </c>
      <c r="T52" s="18">
        <f t="shared" si="1"/>
        <v>477.4656951214115</v>
      </c>
      <c r="U52" s="24">
        <f t="shared" si="2"/>
        <v>2.555073482735926E-3</v>
      </c>
    </row>
    <row r="53" spans="2:21" ht="14.25" customHeight="1">
      <c r="B53" s="14">
        <v>26</v>
      </c>
      <c r="C53" s="7">
        <v>8656</v>
      </c>
      <c r="D53" s="18">
        <f t="shared" si="11"/>
        <v>8422.6666666666661</v>
      </c>
      <c r="E53" s="18">
        <f t="shared" si="4"/>
        <v>233.33333333333394</v>
      </c>
      <c r="F53" s="18">
        <f t="shared" si="5"/>
        <v>54444.444444444729</v>
      </c>
      <c r="G53" s="24">
        <f t="shared" si="6"/>
        <v>2.6956253850893477E-2</v>
      </c>
      <c r="I53" s="14">
        <v>26</v>
      </c>
      <c r="J53" s="7">
        <v>8656</v>
      </c>
      <c r="K53" s="18">
        <f t="shared" si="7"/>
        <v>8484.8333333333321</v>
      </c>
      <c r="L53" s="18">
        <f t="shared" si="8"/>
        <v>171.16666666666788</v>
      </c>
      <c r="M53" s="18">
        <f t="shared" si="9"/>
        <v>29298.027777778192</v>
      </c>
      <c r="N53" s="24">
        <f t="shared" si="10"/>
        <v>1.977433764633409E-2</v>
      </c>
      <c r="P53" s="14">
        <v>26</v>
      </c>
      <c r="Q53" s="7">
        <v>8656</v>
      </c>
      <c r="R53" s="18">
        <f t="shared" si="3"/>
        <v>8531.2415609968593</v>
      </c>
      <c r="S53" s="18">
        <f t="shared" si="0"/>
        <v>124.75843900314067</v>
      </c>
      <c r="T53" s="18">
        <f t="shared" si="1"/>
        <v>15564.668102500371</v>
      </c>
      <c r="U53" s="24">
        <f t="shared" si="2"/>
        <v>1.4412943507756546E-2</v>
      </c>
    </row>
    <row r="54" spans="2:21" ht="14.25" customHeight="1">
      <c r="B54" s="14">
        <v>27</v>
      </c>
      <c r="C54" s="5">
        <v>8253</v>
      </c>
      <c r="D54" s="18">
        <f t="shared" si="11"/>
        <v>8581.6666666666661</v>
      </c>
      <c r="E54" s="18">
        <f t="shared" si="4"/>
        <v>328.66666666666606</v>
      </c>
      <c r="F54" s="18">
        <f t="shared" si="5"/>
        <v>108021.77777777737</v>
      </c>
      <c r="G54" s="24">
        <f t="shared" si="6"/>
        <v>3.9823902419322196E-2</v>
      </c>
      <c r="I54" s="14">
        <v>27</v>
      </c>
      <c r="J54" s="5">
        <v>8253</v>
      </c>
      <c r="K54" s="18">
        <f t="shared" si="7"/>
        <v>8601.5</v>
      </c>
      <c r="L54" s="18">
        <f t="shared" si="8"/>
        <v>348.5</v>
      </c>
      <c r="M54" s="18">
        <f t="shared" si="9"/>
        <v>121452.25</v>
      </c>
      <c r="N54" s="24">
        <f t="shared" si="10"/>
        <v>4.2227068944626196E-2</v>
      </c>
      <c r="P54" s="14">
        <v>27</v>
      </c>
      <c r="Q54" s="5">
        <v>8253</v>
      </c>
      <c r="R54" s="18">
        <f t="shared" si="3"/>
        <v>8537.4794829470156</v>
      </c>
      <c r="S54" s="18">
        <f t="shared" si="0"/>
        <v>284.47948294701564</v>
      </c>
      <c r="T54" s="18">
        <f t="shared" si="1"/>
        <v>80928.576217801368</v>
      </c>
      <c r="U54" s="24">
        <f t="shared" si="2"/>
        <v>3.4469827086758227E-2</v>
      </c>
    </row>
    <row r="55" spans="2:21" ht="14.25" customHeight="1">
      <c r="B55" s="14">
        <v>28</v>
      </c>
      <c r="C55" s="9">
        <v>8236</v>
      </c>
      <c r="D55" s="18">
        <f t="shared" si="11"/>
        <v>8487</v>
      </c>
      <c r="E55" s="18">
        <f t="shared" si="4"/>
        <v>251</v>
      </c>
      <c r="F55" s="18">
        <f t="shared" si="5"/>
        <v>63001</v>
      </c>
      <c r="G55" s="24">
        <f t="shared" si="6"/>
        <v>3.0475959203496845E-2</v>
      </c>
      <c r="I55" s="14">
        <v>28</v>
      </c>
      <c r="J55" s="9">
        <v>8236</v>
      </c>
      <c r="K55" s="18">
        <f t="shared" si="7"/>
        <v>8437.1666666666661</v>
      </c>
      <c r="L55" s="18">
        <f t="shared" si="8"/>
        <v>201.16666666666606</v>
      </c>
      <c r="M55" s="18">
        <f t="shared" si="9"/>
        <v>40468.027777777534</v>
      </c>
      <c r="N55" s="24">
        <f t="shared" si="10"/>
        <v>2.4425287356321764E-2</v>
      </c>
      <c r="P55" s="14">
        <v>28</v>
      </c>
      <c r="Q55" s="9">
        <v>8236</v>
      </c>
      <c r="R55" s="18">
        <f t="shared" si="3"/>
        <v>8523.2555087996643</v>
      </c>
      <c r="S55" s="18">
        <f t="shared" si="0"/>
        <v>287.25550879966431</v>
      </c>
      <c r="T55" s="18">
        <f t="shared" si="1"/>
        <v>82515.727335754025</v>
      </c>
      <c r="U55" s="24">
        <f t="shared" si="2"/>
        <v>3.4878036522543017E-2</v>
      </c>
    </row>
    <row r="56" spans="2:21" ht="14.25" customHeight="1">
      <c r="B56" s="14">
        <v>29</v>
      </c>
      <c r="C56" s="7">
        <v>8604</v>
      </c>
      <c r="D56" s="18">
        <f t="shared" si="11"/>
        <v>8381.6666666666661</v>
      </c>
      <c r="E56" s="18">
        <f t="shared" si="4"/>
        <v>222.33333333333394</v>
      </c>
      <c r="F56" s="18">
        <f t="shared" si="5"/>
        <v>49432.111111111379</v>
      </c>
      <c r="G56" s="24">
        <f t="shared" si="6"/>
        <v>2.5840694250736162E-2</v>
      </c>
      <c r="I56" s="14">
        <v>29</v>
      </c>
      <c r="J56" s="7">
        <v>8604</v>
      </c>
      <c r="K56" s="18">
        <f t="shared" si="7"/>
        <v>8311.6666666666661</v>
      </c>
      <c r="L56" s="18">
        <f t="shared" si="8"/>
        <v>292.33333333333394</v>
      </c>
      <c r="M56" s="18">
        <f t="shared" si="9"/>
        <v>85458.77777777813</v>
      </c>
      <c r="N56" s="24">
        <f t="shared" si="10"/>
        <v>3.3976445064311245E-2</v>
      </c>
      <c r="P56" s="14">
        <v>29</v>
      </c>
      <c r="Q56" s="7">
        <v>8604</v>
      </c>
      <c r="R56" s="18">
        <f t="shared" si="3"/>
        <v>8508.8927333596803</v>
      </c>
      <c r="S56" s="18">
        <f t="shared" si="0"/>
        <v>95.107266640319722</v>
      </c>
      <c r="T56" s="18">
        <f t="shared" si="1"/>
        <v>9045.392167792872</v>
      </c>
      <c r="U56" s="24">
        <f t="shared" si="2"/>
        <v>1.1053843170655477E-2</v>
      </c>
    </row>
    <row r="57" spans="2:21" ht="14.25" customHeight="1">
      <c r="B57" s="14">
        <v>30</v>
      </c>
      <c r="C57" s="5">
        <v>8559</v>
      </c>
      <c r="D57" s="18">
        <f t="shared" si="11"/>
        <v>8364.3333333333339</v>
      </c>
      <c r="E57" s="18">
        <f t="shared" si="4"/>
        <v>194.66666666666606</v>
      </c>
      <c r="F57" s="18">
        <f t="shared" si="5"/>
        <v>37895.111111110877</v>
      </c>
      <c r="G57" s="24">
        <f t="shared" si="6"/>
        <v>2.2744090041671463E-2</v>
      </c>
      <c r="I57" s="14">
        <v>30</v>
      </c>
      <c r="J57" s="5">
        <v>8559</v>
      </c>
      <c r="K57" s="18">
        <f t="shared" si="7"/>
        <v>8422.8333333333321</v>
      </c>
      <c r="L57" s="18">
        <f t="shared" si="8"/>
        <v>136.16666666666788</v>
      </c>
      <c r="M57" s="18">
        <f t="shared" si="9"/>
        <v>18541.361111111441</v>
      </c>
      <c r="N57" s="24">
        <f t="shared" si="10"/>
        <v>1.5909179421272096E-2</v>
      </c>
      <c r="P57" s="14">
        <v>30</v>
      </c>
      <c r="Q57" s="5">
        <v>8559</v>
      </c>
      <c r="R57" s="18">
        <f t="shared" si="3"/>
        <v>8513.648096691697</v>
      </c>
      <c r="S57" s="18">
        <f t="shared" si="0"/>
        <v>45.351903308303008</v>
      </c>
      <c r="T57" s="18">
        <f t="shared" si="1"/>
        <v>2056.7951336856654</v>
      </c>
      <c r="U57" s="24">
        <f t="shared" si="2"/>
        <v>5.2987385568761544E-3</v>
      </c>
    </row>
    <row r="58" spans="2:21" ht="14.25" customHeight="1">
      <c r="B58" s="14">
        <v>31</v>
      </c>
      <c r="C58" s="9">
        <v>8550</v>
      </c>
      <c r="D58" s="18">
        <f t="shared" si="11"/>
        <v>8466.3333333333339</v>
      </c>
      <c r="E58" s="18">
        <f t="shared" si="4"/>
        <v>83.66666666666606</v>
      </c>
      <c r="F58" s="18">
        <f t="shared" si="5"/>
        <v>7000.1111111110094</v>
      </c>
      <c r="G58" s="24">
        <f t="shared" si="6"/>
        <v>9.7855750487328731E-3</v>
      </c>
      <c r="I58" s="14">
        <v>31</v>
      </c>
      <c r="J58" s="9">
        <v>8550</v>
      </c>
      <c r="K58" s="18">
        <f t="shared" si="7"/>
        <v>8520.1666666666661</v>
      </c>
      <c r="L58" s="18">
        <f t="shared" si="8"/>
        <v>29.83333333333394</v>
      </c>
      <c r="M58" s="18">
        <f t="shared" si="9"/>
        <v>890.02777777781398</v>
      </c>
      <c r="N58" s="24">
        <f t="shared" si="10"/>
        <v>3.4892787524367181E-3</v>
      </c>
      <c r="P58" s="14">
        <v>31</v>
      </c>
      <c r="Q58" s="9">
        <v>8550</v>
      </c>
      <c r="R58" s="18">
        <f t="shared" si="3"/>
        <v>8515.9156918571116</v>
      </c>
      <c r="S58" s="18">
        <f t="shared" si="0"/>
        <v>34.084308142888403</v>
      </c>
      <c r="T58" s="18">
        <f t="shared" si="1"/>
        <v>1161.7400615793688</v>
      </c>
      <c r="U58" s="24">
        <f t="shared" si="2"/>
        <v>3.9864687886419182E-3</v>
      </c>
    </row>
    <row r="59" spans="2:21" ht="14.25" customHeight="1">
      <c r="B59" s="14">
        <v>32</v>
      </c>
      <c r="C59" s="7">
        <v>8569</v>
      </c>
      <c r="D59" s="18">
        <f t="shared" si="11"/>
        <v>8571</v>
      </c>
      <c r="E59" s="18">
        <f t="shared" si="4"/>
        <v>2</v>
      </c>
      <c r="F59" s="18">
        <f t="shared" si="5"/>
        <v>4</v>
      </c>
      <c r="G59" s="24">
        <f t="shared" si="6"/>
        <v>2.3339946318123468E-4</v>
      </c>
      <c r="I59" s="14">
        <v>32</v>
      </c>
      <c r="J59" s="7">
        <v>8569</v>
      </c>
      <c r="K59" s="18">
        <f t="shared" si="7"/>
        <v>8562</v>
      </c>
      <c r="L59" s="18">
        <f t="shared" si="8"/>
        <v>7</v>
      </c>
      <c r="M59" s="18">
        <f t="shared" si="9"/>
        <v>49</v>
      </c>
      <c r="N59" s="24">
        <f t="shared" si="10"/>
        <v>8.1689812113432136E-4</v>
      </c>
      <c r="P59" s="14">
        <v>32</v>
      </c>
      <c r="Q59" s="7">
        <v>8569</v>
      </c>
      <c r="R59" s="18">
        <f t="shared" si="3"/>
        <v>8517.6199072642557</v>
      </c>
      <c r="S59" s="18">
        <f t="shared" si="0"/>
        <v>51.380092735744256</v>
      </c>
      <c r="T59" s="18">
        <f t="shared" si="1"/>
        <v>2639.9139295336795</v>
      </c>
      <c r="U59" s="24">
        <f t="shared" si="2"/>
        <v>5.9960430313623827E-3</v>
      </c>
    </row>
    <row r="60" spans="2:21" ht="14.25" customHeight="1">
      <c r="B60" s="14">
        <v>33</v>
      </c>
      <c r="C60" s="5">
        <v>8364</v>
      </c>
      <c r="D60" s="18">
        <f t="shared" si="11"/>
        <v>8559.3333333333339</v>
      </c>
      <c r="E60" s="18">
        <f t="shared" si="4"/>
        <v>195.33333333333394</v>
      </c>
      <c r="F60" s="18">
        <f t="shared" si="5"/>
        <v>38155.11111111135</v>
      </c>
      <c r="G60" s="24">
        <f t="shared" si="6"/>
        <v>2.3354057069982538E-2</v>
      </c>
      <c r="I60" s="14">
        <v>33</v>
      </c>
      <c r="J60" s="5">
        <v>8364</v>
      </c>
      <c r="K60" s="18">
        <f t="shared" si="7"/>
        <v>8561</v>
      </c>
      <c r="L60" s="18">
        <f t="shared" si="8"/>
        <v>197</v>
      </c>
      <c r="M60" s="18">
        <f t="shared" si="9"/>
        <v>38809</v>
      </c>
      <c r="N60" s="24">
        <f t="shared" si="10"/>
        <v>2.3553323768531802E-2</v>
      </c>
      <c r="P60" s="14">
        <v>33</v>
      </c>
      <c r="Q60" s="5">
        <v>8364</v>
      </c>
      <c r="R60" s="18">
        <f t="shared" si="3"/>
        <v>8520.188911901043</v>
      </c>
      <c r="S60" s="18">
        <f t="shared" si="0"/>
        <v>156.18891190104296</v>
      </c>
      <c r="T60" s="18">
        <f t="shared" si="1"/>
        <v>24394.976200831759</v>
      </c>
      <c r="U60" s="24">
        <f t="shared" si="2"/>
        <v>1.8673949294720583E-2</v>
      </c>
    </row>
    <row r="61" spans="2:21" ht="14.25" customHeight="1">
      <c r="B61" s="14">
        <v>34</v>
      </c>
      <c r="C61" s="9">
        <v>8546</v>
      </c>
      <c r="D61" s="18">
        <f t="shared" si="11"/>
        <v>8494.3333333333339</v>
      </c>
      <c r="E61" s="18">
        <f t="shared" si="4"/>
        <v>51.66666666666606</v>
      </c>
      <c r="F61" s="18">
        <f t="shared" si="5"/>
        <v>2669.4444444443816</v>
      </c>
      <c r="G61" s="24">
        <f t="shared" si="6"/>
        <v>6.0457133941804421E-3</v>
      </c>
      <c r="I61" s="14">
        <v>34</v>
      </c>
      <c r="J61" s="9">
        <v>8546</v>
      </c>
      <c r="K61" s="18">
        <f t="shared" si="7"/>
        <v>8463.3333333333321</v>
      </c>
      <c r="L61" s="18">
        <f t="shared" si="8"/>
        <v>82.666666666667879</v>
      </c>
      <c r="M61" s="18">
        <f t="shared" si="9"/>
        <v>6833.7777777779784</v>
      </c>
      <c r="N61" s="24">
        <f t="shared" si="10"/>
        <v>9.6731414306889633E-3</v>
      </c>
      <c r="P61" s="14">
        <v>34</v>
      </c>
      <c r="Q61" s="9">
        <v>8546</v>
      </c>
      <c r="R61" s="18">
        <f t="shared" si="3"/>
        <v>8512.3794663059907</v>
      </c>
      <c r="S61" s="18">
        <f t="shared" si="0"/>
        <v>33.620533694009282</v>
      </c>
      <c r="T61" s="18">
        <f t="shared" si="1"/>
        <v>1130.3402858700135</v>
      </c>
      <c r="U61" s="24">
        <f t="shared" si="2"/>
        <v>3.9340666620652099E-3</v>
      </c>
    </row>
    <row r="62" spans="2:21" ht="14.25" customHeight="1">
      <c r="B62" s="14">
        <v>35</v>
      </c>
      <c r="C62" s="7">
        <v>8559</v>
      </c>
      <c r="D62" s="18">
        <f t="shared" si="11"/>
        <v>8493</v>
      </c>
      <c r="E62" s="18">
        <f t="shared" si="4"/>
        <v>66</v>
      </c>
      <c r="F62" s="18">
        <f t="shared" si="5"/>
        <v>4356</v>
      </c>
      <c r="G62" s="24">
        <f t="shared" si="6"/>
        <v>7.7111812127585002E-3</v>
      </c>
      <c r="I62" s="14">
        <v>35</v>
      </c>
      <c r="J62" s="7">
        <v>8559</v>
      </c>
      <c r="K62" s="18">
        <f t="shared" si="7"/>
        <v>8489.1666666666661</v>
      </c>
      <c r="L62" s="18">
        <f t="shared" si="8"/>
        <v>69.83333333333394</v>
      </c>
      <c r="M62" s="18">
        <f t="shared" si="9"/>
        <v>4876.6944444445289</v>
      </c>
      <c r="N62" s="24">
        <f t="shared" si="10"/>
        <v>8.1590528488531301E-3</v>
      </c>
      <c r="P62" s="14">
        <v>35</v>
      </c>
      <c r="Q62" s="7">
        <v>8559</v>
      </c>
      <c r="R62" s="18">
        <f t="shared" si="3"/>
        <v>8514.0604929906913</v>
      </c>
      <c r="S62" s="18">
        <f t="shared" si="0"/>
        <v>44.939507009308727</v>
      </c>
      <c r="T62" s="18">
        <f t="shared" si="1"/>
        <v>2019.5592902397082</v>
      </c>
      <c r="U62" s="24">
        <f t="shared" si="2"/>
        <v>5.2505557903153085E-3</v>
      </c>
    </row>
    <row r="63" spans="2:21" ht="14.25" customHeight="1">
      <c r="B63" s="14">
        <v>36</v>
      </c>
      <c r="C63" s="5">
        <v>8357</v>
      </c>
      <c r="D63" s="18">
        <f t="shared" si="11"/>
        <v>8489.6666666666661</v>
      </c>
      <c r="E63" s="18">
        <f t="shared" si="4"/>
        <v>132.66666666666606</v>
      </c>
      <c r="F63" s="18">
        <f t="shared" si="5"/>
        <v>17600.444444444285</v>
      </c>
      <c r="G63" s="24">
        <f t="shared" si="6"/>
        <v>1.5874915240716294E-2</v>
      </c>
      <c r="I63" s="14">
        <v>36</v>
      </c>
      <c r="J63" s="5">
        <v>8357</v>
      </c>
      <c r="K63" s="18">
        <f t="shared" si="7"/>
        <v>8522.1666666666661</v>
      </c>
      <c r="L63" s="18">
        <f t="shared" si="8"/>
        <v>165.16666666666606</v>
      </c>
      <c r="M63" s="18">
        <f t="shared" si="9"/>
        <v>27280.027777777577</v>
      </c>
      <c r="N63" s="24">
        <f t="shared" si="10"/>
        <v>1.9763870607474698E-2</v>
      </c>
      <c r="P63" s="14">
        <v>36</v>
      </c>
      <c r="Q63" s="5">
        <v>8357</v>
      </c>
      <c r="R63" s="18">
        <f t="shared" si="3"/>
        <v>8516.307468341156</v>
      </c>
      <c r="S63" s="18">
        <f t="shared" si="0"/>
        <v>159.30746834115598</v>
      </c>
      <c r="T63" s="18">
        <f t="shared" si="1"/>
        <v>25378.869469268415</v>
      </c>
      <c r="U63" s="24">
        <f t="shared" si="2"/>
        <v>1.9062757968308721E-2</v>
      </c>
    </row>
    <row r="64" spans="2:21" ht="14.25" customHeight="1">
      <c r="B64" s="14">
        <v>37</v>
      </c>
      <c r="C64" s="9">
        <v>8873</v>
      </c>
      <c r="D64" s="18">
        <f t="shared" si="11"/>
        <v>8487.3333333333339</v>
      </c>
      <c r="E64" s="18">
        <f t="shared" si="4"/>
        <v>385.66666666666606</v>
      </c>
      <c r="F64" s="18">
        <f t="shared" si="5"/>
        <v>148738.77777777732</v>
      </c>
      <c r="G64" s="24">
        <f t="shared" si="6"/>
        <v>4.346519403433631E-2</v>
      </c>
      <c r="I64" s="14">
        <v>37</v>
      </c>
      <c r="J64" s="9">
        <v>8873</v>
      </c>
      <c r="K64" s="18">
        <f t="shared" si="7"/>
        <v>8455.8333333333321</v>
      </c>
      <c r="L64" s="18">
        <f t="shared" si="8"/>
        <v>417.16666666666788</v>
      </c>
      <c r="M64" s="18">
        <f t="shared" si="9"/>
        <v>174028.0277777788</v>
      </c>
      <c r="N64" s="24">
        <f t="shared" si="10"/>
        <v>4.7015289830572286E-2</v>
      </c>
      <c r="P64" s="14">
        <v>37</v>
      </c>
      <c r="Q64" s="9">
        <v>8873</v>
      </c>
      <c r="R64" s="18">
        <f t="shared" si="3"/>
        <v>8508.3420949240972</v>
      </c>
      <c r="S64" s="18">
        <f t="shared" si="0"/>
        <v>364.65790507590282</v>
      </c>
      <c r="T64" s="18">
        <f t="shared" si="1"/>
        <v>132975.38773434615</v>
      </c>
      <c r="U64" s="24">
        <f t="shared" si="2"/>
        <v>4.1097476059495416E-2</v>
      </c>
    </row>
    <row r="65" spans="2:21" ht="14.25" customHeight="1">
      <c r="B65" s="14">
        <v>38</v>
      </c>
      <c r="C65" s="7">
        <v>8595</v>
      </c>
      <c r="D65" s="18">
        <f t="shared" si="11"/>
        <v>8596.3333333333339</v>
      </c>
      <c r="E65" s="18">
        <f t="shared" si="4"/>
        <v>1.3333333333339397</v>
      </c>
      <c r="F65" s="18">
        <f t="shared" si="5"/>
        <v>1.7777777777793946</v>
      </c>
      <c r="G65" s="24">
        <f t="shared" si="6"/>
        <v>1.5512895094053981E-4</v>
      </c>
      <c r="I65" s="14">
        <v>38</v>
      </c>
      <c r="J65" s="7">
        <v>8595</v>
      </c>
      <c r="K65" s="18">
        <f t="shared" si="7"/>
        <v>8648.6666666666661</v>
      </c>
      <c r="L65" s="18">
        <f t="shared" si="8"/>
        <v>53.66666666666606</v>
      </c>
      <c r="M65" s="18">
        <f t="shared" si="9"/>
        <v>2880.1111111110458</v>
      </c>
      <c r="N65" s="24">
        <f t="shared" si="10"/>
        <v>6.2439402753538178E-3</v>
      </c>
      <c r="P65" s="14">
        <v>38</v>
      </c>
      <c r="Q65" s="7">
        <v>8595</v>
      </c>
      <c r="R65" s="18">
        <f t="shared" si="3"/>
        <v>8526.5749901778927</v>
      </c>
      <c r="S65" s="18">
        <f t="shared" si="0"/>
        <v>68.425009822107313</v>
      </c>
      <c r="T65" s="18">
        <f t="shared" si="1"/>
        <v>4681.9819691554821</v>
      </c>
      <c r="U65" s="24">
        <f t="shared" si="2"/>
        <v>7.9610249938461101E-3</v>
      </c>
    </row>
    <row r="66" spans="2:21" ht="14.25" customHeight="1">
      <c r="B66" s="14">
        <v>39</v>
      </c>
      <c r="C66" s="5">
        <v>8262</v>
      </c>
      <c r="D66" s="18">
        <f t="shared" si="11"/>
        <v>8608.3333333333339</v>
      </c>
      <c r="E66" s="18">
        <f t="shared" si="4"/>
        <v>346.33333333333394</v>
      </c>
      <c r="F66" s="18">
        <f t="shared" si="5"/>
        <v>119946.7777777782</v>
      </c>
      <c r="G66" s="24">
        <f t="shared" si="6"/>
        <v>4.1918825143226091E-2</v>
      </c>
      <c r="I66" s="14">
        <v>39</v>
      </c>
      <c r="J66" s="5">
        <v>8262</v>
      </c>
      <c r="K66" s="18">
        <f t="shared" si="7"/>
        <v>8648</v>
      </c>
      <c r="L66" s="18">
        <f t="shared" si="8"/>
        <v>386</v>
      </c>
      <c r="M66" s="18">
        <f t="shared" si="9"/>
        <v>148996</v>
      </c>
      <c r="N66" s="24">
        <f t="shared" si="10"/>
        <v>4.6719922536916002E-2</v>
      </c>
      <c r="P66" s="14">
        <v>39</v>
      </c>
      <c r="Q66" s="5">
        <v>8262</v>
      </c>
      <c r="R66" s="18">
        <f t="shared" si="3"/>
        <v>8529.9962406689974</v>
      </c>
      <c r="S66" s="18">
        <f t="shared" si="0"/>
        <v>267.99624066899742</v>
      </c>
      <c r="T66" s="18">
        <f t="shared" si="1"/>
        <v>71821.985012715188</v>
      </c>
      <c r="U66" s="24">
        <f t="shared" si="2"/>
        <v>3.2437211409948853E-2</v>
      </c>
    </row>
    <row r="67" spans="2:21" ht="14.25" customHeight="1">
      <c r="B67" s="14">
        <v>40</v>
      </c>
      <c r="C67" s="9">
        <v>8631</v>
      </c>
      <c r="D67" s="18">
        <f t="shared" si="11"/>
        <v>8576.6666666666661</v>
      </c>
      <c r="E67" s="18">
        <f t="shared" si="4"/>
        <v>54.33333333333394</v>
      </c>
      <c r="F67" s="18">
        <f t="shared" si="5"/>
        <v>2952.1111111111768</v>
      </c>
      <c r="G67" s="24">
        <f t="shared" si="6"/>
        <v>6.2951376819990659E-3</v>
      </c>
      <c r="I67" s="14">
        <v>40</v>
      </c>
      <c r="J67" s="9">
        <v>8631</v>
      </c>
      <c r="K67" s="18">
        <f t="shared" si="7"/>
        <v>8474.8333333333321</v>
      </c>
      <c r="L67" s="18">
        <f t="shared" si="8"/>
        <v>156.16666666666788</v>
      </c>
      <c r="M67" s="18">
        <f t="shared" si="9"/>
        <v>24388.027777778156</v>
      </c>
      <c r="N67" s="24">
        <f t="shared" si="10"/>
        <v>1.8093693276175167E-2</v>
      </c>
      <c r="P67" s="14">
        <v>40</v>
      </c>
      <c r="Q67" s="9">
        <v>8631</v>
      </c>
      <c r="R67" s="18">
        <f t="shared" si="3"/>
        <v>8516.5964286355465</v>
      </c>
      <c r="S67" s="18">
        <f t="shared" si="0"/>
        <v>114.40357136445346</v>
      </c>
      <c r="T67" s="18">
        <f t="shared" si="1"/>
        <v>13088.177140941594</v>
      </c>
      <c r="U67" s="24">
        <f t="shared" si="2"/>
        <v>1.3254961344508568E-2</v>
      </c>
    </row>
    <row r="68" spans="2:21" ht="14.25" customHeight="1">
      <c r="B68" s="14"/>
      <c r="C68" s="87"/>
      <c r="D68" s="18">
        <f t="shared" si="11"/>
        <v>8496</v>
      </c>
      <c r="E68" s="18"/>
      <c r="F68" s="18"/>
      <c r="G68" s="24"/>
      <c r="I68" s="14"/>
      <c r="J68" s="33"/>
      <c r="K68" s="18">
        <f t="shared" si="7"/>
        <v>8502</v>
      </c>
      <c r="L68" s="18"/>
      <c r="M68" s="18"/>
      <c r="N68" s="14"/>
      <c r="P68" s="14"/>
      <c r="Q68" s="14"/>
      <c r="R68" s="18">
        <f t="shared" si="3"/>
        <v>8522.3166072037693</v>
      </c>
      <c r="S68" s="18"/>
      <c r="T68" s="14"/>
      <c r="U68" s="14"/>
    </row>
    <row r="69" spans="2:21" ht="14.25" customHeight="1">
      <c r="B69" s="14"/>
      <c r="C69" s="87"/>
      <c r="D69" s="18"/>
      <c r="E69" s="18"/>
      <c r="F69" s="18"/>
      <c r="G69" s="24"/>
      <c r="I69" s="14"/>
      <c r="J69" s="33"/>
      <c r="K69" s="18"/>
      <c r="L69" s="18"/>
      <c r="M69" s="18"/>
      <c r="N69" s="14"/>
      <c r="P69" s="14"/>
      <c r="Q69" s="14"/>
      <c r="R69" s="18"/>
      <c r="S69" s="18"/>
      <c r="T69" s="14"/>
      <c r="U69" s="14"/>
    </row>
    <row r="70" spans="2:21" ht="14.25" customHeight="1">
      <c r="B70" s="14"/>
      <c r="C70" s="87"/>
      <c r="D70" s="18"/>
      <c r="E70" s="18"/>
      <c r="F70" s="18"/>
      <c r="G70" s="24"/>
      <c r="I70" s="14"/>
      <c r="J70" s="33"/>
      <c r="K70" s="18"/>
      <c r="L70" s="18"/>
      <c r="M70" s="18"/>
      <c r="N70" s="14"/>
      <c r="P70" s="14"/>
      <c r="Q70" s="14"/>
      <c r="R70" s="18"/>
      <c r="S70" s="14"/>
      <c r="T70" s="14"/>
      <c r="U70" s="14"/>
    </row>
    <row r="71" spans="2:21" ht="14.25" customHeight="1">
      <c r="B71" s="14"/>
      <c r="C71" s="87"/>
      <c r="D71" s="18"/>
      <c r="E71" s="18"/>
      <c r="F71" s="18"/>
      <c r="G71" s="24"/>
      <c r="I71" s="14"/>
      <c r="J71" s="33"/>
      <c r="K71" s="18"/>
      <c r="L71" s="18"/>
      <c r="M71" s="18"/>
      <c r="N71" s="14"/>
      <c r="P71" s="14"/>
      <c r="Q71" s="14"/>
      <c r="R71" s="18"/>
      <c r="S71" s="14"/>
      <c r="T71" s="14"/>
      <c r="U71" s="14"/>
    </row>
    <row r="72" spans="2:21" ht="14.25" customHeight="1">
      <c r="B72" s="14"/>
      <c r="C72" s="87"/>
      <c r="D72" s="18"/>
      <c r="E72" s="18"/>
      <c r="F72" s="18"/>
      <c r="G72" s="24"/>
      <c r="I72" s="14"/>
      <c r="J72" s="33"/>
      <c r="K72" s="18"/>
      <c r="L72" s="18"/>
      <c r="M72" s="18"/>
      <c r="N72" s="14"/>
      <c r="P72" s="14"/>
      <c r="Q72" s="14"/>
      <c r="R72" s="18"/>
      <c r="S72" s="14"/>
      <c r="T72" s="14"/>
      <c r="U72" s="14"/>
    </row>
    <row r="73" spans="2:21" ht="14.25" customHeight="1">
      <c r="C73" s="87"/>
      <c r="I73" s="14"/>
      <c r="J73" s="33"/>
      <c r="K73" s="18"/>
      <c r="L73" s="18"/>
      <c r="M73" s="18"/>
      <c r="N73" s="14"/>
      <c r="P73" s="14"/>
      <c r="Q73" s="14"/>
      <c r="R73" s="18"/>
      <c r="S73" s="14"/>
      <c r="T73" s="14"/>
      <c r="U73" s="14"/>
    </row>
    <row r="74" spans="2:21" ht="14.25" customHeight="1">
      <c r="C74" s="87"/>
    </row>
    <row r="75" spans="2:21" ht="14.25" customHeight="1">
      <c r="C75" s="87"/>
      <c r="I75" s="14"/>
      <c r="J75" s="14"/>
      <c r="K75" s="14"/>
      <c r="L75" s="14"/>
      <c r="M75" s="14"/>
      <c r="N75" s="14"/>
    </row>
    <row r="76" spans="2:21" ht="14.25" customHeight="1">
      <c r="C76" s="87"/>
      <c r="I76" s="14"/>
      <c r="J76" s="14"/>
      <c r="K76" s="14"/>
      <c r="L76" s="14"/>
      <c r="M76" s="14"/>
      <c r="N76" s="14"/>
    </row>
    <row r="77" spans="2:21" ht="14.25" customHeight="1">
      <c r="C77" s="87"/>
      <c r="I77" s="14"/>
      <c r="J77" s="14"/>
      <c r="K77" s="14"/>
      <c r="L77" s="14"/>
      <c r="M77" s="14"/>
      <c r="N77" s="14"/>
    </row>
    <row r="78" spans="2:21" ht="14.25" customHeight="1">
      <c r="C78" s="87"/>
      <c r="I78" s="14"/>
      <c r="J78" s="14"/>
      <c r="K78" s="14"/>
      <c r="L78" s="14"/>
      <c r="M78" s="14"/>
      <c r="N78" s="14"/>
    </row>
    <row r="79" spans="2:21" ht="14.25" customHeight="1">
      <c r="C79" s="87"/>
      <c r="I79" s="14"/>
      <c r="J79" s="14"/>
      <c r="K79" s="14"/>
      <c r="L79" s="14"/>
      <c r="M79" s="14"/>
      <c r="N79" s="14"/>
    </row>
    <row r="80" spans="2:21" ht="14.25" customHeight="1">
      <c r="C80" s="88"/>
      <c r="I80" s="14"/>
      <c r="J80" s="14"/>
      <c r="K80" s="14"/>
      <c r="L80" s="14"/>
      <c r="M80" s="14"/>
      <c r="N80" s="14"/>
    </row>
    <row r="81" spans="9:14" ht="14.25" customHeight="1">
      <c r="I81" s="14"/>
      <c r="J81" s="14"/>
      <c r="K81" s="14"/>
      <c r="L81" s="14"/>
      <c r="M81" s="14"/>
      <c r="N81" s="14"/>
    </row>
    <row r="82" spans="9:14" ht="14.25" customHeight="1">
      <c r="I82" s="14"/>
      <c r="J82" s="14"/>
      <c r="K82" s="14"/>
      <c r="L82" s="14"/>
      <c r="M82" s="14"/>
      <c r="N82" s="14"/>
    </row>
    <row r="83" spans="9:14" ht="14.25" customHeight="1">
      <c r="I83" s="14"/>
      <c r="J83" s="14"/>
      <c r="K83" s="14"/>
      <c r="L83" s="14"/>
      <c r="M83" s="14"/>
      <c r="N83" s="14"/>
    </row>
    <row r="84" spans="9:14" ht="14.25" customHeight="1">
      <c r="I84" s="14"/>
      <c r="J84" s="14"/>
      <c r="K84" s="14"/>
      <c r="L84" s="14"/>
      <c r="M84" s="14"/>
      <c r="N84" s="14"/>
    </row>
    <row r="85" spans="9:14" ht="14.25" customHeight="1">
      <c r="I85" s="14"/>
      <c r="J85" s="14"/>
      <c r="K85" s="14"/>
      <c r="L85" s="14"/>
      <c r="M85" s="14"/>
      <c r="N85" s="14"/>
    </row>
    <row r="86" spans="9:14" ht="14.25" customHeight="1">
      <c r="I86" s="14"/>
      <c r="J86" s="14"/>
      <c r="K86" s="14"/>
      <c r="L86" s="14"/>
      <c r="M86" s="14"/>
      <c r="N86" s="14"/>
    </row>
    <row r="87" spans="9:14" ht="14.25" customHeight="1">
      <c r="I87" s="14"/>
      <c r="J87" s="14"/>
      <c r="K87" s="14"/>
      <c r="L87" s="14"/>
      <c r="M87" s="14"/>
      <c r="N87" s="14"/>
    </row>
    <row r="88" spans="9:14" ht="14.25" customHeight="1">
      <c r="I88" s="14"/>
      <c r="J88" s="14"/>
      <c r="K88" s="14"/>
      <c r="L88" s="14"/>
      <c r="M88" s="14"/>
      <c r="N88" s="14"/>
    </row>
    <row r="89" spans="9:14" ht="14.25" customHeight="1">
      <c r="I89" s="14"/>
      <c r="J89" s="14"/>
      <c r="K89" s="14"/>
      <c r="L89" s="14"/>
      <c r="M89" s="14"/>
      <c r="N89" s="14"/>
    </row>
    <row r="90" spans="9:14" ht="14.25" customHeight="1">
      <c r="I90" s="14"/>
      <c r="J90" s="14"/>
      <c r="K90" s="14"/>
      <c r="L90" s="14"/>
      <c r="M90" s="14"/>
      <c r="N90" s="14"/>
    </row>
    <row r="91" spans="9:14" ht="14.25" customHeight="1">
      <c r="I91" s="14"/>
      <c r="J91" s="14"/>
      <c r="K91" s="14"/>
      <c r="L91" s="14"/>
      <c r="M91" s="14"/>
      <c r="N91" s="14"/>
    </row>
    <row r="92" spans="9:14" ht="14.25" customHeight="1">
      <c r="I92" s="14"/>
      <c r="J92" s="14"/>
      <c r="K92" s="14"/>
      <c r="L92" s="14"/>
      <c r="M92" s="14"/>
      <c r="N92" s="14"/>
    </row>
    <row r="93" spans="9:14" ht="14.25" customHeight="1">
      <c r="I93" s="14"/>
      <c r="J93" s="14"/>
      <c r="K93" s="14"/>
      <c r="L93" s="14"/>
      <c r="M93" s="14"/>
      <c r="N93" s="14"/>
    </row>
    <row r="94" spans="9:14" ht="14.25" customHeight="1">
      <c r="I94" s="14"/>
      <c r="J94" s="14"/>
      <c r="K94" s="14"/>
      <c r="L94" s="14"/>
      <c r="M94" s="14"/>
      <c r="N94" s="14"/>
    </row>
    <row r="95" spans="9:14" ht="14.25" customHeight="1">
      <c r="I95" s="14"/>
      <c r="J95" s="14"/>
      <c r="K95" s="14"/>
      <c r="L95" s="14"/>
      <c r="M95" s="14"/>
      <c r="N95" s="14"/>
    </row>
    <row r="96" spans="9:14" ht="14.25" customHeight="1">
      <c r="I96" s="14"/>
      <c r="J96" s="14"/>
      <c r="K96" s="14"/>
      <c r="L96" s="14"/>
      <c r="M96" s="14"/>
      <c r="N96" s="14"/>
    </row>
    <row r="97" spans="9:14" ht="14.25" customHeight="1">
      <c r="I97" s="14"/>
      <c r="J97" s="14"/>
      <c r="K97" s="14"/>
      <c r="L97" s="14"/>
      <c r="M97" s="14"/>
      <c r="N97" s="14"/>
    </row>
    <row r="98" spans="9:14" ht="14.25" customHeight="1">
      <c r="I98" s="14"/>
      <c r="J98" s="14"/>
      <c r="K98" s="14"/>
      <c r="L98" s="14"/>
      <c r="M98" s="14"/>
      <c r="N98" s="14"/>
    </row>
    <row r="99" spans="9:14" ht="14.25" customHeight="1">
      <c r="I99" s="14"/>
      <c r="J99" s="14"/>
      <c r="K99" s="14"/>
      <c r="L99" s="14"/>
      <c r="M99" s="14"/>
      <c r="N99" s="14"/>
    </row>
    <row r="100" spans="9:14" ht="14.25" customHeight="1">
      <c r="I100" s="14"/>
      <c r="J100" s="14"/>
      <c r="K100" s="14"/>
      <c r="L100" s="14"/>
      <c r="M100" s="14"/>
      <c r="N100" s="14"/>
    </row>
    <row r="101" spans="9:14" ht="14.25" customHeight="1">
      <c r="I101" s="14"/>
      <c r="J101" s="14"/>
      <c r="K101" s="14"/>
      <c r="L101" s="14"/>
      <c r="M101" s="14"/>
      <c r="N101" s="14"/>
    </row>
    <row r="102" spans="9:14" ht="14.25" customHeight="1">
      <c r="I102" s="14"/>
      <c r="J102" s="14"/>
      <c r="K102" s="14"/>
      <c r="L102" s="14"/>
      <c r="M102" s="14"/>
      <c r="N102" s="14"/>
    </row>
    <row r="103" spans="9:14" ht="14.25" customHeight="1">
      <c r="I103" s="14"/>
      <c r="J103" s="14"/>
      <c r="K103" s="14"/>
      <c r="L103" s="14"/>
      <c r="M103" s="14"/>
      <c r="N103" s="14"/>
    </row>
    <row r="104" spans="9:14" ht="14.25" customHeight="1">
      <c r="I104" s="14"/>
      <c r="J104" s="14"/>
      <c r="K104" s="14"/>
      <c r="L104" s="14"/>
      <c r="M104" s="14"/>
      <c r="N104" s="14"/>
    </row>
    <row r="105" spans="9:14" ht="14.25" customHeight="1">
      <c r="I105" s="14"/>
      <c r="J105" s="14"/>
      <c r="K105" s="14"/>
      <c r="L105" s="14"/>
      <c r="M105" s="14"/>
      <c r="N105" s="14"/>
    </row>
    <row r="106" spans="9:14" ht="14.25" customHeight="1">
      <c r="I106" s="14"/>
      <c r="J106" s="14"/>
      <c r="K106" s="14"/>
      <c r="L106" s="14"/>
      <c r="M106" s="14"/>
      <c r="N106" s="14"/>
    </row>
    <row r="107" spans="9:14" ht="14.25" customHeight="1">
      <c r="I107" s="14"/>
      <c r="J107" s="14"/>
      <c r="K107" s="14"/>
      <c r="L107" s="14"/>
      <c r="M107" s="14"/>
      <c r="N107" s="14"/>
    </row>
    <row r="108" spans="9:14" ht="14.25" customHeight="1">
      <c r="I108" s="14"/>
      <c r="J108" s="14"/>
      <c r="K108" s="14"/>
      <c r="L108" s="14"/>
      <c r="M108" s="14"/>
      <c r="N108" s="14"/>
    </row>
    <row r="109" spans="9:14" ht="14.25" customHeight="1">
      <c r="I109" s="14"/>
      <c r="J109" s="14"/>
      <c r="K109" s="14"/>
      <c r="L109" s="14"/>
      <c r="M109" s="14"/>
      <c r="N109" s="14"/>
    </row>
    <row r="110" spans="9:14" ht="14.25" customHeight="1">
      <c r="I110" s="14"/>
      <c r="J110" s="14"/>
      <c r="K110" s="14"/>
      <c r="L110" s="14"/>
      <c r="M110" s="14"/>
      <c r="N110" s="14"/>
    </row>
    <row r="111" spans="9:14" ht="14.25" customHeight="1">
      <c r="I111" s="14"/>
      <c r="J111" s="14"/>
      <c r="K111" s="14"/>
      <c r="L111" s="14"/>
      <c r="M111" s="14"/>
      <c r="N111" s="14"/>
    </row>
    <row r="112" spans="9:14" ht="14.25" customHeight="1">
      <c r="I112" s="14"/>
      <c r="J112" s="14"/>
      <c r="K112" s="14"/>
      <c r="L112" s="14"/>
      <c r="M112" s="14"/>
      <c r="N112" s="14"/>
    </row>
    <row r="113" spans="9:14" ht="14.25" customHeight="1">
      <c r="I113" s="14"/>
      <c r="J113" s="14"/>
      <c r="K113" s="14"/>
      <c r="L113" s="14"/>
      <c r="M113" s="14"/>
      <c r="N113" s="14"/>
    </row>
    <row r="114" spans="9:14" ht="14.25" customHeight="1">
      <c r="I114" s="14"/>
      <c r="J114" s="14"/>
      <c r="K114" s="14"/>
      <c r="L114" s="14"/>
      <c r="M114" s="14"/>
      <c r="N114" s="14"/>
    </row>
    <row r="115" spans="9:14" ht="14.25" customHeight="1">
      <c r="I115" s="14"/>
      <c r="J115" s="14"/>
      <c r="K115" s="14"/>
      <c r="L115" s="14"/>
      <c r="M115" s="14"/>
      <c r="N115" s="14"/>
    </row>
    <row r="116" spans="9:14" ht="14.25" customHeight="1">
      <c r="I116" s="14"/>
      <c r="J116" s="14"/>
      <c r="K116" s="14"/>
      <c r="L116" s="14"/>
      <c r="M116" s="14"/>
      <c r="N116" s="14"/>
    </row>
    <row r="117" spans="9:14" ht="14.25" customHeight="1">
      <c r="I117" s="14"/>
      <c r="J117" s="14"/>
      <c r="K117" s="14"/>
      <c r="L117" s="14"/>
      <c r="M117" s="14"/>
      <c r="N117" s="14"/>
    </row>
    <row r="118" spans="9:14" ht="14.25" customHeight="1">
      <c r="I118" s="14"/>
      <c r="J118" s="14"/>
      <c r="K118" s="14"/>
      <c r="L118" s="14"/>
      <c r="M118" s="14"/>
      <c r="N118" s="14"/>
    </row>
    <row r="119" spans="9:14" ht="14.25" customHeight="1">
      <c r="I119" s="14"/>
      <c r="J119" s="14"/>
      <c r="K119" s="14"/>
      <c r="L119" s="14"/>
      <c r="M119" s="14"/>
      <c r="N119" s="14"/>
    </row>
    <row r="120" spans="9:14" ht="14.25" customHeight="1">
      <c r="I120" s="14"/>
      <c r="J120" s="14"/>
      <c r="K120" s="14"/>
      <c r="L120" s="14"/>
      <c r="M120" s="14"/>
      <c r="N120" s="14"/>
    </row>
    <row r="121" spans="9:14" ht="14.25" customHeight="1">
      <c r="I121" s="14"/>
      <c r="J121" s="14"/>
      <c r="K121" s="14"/>
      <c r="L121" s="14"/>
      <c r="M121" s="14"/>
      <c r="N121" s="14"/>
    </row>
    <row r="122" spans="9:14" ht="14.25" customHeight="1">
      <c r="I122" s="14"/>
      <c r="J122" s="14"/>
      <c r="K122" s="14"/>
      <c r="L122" s="14"/>
      <c r="M122" s="14"/>
      <c r="N122" s="14"/>
    </row>
    <row r="123" spans="9:14" ht="14.25" customHeight="1">
      <c r="I123" s="14"/>
      <c r="J123" s="14"/>
      <c r="K123" s="14"/>
      <c r="L123" s="14"/>
      <c r="M123" s="14"/>
      <c r="N123" s="14"/>
    </row>
    <row r="124" spans="9:14" ht="14.25" customHeight="1">
      <c r="I124" s="14"/>
      <c r="J124" s="14"/>
      <c r="K124" s="14"/>
      <c r="L124" s="14"/>
      <c r="M124" s="14"/>
      <c r="N124" s="14"/>
    </row>
    <row r="125" spans="9:14" ht="14.25" customHeight="1">
      <c r="I125" s="14"/>
      <c r="J125" s="14"/>
      <c r="K125" s="14"/>
      <c r="L125" s="14"/>
      <c r="M125" s="14"/>
      <c r="N125" s="14"/>
    </row>
    <row r="126" spans="9:14" ht="14.25" customHeight="1">
      <c r="I126" s="14"/>
      <c r="J126" s="14"/>
      <c r="K126" s="14"/>
      <c r="L126" s="14"/>
      <c r="M126" s="14"/>
      <c r="N126" s="14"/>
    </row>
    <row r="127" spans="9:14" ht="14.25" customHeight="1">
      <c r="I127" s="14"/>
      <c r="J127" s="14"/>
      <c r="K127" s="14"/>
      <c r="L127" s="14"/>
      <c r="M127" s="14"/>
      <c r="N127" s="14"/>
    </row>
    <row r="128" spans="9:14" ht="14.25" customHeight="1">
      <c r="I128" s="14"/>
      <c r="J128" s="14"/>
      <c r="K128" s="14"/>
      <c r="L128" s="14"/>
      <c r="M128" s="14"/>
      <c r="N128" s="14"/>
    </row>
    <row r="129" spans="9:14" ht="14.25" customHeight="1">
      <c r="I129" s="14"/>
      <c r="J129" s="14"/>
      <c r="K129" s="14"/>
      <c r="L129" s="14"/>
      <c r="M129" s="14"/>
      <c r="N129" s="14"/>
    </row>
    <row r="130" spans="9:14" ht="14.25" customHeight="1">
      <c r="I130" s="14"/>
      <c r="J130" s="14"/>
      <c r="K130" s="14"/>
      <c r="L130" s="14"/>
      <c r="M130" s="14"/>
      <c r="N130" s="14"/>
    </row>
    <row r="131" spans="9:14" ht="14.25" customHeight="1">
      <c r="I131" s="14"/>
      <c r="J131" s="14"/>
      <c r="K131" s="14"/>
      <c r="L131" s="14"/>
      <c r="M131" s="14"/>
      <c r="N131" s="14"/>
    </row>
    <row r="132" spans="9:14" ht="14.25" customHeight="1">
      <c r="I132" s="14"/>
      <c r="J132" s="14"/>
      <c r="K132" s="14"/>
      <c r="L132" s="14"/>
      <c r="M132" s="14"/>
      <c r="N132" s="14"/>
    </row>
    <row r="133" spans="9:14" ht="14.25" customHeight="1">
      <c r="I133" s="14"/>
      <c r="J133" s="14"/>
      <c r="K133" s="14"/>
      <c r="L133" s="14"/>
      <c r="M133" s="14"/>
      <c r="N133" s="14"/>
    </row>
    <row r="134" spans="9:14" ht="14.25" customHeight="1">
      <c r="I134" s="14"/>
      <c r="J134" s="14"/>
      <c r="K134" s="14"/>
      <c r="L134" s="14"/>
      <c r="M134" s="14"/>
      <c r="N134" s="14"/>
    </row>
    <row r="135" spans="9:14" ht="14.25" customHeight="1">
      <c r="I135" s="14"/>
      <c r="J135" s="14"/>
      <c r="K135" s="14"/>
      <c r="L135" s="14"/>
      <c r="M135" s="14"/>
      <c r="N135" s="14"/>
    </row>
    <row r="136" spans="9:14" ht="14.25" customHeight="1">
      <c r="I136" s="14"/>
      <c r="J136" s="14"/>
      <c r="K136" s="14"/>
      <c r="L136" s="14"/>
      <c r="M136" s="14"/>
      <c r="N136" s="14"/>
    </row>
    <row r="137" spans="9:14" ht="14.25" customHeight="1">
      <c r="I137" s="14"/>
      <c r="J137" s="14"/>
      <c r="K137" s="14"/>
      <c r="L137" s="14"/>
      <c r="M137" s="14"/>
      <c r="N137" s="14"/>
    </row>
    <row r="138" spans="9:14" ht="14.25" customHeight="1">
      <c r="I138" s="14"/>
      <c r="J138" s="14"/>
      <c r="K138" s="14"/>
      <c r="L138" s="14"/>
      <c r="M138" s="14"/>
      <c r="N138" s="14"/>
    </row>
    <row r="139" spans="9:14" ht="14.25" customHeight="1">
      <c r="I139" s="14"/>
      <c r="J139" s="14"/>
      <c r="K139" s="14"/>
      <c r="L139" s="14"/>
      <c r="M139" s="14"/>
      <c r="N139" s="14"/>
    </row>
    <row r="140" spans="9:14" ht="14.25" customHeight="1">
      <c r="I140" s="14"/>
      <c r="J140" s="14"/>
      <c r="K140" s="14"/>
      <c r="L140" s="14"/>
      <c r="M140" s="14"/>
      <c r="N140" s="14"/>
    </row>
    <row r="141" spans="9:14" ht="14.25" customHeight="1">
      <c r="I141" s="14"/>
      <c r="J141" s="14"/>
      <c r="K141" s="14"/>
      <c r="L141" s="14"/>
      <c r="M141" s="14"/>
      <c r="N141" s="14"/>
    </row>
    <row r="142" spans="9:14" ht="14.25" customHeight="1">
      <c r="I142" s="14"/>
      <c r="J142" s="14"/>
      <c r="K142" s="14"/>
      <c r="L142" s="14"/>
      <c r="M142" s="14"/>
      <c r="N142" s="14"/>
    </row>
    <row r="143" spans="9:14" ht="14.25" customHeight="1">
      <c r="I143" s="14"/>
      <c r="J143" s="14"/>
      <c r="K143" s="14"/>
      <c r="L143" s="14"/>
      <c r="M143" s="14"/>
      <c r="N143" s="14"/>
    </row>
    <row r="144" spans="9:14" ht="14.25" customHeight="1">
      <c r="I144" s="14"/>
      <c r="J144" s="14"/>
      <c r="K144" s="14"/>
      <c r="L144" s="14"/>
      <c r="M144" s="14"/>
      <c r="N144" s="14"/>
    </row>
    <row r="145" spans="9:14" ht="14.25" customHeight="1">
      <c r="I145" s="14"/>
      <c r="J145" s="14"/>
      <c r="K145" s="14"/>
      <c r="L145" s="14"/>
      <c r="M145" s="14"/>
      <c r="N145" s="14"/>
    </row>
    <row r="146" spans="9:14" ht="14.25" customHeight="1">
      <c r="I146" s="14"/>
      <c r="J146" s="14"/>
      <c r="K146" s="14"/>
      <c r="L146" s="14"/>
      <c r="M146" s="14"/>
      <c r="N146" s="14"/>
    </row>
    <row r="147" spans="9:14" ht="14.25" customHeight="1">
      <c r="I147" s="14"/>
      <c r="J147" s="14"/>
      <c r="K147" s="14"/>
      <c r="L147" s="14"/>
      <c r="M147" s="14"/>
      <c r="N147" s="14"/>
    </row>
    <row r="148" spans="9:14" ht="14.25" customHeight="1">
      <c r="I148" s="14"/>
      <c r="J148" s="14"/>
      <c r="K148" s="14"/>
      <c r="L148" s="14"/>
      <c r="M148" s="14"/>
      <c r="N148" s="14"/>
    </row>
    <row r="149" spans="9:14" ht="14.25" customHeight="1">
      <c r="I149" s="14"/>
      <c r="J149" s="14"/>
      <c r="K149" s="14"/>
      <c r="L149" s="14"/>
      <c r="M149" s="14"/>
      <c r="N149" s="14"/>
    </row>
    <row r="150" spans="9:14" ht="14.25" customHeight="1">
      <c r="I150" s="14"/>
      <c r="J150" s="14"/>
      <c r="K150" s="14"/>
      <c r="L150" s="14"/>
      <c r="M150" s="14"/>
      <c r="N150" s="14"/>
    </row>
    <row r="151" spans="9:14" ht="14.25" customHeight="1">
      <c r="I151" s="14"/>
      <c r="J151" s="14"/>
      <c r="K151" s="14"/>
      <c r="L151" s="14"/>
      <c r="M151" s="14"/>
      <c r="N151" s="14"/>
    </row>
    <row r="152" spans="9:14" ht="14.25" customHeight="1">
      <c r="I152" s="14"/>
      <c r="J152" s="14"/>
      <c r="K152" s="14"/>
      <c r="L152" s="14"/>
      <c r="M152" s="14"/>
      <c r="N152" s="14"/>
    </row>
    <row r="153" spans="9:14" ht="14.25" customHeight="1">
      <c r="I153" s="14"/>
      <c r="J153" s="14"/>
      <c r="K153" s="14"/>
      <c r="L153" s="14"/>
      <c r="M153" s="14"/>
      <c r="N153" s="14"/>
    </row>
    <row r="154" spans="9:14" ht="14.25" customHeight="1">
      <c r="I154" s="14"/>
      <c r="J154" s="14"/>
      <c r="K154" s="14"/>
      <c r="L154" s="14"/>
      <c r="M154" s="14"/>
      <c r="N154" s="14"/>
    </row>
    <row r="155" spans="9:14" ht="14.25" customHeight="1">
      <c r="I155" s="14"/>
      <c r="J155" s="14"/>
      <c r="K155" s="14"/>
      <c r="L155" s="14"/>
      <c r="M155" s="14"/>
      <c r="N155" s="14"/>
    </row>
    <row r="156" spans="9:14" ht="14.25" customHeight="1">
      <c r="I156" s="14"/>
      <c r="J156" s="14"/>
      <c r="K156" s="14"/>
      <c r="L156" s="14"/>
      <c r="M156" s="14"/>
      <c r="N156" s="14"/>
    </row>
    <row r="157" spans="9:14" ht="14.25" customHeight="1">
      <c r="I157" s="14"/>
      <c r="J157" s="14"/>
      <c r="K157" s="14"/>
      <c r="L157" s="14"/>
      <c r="M157" s="14"/>
      <c r="N157" s="14"/>
    </row>
    <row r="158" spans="9:14" ht="14.25" customHeight="1">
      <c r="I158" s="14"/>
      <c r="J158" s="14"/>
      <c r="K158" s="14"/>
      <c r="L158" s="14"/>
      <c r="M158" s="14"/>
      <c r="N158" s="14"/>
    </row>
    <row r="159" spans="9:14" ht="14.25" customHeight="1">
      <c r="I159" s="14"/>
      <c r="J159" s="14"/>
      <c r="K159" s="14"/>
      <c r="L159" s="14"/>
      <c r="M159" s="14"/>
      <c r="N159" s="14"/>
    </row>
    <row r="160" spans="9:14" ht="14.25" customHeight="1">
      <c r="I160" s="14"/>
      <c r="J160" s="14"/>
      <c r="K160" s="14"/>
      <c r="L160" s="14"/>
      <c r="M160" s="14"/>
      <c r="N160" s="14"/>
    </row>
    <row r="161" spans="9:14" ht="14.25" customHeight="1">
      <c r="I161" s="14"/>
      <c r="J161" s="14"/>
      <c r="K161" s="14"/>
      <c r="L161" s="14"/>
      <c r="M161" s="14"/>
      <c r="N161" s="14"/>
    </row>
    <row r="162" spans="9:14" ht="14.25" customHeight="1">
      <c r="I162" s="14"/>
      <c r="J162" s="14"/>
      <c r="K162" s="14"/>
      <c r="L162" s="14"/>
      <c r="M162" s="14"/>
      <c r="N162" s="14"/>
    </row>
    <row r="163" spans="9:14" ht="14.25" customHeight="1">
      <c r="I163" s="14"/>
      <c r="J163" s="14"/>
      <c r="K163" s="14"/>
      <c r="L163" s="14"/>
      <c r="M163" s="14"/>
      <c r="N163" s="14"/>
    </row>
    <row r="164" spans="9:14" ht="14.25" customHeight="1">
      <c r="I164" s="14"/>
      <c r="J164" s="14"/>
      <c r="K164" s="14"/>
      <c r="L164" s="14"/>
      <c r="M164" s="14"/>
      <c r="N164" s="14"/>
    </row>
    <row r="165" spans="9:14" ht="14.25" customHeight="1">
      <c r="I165" s="14"/>
      <c r="J165" s="14"/>
      <c r="K165" s="14"/>
      <c r="L165" s="14"/>
      <c r="M165" s="14"/>
      <c r="N165" s="14"/>
    </row>
    <row r="166" spans="9:14" ht="14.25" customHeight="1">
      <c r="I166" s="14"/>
      <c r="J166" s="14"/>
      <c r="K166" s="14"/>
      <c r="L166" s="14"/>
      <c r="M166" s="14"/>
      <c r="N166" s="14"/>
    </row>
    <row r="167" spans="9:14" ht="14.25" customHeight="1">
      <c r="I167" s="14"/>
      <c r="J167" s="14"/>
      <c r="K167" s="14"/>
      <c r="L167" s="14"/>
      <c r="M167" s="14"/>
      <c r="N167" s="14"/>
    </row>
    <row r="168" spans="9:14" ht="14.25" customHeight="1">
      <c r="I168" s="14"/>
      <c r="J168" s="14"/>
      <c r="K168" s="14"/>
      <c r="L168" s="14"/>
      <c r="M168" s="14"/>
      <c r="N168" s="14"/>
    </row>
    <row r="169" spans="9:14" ht="14.25" customHeight="1">
      <c r="I169" s="14"/>
      <c r="J169" s="14"/>
      <c r="K169" s="14"/>
      <c r="L169" s="14"/>
      <c r="M169" s="14"/>
      <c r="N169" s="14"/>
    </row>
    <row r="170" spans="9:14" ht="14.25" customHeight="1">
      <c r="I170" s="14"/>
      <c r="J170" s="14"/>
      <c r="K170" s="14"/>
      <c r="L170" s="14"/>
      <c r="M170" s="14"/>
      <c r="N170" s="14"/>
    </row>
    <row r="171" spans="9:14" ht="14.25" customHeight="1">
      <c r="I171" s="14"/>
      <c r="J171" s="14"/>
      <c r="K171" s="14"/>
      <c r="L171" s="14"/>
      <c r="M171" s="14"/>
      <c r="N171" s="14"/>
    </row>
    <row r="172" spans="9:14" ht="14.25" customHeight="1">
      <c r="I172" s="14"/>
      <c r="J172" s="14"/>
      <c r="K172" s="14"/>
      <c r="L172" s="14"/>
      <c r="M172" s="14"/>
      <c r="N172" s="14"/>
    </row>
    <row r="173" spans="9:14" ht="14.25" customHeight="1">
      <c r="I173" s="14"/>
      <c r="J173" s="14"/>
      <c r="K173" s="14"/>
      <c r="L173" s="14"/>
      <c r="M173" s="14"/>
      <c r="N173" s="14"/>
    </row>
    <row r="174" spans="9:14" ht="14.25" customHeight="1">
      <c r="I174" s="14"/>
      <c r="J174" s="14"/>
      <c r="K174" s="14"/>
      <c r="L174" s="14"/>
      <c r="M174" s="14"/>
      <c r="N174" s="14"/>
    </row>
    <row r="175" spans="9:14" ht="14.25" customHeight="1">
      <c r="I175" s="14"/>
      <c r="J175" s="14"/>
      <c r="K175" s="14"/>
      <c r="L175" s="14"/>
      <c r="M175" s="14"/>
      <c r="N175" s="14"/>
    </row>
    <row r="176" spans="9:14" ht="14.25" customHeight="1">
      <c r="I176" s="14"/>
      <c r="J176" s="14"/>
      <c r="K176" s="14"/>
      <c r="L176" s="14"/>
      <c r="M176" s="14"/>
      <c r="N176" s="14"/>
    </row>
    <row r="177" spans="9:14" ht="14.25" customHeight="1">
      <c r="I177" s="14"/>
      <c r="J177" s="14"/>
      <c r="K177" s="14"/>
      <c r="L177" s="14"/>
      <c r="M177" s="14"/>
      <c r="N177" s="14"/>
    </row>
    <row r="178" spans="9:14" ht="14.25" customHeight="1">
      <c r="I178" s="14"/>
      <c r="J178" s="14"/>
      <c r="K178" s="14"/>
      <c r="L178" s="14"/>
      <c r="M178" s="14"/>
      <c r="N178" s="14"/>
    </row>
    <row r="179" spans="9:14" ht="14.25" customHeight="1">
      <c r="I179" s="14"/>
      <c r="J179" s="14"/>
      <c r="K179" s="14"/>
      <c r="L179" s="14"/>
      <c r="M179" s="14"/>
      <c r="N179" s="14"/>
    </row>
    <row r="180" spans="9:14" ht="14.25" customHeight="1">
      <c r="I180" s="14"/>
      <c r="J180" s="14"/>
      <c r="K180" s="14"/>
      <c r="L180" s="14"/>
      <c r="M180" s="14"/>
      <c r="N180" s="14"/>
    </row>
    <row r="181" spans="9:14" ht="14.25" customHeight="1">
      <c r="I181" s="14"/>
      <c r="J181" s="14"/>
      <c r="K181" s="14"/>
      <c r="L181" s="14"/>
      <c r="M181" s="14"/>
      <c r="N181" s="14"/>
    </row>
    <row r="182" spans="9:14" ht="14.25" customHeight="1">
      <c r="I182" s="14"/>
      <c r="J182" s="14"/>
      <c r="K182" s="14"/>
      <c r="L182" s="14"/>
      <c r="M182" s="14"/>
      <c r="N182" s="14"/>
    </row>
    <row r="183" spans="9:14" ht="14.25" customHeight="1">
      <c r="I183" s="14"/>
      <c r="J183" s="14"/>
      <c r="K183" s="14"/>
      <c r="L183" s="14"/>
      <c r="M183" s="14"/>
      <c r="N183" s="14"/>
    </row>
    <row r="184" spans="9:14" ht="14.25" customHeight="1">
      <c r="I184" s="14"/>
      <c r="J184" s="14"/>
      <c r="K184" s="14"/>
      <c r="L184" s="14"/>
      <c r="M184" s="14"/>
      <c r="N184" s="14"/>
    </row>
    <row r="185" spans="9:14" ht="14.25" customHeight="1">
      <c r="I185" s="14"/>
      <c r="J185" s="14"/>
      <c r="K185" s="14"/>
      <c r="L185" s="14"/>
      <c r="M185" s="14"/>
      <c r="N185" s="14"/>
    </row>
    <row r="186" spans="9:14" ht="14.25" customHeight="1">
      <c r="I186" s="14"/>
      <c r="J186" s="14"/>
      <c r="K186" s="14"/>
      <c r="L186" s="14"/>
      <c r="M186" s="14"/>
      <c r="N186" s="14"/>
    </row>
    <row r="187" spans="9:14" ht="14.25" customHeight="1">
      <c r="I187" s="14"/>
      <c r="J187" s="14"/>
      <c r="K187" s="14"/>
      <c r="L187" s="14"/>
      <c r="M187" s="14"/>
      <c r="N187" s="14"/>
    </row>
    <row r="188" spans="9:14" ht="14.25" customHeight="1">
      <c r="I188" s="14"/>
      <c r="J188" s="14"/>
      <c r="K188" s="14"/>
      <c r="L188" s="14"/>
      <c r="M188" s="14"/>
      <c r="N188" s="14"/>
    </row>
    <row r="189" spans="9:14" ht="14.25" customHeight="1">
      <c r="I189" s="14"/>
      <c r="J189" s="14"/>
      <c r="K189" s="14"/>
      <c r="L189" s="14"/>
      <c r="M189" s="14"/>
      <c r="N189" s="14"/>
    </row>
    <row r="190" spans="9:14" ht="14.25" customHeight="1">
      <c r="I190" s="14"/>
      <c r="J190" s="14"/>
      <c r="K190" s="14"/>
      <c r="L190" s="14"/>
      <c r="M190" s="14"/>
      <c r="N190" s="14"/>
    </row>
    <row r="191" spans="9:14" ht="14.25" customHeight="1">
      <c r="I191" s="14"/>
      <c r="J191" s="14"/>
      <c r="K191" s="14"/>
      <c r="L191" s="14"/>
      <c r="M191" s="14"/>
      <c r="N191" s="14"/>
    </row>
    <row r="192" spans="9:14" ht="14.25" customHeight="1">
      <c r="I192" s="14"/>
      <c r="J192" s="14"/>
      <c r="K192" s="14"/>
      <c r="L192" s="14"/>
      <c r="M192" s="14"/>
      <c r="N192" s="14"/>
    </row>
    <row r="193" spans="9:14" ht="14.25" customHeight="1">
      <c r="I193" s="14"/>
      <c r="J193" s="14"/>
      <c r="K193" s="14"/>
      <c r="L193" s="14"/>
      <c r="M193" s="14"/>
      <c r="N193" s="14"/>
    </row>
    <row r="194" spans="9:14" ht="14.25" customHeight="1">
      <c r="I194" s="14"/>
      <c r="J194" s="14"/>
      <c r="K194" s="14"/>
      <c r="L194" s="14"/>
      <c r="M194" s="14"/>
      <c r="N194" s="14"/>
    </row>
    <row r="195" spans="9:14" ht="14.25" customHeight="1">
      <c r="I195" s="14"/>
      <c r="J195" s="14"/>
      <c r="K195" s="14"/>
      <c r="L195" s="14"/>
      <c r="M195" s="14"/>
      <c r="N195" s="14"/>
    </row>
    <row r="196" spans="9:14" ht="14.25" customHeight="1">
      <c r="I196" s="14"/>
      <c r="J196" s="14"/>
      <c r="K196" s="14"/>
      <c r="L196" s="14"/>
      <c r="M196" s="14"/>
      <c r="N196" s="14"/>
    </row>
    <row r="197" spans="9:14" ht="14.25" customHeight="1">
      <c r="I197" s="14"/>
      <c r="J197" s="14"/>
      <c r="K197" s="14"/>
      <c r="L197" s="14"/>
      <c r="M197" s="14"/>
      <c r="N197" s="14"/>
    </row>
    <row r="198" spans="9:14" ht="14.25" customHeight="1">
      <c r="I198" s="14"/>
      <c r="J198" s="14"/>
      <c r="K198" s="14"/>
      <c r="L198" s="14"/>
      <c r="M198" s="14"/>
      <c r="N198" s="14"/>
    </row>
    <row r="199" spans="9:14" ht="14.25" customHeight="1">
      <c r="I199" s="14"/>
      <c r="J199" s="14"/>
      <c r="K199" s="14"/>
      <c r="L199" s="14"/>
      <c r="M199" s="14"/>
      <c r="N199" s="14"/>
    </row>
    <row r="200" spans="9:14" ht="14.25" customHeight="1">
      <c r="I200" s="14"/>
      <c r="J200" s="14"/>
      <c r="K200" s="14"/>
      <c r="L200" s="14"/>
      <c r="M200" s="14"/>
      <c r="N200" s="14"/>
    </row>
    <row r="201" spans="9:14" ht="14.25" customHeight="1">
      <c r="I201" s="14"/>
      <c r="J201" s="14"/>
      <c r="K201" s="14"/>
      <c r="L201" s="14"/>
      <c r="M201" s="14"/>
      <c r="N201" s="14"/>
    </row>
    <row r="202" spans="9:14" ht="14.25" customHeight="1">
      <c r="I202" s="14"/>
      <c r="J202" s="14"/>
      <c r="K202" s="14"/>
      <c r="L202" s="14"/>
      <c r="M202" s="14"/>
      <c r="N202" s="14"/>
    </row>
    <row r="203" spans="9:14" ht="14.25" customHeight="1">
      <c r="I203" s="14"/>
      <c r="J203" s="14"/>
      <c r="K203" s="14"/>
      <c r="L203" s="14"/>
      <c r="M203" s="14"/>
      <c r="N203" s="14"/>
    </row>
    <row r="204" spans="9:14" ht="14.25" customHeight="1">
      <c r="I204" s="14"/>
      <c r="J204" s="14"/>
      <c r="K204" s="14"/>
      <c r="L204" s="14"/>
      <c r="M204" s="14"/>
      <c r="N204" s="14"/>
    </row>
    <row r="205" spans="9:14" ht="14.25" customHeight="1">
      <c r="I205" s="14"/>
      <c r="J205" s="14"/>
      <c r="K205" s="14"/>
      <c r="L205" s="14"/>
      <c r="M205" s="14"/>
      <c r="N205" s="14"/>
    </row>
    <row r="206" spans="9:14" ht="14.25" customHeight="1">
      <c r="I206" s="14"/>
      <c r="J206" s="14"/>
      <c r="K206" s="14"/>
      <c r="L206" s="14"/>
      <c r="M206" s="14"/>
      <c r="N206" s="14"/>
    </row>
    <row r="207" spans="9:14" ht="14.25" customHeight="1">
      <c r="I207" s="14"/>
      <c r="J207" s="14"/>
      <c r="K207" s="14"/>
      <c r="L207" s="14"/>
      <c r="M207" s="14"/>
      <c r="N207" s="14"/>
    </row>
    <row r="208" spans="9:14" ht="14.25" customHeight="1">
      <c r="I208" s="14"/>
      <c r="J208" s="14"/>
      <c r="K208" s="14"/>
      <c r="L208" s="14"/>
      <c r="M208" s="14"/>
      <c r="N208" s="14"/>
    </row>
    <row r="209" spans="9:14" ht="14.25" customHeight="1">
      <c r="I209" s="14"/>
      <c r="J209" s="14"/>
      <c r="K209" s="14"/>
      <c r="L209" s="14"/>
      <c r="M209" s="14"/>
      <c r="N209" s="14"/>
    </row>
    <row r="210" spans="9:14" ht="14.25" customHeight="1">
      <c r="I210" s="14"/>
      <c r="J210" s="14"/>
      <c r="K210" s="14"/>
      <c r="L210" s="14"/>
      <c r="M210" s="14"/>
      <c r="N210" s="14"/>
    </row>
    <row r="211" spans="9:14" ht="14.25" customHeight="1">
      <c r="I211" s="14"/>
      <c r="J211" s="14"/>
      <c r="K211" s="14"/>
      <c r="L211" s="14"/>
      <c r="M211" s="14"/>
      <c r="N211" s="14"/>
    </row>
    <row r="212" spans="9:14" ht="14.25" customHeight="1">
      <c r="I212" s="14"/>
      <c r="J212" s="14"/>
      <c r="K212" s="14"/>
      <c r="L212" s="14"/>
      <c r="M212" s="14"/>
      <c r="N212" s="14"/>
    </row>
    <row r="213" spans="9:14" ht="14.25" customHeight="1">
      <c r="I213" s="14"/>
      <c r="J213" s="14"/>
      <c r="K213" s="14"/>
      <c r="L213" s="14"/>
      <c r="M213" s="14"/>
      <c r="N213" s="14"/>
    </row>
    <row r="214" spans="9:14" ht="14.25" customHeight="1">
      <c r="I214" s="14"/>
      <c r="J214" s="14"/>
      <c r="K214" s="14"/>
      <c r="L214" s="14"/>
      <c r="M214" s="14"/>
      <c r="N214" s="14"/>
    </row>
    <row r="215" spans="9:14" ht="14.25" customHeight="1">
      <c r="I215" s="14"/>
      <c r="J215" s="14"/>
      <c r="K215" s="14"/>
      <c r="L215" s="14"/>
      <c r="M215" s="14"/>
      <c r="N215" s="14"/>
    </row>
    <row r="216" spans="9:14" ht="14.25" customHeight="1">
      <c r="I216" s="14"/>
      <c r="J216" s="14"/>
      <c r="K216" s="14"/>
      <c r="L216" s="14"/>
      <c r="M216" s="14"/>
      <c r="N216" s="14"/>
    </row>
    <row r="217" spans="9:14" ht="14.25" customHeight="1">
      <c r="I217" s="14"/>
      <c r="J217" s="14"/>
      <c r="K217" s="14"/>
      <c r="L217" s="14"/>
      <c r="M217" s="14"/>
      <c r="N217" s="14"/>
    </row>
    <row r="218" spans="9:14" ht="14.25" customHeight="1">
      <c r="I218" s="14"/>
      <c r="J218" s="14"/>
      <c r="K218" s="14"/>
      <c r="L218" s="14"/>
      <c r="M218" s="14"/>
      <c r="N218" s="14"/>
    </row>
    <row r="219" spans="9:14" ht="14.25" customHeight="1">
      <c r="I219" s="14"/>
      <c r="J219" s="14"/>
      <c r="K219" s="14"/>
      <c r="L219" s="14"/>
      <c r="M219" s="14"/>
      <c r="N219" s="14"/>
    </row>
    <row r="220" spans="9:14" ht="14.25" customHeight="1">
      <c r="I220" s="14"/>
      <c r="J220" s="14"/>
      <c r="K220" s="14"/>
      <c r="L220" s="14"/>
      <c r="M220" s="14"/>
      <c r="N220" s="14"/>
    </row>
    <row r="221" spans="9:14" ht="14.25" customHeight="1">
      <c r="I221" s="14"/>
      <c r="J221" s="14"/>
      <c r="K221" s="14"/>
      <c r="L221" s="14"/>
      <c r="M221" s="14"/>
      <c r="N221" s="14"/>
    </row>
    <row r="222" spans="9:14" ht="14.25" customHeight="1">
      <c r="I222" s="14"/>
      <c r="J222" s="14"/>
      <c r="K222" s="14"/>
      <c r="L222" s="14"/>
      <c r="M222" s="14"/>
      <c r="N222" s="14"/>
    </row>
    <row r="223" spans="9:14" ht="14.25" customHeight="1">
      <c r="I223" s="14"/>
      <c r="J223" s="14"/>
      <c r="K223" s="14"/>
      <c r="L223" s="14"/>
      <c r="M223" s="14"/>
      <c r="N223" s="14"/>
    </row>
    <row r="224" spans="9:14" ht="14.25" customHeight="1">
      <c r="I224" s="14"/>
      <c r="J224" s="14"/>
      <c r="K224" s="14"/>
      <c r="L224" s="14"/>
      <c r="M224" s="14"/>
      <c r="N224" s="14"/>
    </row>
    <row r="225" spans="9:14" ht="14.25" customHeight="1">
      <c r="I225" s="14"/>
      <c r="J225" s="14"/>
      <c r="K225" s="14"/>
      <c r="L225" s="14"/>
      <c r="M225" s="14"/>
      <c r="N225" s="14"/>
    </row>
    <row r="226" spans="9:14" ht="14.25" customHeight="1">
      <c r="I226" s="14"/>
      <c r="J226" s="14"/>
      <c r="K226" s="14"/>
      <c r="L226" s="14"/>
      <c r="M226" s="14"/>
      <c r="N226" s="14"/>
    </row>
    <row r="227" spans="9:14" ht="14.25" customHeight="1">
      <c r="I227" s="14"/>
      <c r="J227" s="14"/>
      <c r="K227" s="14"/>
      <c r="L227" s="14"/>
      <c r="M227" s="14"/>
      <c r="N227" s="14"/>
    </row>
    <row r="228" spans="9:14" ht="14.25" customHeight="1">
      <c r="I228" s="14"/>
      <c r="J228" s="14"/>
      <c r="K228" s="14"/>
      <c r="L228" s="14"/>
      <c r="M228" s="14"/>
      <c r="N228" s="14"/>
    </row>
    <row r="229" spans="9:14" ht="14.25" customHeight="1">
      <c r="I229" s="14"/>
      <c r="J229" s="14"/>
      <c r="K229" s="14"/>
      <c r="L229" s="14"/>
      <c r="M229" s="14"/>
      <c r="N229" s="14"/>
    </row>
    <row r="230" spans="9:14" ht="14.25" customHeight="1">
      <c r="I230" s="14"/>
      <c r="J230" s="14"/>
      <c r="K230" s="14"/>
      <c r="L230" s="14"/>
      <c r="M230" s="14"/>
      <c r="N230" s="14"/>
    </row>
    <row r="231" spans="9:14" ht="14.25" customHeight="1">
      <c r="I231" s="14"/>
      <c r="J231" s="14"/>
      <c r="K231" s="14"/>
      <c r="L231" s="14"/>
      <c r="M231" s="14"/>
      <c r="N231" s="14"/>
    </row>
    <row r="232" spans="9:14" ht="14.25" customHeight="1">
      <c r="I232" s="14"/>
      <c r="J232" s="14"/>
      <c r="K232" s="14"/>
      <c r="L232" s="14"/>
      <c r="M232" s="14"/>
      <c r="N232" s="14"/>
    </row>
    <row r="233" spans="9:14" ht="14.25" customHeight="1">
      <c r="I233" s="14"/>
      <c r="J233" s="14"/>
      <c r="K233" s="14"/>
      <c r="L233" s="14"/>
      <c r="M233" s="14"/>
      <c r="N233" s="14"/>
    </row>
    <row r="234" spans="9:14" ht="14.25" customHeight="1">
      <c r="I234" s="14"/>
      <c r="J234" s="14"/>
      <c r="K234" s="14"/>
      <c r="L234" s="14"/>
      <c r="M234" s="14"/>
      <c r="N234" s="14"/>
    </row>
    <row r="235" spans="9:14" ht="14.25" customHeight="1">
      <c r="I235" s="14"/>
      <c r="J235" s="14"/>
      <c r="K235" s="14"/>
      <c r="L235" s="14"/>
      <c r="M235" s="14"/>
      <c r="N235" s="14"/>
    </row>
    <row r="236" spans="9:14" ht="14.25" customHeight="1">
      <c r="I236" s="14"/>
      <c r="J236" s="14"/>
      <c r="K236" s="14"/>
      <c r="L236" s="14"/>
      <c r="M236" s="14"/>
      <c r="N236" s="14"/>
    </row>
    <row r="237" spans="9:14" ht="14.25" customHeight="1">
      <c r="I237" s="14"/>
      <c r="J237" s="14"/>
      <c r="K237" s="14"/>
      <c r="L237" s="14"/>
      <c r="M237" s="14"/>
      <c r="N237" s="14"/>
    </row>
    <row r="238" spans="9:14" ht="14.25" customHeight="1">
      <c r="I238" s="14"/>
      <c r="J238" s="14"/>
      <c r="K238" s="14"/>
      <c r="L238" s="14"/>
      <c r="M238" s="14"/>
      <c r="N238" s="14"/>
    </row>
    <row r="239" spans="9:14" ht="14.25" customHeight="1">
      <c r="I239" s="14"/>
      <c r="J239" s="14"/>
      <c r="K239" s="14"/>
      <c r="L239" s="14"/>
      <c r="M239" s="14"/>
      <c r="N239" s="14"/>
    </row>
    <row r="240" spans="9:14" ht="14.25" customHeight="1">
      <c r="I240" s="14"/>
      <c r="J240" s="14"/>
      <c r="K240" s="14"/>
      <c r="L240" s="14"/>
      <c r="M240" s="14"/>
      <c r="N240" s="14"/>
    </row>
    <row r="241" spans="9:14" ht="14.25" customHeight="1">
      <c r="I241" s="14"/>
      <c r="J241" s="14"/>
      <c r="K241" s="14"/>
      <c r="L241" s="14"/>
      <c r="M241" s="14"/>
      <c r="N241" s="14"/>
    </row>
    <row r="242" spans="9:14" ht="14.25" customHeight="1">
      <c r="I242" s="14"/>
      <c r="J242" s="14"/>
      <c r="K242" s="14"/>
      <c r="L242" s="14"/>
      <c r="M242" s="14"/>
      <c r="N242" s="14"/>
    </row>
    <row r="243" spans="9:14" ht="14.25" customHeight="1">
      <c r="I243" s="14"/>
      <c r="J243" s="14"/>
      <c r="K243" s="14"/>
      <c r="L243" s="14"/>
      <c r="M243" s="14"/>
      <c r="N243" s="14"/>
    </row>
    <row r="244" spans="9:14" ht="14.25" customHeight="1">
      <c r="I244" s="14"/>
      <c r="J244" s="14"/>
      <c r="K244" s="14"/>
      <c r="L244" s="14"/>
      <c r="M244" s="14"/>
      <c r="N244" s="14"/>
    </row>
    <row r="245" spans="9:14" ht="14.25" customHeight="1">
      <c r="I245" s="14"/>
      <c r="J245" s="14"/>
      <c r="K245" s="14"/>
      <c r="L245" s="14"/>
      <c r="M245" s="14"/>
      <c r="N245" s="14"/>
    </row>
    <row r="246" spans="9:14" ht="14.25" customHeight="1">
      <c r="I246" s="14"/>
      <c r="J246" s="14"/>
      <c r="K246" s="14"/>
      <c r="L246" s="14"/>
      <c r="M246" s="14"/>
      <c r="N246" s="14"/>
    </row>
    <row r="247" spans="9:14" ht="14.25" customHeight="1">
      <c r="I247" s="14"/>
      <c r="J247" s="14"/>
      <c r="K247" s="14"/>
      <c r="L247" s="14"/>
      <c r="M247" s="14"/>
      <c r="N247" s="14"/>
    </row>
    <row r="248" spans="9:14" ht="14.25" customHeight="1">
      <c r="I248" s="14"/>
      <c r="J248" s="14"/>
      <c r="K248" s="14"/>
      <c r="L248" s="14"/>
      <c r="M248" s="14"/>
      <c r="N248" s="14"/>
    </row>
    <row r="249" spans="9:14" ht="14.25" customHeight="1">
      <c r="I249" s="14"/>
      <c r="J249" s="14"/>
      <c r="K249" s="14"/>
      <c r="L249" s="14"/>
      <c r="M249" s="14"/>
      <c r="N249" s="14"/>
    </row>
    <row r="250" spans="9:14" ht="14.25" customHeight="1">
      <c r="I250" s="14"/>
      <c r="J250" s="14"/>
      <c r="K250" s="14"/>
      <c r="L250" s="14"/>
      <c r="M250" s="14"/>
      <c r="N250" s="14"/>
    </row>
    <row r="251" spans="9:14" ht="14.25" customHeight="1">
      <c r="I251" s="14"/>
      <c r="J251" s="14"/>
      <c r="K251" s="14"/>
      <c r="L251" s="14"/>
      <c r="M251" s="14"/>
      <c r="N251" s="14"/>
    </row>
    <row r="252" spans="9:14" ht="14.25" customHeight="1">
      <c r="I252" s="14"/>
      <c r="J252" s="14"/>
      <c r="K252" s="14"/>
      <c r="L252" s="14"/>
      <c r="M252" s="14"/>
      <c r="N252" s="14"/>
    </row>
    <row r="253" spans="9:14" ht="14.25" customHeight="1">
      <c r="I253" s="14"/>
      <c r="J253" s="14"/>
      <c r="K253" s="14"/>
      <c r="L253" s="14"/>
      <c r="M253" s="14"/>
      <c r="N253" s="14"/>
    </row>
    <row r="254" spans="9:14" ht="14.25" customHeight="1">
      <c r="I254" s="14"/>
      <c r="J254" s="14"/>
      <c r="K254" s="14"/>
      <c r="L254" s="14"/>
      <c r="M254" s="14"/>
      <c r="N254" s="14"/>
    </row>
    <row r="255" spans="9:14" ht="14.25" customHeight="1">
      <c r="I255" s="14"/>
      <c r="J255" s="14"/>
      <c r="K255" s="14"/>
      <c r="L255" s="14"/>
      <c r="M255" s="14"/>
      <c r="N255" s="14"/>
    </row>
    <row r="256" spans="9:14" ht="14.25" customHeight="1">
      <c r="I256" s="14"/>
      <c r="J256" s="14"/>
      <c r="K256" s="14"/>
      <c r="L256" s="14"/>
      <c r="M256" s="14"/>
      <c r="N256" s="14"/>
    </row>
    <row r="257" spans="9:14" ht="14.25" customHeight="1">
      <c r="I257" s="14"/>
      <c r="J257" s="14"/>
      <c r="K257" s="14"/>
      <c r="L257" s="14"/>
      <c r="M257" s="14"/>
      <c r="N257" s="14"/>
    </row>
    <row r="258" spans="9:14" ht="14.25" customHeight="1">
      <c r="I258" s="14"/>
      <c r="J258" s="14"/>
      <c r="K258" s="14"/>
      <c r="L258" s="14"/>
      <c r="M258" s="14"/>
      <c r="N258" s="14"/>
    </row>
    <row r="259" spans="9:14" ht="14.25" customHeight="1">
      <c r="I259" s="14"/>
      <c r="J259" s="14"/>
      <c r="K259" s="14"/>
      <c r="L259" s="14"/>
      <c r="M259" s="14"/>
      <c r="N259" s="14"/>
    </row>
    <row r="260" spans="9:14" ht="14.25" customHeight="1">
      <c r="I260" s="14"/>
      <c r="J260" s="14"/>
      <c r="K260" s="14"/>
      <c r="L260" s="14"/>
      <c r="M260" s="14"/>
      <c r="N260" s="14"/>
    </row>
    <row r="261" spans="9:14" ht="14.25" customHeight="1">
      <c r="I261" s="14"/>
      <c r="J261" s="14"/>
      <c r="K261" s="14"/>
      <c r="L261" s="14"/>
      <c r="M261" s="14"/>
      <c r="N261" s="14"/>
    </row>
    <row r="262" spans="9:14" ht="14.25" customHeight="1">
      <c r="I262" s="14"/>
      <c r="J262" s="14"/>
      <c r="K262" s="14"/>
      <c r="L262" s="14"/>
      <c r="M262" s="14"/>
      <c r="N262" s="14"/>
    </row>
    <row r="263" spans="9:14" ht="14.25" customHeight="1">
      <c r="I263" s="14"/>
      <c r="J263" s="14"/>
      <c r="K263" s="14"/>
      <c r="L263" s="14"/>
      <c r="M263" s="14"/>
      <c r="N263" s="14"/>
    </row>
    <row r="264" spans="9:14" ht="14.25" customHeight="1">
      <c r="I264" s="14"/>
      <c r="J264" s="14"/>
      <c r="K264" s="14"/>
      <c r="L264" s="14"/>
      <c r="M264" s="14"/>
      <c r="N264" s="14"/>
    </row>
    <row r="265" spans="9:14" ht="14.25" customHeight="1">
      <c r="I265" s="14"/>
      <c r="J265" s="14"/>
      <c r="K265" s="14"/>
      <c r="L265" s="14"/>
      <c r="M265" s="14"/>
      <c r="N265" s="14"/>
    </row>
    <row r="266" spans="9:14" ht="14.25" customHeight="1">
      <c r="I266" s="14"/>
      <c r="J266" s="14"/>
      <c r="K266" s="14"/>
      <c r="L266" s="14"/>
      <c r="M266" s="14"/>
      <c r="N266" s="14"/>
    </row>
    <row r="267" spans="9:14" ht="14.25" customHeight="1">
      <c r="I267" s="14"/>
      <c r="J267" s="14"/>
      <c r="K267" s="14"/>
      <c r="L267" s="14"/>
      <c r="M267" s="14"/>
      <c r="N267" s="14"/>
    </row>
    <row r="268" spans="9:14" ht="14.25" customHeight="1">
      <c r="I268" s="14"/>
      <c r="J268" s="14"/>
      <c r="K268" s="14"/>
      <c r="L268" s="14"/>
      <c r="M268" s="14"/>
      <c r="N268" s="14"/>
    </row>
    <row r="269" spans="9:14" ht="14.25" customHeight="1">
      <c r="I269" s="14"/>
      <c r="J269" s="14"/>
      <c r="K269" s="14"/>
      <c r="L269" s="14"/>
      <c r="M269" s="14"/>
      <c r="N269" s="14"/>
    </row>
    <row r="270" spans="9:14" ht="14.25" customHeight="1">
      <c r="I270" s="14"/>
      <c r="J270" s="14"/>
      <c r="K270" s="14"/>
      <c r="L270" s="14"/>
      <c r="M270" s="14"/>
      <c r="N270" s="14"/>
    </row>
    <row r="271" spans="9:14" ht="14.25" customHeight="1">
      <c r="I271" s="14"/>
      <c r="J271" s="14"/>
      <c r="K271" s="14"/>
      <c r="L271" s="14"/>
      <c r="M271" s="14"/>
      <c r="N271" s="14"/>
    </row>
    <row r="272" spans="9:14" ht="14.25" customHeight="1">
      <c r="I272" s="14"/>
      <c r="J272" s="14"/>
      <c r="K272" s="14"/>
      <c r="L272" s="14"/>
      <c r="M272" s="14"/>
      <c r="N272" s="14"/>
    </row>
    <row r="273" spans="9:14" ht="14.25" customHeight="1">
      <c r="I273" s="14"/>
      <c r="J273" s="14"/>
      <c r="K273" s="14"/>
      <c r="L273" s="14"/>
      <c r="M273" s="14"/>
      <c r="N273" s="14"/>
    </row>
    <row r="274" spans="9:14" ht="14.25" customHeight="1">
      <c r="I274" s="14"/>
      <c r="J274" s="14"/>
      <c r="K274" s="14"/>
      <c r="L274" s="14"/>
      <c r="M274" s="14"/>
      <c r="N274" s="14"/>
    </row>
    <row r="275" spans="9:14" ht="14.25" customHeight="1">
      <c r="I275" s="14"/>
      <c r="J275" s="14"/>
      <c r="K275" s="14"/>
      <c r="L275" s="14"/>
      <c r="M275" s="14"/>
      <c r="N275" s="14"/>
    </row>
    <row r="276" spans="9:14" ht="14.25" customHeight="1">
      <c r="I276" s="14"/>
      <c r="J276" s="14"/>
      <c r="K276" s="14"/>
      <c r="L276" s="14"/>
      <c r="M276" s="14"/>
      <c r="N276" s="14"/>
    </row>
    <row r="277" spans="9:14" ht="14.25" customHeight="1">
      <c r="I277" s="14"/>
      <c r="J277" s="14"/>
      <c r="K277" s="14"/>
      <c r="L277" s="14"/>
      <c r="M277" s="14"/>
      <c r="N277" s="14"/>
    </row>
    <row r="278" spans="9:14" ht="14.25" customHeight="1">
      <c r="I278" s="14"/>
      <c r="J278" s="14"/>
      <c r="K278" s="14"/>
      <c r="L278" s="14"/>
      <c r="M278" s="14"/>
      <c r="N278" s="14"/>
    </row>
    <row r="279" spans="9:14" ht="14.25" customHeight="1">
      <c r="I279" s="14"/>
      <c r="J279" s="14"/>
      <c r="K279" s="14"/>
      <c r="L279" s="14"/>
      <c r="M279" s="14"/>
      <c r="N279" s="14"/>
    </row>
    <row r="280" spans="9:14" ht="14.25" customHeight="1">
      <c r="I280" s="14"/>
      <c r="J280" s="14"/>
      <c r="K280" s="14"/>
      <c r="L280" s="14"/>
      <c r="M280" s="14"/>
      <c r="N280" s="14"/>
    </row>
    <row r="281" spans="9:14" ht="14.25" customHeight="1">
      <c r="I281" s="14"/>
      <c r="J281" s="14"/>
      <c r="K281" s="14"/>
      <c r="L281" s="14"/>
      <c r="M281" s="14"/>
      <c r="N281" s="14"/>
    </row>
    <row r="282" spans="9:14" ht="14.25" customHeight="1">
      <c r="I282" s="14"/>
      <c r="J282" s="14"/>
      <c r="K282" s="14"/>
      <c r="L282" s="14"/>
      <c r="M282" s="14"/>
      <c r="N282" s="14"/>
    </row>
    <row r="283" spans="9:14" ht="14.25" customHeight="1">
      <c r="I283" s="14"/>
      <c r="J283" s="14"/>
      <c r="K283" s="14"/>
      <c r="L283" s="14"/>
      <c r="M283" s="14"/>
      <c r="N283" s="14"/>
    </row>
    <row r="284" spans="9:14" ht="14.25" customHeight="1">
      <c r="I284" s="14"/>
      <c r="J284" s="14"/>
      <c r="K284" s="14"/>
      <c r="L284" s="14"/>
      <c r="M284" s="14"/>
      <c r="N284" s="14"/>
    </row>
    <row r="285" spans="9:14" ht="14.25" customHeight="1">
      <c r="I285" s="14"/>
      <c r="J285" s="14"/>
      <c r="K285" s="14"/>
      <c r="L285" s="14"/>
      <c r="M285" s="14"/>
      <c r="N285" s="14"/>
    </row>
    <row r="286" spans="9:14" ht="14.25" customHeight="1">
      <c r="I286" s="14"/>
      <c r="J286" s="14"/>
      <c r="K286" s="14"/>
      <c r="L286" s="14"/>
      <c r="M286" s="14"/>
      <c r="N286" s="14"/>
    </row>
    <row r="287" spans="9:14" ht="14.25" customHeight="1">
      <c r="I287" s="14"/>
      <c r="J287" s="14"/>
      <c r="K287" s="14"/>
      <c r="L287" s="14"/>
      <c r="M287" s="14"/>
      <c r="N287" s="14"/>
    </row>
    <row r="288" spans="9:14" ht="14.25" customHeight="1">
      <c r="I288" s="14"/>
      <c r="J288" s="14"/>
      <c r="K288" s="14"/>
      <c r="L288" s="14"/>
      <c r="M288" s="14"/>
      <c r="N288" s="14"/>
    </row>
    <row r="289" spans="9:14" ht="14.25" customHeight="1">
      <c r="I289" s="14"/>
      <c r="J289" s="14"/>
      <c r="K289" s="14"/>
      <c r="L289" s="14"/>
      <c r="M289" s="14"/>
      <c r="N289" s="14"/>
    </row>
    <row r="290" spans="9:14" ht="14.25" customHeight="1">
      <c r="I290" s="14"/>
      <c r="J290" s="14"/>
      <c r="K290" s="14"/>
      <c r="L290" s="14"/>
      <c r="M290" s="14"/>
      <c r="N290" s="14"/>
    </row>
    <row r="291" spans="9:14" ht="14.25" customHeight="1">
      <c r="I291" s="14"/>
      <c r="J291" s="14"/>
      <c r="K291" s="14"/>
      <c r="L291" s="14"/>
      <c r="M291" s="14"/>
      <c r="N291" s="14"/>
    </row>
    <row r="292" spans="9:14" ht="14.25" customHeight="1">
      <c r="I292" s="14"/>
      <c r="J292" s="14"/>
      <c r="K292" s="14"/>
      <c r="L292" s="14"/>
      <c r="M292" s="14"/>
      <c r="N292" s="14"/>
    </row>
    <row r="293" spans="9:14" ht="14.25" customHeight="1">
      <c r="I293" s="14"/>
      <c r="J293" s="14"/>
      <c r="K293" s="14"/>
      <c r="L293" s="14"/>
      <c r="M293" s="14"/>
      <c r="N293" s="14"/>
    </row>
    <row r="294" spans="9:14" ht="14.25" customHeight="1">
      <c r="I294" s="14"/>
      <c r="J294" s="14"/>
      <c r="K294" s="14"/>
      <c r="L294" s="14"/>
      <c r="M294" s="14"/>
      <c r="N294" s="14"/>
    </row>
    <row r="295" spans="9:14" ht="14.25" customHeight="1">
      <c r="I295" s="14"/>
      <c r="J295" s="14"/>
      <c r="K295" s="14"/>
      <c r="L295" s="14"/>
      <c r="M295" s="14"/>
      <c r="N295" s="14"/>
    </row>
    <row r="296" spans="9:14" ht="14.25" customHeight="1">
      <c r="I296" s="14"/>
      <c r="J296" s="14"/>
      <c r="K296" s="14"/>
      <c r="L296" s="14"/>
      <c r="M296" s="14"/>
      <c r="N296" s="14"/>
    </row>
    <row r="297" spans="9:14" ht="14.25" customHeight="1">
      <c r="I297" s="14"/>
      <c r="J297" s="14"/>
      <c r="K297" s="14"/>
      <c r="L297" s="14"/>
      <c r="M297" s="14"/>
      <c r="N297" s="14"/>
    </row>
    <row r="298" spans="9:14" ht="14.25" customHeight="1">
      <c r="I298" s="14"/>
      <c r="J298" s="14"/>
      <c r="K298" s="14"/>
      <c r="L298" s="14"/>
      <c r="M298" s="14"/>
      <c r="N298" s="14"/>
    </row>
    <row r="299" spans="9:14" ht="14.25" customHeight="1">
      <c r="I299" s="14"/>
      <c r="J299" s="14"/>
      <c r="K299" s="14"/>
      <c r="L299" s="14"/>
      <c r="M299" s="14"/>
      <c r="N299" s="14"/>
    </row>
    <row r="300" spans="9:14" ht="14.25" customHeight="1">
      <c r="I300" s="14"/>
      <c r="J300" s="14"/>
      <c r="K300" s="14"/>
      <c r="L300" s="14"/>
      <c r="M300" s="14"/>
      <c r="N300" s="14"/>
    </row>
    <row r="301" spans="9:14" ht="14.25" customHeight="1">
      <c r="I301" s="14"/>
      <c r="J301" s="14"/>
      <c r="K301" s="14"/>
      <c r="L301" s="14"/>
      <c r="M301" s="14"/>
      <c r="N301" s="14"/>
    </row>
    <row r="302" spans="9:14" ht="14.25" customHeight="1">
      <c r="I302" s="14"/>
      <c r="J302" s="14"/>
      <c r="K302" s="14"/>
      <c r="L302" s="14"/>
      <c r="M302" s="14"/>
      <c r="N302" s="14"/>
    </row>
    <row r="303" spans="9:14" ht="14.25" customHeight="1">
      <c r="I303" s="14"/>
      <c r="J303" s="14"/>
      <c r="K303" s="14"/>
      <c r="L303" s="14"/>
      <c r="M303" s="14"/>
      <c r="N303" s="14"/>
    </row>
    <row r="304" spans="9:14" ht="14.25" customHeight="1">
      <c r="I304" s="14"/>
      <c r="J304" s="14"/>
      <c r="K304" s="14"/>
      <c r="L304" s="14"/>
      <c r="M304" s="14"/>
      <c r="N304" s="14"/>
    </row>
    <row r="305" spans="9:14" ht="14.25" customHeight="1">
      <c r="I305" s="14"/>
      <c r="J305" s="14"/>
      <c r="K305" s="14"/>
      <c r="L305" s="14"/>
      <c r="M305" s="14"/>
      <c r="N305" s="14"/>
    </row>
    <row r="306" spans="9:14" ht="14.25" customHeight="1">
      <c r="I306" s="14"/>
      <c r="J306" s="14"/>
      <c r="K306" s="14"/>
      <c r="L306" s="14"/>
      <c r="M306" s="14"/>
      <c r="N306" s="14"/>
    </row>
    <row r="307" spans="9:14" ht="14.25" customHeight="1">
      <c r="I307" s="14"/>
      <c r="J307" s="14"/>
      <c r="K307" s="14"/>
      <c r="L307" s="14"/>
      <c r="M307" s="14"/>
      <c r="N307" s="14"/>
    </row>
    <row r="308" spans="9:14" ht="14.25" customHeight="1">
      <c r="I308" s="14"/>
      <c r="J308" s="14"/>
      <c r="K308" s="14"/>
      <c r="L308" s="14"/>
      <c r="M308" s="14"/>
      <c r="N308" s="14"/>
    </row>
    <row r="309" spans="9:14" ht="14.25" customHeight="1">
      <c r="I309" s="14"/>
      <c r="J309" s="14"/>
      <c r="K309" s="14"/>
      <c r="L309" s="14"/>
      <c r="M309" s="14"/>
      <c r="N309" s="14"/>
    </row>
    <row r="310" spans="9:14" ht="14.25" customHeight="1">
      <c r="I310" s="14"/>
      <c r="J310" s="14"/>
      <c r="K310" s="14"/>
      <c r="L310" s="14"/>
      <c r="M310" s="14"/>
      <c r="N310" s="14"/>
    </row>
    <row r="311" spans="9:14" ht="14.25" customHeight="1">
      <c r="I311" s="14"/>
      <c r="J311" s="14"/>
      <c r="K311" s="14"/>
      <c r="L311" s="14"/>
      <c r="M311" s="14"/>
      <c r="N311" s="14"/>
    </row>
    <row r="312" spans="9:14" ht="14.25" customHeight="1">
      <c r="I312" s="14"/>
      <c r="J312" s="14"/>
      <c r="K312" s="14"/>
      <c r="L312" s="14"/>
      <c r="M312" s="14"/>
      <c r="N312" s="14"/>
    </row>
    <row r="313" spans="9:14" ht="14.25" customHeight="1">
      <c r="I313" s="14"/>
      <c r="J313" s="14"/>
      <c r="K313" s="14"/>
      <c r="L313" s="14"/>
      <c r="M313" s="14"/>
      <c r="N313" s="14"/>
    </row>
    <row r="314" spans="9:14" ht="14.25" customHeight="1">
      <c r="I314" s="14"/>
      <c r="J314" s="14"/>
      <c r="K314" s="14"/>
      <c r="L314" s="14"/>
      <c r="M314" s="14"/>
      <c r="N314" s="14"/>
    </row>
    <row r="315" spans="9:14" ht="14.25" customHeight="1">
      <c r="I315" s="14"/>
      <c r="J315" s="14"/>
      <c r="K315" s="14"/>
      <c r="L315" s="14"/>
      <c r="M315" s="14"/>
      <c r="N315" s="14"/>
    </row>
    <row r="316" spans="9:14" ht="14.25" customHeight="1">
      <c r="I316" s="14"/>
      <c r="J316" s="14"/>
      <c r="K316" s="14"/>
      <c r="L316" s="14"/>
      <c r="M316" s="14"/>
      <c r="N316" s="14"/>
    </row>
    <row r="317" spans="9:14" ht="14.25" customHeight="1">
      <c r="I317" s="14"/>
      <c r="J317" s="14"/>
      <c r="K317" s="14"/>
      <c r="L317" s="14"/>
      <c r="M317" s="14"/>
      <c r="N317" s="14"/>
    </row>
    <row r="318" spans="9:14" ht="14.25" customHeight="1">
      <c r="I318" s="14"/>
      <c r="J318" s="14"/>
      <c r="K318" s="14"/>
      <c r="L318" s="14"/>
      <c r="M318" s="14"/>
      <c r="N318" s="14"/>
    </row>
    <row r="319" spans="9:14" ht="14.25" customHeight="1">
      <c r="I319" s="14"/>
      <c r="J319" s="14"/>
      <c r="K319" s="14"/>
      <c r="L319" s="14"/>
      <c r="M319" s="14"/>
      <c r="N319" s="14"/>
    </row>
    <row r="320" spans="9:14" ht="14.25" customHeight="1">
      <c r="I320" s="14"/>
      <c r="J320" s="14"/>
      <c r="K320" s="14"/>
      <c r="L320" s="14"/>
      <c r="M320" s="14"/>
      <c r="N320" s="14"/>
    </row>
    <row r="321" spans="9:14" ht="14.25" customHeight="1">
      <c r="I321" s="14"/>
      <c r="J321" s="14"/>
      <c r="K321" s="14"/>
      <c r="L321" s="14"/>
      <c r="M321" s="14"/>
      <c r="N321" s="14"/>
    </row>
    <row r="322" spans="9:14" ht="14.25" customHeight="1">
      <c r="I322" s="14"/>
      <c r="J322" s="14"/>
      <c r="K322" s="14"/>
      <c r="L322" s="14"/>
      <c r="M322" s="14"/>
      <c r="N322" s="14"/>
    </row>
    <row r="323" spans="9:14" ht="14.25" customHeight="1">
      <c r="I323" s="14"/>
      <c r="J323" s="14"/>
      <c r="K323" s="14"/>
      <c r="L323" s="14"/>
      <c r="M323" s="14"/>
      <c r="N323" s="14"/>
    </row>
    <row r="324" spans="9:14" ht="14.25" customHeight="1">
      <c r="I324" s="14"/>
      <c r="J324" s="14"/>
      <c r="K324" s="14"/>
      <c r="L324" s="14"/>
      <c r="M324" s="14"/>
      <c r="N324" s="14"/>
    </row>
    <row r="325" spans="9:14" ht="14.25" customHeight="1">
      <c r="I325" s="14"/>
      <c r="J325" s="14"/>
      <c r="K325" s="14"/>
      <c r="L325" s="14"/>
      <c r="M325" s="14"/>
      <c r="N325" s="14"/>
    </row>
    <row r="326" spans="9:14" ht="14.25" customHeight="1">
      <c r="I326" s="14"/>
      <c r="J326" s="14"/>
      <c r="K326" s="14"/>
      <c r="L326" s="14"/>
      <c r="M326" s="14"/>
      <c r="N326" s="14"/>
    </row>
    <row r="327" spans="9:14" ht="14.25" customHeight="1">
      <c r="I327" s="14"/>
      <c r="J327" s="14"/>
      <c r="K327" s="14"/>
      <c r="L327" s="14"/>
      <c r="M327" s="14"/>
      <c r="N327" s="14"/>
    </row>
    <row r="328" spans="9:14" ht="14.25" customHeight="1">
      <c r="I328" s="14"/>
      <c r="J328" s="14"/>
      <c r="K328" s="14"/>
      <c r="L328" s="14"/>
      <c r="M328" s="14"/>
      <c r="N328" s="14"/>
    </row>
    <row r="329" spans="9:14" ht="14.25" customHeight="1">
      <c r="I329" s="14"/>
      <c r="J329" s="14"/>
      <c r="K329" s="14"/>
      <c r="L329" s="14"/>
      <c r="M329" s="14"/>
      <c r="N329" s="14"/>
    </row>
    <row r="330" spans="9:14" ht="14.25" customHeight="1">
      <c r="I330" s="14"/>
      <c r="J330" s="14"/>
      <c r="K330" s="14"/>
      <c r="L330" s="14"/>
      <c r="M330" s="14"/>
      <c r="N330" s="14"/>
    </row>
    <row r="331" spans="9:14" ht="14.25" customHeight="1">
      <c r="I331" s="14"/>
      <c r="J331" s="14"/>
      <c r="K331" s="14"/>
      <c r="L331" s="14"/>
      <c r="M331" s="14"/>
      <c r="N331" s="14"/>
    </row>
    <row r="332" spans="9:14" ht="14.25" customHeight="1">
      <c r="I332" s="14"/>
      <c r="J332" s="14"/>
      <c r="K332" s="14"/>
      <c r="L332" s="14"/>
      <c r="M332" s="14"/>
      <c r="N332" s="14"/>
    </row>
    <row r="333" spans="9:14" ht="14.25" customHeight="1">
      <c r="I333" s="14"/>
      <c r="J333" s="14"/>
      <c r="K333" s="14"/>
      <c r="L333" s="14"/>
      <c r="M333" s="14"/>
      <c r="N333" s="14"/>
    </row>
    <row r="334" spans="9:14" ht="14.25" customHeight="1">
      <c r="I334" s="14"/>
      <c r="J334" s="14"/>
      <c r="K334" s="14"/>
      <c r="L334" s="14"/>
      <c r="M334" s="14"/>
      <c r="N334" s="14"/>
    </row>
    <row r="335" spans="9:14" ht="14.25" customHeight="1">
      <c r="I335" s="14"/>
      <c r="J335" s="14"/>
      <c r="K335" s="14"/>
      <c r="L335" s="14"/>
      <c r="M335" s="14"/>
      <c r="N335" s="14"/>
    </row>
    <row r="336" spans="9:14" ht="14.25" customHeight="1">
      <c r="I336" s="14"/>
      <c r="J336" s="14"/>
      <c r="K336" s="14"/>
      <c r="L336" s="14"/>
      <c r="M336" s="14"/>
      <c r="N336" s="14"/>
    </row>
    <row r="337" spans="9:14" ht="14.25" customHeight="1">
      <c r="I337" s="14"/>
      <c r="J337" s="14"/>
      <c r="K337" s="14"/>
      <c r="L337" s="14"/>
      <c r="M337" s="14"/>
      <c r="N337" s="14"/>
    </row>
    <row r="338" spans="9:14" ht="14.25" customHeight="1">
      <c r="I338" s="14"/>
      <c r="J338" s="14"/>
      <c r="K338" s="14"/>
      <c r="L338" s="14"/>
      <c r="M338" s="14"/>
      <c r="N338" s="14"/>
    </row>
    <row r="339" spans="9:14" ht="14.25" customHeight="1">
      <c r="I339" s="14"/>
      <c r="J339" s="14"/>
      <c r="K339" s="14"/>
      <c r="L339" s="14"/>
      <c r="M339" s="14"/>
      <c r="N339" s="14"/>
    </row>
    <row r="340" spans="9:14" ht="14.25" customHeight="1">
      <c r="I340" s="14"/>
      <c r="J340" s="14"/>
      <c r="K340" s="14"/>
      <c r="L340" s="14"/>
      <c r="M340" s="14"/>
      <c r="N340" s="14"/>
    </row>
    <row r="341" spans="9:14" ht="14.25" customHeight="1">
      <c r="I341" s="14"/>
      <c r="J341" s="14"/>
      <c r="K341" s="14"/>
      <c r="L341" s="14"/>
      <c r="M341" s="14"/>
      <c r="N341" s="14"/>
    </row>
    <row r="342" spans="9:14" ht="14.25" customHeight="1">
      <c r="I342" s="14"/>
      <c r="J342" s="14"/>
      <c r="K342" s="14"/>
      <c r="L342" s="14"/>
      <c r="M342" s="14"/>
      <c r="N342" s="14"/>
    </row>
    <row r="343" spans="9:14" ht="14.25" customHeight="1">
      <c r="I343" s="14"/>
      <c r="J343" s="14"/>
      <c r="K343" s="14"/>
      <c r="L343" s="14"/>
      <c r="M343" s="14"/>
      <c r="N343" s="14"/>
    </row>
    <row r="344" spans="9:14" ht="14.25" customHeight="1">
      <c r="I344" s="14"/>
      <c r="J344" s="14"/>
      <c r="K344" s="14"/>
      <c r="L344" s="14"/>
      <c r="M344" s="14"/>
      <c r="N344" s="14"/>
    </row>
    <row r="345" spans="9:14" ht="14.25" customHeight="1">
      <c r="I345" s="14"/>
      <c r="J345" s="14"/>
      <c r="K345" s="14"/>
      <c r="L345" s="14"/>
      <c r="M345" s="14"/>
      <c r="N345" s="14"/>
    </row>
    <row r="346" spans="9:14" ht="14.25" customHeight="1">
      <c r="I346" s="14"/>
      <c r="J346" s="14"/>
      <c r="K346" s="14"/>
      <c r="L346" s="14"/>
      <c r="M346" s="14"/>
      <c r="N346" s="14"/>
    </row>
    <row r="347" spans="9:14" ht="14.25" customHeight="1">
      <c r="I347" s="14"/>
      <c r="J347" s="14"/>
      <c r="K347" s="14"/>
      <c r="L347" s="14"/>
      <c r="M347" s="14"/>
      <c r="N347" s="14"/>
    </row>
    <row r="348" spans="9:14" ht="14.25" customHeight="1">
      <c r="I348" s="14"/>
      <c r="J348" s="14"/>
      <c r="K348" s="14"/>
      <c r="L348" s="14"/>
      <c r="M348" s="14"/>
      <c r="N348" s="14"/>
    </row>
    <row r="349" spans="9:14" ht="14.25" customHeight="1">
      <c r="I349" s="14"/>
      <c r="J349" s="14"/>
      <c r="K349" s="14"/>
      <c r="L349" s="14"/>
      <c r="M349" s="14"/>
      <c r="N349" s="14"/>
    </row>
    <row r="350" spans="9:14" ht="14.25" customHeight="1">
      <c r="I350" s="14"/>
      <c r="J350" s="14"/>
      <c r="K350" s="14"/>
      <c r="L350" s="14"/>
      <c r="M350" s="14"/>
      <c r="N350" s="14"/>
    </row>
    <row r="351" spans="9:14" ht="14.25" customHeight="1">
      <c r="I351" s="14"/>
      <c r="J351" s="14"/>
      <c r="K351" s="14"/>
      <c r="L351" s="14"/>
      <c r="M351" s="14"/>
      <c r="N351" s="14"/>
    </row>
    <row r="352" spans="9:14" ht="14.25" customHeight="1">
      <c r="I352" s="14"/>
      <c r="J352" s="14"/>
      <c r="K352" s="14"/>
      <c r="L352" s="14"/>
      <c r="M352" s="14"/>
      <c r="N352" s="14"/>
    </row>
    <row r="353" spans="9:14" ht="14.25" customHeight="1">
      <c r="I353" s="14"/>
      <c r="J353" s="14"/>
      <c r="K353" s="14"/>
      <c r="L353" s="14"/>
      <c r="M353" s="14"/>
      <c r="N353" s="14"/>
    </row>
    <row r="354" spans="9:14" ht="14.25" customHeight="1">
      <c r="I354" s="14"/>
      <c r="J354" s="14"/>
      <c r="K354" s="14"/>
      <c r="L354" s="14"/>
      <c r="M354" s="14"/>
      <c r="N354" s="14"/>
    </row>
    <row r="355" spans="9:14" ht="14.25" customHeight="1">
      <c r="I355" s="14"/>
      <c r="J355" s="14"/>
      <c r="K355" s="14"/>
      <c r="L355" s="14"/>
      <c r="M355" s="14"/>
      <c r="N355" s="14"/>
    </row>
    <row r="356" spans="9:14" ht="14.25" customHeight="1">
      <c r="I356" s="14"/>
      <c r="J356" s="14"/>
      <c r="K356" s="14"/>
      <c r="L356" s="14"/>
      <c r="M356" s="14"/>
      <c r="N356" s="14"/>
    </row>
    <row r="357" spans="9:14" ht="14.25" customHeight="1">
      <c r="I357" s="14"/>
      <c r="J357" s="14"/>
      <c r="K357" s="14"/>
      <c r="L357" s="14"/>
      <c r="M357" s="14"/>
      <c r="N357" s="14"/>
    </row>
    <row r="358" spans="9:14" ht="14.25" customHeight="1">
      <c r="I358" s="14"/>
      <c r="J358" s="14"/>
      <c r="K358" s="14"/>
      <c r="L358" s="14"/>
      <c r="M358" s="14"/>
      <c r="N358" s="14"/>
    </row>
    <row r="359" spans="9:14" ht="14.25" customHeight="1">
      <c r="I359" s="14"/>
      <c r="J359" s="14"/>
      <c r="K359" s="14"/>
      <c r="L359" s="14"/>
      <c r="M359" s="14"/>
      <c r="N359" s="14"/>
    </row>
    <row r="360" spans="9:14" ht="14.25" customHeight="1">
      <c r="I360" s="14"/>
      <c r="J360" s="14"/>
      <c r="K360" s="14"/>
      <c r="L360" s="14"/>
      <c r="M360" s="14"/>
      <c r="N360" s="14"/>
    </row>
    <row r="361" spans="9:14" ht="14.25" customHeight="1">
      <c r="I361" s="14"/>
      <c r="J361" s="14"/>
      <c r="K361" s="14"/>
      <c r="L361" s="14"/>
      <c r="M361" s="14"/>
      <c r="N361" s="14"/>
    </row>
    <row r="362" spans="9:14" ht="14.25" customHeight="1">
      <c r="I362" s="14"/>
      <c r="J362" s="14"/>
      <c r="K362" s="14"/>
      <c r="L362" s="14"/>
      <c r="M362" s="14"/>
      <c r="N362" s="14"/>
    </row>
    <row r="363" spans="9:14" ht="14.25" customHeight="1">
      <c r="I363" s="14"/>
      <c r="J363" s="14"/>
      <c r="K363" s="14"/>
      <c r="L363" s="14"/>
      <c r="M363" s="14"/>
      <c r="N363" s="14"/>
    </row>
    <row r="364" spans="9:14" ht="14.25" customHeight="1">
      <c r="I364" s="14"/>
      <c r="J364" s="14"/>
      <c r="K364" s="14"/>
      <c r="L364" s="14"/>
      <c r="M364" s="14"/>
      <c r="N364" s="14"/>
    </row>
    <row r="365" spans="9:14" ht="14.25" customHeight="1">
      <c r="I365" s="14"/>
      <c r="J365" s="14"/>
      <c r="K365" s="14"/>
      <c r="L365" s="14"/>
      <c r="M365" s="14"/>
      <c r="N365" s="14"/>
    </row>
    <row r="366" spans="9:14" ht="14.25" customHeight="1">
      <c r="I366" s="14"/>
      <c r="J366" s="14"/>
      <c r="K366" s="14"/>
      <c r="L366" s="14"/>
      <c r="M366" s="14"/>
      <c r="N366" s="14"/>
    </row>
    <row r="367" spans="9:14" ht="14.25" customHeight="1">
      <c r="I367" s="14"/>
      <c r="J367" s="14"/>
      <c r="K367" s="14"/>
      <c r="L367" s="14"/>
      <c r="M367" s="14"/>
      <c r="N367" s="14"/>
    </row>
    <row r="368" spans="9:14" ht="14.25" customHeight="1">
      <c r="I368" s="14"/>
      <c r="J368" s="14"/>
      <c r="K368" s="14"/>
      <c r="L368" s="14"/>
      <c r="M368" s="14"/>
      <c r="N368" s="14"/>
    </row>
    <row r="369" spans="9:14" ht="14.25" customHeight="1">
      <c r="I369" s="14"/>
      <c r="J369" s="14"/>
      <c r="K369" s="14"/>
      <c r="L369" s="14"/>
      <c r="M369" s="14"/>
      <c r="N369" s="14"/>
    </row>
    <row r="370" spans="9:14" ht="14.25" customHeight="1">
      <c r="I370" s="14"/>
      <c r="J370" s="14"/>
      <c r="K370" s="14"/>
      <c r="L370" s="14"/>
      <c r="M370" s="14"/>
      <c r="N370" s="14"/>
    </row>
    <row r="371" spans="9:14" ht="14.25" customHeight="1">
      <c r="I371" s="14"/>
      <c r="J371" s="14"/>
      <c r="K371" s="14"/>
      <c r="L371" s="14"/>
      <c r="M371" s="14"/>
      <c r="N371" s="14"/>
    </row>
    <row r="372" spans="9:14" ht="14.25" customHeight="1">
      <c r="I372" s="14"/>
      <c r="J372" s="14"/>
      <c r="K372" s="14"/>
      <c r="L372" s="14"/>
      <c r="M372" s="14"/>
      <c r="N372" s="14"/>
    </row>
    <row r="373" spans="9:14" ht="14.25" customHeight="1">
      <c r="I373" s="14"/>
      <c r="J373" s="14"/>
      <c r="K373" s="14"/>
      <c r="L373" s="14"/>
      <c r="M373" s="14"/>
      <c r="N373" s="14"/>
    </row>
    <row r="374" spans="9:14" ht="14.25" customHeight="1">
      <c r="I374" s="14"/>
      <c r="J374" s="14"/>
      <c r="K374" s="14"/>
      <c r="L374" s="14"/>
      <c r="M374" s="14"/>
      <c r="N374" s="14"/>
    </row>
    <row r="375" spans="9:14" ht="14.25" customHeight="1">
      <c r="I375" s="14"/>
      <c r="J375" s="14"/>
      <c r="K375" s="14"/>
      <c r="L375" s="14"/>
      <c r="M375" s="14"/>
      <c r="N375" s="14"/>
    </row>
    <row r="376" spans="9:14" ht="14.25" customHeight="1">
      <c r="I376" s="14"/>
      <c r="J376" s="14"/>
      <c r="K376" s="14"/>
      <c r="L376" s="14"/>
      <c r="M376" s="14"/>
      <c r="N376" s="14"/>
    </row>
    <row r="377" spans="9:14" ht="14.25" customHeight="1">
      <c r="I377" s="14"/>
      <c r="J377" s="14"/>
      <c r="K377" s="14"/>
      <c r="L377" s="14"/>
      <c r="M377" s="14"/>
      <c r="N377" s="14"/>
    </row>
    <row r="378" spans="9:14" ht="14.25" customHeight="1">
      <c r="I378" s="14"/>
      <c r="J378" s="14"/>
      <c r="K378" s="14"/>
      <c r="L378" s="14"/>
      <c r="M378" s="14"/>
      <c r="N378" s="14"/>
    </row>
    <row r="379" spans="9:14" ht="14.25" customHeight="1">
      <c r="I379" s="14"/>
      <c r="J379" s="14"/>
      <c r="K379" s="14"/>
      <c r="L379" s="14"/>
      <c r="M379" s="14"/>
      <c r="N379" s="14"/>
    </row>
    <row r="380" spans="9:14" ht="14.25" customHeight="1">
      <c r="I380" s="14"/>
      <c r="J380" s="14"/>
      <c r="K380" s="14"/>
      <c r="L380" s="14"/>
      <c r="M380" s="14"/>
      <c r="N380" s="14"/>
    </row>
    <row r="381" spans="9:14" ht="14.25" customHeight="1">
      <c r="I381" s="14"/>
      <c r="J381" s="14"/>
      <c r="K381" s="14"/>
      <c r="L381" s="14"/>
      <c r="M381" s="14"/>
      <c r="N381" s="14"/>
    </row>
    <row r="382" spans="9:14" ht="14.25" customHeight="1">
      <c r="I382" s="14"/>
      <c r="J382" s="14"/>
      <c r="K382" s="14"/>
      <c r="L382" s="14"/>
      <c r="M382" s="14"/>
      <c r="N382" s="14"/>
    </row>
    <row r="383" spans="9:14" ht="14.25" customHeight="1">
      <c r="I383" s="14"/>
      <c r="J383" s="14"/>
      <c r="K383" s="14"/>
      <c r="L383" s="14"/>
      <c r="M383" s="14"/>
      <c r="N383" s="14"/>
    </row>
    <row r="384" spans="9:14" ht="14.25" customHeight="1">
      <c r="I384" s="14"/>
      <c r="J384" s="14"/>
      <c r="K384" s="14"/>
      <c r="L384" s="14"/>
      <c r="M384" s="14"/>
      <c r="N384" s="14"/>
    </row>
    <row r="385" spans="9:14" ht="14.25" customHeight="1">
      <c r="I385" s="14"/>
      <c r="J385" s="14"/>
      <c r="K385" s="14"/>
      <c r="L385" s="14"/>
      <c r="M385" s="14"/>
      <c r="N385" s="14"/>
    </row>
    <row r="386" spans="9:14" ht="14.25" customHeight="1">
      <c r="I386" s="14"/>
      <c r="J386" s="14"/>
      <c r="K386" s="14"/>
      <c r="L386" s="14"/>
      <c r="M386" s="14"/>
      <c r="N386" s="14"/>
    </row>
    <row r="387" spans="9:14" ht="14.25" customHeight="1">
      <c r="I387" s="14"/>
      <c r="J387" s="14"/>
      <c r="K387" s="14"/>
      <c r="L387" s="14"/>
      <c r="M387" s="14"/>
      <c r="N387" s="14"/>
    </row>
    <row r="388" spans="9:14" ht="14.25" customHeight="1">
      <c r="I388" s="14"/>
      <c r="J388" s="14"/>
      <c r="K388" s="14"/>
      <c r="L388" s="14"/>
      <c r="M388" s="14"/>
      <c r="N388" s="14"/>
    </row>
    <row r="389" spans="9:14" ht="14.25" customHeight="1">
      <c r="I389" s="14"/>
      <c r="J389" s="14"/>
      <c r="K389" s="14"/>
      <c r="L389" s="14"/>
      <c r="M389" s="14"/>
      <c r="N389" s="14"/>
    </row>
    <row r="390" spans="9:14" ht="14.25" customHeight="1">
      <c r="I390" s="14"/>
      <c r="J390" s="14"/>
      <c r="K390" s="14"/>
      <c r="L390" s="14"/>
      <c r="M390" s="14"/>
      <c r="N390" s="14"/>
    </row>
    <row r="391" spans="9:14" ht="14.25" customHeight="1">
      <c r="I391" s="14"/>
      <c r="J391" s="14"/>
      <c r="K391" s="14"/>
      <c r="L391" s="14"/>
      <c r="M391" s="14"/>
      <c r="N391" s="14"/>
    </row>
    <row r="392" spans="9:14" ht="14.25" customHeight="1">
      <c r="I392" s="14"/>
      <c r="J392" s="14"/>
      <c r="K392" s="14"/>
      <c r="L392" s="14"/>
      <c r="M392" s="14"/>
      <c r="N392" s="14"/>
    </row>
    <row r="393" spans="9:14" ht="14.25" customHeight="1">
      <c r="I393" s="14"/>
      <c r="J393" s="14"/>
      <c r="K393" s="14"/>
      <c r="L393" s="14"/>
      <c r="M393" s="14"/>
      <c r="N393" s="14"/>
    </row>
    <row r="394" spans="9:14" ht="14.25" customHeight="1">
      <c r="I394" s="14"/>
      <c r="J394" s="14"/>
      <c r="K394" s="14"/>
      <c r="L394" s="14"/>
      <c r="M394" s="14"/>
      <c r="N394" s="14"/>
    </row>
    <row r="395" spans="9:14" ht="14.25" customHeight="1">
      <c r="I395" s="14"/>
      <c r="J395" s="14"/>
      <c r="K395" s="14"/>
      <c r="L395" s="14"/>
      <c r="M395" s="14"/>
      <c r="N395" s="14"/>
    </row>
    <row r="396" spans="9:14" ht="14.25" customHeight="1">
      <c r="I396" s="14"/>
      <c r="J396" s="14"/>
      <c r="K396" s="14"/>
      <c r="L396" s="14"/>
      <c r="M396" s="14"/>
      <c r="N396" s="14"/>
    </row>
    <row r="397" spans="9:14" ht="14.25" customHeight="1">
      <c r="I397" s="14"/>
      <c r="J397" s="14"/>
      <c r="K397" s="14"/>
      <c r="L397" s="14"/>
      <c r="M397" s="14"/>
      <c r="N397" s="14"/>
    </row>
    <row r="398" spans="9:14" ht="14.25" customHeight="1">
      <c r="I398" s="14"/>
      <c r="J398" s="14"/>
      <c r="K398" s="14"/>
      <c r="L398" s="14"/>
      <c r="M398" s="14"/>
      <c r="N398" s="14"/>
    </row>
    <row r="399" spans="9:14" ht="14.25" customHeight="1">
      <c r="I399" s="14"/>
      <c r="J399" s="14"/>
      <c r="K399" s="14"/>
      <c r="L399" s="14"/>
      <c r="M399" s="14"/>
      <c r="N399" s="14"/>
    </row>
    <row r="400" spans="9:14" ht="14.25" customHeight="1">
      <c r="I400" s="14"/>
      <c r="J400" s="14"/>
      <c r="K400" s="14"/>
      <c r="L400" s="14"/>
      <c r="M400" s="14"/>
      <c r="N400" s="14"/>
    </row>
    <row r="401" spans="9:14" ht="14.25" customHeight="1">
      <c r="I401" s="14"/>
      <c r="J401" s="14"/>
      <c r="K401" s="14"/>
      <c r="L401" s="14"/>
      <c r="M401" s="14"/>
      <c r="N401" s="14"/>
    </row>
    <row r="402" spans="9:14" ht="14.25" customHeight="1">
      <c r="I402" s="14"/>
      <c r="J402" s="14"/>
      <c r="K402" s="14"/>
      <c r="L402" s="14"/>
      <c r="M402" s="14"/>
      <c r="N402" s="14"/>
    </row>
    <row r="403" spans="9:14" ht="14.25" customHeight="1">
      <c r="I403" s="14"/>
      <c r="J403" s="14"/>
      <c r="K403" s="14"/>
      <c r="L403" s="14"/>
      <c r="M403" s="14"/>
      <c r="N403" s="14"/>
    </row>
    <row r="404" spans="9:14" ht="14.25" customHeight="1">
      <c r="I404" s="14"/>
      <c r="J404" s="14"/>
      <c r="K404" s="14"/>
      <c r="L404" s="14"/>
      <c r="M404" s="14"/>
      <c r="N404" s="14"/>
    </row>
    <row r="405" spans="9:14" ht="14.25" customHeight="1">
      <c r="I405" s="14"/>
      <c r="J405" s="14"/>
      <c r="K405" s="14"/>
      <c r="L405" s="14"/>
      <c r="M405" s="14"/>
      <c r="N405" s="14"/>
    </row>
    <row r="406" spans="9:14" ht="14.25" customHeight="1">
      <c r="I406" s="14"/>
      <c r="J406" s="14"/>
      <c r="K406" s="14"/>
      <c r="L406" s="14"/>
      <c r="M406" s="14"/>
      <c r="N406" s="14"/>
    </row>
    <row r="407" spans="9:14" ht="14.25" customHeight="1">
      <c r="I407" s="14"/>
      <c r="J407" s="14"/>
      <c r="K407" s="14"/>
      <c r="L407" s="14"/>
      <c r="M407" s="14"/>
      <c r="N407" s="14"/>
    </row>
    <row r="408" spans="9:14" ht="14.25" customHeight="1">
      <c r="I408" s="14"/>
      <c r="J408" s="14"/>
      <c r="K408" s="14"/>
      <c r="L408" s="14"/>
      <c r="M408" s="14"/>
      <c r="N408" s="14"/>
    </row>
    <row r="409" spans="9:14" ht="14.25" customHeight="1">
      <c r="I409" s="14"/>
      <c r="J409" s="14"/>
      <c r="K409" s="14"/>
      <c r="L409" s="14"/>
      <c r="M409" s="14"/>
      <c r="N409" s="14"/>
    </row>
    <row r="410" spans="9:14" ht="14.25" customHeight="1">
      <c r="I410" s="14"/>
      <c r="J410" s="14"/>
      <c r="K410" s="14"/>
      <c r="L410" s="14"/>
      <c r="M410" s="14"/>
      <c r="N410" s="14"/>
    </row>
    <row r="411" spans="9:14" ht="14.25" customHeight="1">
      <c r="I411" s="14"/>
      <c r="J411" s="14"/>
      <c r="K411" s="14"/>
      <c r="L411" s="14"/>
      <c r="M411" s="14"/>
      <c r="N411" s="14"/>
    </row>
    <row r="412" spans="9:14" ht="14.25" customHeight="1">
      <c r="I412" s="14"/>
      <c r="J412" s="14"/>
      <c r="K412" s="14"/>
      <c r="L412" s="14"/>
      <c r="M412" s="14"/>
      <c r="N412" s="14"/>
    </row>
    <row r="413" spans="9:14" ht="14.25" customHeight="1">
      <c r="I413" s="14"/>
      <c r="J413" s="14"/>
      <c r="K413" s="14"/>
      <c r="L413" s="14"/>
      <c r="M413" s="14"/>
      <c r="N413" s="14"/>
    </row>
    <row r="414" spans="9:14" ht="14.25" customHeight="1">
      <c r="I414" s="14"/>
      <c r="J414" s="14"/>
      <c r="K414" s="14"/>
      <c r="L414" s="14"/>
      <c r="M414" s="14"/>
      <c r="N414" s="14"/>
    </row>
    <row r="415" spans="9:14" ht="14.25" customHeight="1">
      <c r="I415" s="14"/>
      <c r="J415" s="14"/>
      <c r="K415" s="14"/>
      <c r="L415" s="14"/>
      <c r="M415" s="14"/>
      <c r="N415" s="14"/>
    </row>
    <row r="416" spans="9:14" ht="14.25" customHeight="1">
      <c r="I416" s="14"/>
      <c r="J416" s="14"/>
      <c r="K416" s="14"/>
      <c r="L416" s="14"/>
      <c r="M416" s="14"/>
      <c r="N416" s="14"/>
    </row>
    <row r="417" spans="9:14" ht="14.25" customHeight="1">
      <c r="I417" s="14"/>
      <c r="J417" s="14"/>
      <c r="K417" s="14"/>
      <c r="L417" s="14"/>
      <c r="M417" s="14"/>
      <c r="N417" s="14"/>
    </row>
    <row r="418" spans="9:14" ht="14.25" customHeight="1">
      <c r="I418" s="14"/>
      <c r="J418" s="14"/>
      <c r="K418" s="14"/>
      <c r="L418" s="14"/>
      <c r="M418" s="14"/>
      <c r="N418" s="14"/>
    </row>
    <row r="419" spans="9:14" ht="14.25" customHeight="1">
      <c r="I419" s="14"/>
      <c r="J419" s="14"/>
      <c r="K419" s="14"/>
      <c r="L419" s="14"/>
      <c r="M419" s="14"/>
      <c r="N419" s="14"/>
    </row>
    <row r="420" spans="9:14" ht="14.25" customHeight="1">
      <c r="I420" s="14"/>
      <c r="J420" s="14"/>
      <c r="K420" s="14"/>
      <c r="L420" s="14"/>
      <c r="M420" s="14"/>
      <c r="N420" s="14"/>
    </row>
    <row r="421" spans="9:14" ht="14.25" customHeight="1">
      <c r="I421" s="14"/>
      <c r="J421" s="14"/>
      <c r="K421" s="14"/>
      <c r="L421" s="14"/>
      <c r="M421" s="14"/>
      <c r="N421" s="14"/>
    </row>
    <row r="422" spans="9:14" ht="14.25" customHeight="1">
      <c r="I422" s="14"/>
      <c r="J422" s="14"/>
      <c r="K422" s="14"/>
      <c r="L422" s="14"/>
      <c r="M422" s="14"/>
      <c r="N422" s="14"/>
    </row>
    <row r="423" spans="9:14" ht="14.25" customHeight="1">
      <c r="I423" s="14"/>
      <c r="J423" s="14"/>
      <c r="K423" s="14"/>
      <c r="L423" s="14"/>
      <c r="M423" s="14"/>
      <c r="N423" s="14"/>
    </row>
    <row r="424" spans="9:14" ht="14.25" customHeight="1">
      <c r="I424" s="14"/>
      <c r="J424" s="14"/>
      <c r="K424" s="14"/>
      <c r="L424" s="14"/>
      <c r="M424" s="14"/>
      <c r="N424" s="14"/>
    </row>
    <row r="425" spans="9:14" ht="14.25" customHeight="1">
      <c r="I425" s="14"/>
      <c r="J425" s="14"/>
      <c r="K425" s="14"/>
      <c r="L425" s="14"/>
      <c r="M425" s="14"/>
      <c r="N425" s="14"/>
    </row>
    <row r="426" spans="9:14" ht="14.25" customHeight="1">
      <c r="I426" s="14"/>
      <c r="J426" s="14"/>
      <c r="K426" s="14"/>
      <c r="L426" s="14"/>
      <c r="M426" s="14"/>
      <c r="N426" s="14"/>
    </row>
    <row r="427" spans="9:14" ht="14.25" customHeight="1">
      <c r="I427" s="14"/>
      <c r="J427" s="14"/>
      <c r="K427" s="14"/>
      <c r="L427" s="14"/>
      <c r="M427" s="14"/>
      <c r="N427" s="14"/>
    </row>
    <row r="428" spans="9:14" ht="14.25" customHeight="1">
      <c r="I428" s="14"/>
      <c r="J428" s="14"/>
      <c r="K428" s="14"/>
      <c r="L428" s="14"/>
      <c r="M428" s="14"/>
      <c r="N428" s="14"/>
    </row>
    <row r="429" spans="9:14" ht="14.25" customHeight="1">
      <c r="I429" s="14"/>
      <c r="J429" s="14"/>
      <c r="K429" s="14"/>
      <c r="L429" s="14"/>
      <c r="M429" s="14"/>
      <c r="N429" s="14"/>
    </row>
    <row r="430" spans="9:14" ht="14.25" customHeight="1">
      <c r="I430" s="14"/>
      <c r="J430" s="14"/>
      <c r="K430" s="14"/>
      <c r="L430" s="14"/>
      <c r="M430" s="14"/>
      <c r="N430" s="14"/>
    </row>
    <row r="431" spans="9:14" ht="14.25" customHeight="1">
      <c r="I431" s="14"/>
      <c r="J431" s="14"/>
      <c r="K431" s="14"/>
      <c r="L431" s="14"/>
      <c r="M431" s="14"/>
      <c r="N431" s="14"/>
    </row>
    <row r="432" spans="9:14" ht="14.25" customHeight="1">
      <c r="I432" s="14"/>
      <c r="J432" s="14"/>
      <c r="K432" s="14"/>
      <c r="L432" s="14"/>
      <c r="M432" s="14"/>
      <c r="N432" s="14"/>
    </row>
    <row r="433" spans="9:14" ht="14.25" customHeight="1">
      <c r="I433" s="14"/>
      <c r="J433" s="14"/>
      <c r="K433" s="14"/>
      <c r="L433" s="14"/>
      <c r="M433" s="14"/>
      <c r="N433" s="14"/>
    </row>
    <row r="434" spans="9:14" ht="14.25" customHeight="1">
      <c r="I434" s="14"/>
      <c r="J434" s="14"/>
      <c r="K434" s="14"/>
      <c r="L434" s="14"/>
      <c r="M434" s="14"/>
      <c r="N434" s="14"/>
    </row>
    <row r="435" spans="9:14" ht="14.25" customHeight="1">
      <c r="I435" s="14"/>
      <c r="J435" s="14"/>
      <c r="K435" s="14"/>
      <c r="L435" s="14"/>
      <c r="M435" s="14"/>
      <c r="N435" s="14"/>
    </row>
    <row r="436" spans="9:14" ht="14.25" customHeight="1">
      <c r="I436" s="14"/>
      <c r="J436" s="14"/>
      <c r="K436" s="14"/>
      <c r="L436" s="14"/>
      <c r="M436" s="14"/>
      <c r="N436" s="14"/>
    </row>
    <row r="437" spans="9:14" ht="14.25" customHeight="1">
      <c r="I437" s="14"/>
      <c r="J437" s="14"/>
      <c r="K437" s="14"/>
      <c r="L437" s="14"/>
      <c r="M437" s="14"/>
      <c r="N437" s="14"/>
    </row>
    <row r="438" spans="9:14" ht="14.25" customHeight="1">
      <c r="I438" s="14"/>
      <c r="J438" s="14"/>
      <c r="K438" s="14"/>
      <c r="L438" s="14"/>
      <c r="M438" s="14"/>
      <c r="N438" s="14"/>
    </row>
    <row r="439" spans="9:14" ht="14.25" customHeight="1">
      <c r="I439" s="14"/>
      <c r="J439" s="14"/>
      <c r="K439" s="14"/>
      <c r="L439" s="14"/>
      <c r="M439" s="14"/>
      <c r="N439" s="14"/>
    </row>
    <row r="440" spans="9:14" ht="14.25" customHeight="1">
      <c r="I440" s="14"/>
      <c r="J440" s="14"/>
      <c r="K440" s="14"/>
      <c r="L440" s="14"/>
      <c r="M440" s="14"/>
      <c r="N440" s="14"/>
    </row>
    <row r="441" spans="9:14" ht="14.25" customHeight="1">
      <c r="I441" s="14"/>
      <c r="J441" s="14"/>
      <c r="K441" s="14"/>
      <c r="L441" s="14"/>
      <c r="M441" s="14"/>
      <c r="N441" s="14"/>
    </row>
    <row r="442" spans="9:14" ht="14.25" customHeight="1">
      <c r="I442" s="14"/>
      <c r="J442" s="14"/>
      <c r="K442" s="14"/>
      <c r="L442" s="14"/>
      <c r="M442" s="14"/>
      <c r="N442" s="14"/>
    </row>
    <row r="443" spans="9:14" ht="14.25" customHeight="1">
      <c r="I443" s="14"/>
      <c r="J443" s="14"/>
      <c r="K443" s="14"/>
      <c r="L443" s="14"/>
      <c r="M443" s="14"/>
      <c r="N443" s="14"/>
    </row>
    <row r="444" spans="9:14" ht="14.25" customHeight="1">
      <c r="I444" s="14"/>
      <c r="J444" s="14"/>
      <c r="K444" s="14"/>
      <c r="L444" s="14"/>
      <c r="M444" s="14"/>
      <c r="N444" s="14"/>
    </row>
    <row r="445" spans="9:14" ht="14.25" customHeight="1">
      <c r="I445" s="14"/>
      <c r="J445" s="14"/>
      <c r="K445" s="14"/>
      <c r="L445" s="14"/>
      <c r="M445" s="14"/>
      <c r="N445" s="14"/>
    </row>
    <row r="446" spans="9:14" ht="14.25" customHeight="1">
      <c r="I446" s="14"/>
      <c r="J446" s="14"/>
      <c r="K446" s="14"/>
      <c r="L446" s="14"/>
      <c r="M446" s="14"/>
      <c r="N446" s="14"/>
    </row>
    <row r="447" spans="9:14" ht="14.25" customHeight="1">
      <c r="I447" s="14"/>
      <c r="J447" s="14"/>
      <c r="K447" s="14"/>
      <c r="L447" s="14"/>
      <c r="M447" s="14"/>
      <c r="N447" s="14"/>
    </row>
    <row r="448" spans="9:14" ht="14.25" customHeight="1">
      <c r="I448" s="14"/>
      <c r="J448" s="14"/>
      <c r="K448" s="14"/>
      <c r="L448" s="14"/>
      <c r="M448" s="14"/>
      <c r="N448" s="14"/>
    </row>
    <row r="449" spans="9:14" ht="14.25" customHeight="1">
      <c r="I449" s="14"/>
      <c r="J449" s="14"/>
      <c r="K449" s="14"/>
      <c r="L449" s="14"/>
      <c r="M449" s="14"/>
      <c r="N449" s="14"/>
    </row>
    <row r="450" spans="9:14" ht="14.25" customHeight="1">
      <c r="I450" s="14"/>
      <c r="J450" s="14"/>
      <c r="K450" s="14"/>
      <c r="L450" s="14"/>
      <c r="M450" s="14"/>
      <c r="N450" s="14"/>
    </row>
    <row r="451" spans="9:14" ht="14.25" customHeight="1">
      <c r="I451" s="14"/>
      <c r="J451" s="14"/>
      <c r="K451" s="14"/>
      <c r="L451" s="14"/>
      <c r="M451" s="14"/>
      <c r="N451" s="14"/>
    </row>
    <row r="452" spans="9:14" ht="14.25" customHeight="1">
      <c r="I452" s="14"/>
      <c r="J452" s="14"/>
      <c r="K452" s="14"/>
      <c r="L452" s="14"/>
      <c r="M452" s="14"/>
      <c r="N452" s="14"/>
    </row>
    <row r="453" spans="9:14" ht="14.25" customHeight="1">
      <c r="I453" s="14"/>
      <c r="J453" s="14"/>
      <c r="K453" s="14"/>
      <c r="L453" s="14"/>
      <c r="M453" s="14"/>
      <c r="N453" s="14"/>
    </row>
    <row r="454" spans="9:14" ht="14.25" customHeight="1">
      <c r="I454" s="14"/>
      <c r="J454" s="14"/>
      <c r="K454" s="14"/>
      <c r="L454" s="14"/>
      <c r="M454" s="14"/>
      <c r="N454" s="14"/>
    </row>
    <row r="455" spans="9:14" ht="14.25" customHeight="1">
      <c r="I455" s="14"/>
      <c r="J455" s="14"/>
      <c r="K455" s="14"/>
      <c r="L455" s="14"/>
      <c r="M455" s="14"/>
      <c r="N455" s="14"/>
    </row>
    <row r="456" spans="9:14" ht="14.25" customHeight="1">
      <c r="I456" s="14"/>
      <c r="J456" s="14"/>
      <c r="K456" s="14"/>
      <c r="L456" s="14"/>
      <c r="M456" s="14"/>
      <c r="N456" s="14"/>
    </row>
    <row r="457" spans="9:14" ht="14.25" customHeight="1">
      <c r="I457" s="14"/>
      <c r="J457" s="14"/>
      <c r="K457" s="14"/>
      <c r="L457" s="14"/>
      <c r="M457" s="14"/>
      <c r="N457" s="14"/>
    </row>
    <row r="458" spans="9:14" ht="14.25" customHeight="1">
      <c r="I458" s="14"/>
      <c r="J458" s="14"/>
      <c r="K458" s="14"/>
      <c r="L458" s="14"/>
      <c r="M458" s="14"/>
      <c r="N458" s="14"/>
    </row>
    <row r="459" spans="9:14" ht="14.25" customHeight="1">
      <c r="I459" s="14"/>
      <c r="J459" s="14"/>
      <c r="K459" s="14"/>
      <c r="L459" s="14"/>
      <c r="M459" s="14"/>
      <c r="N459" s="14"/>
    </row>
    <row r="460" spans="9:14" ht="14.25" customHeight="1">
      <c r="I460" s="14"/>
      <c r="J460" s="14"/>
      <c r="K460" s="14"/>
      <c r="L460" s="14"/>
      <c r="M460" s="14"/>
      <c r="N460" s="14"/>
    </row>
    <row r="461" spans="9:14" ht="14.25" customHeight="1">
      <c r="I461" s="14"/>
      <c r="J461" s="14"/>
      <c r="K461" s="14"/>
      <c r="L461" s="14"/>
      <c r="M461" s="14"/>
      <c r="N461" s="14"/>
    </row>
    <row r="462" spans="9:14" ht="14.25" customHeight="1">
      <c r="I462" s="14"/>
      <c r="J462" s="14"/>
      <c r="K462" s="14"/>
      <c r="L462" s="14"/>
      <c r="M462" s="14"/>
      <c r="N462" s="14"/>
    </row>
    <row r="463" spans="9:14" ht="14.25" customHeight="1">
      <c r="I463" s="14"/>
      <c r="J463" s="14"/>
      <c r="K463" s="14"/>
      <c r="L463" s="14"/>
      <c r="M463" s="14"/>
      <c r="N463" s="14"/>
    </row>
    <row r="464" spans="9:14" ht="14.25" customHeight="1">
      <c r="I464" s="14"/>
      <c r="J464" s="14"/>
      <c r="K464" s="14"/>
      <c r="L464" s="14"/>
      <c r="M464" s="14"/>
      <c r="N464" s="14"/>
    </row>
    <row r="465" spans="9:14" ht="14.25" customHeight="1">
      <c r="I465" s="14"/>
      <c r="J465" s="14"/>
      <c r="K465" s="14"/>
      <c r="L465" s="14"/>
      <c r="M465" s="14"/>
      <c r="N465" s="14"/>
    </row>
    <row r="466" spans="9:14" ht="14.25" customHeight="1">
      <c r="I466" s="14"/>
      <c r="J466" s="14"/>
      <c r="K466" s="14"/>
      <c r="L466" s="14"/>
      <c r="M466" s="14"/>
      <c r="N466" s="14"/>
    </row>
    <row r="467" spans="9:14" ht="14.25" customHeight="1">
      <c r="I467" s="14"/>
      <c r="J467" s="14"/>
      <c r="K467" s="14"/>
      <c r="L467" s="14"/>
      <c r="M467" s="14"/>
      <c r="N467" s="14"/>
    </row>
    <row r="468" spans="9:14" ht="14.25" customHeight="1">
      <c r="I468" s="14"/>
      <c r="J468" s="14"/>
      <c r="K468" s="14"/>
      <c r="L468" s="14"/>
      <c r="M468" s="14"/>
      <c r="N468" s="14"/>
    </row>
    <row r="469" spans="9:14" ht="14.25" customHeight="1">
      <c r="I469" s="14"/>
      <c r="J469" s="14"/>
      <c r="K469" s="14"/>
      <c r="L469" s="14"/>
      <c r="M469" s="14"/>
      <c r="N469" s="14"/>
    </row>
    <row r="470" spans="9:14" ht="14.25" customHeight="1">
      <c r="I470" s="14"/>
      <c r="J470" s="14"/>
      <c r="K470" s="14"/>
      <c r="L470" s="14"/>
      <c r="M470" s="14"/>
      <c r="N470" s="14"/>
    </row>
    <row r="471" spans="9:14" ht="14.25" customHeight="1">
      <c r="I471" s="14"/>
      <c r="J471" s="14"/>
      <c r="K471" s="14"/>
      <c r="L471" s="14"/>
      <c r="M471" s="14"/>
      <c r="N471" s="14"/>
    </row>
    <row r="472" spans="9:14" ht="14.25" customHeight="1">
      <c r="I472" s="14"/>
      <c r="J472" s="14"/>
      <c r="K472" s="14"/>
      <c r="L472" s="14"/>
      <c r="M472" s="14"/>
      <c r="N472" s="14"/>
    </row>
    <row r="473" spans="9:14" ht="14.25" customHeight="1">
      <c r="I473" s="14"/>
      <c r="J473" s="14"/>
      <c r="K473" s="14"/>
      <c r="L473" s="14"/>
      <c r="M473" s="14"/>
      <c r="N473" s="14"/>
    </row>
    <row r="474" spans="9:14" ht="14.25" customHeight="1">
      <c r="I474" s="14"/>
      <c r="J474" s="14"/>
      <c r="K474" s="14"/>
      <c r="L474" s="14"/>
      <c r="M474" s="14"/>
      <c r="N474" s="14"/>
    </row>
    <row r="475" spans="9:14" ht="14.25" customHeight="1">
      <c r="I475" s="14"/>
      <c r="J475" s="14"/>
      <c r="K475" s="14"/>
      <c r="L475" s="14"/>
      <c r="M475" s="14"/>
      <c r="N475" s="14"/>
    </row>
    <row r="476" spans="9:14" ht="14.25" customHeight="1">
      <c r="I476" s="14"/>
      <c r="J476" s="14"/>
      <c r="K476" s="14"/>
      <c r="L476" s="14"/>
      <c r="M476" s="14"/>
      <c r="N476" s="14"/>
    </row>
    <row r="477" spans="9:14" ht="14.25" customHeight="1">
      <c r="I477" s="14"/>
      <c r="J477" s="14"/>
      <c r="K477" s="14"/>
      <c r="L477" s="14"/>
      <c r="M477" s="14"/>
      <c r="N477" s="14"/>
    </row>
    <row r="478" spans="9:14" ht="14.25" customHeight="1">
      <c r="I478" s="14"/>
      <c r="J478" s="14"/>
      <c r="K478" s="14"/>
      <c r="L478" s="14"/>
      <c r="M478" s="14"/>
      <c r="N478" s="14"/>
    </row>
    <row r="479" spans="9:14" ht="14.25" customHeight="1">
      <c r="I479" s="14"/>
      <c r="J479" s="14"/>
      <c r="K479" s="14"/>
      <c r="L479" s="14"/>
      <c r="M479" s="14"/>
      <c r="N479" s="14"/>
    </row>
    <row r="480" spans="9:14" ht="14.25" customHeight="1">
      <c r="I480" s="14"/>
      <c r="J480" s="14"/>
      <c r="K480" s="14"/>
      <c r="L480" s="14"/>
      <c r="M480" s="14"/>
      <c r="N480" s="14"/>
    </row>
    <row r="481" spans="9:14" ht="14.25" customHeight="1">
      <c r="I481" s="14"/>
      <c r="J481" s="14"/>
      <c r="K481" s="14"/>
      <c r="L481" s="14"/>
      <c r="M481" s="14"/>
      <c r="N481" s="14"/>
    </row>
    <row r="482" spans="9:14" ht="14.25" customHeight="1">
      <c r="I482" s="14"/>
      <c r="J482" s="14"/>
      <c r="K482" s="14"/>
      <c r="L482" s="14"/>
      <c r="M482" s="14"/>
      <c r="N482" s="14"/>
    </row>
    <row r="483" spans="9:14" ht="14.25" customHeight="1">
      <c r="I483" s="14"/>
      <c r="J483" s="14"/>
      <c r="K483" s="14"/>
      <c r="L483" s="14"/>
      <c r="M483" s="14"/>
      <c r="N483" s="14"/>
    </row>
    <row r="484" spans="9:14" ht="14.25" customHeight="1">
      <c r="I484" s="14"/>
      <c r="J484" s="14"/>
      <c r="K484" s="14"/>
      <c r="L484" s="14"/>
      <c r="M484" s="14"/>
      <c r="N484" s="14"/>
    </row>
    <row r="485" spans="9:14" ht="14.25" customHeight="1">
      <c r="I485" s="14"/>
      <c r="J485" s="14"/>
      <c r="K485" s="14"/>
      <c r="L485" s="14"/>
      <c r="M485" s="14"/>
      <c r="N485" s="14"/>
    </row>
    <row r="486" spans="9:14" ht="14.25" customHeight="1">
      <c r="I486" s="14"/>
      <c r="J486" s="14"/>
      <c r="K486" s="14"/>
      <c r="L486" s="14"/>
      <c r="M486" s="14"/>
      <c r="N486" s="14"/>
    </row>
    <row r="487" spans="9:14" ht="14.25" customHeight="1">
      <c r="I487" s="14"/>
      <c r="J487" s="14"/>
      <c r="K487" s="14"/>
      <c r="L487" s="14"/>
      <c r="M487" s="14"/>
      <c r="N487" s="14"/>
    </row>
    <row r="488" spans="9:14" ht="14.25" customHeight="1">
      <c r="I488" s="14"/>
      <c r="J488" s="14"/>
      <c r="K488" s="14"/>
      <c r="L488" s="14"/>
      <c r="M488" s="14"/>
      <c r="N488" s="14"/>
    </row>
    <row r="489" spans="9:14" ht="14.25" customHeight="1">
      <c r="I489" s="14"/>
      <c r="J489" s="14"/>
      <c r="K489" s="14"/>
      <c r="L489" s="14"/>
      <c r="M489" s="14"/>
      <c r="N489" s="14"/>
    </row>
    <row r="490" spans="9:14" ht="14.25" customHeight="1">
      <c r="I490" s="14"/>
      <c r="J490" s="14"/>
      <c r="K490" s="14"/>
      <c r="L490" s="14"/>
      <c r="M490" s="14"/>
      <c r="N490" s="14"/>
    </row>
    <row r="491" spans="9:14" ht="14.25" customHeight="1">
      <c r="I491" s="14"/>
      <c r="J491" s="14"/>
      <c r="K491" s="14"/>
      <c r="L491" s="14"/>
      <c r="M491" s="14"/>
      <c r="N491" s="14"/>
    </row>
    <row r="492" spans="9:14" ht="14.25" customHeight="1">
      <c r="I492" s="14"/>
      <c r="J492" s="14"/>
      <c r="K492" s="14"/>
      <c r="L492" s="14"/>
      <c r="M492" s="14"/>
      <c r="N492" s="14"/>
    </row>
    <row r="493" spans="9:14" ht="14.25" customHeight="1">
      <c r="I493" s="14"/>
      <c r="J493" s="14"/>
      <c r="K493" s="14"/>
      <c r="L493" s="14"/>
      <c r="M493" s="14"/>
      <c r="N493" s="14"/>
    </row>
    <row r="494" spans="9:14" ht="14.25" customHeight="1">
      <c r="I494" s="14"/>
      <c r="J494" s="14"/>
      <c r="K494" s="14"/>
      <c r="L494" s="14"/>
      <c r="M494" s="14"/>
      <c r="N494" s="14"/>
    </row>
    <row r="495" spans="9:14" ht="14.25" customHeight="1">
      <c r="I495" s="14"/>
      <c r="J495" s="14"/>
      <c r="K495" s="14"/>
      <c r="L495" s="14"/>
      <c r="M495" s="14"/>
      <c r="N495" s="14"/>
    </row>
    <row r="496" spans="9:14" ht="14.25" customHeight="1">
      <c r="I496" s="14"/>
      <c r="J496" s="14"/>
      <c r="K496" s="14"/>
      <c r="L496" s="14"/>
      <c r="M496" s="14"/>
      <c r="N496" s="14"/>
    </row>
    <row r="497" spans="9:14" ht="14.25" customHeight="1">
      <c r="I497" s="14"/>
      <c r="J497" s="14"/>
      <c r="K497" s="14"/>
      <c r="L497" s="14"/>
      <c r="M497" s="14"/>
      <c r="N497" s="14"/>
    </row>
    <row r="498" spans="9:14" ht="14.25" customHeight="1">
      <c r="I498" s="14"/>
      <c r="J498" s="14"/>
      <c r="K498" s="14"/>
      <c r="L498" s="14"/>
      <c r="M498" s="14"/>
      <c r="N498" s="14"/>
    </row>
    <row r="499" spans="9:14" ht="14.25" customHeight="1">
      <c r="I499" s="14"/>
      <c r="J499" s="14"/>
      <c r="K499" s="14"/>
      <c r="L499" s="14"/>
      <c r="M499" s="14"/>
      <c r="N499" s="14"/>
    </row>
    <row r="500" spans="9:14" ht="14.25" customHeight="1">
      <c r="I500" s="14"/>
      <c r="J500" s="14"/>
      <c r="K500" s="14"/>
      <c r="L500" s="14"/>
      <c r="M500" s="14"/>
      <c r="N500" s="14"/>
    </row>
    <row r="501" spans="9:14" ht="14.25" customHeight="1">
      <c r="I501" s="14"/>
      <c r="J501" s="14"/>
      <c r="K501" s="14"/>
      <c r="L501" s="14"/>
      <c r="M501" s="14"/>
      <c r="N501" s="14"/>
    </row>
    <row r="502" spans="9:14" ht="14.25" customHeight="1">
      <c r="I502" s="14"/>
      <c r="J502" s="14"/>
      <c r="K502" s="14"/>
      <c r="L502" s="14"/>
      <c r="M502" s="14"/>
      <c r="N502" s="14"/>
    </row>
    <row r="503" spans="9:14" ht="14.25" customHeight="1">
      <c r="I503" s="14"/>
      <c r="J503" s="14"/>
      <c r="K503" s="14"/>
      <c r="L503" s="14"/>
      <c r="M503" s="14"/>
      <c r="N503" s="14"/>
    </row>
    <row r="504" spans="9:14" ht="14.25" customHeight="1">
      <c r="I504" s="14"/>
      <c r="J504" s="14"/>
      <c r="K504" s="14"/>
      <c r="L504" s="14"/>
      <c r="M504" s="14"/>
      <c r="N504" s="14"/>
    </row>
    <row r="505" spans="9:14" ht="14.25" customHeight="1">
      <c r="I505" s="14"/>
      <c r="J505" s="14"/>
      <c r="K505" s="14"/>
      <c r="L505" s="14"/>
      <c r="M505" s="14"/>
      <c r="N505" s="14"/>
    </row>
    <row r="506" spans="9:14" ht="14.25" customHeight="1">
      <c r="I506" s="14"/>
      <c r="J506" s="14"/>
      <c r="K506" s="14"/>
      <c r="L506" s="14"/>
      <c r="M506" s="14"/>
      <c r="N506" s="14"/>
    </row>
    <row r="507" spans="9:14" ht="14.25" customHeight="1">
      <c r="I507" s="14"/>
      <c r="J507" s="14"/>
      <c r="K507" s="14"/>
      <c r="L507" s="14"/>
      <c r="M507" s="14"/>
      <c r="N507" s="14"/>
    </row>
    <row r="508" spans="9:14" ht="14.25" customHeight="1">
      <c r="I508" s="14"/>
      <c r="J508" s="14"/>
      <c r="K508" s="14"/>
      <c r="L508" s="14"/>
      <c r="M508" s="14"/>
      <c r="N508" s="14"/>
    </row>
    <row r="509" spans="9:14" ht="14.25" customHeight="1">
      <c r="I509" s="14"/>
      <c r="J509" s="14"/>
      <c r="K509" s="14"/>
      <c r="L509" s="14"/>
      <c r="M509" s="14"/>
      <c r="N509" s="14"/>
    </row>
    <row r="510" spans="9:14" ht="14.25" customHeight="1">
      <c r="I510" s="14"/>
      <c r="J510" s="14"/>
      <c r="K510" s="14"/>
      <c r="L510" s="14"/>
      <c r="M510" s="14"/>
      <c r="N510" s="14"/>
    </row>
    <row r="511" spans="9:14" ht="14.25" customHeight="1">
      <c r="I511" s="14"/>
      <c r="J511" s="14"/>
      <c r="K511" s="14"/>
      <c r="L511" s="14"/>
      <c r="M511" s="14"/>
      <c r="N511" s="14"/>
    </row>
    <row r="512" spans="9:14" ht="14.25" customHeight="1">
      <c r="I512" s="14"/>
      <c r="J512" s="14"/>
      <c r="K512" s="14"/>
      <c r="L512" s="14"/>
      <c r="M512" s="14"/>
      <c r="N512" s="14"/>
    </row>
    <row r="513" spans="9:14" ht="14.25" customHeight="1">
      <c r="I513" s="14"/>
      <c r="J513" s="14"/>
      <c r="K513" s="14"/>
      <c r="L513" s="14"/>
      <c r="M513" s="14"/>
      <c r="N513" s="14"/>
    </row>
    <row r="514" spans="9:14" ht="14.25" customHeight="1">
      <c r="I514" s="14"/>
      <c r="J514" s="14"/>
      <c r="K514" s="14"/>
      <c r="L514" s="14"/>
      <c r="M514" s="14"/>
      <c r="N514" s="14"/>
    </row>
    <row r="515" spans="9:14" ht="14.25" customHeight="1">
      <c r="I515" s="14"/>
      <c r="J515" s="14"/>
      <c r="K515" s="14"/>
      <c r="L515" s="14"/>
      <c r="M515" s="14"/>
      <c r="N515" s="14"/>
    </row>
    <row r="516" spans="9:14" ht="14.25" customHeight="1">
      <c r="I516" s="14"/>
      <c r="J516" s="14"/>
      <c r="K516" s="14"/>
      <c r="L516" s="14"/>
      <c r="M516" s="14"/>
      <c r="N516" s="14"/>
    </row>
    <row r="517" spans="9:14" ht="14.25" customHeight="1">
      <c r="I517" s="14"/>
      <c r="J517" s="14"/>
      <c r="K517" s="14"/>
      <c r="L517" s="14"/>
      <c r="M517" s="14"/>
      <c r="N517" s="14"/>
    </row>
    <row r="518" spans="9:14" ht="14.25" customHeight="1">
      <c r="I518" s="14"/>
      <c r="J518" s="14"/>
      <c r="K518" s="14"/>
      <c r="L518" s="14"/>
      <c r="M518" s="14"/>
      <c r="N518" s="14"/>
    </row>
    <row r="519" spans="9:14" ht="14.25" customHeight="1">
      <c r="I519" s="14"/>
      <c r="J519" s="14"/>
      <c r="K519" s="14"/>
      <c r="L519" s="14"/>
      <c r="M519" s="14"/>
      <c r="N519" s="14"/>
    </row>
    <row r="520" spans="9:14" ht="14.25" customHeight="1">
      <c r="I520" s="14"/>
      <c r="J520" s="14"/>
      <c r="K520" s="14"/>
      <c r="L520" s="14"/>
      <c r="M520" s="14"/>
      <c r="N520" s="14"/>
    </row>
    <row r="521" spans="9:14" ht="14.25" customHeight="1">
      <c r="I521" s="14"/>
      <c r="J521" s="14"/>
      <c r="K521" s="14"/>
      <c r="L521" s="14"/>
      <c r="M521" s="14"/>
      <c r="N521" s="14"/>
    </row>
    <row r="522" spans="9:14" ht="14.25" customHeight="1">
      <c r="I522" s="14"/>
      <c r="J522" s="14"/>
      <c r="K522" s="14"/>
      <c r="L522" s="14"/>
      <c r="M522" s="14"/>
      <c r="N522" s="14"/>
    </row>
    <row r="523" spans="9:14" ht="14.25" customHeight="1">
      <c r="I523" s="14"/>
      <c r="J523" s="14"/>
      <c r="K523" s="14"/>
      <c r="L523" s="14"/>
      <c r="M523" s="14"/>
      <c r="N523" s="14"/>
    </row>
    <row r="524" spans="9:14" ht="14.25" customHeight="1">
      <c r="I524" s="14"/>
      <c r="J524" s="14"/>
      <c r="K524" s="14"/>
      <c r="L524" s="14"/>
      <c r="M524" s="14"/>
      <c r="N524" s="14"/>
    </row>
    <row r="525" spans="9:14" ht="14.25" customHeight="1">
      <c r="I525" s="14"/>
      <c r="J525" s="14"/>
      <c r="K525" s="14"/>
      <c r="L525" s="14"/>
      <c r="M525" s="14"/>
      <c r="N525" s="14"/>
    </row>
    <row r="526" spans="9:14" ht="14.25" customHeight="1">
      <c r="I526" s="14"/>
      <c r="J526" s="14"/>
      <c r="K526" s="14"/>
      <c r="L526" s="14"/>
      <c r="M526" s="14"/>
      <c r="N526" s="14"/>
    </row>
    <row r="527" spans="9:14" ht="14.25" customHeight="1">
      <c r="I527" s="14"/>
      <c r="J527" s="14"/>
      <c r="K527" s="14"/>
      <c r="L527" s="14"/>
      <c r="M527" s="14"/>
      <c r="N527" s="14"/>
    </row>
    <row r="528" spans="9:14" ht="14.25" customHeight="1">
      <c r="I528" s="14"/>
      <c r="J528" s="14"/>
      <c r="K528" s="14"/>
      <c r="L528" s="14"/>
      <c r="M528" s="14"/>
      <c r="N528" s="14"/>
    </row>
    <row r="529" spans="9:14" ht="14.25" customHeight="1">
      <c r="I529" s="14"/>
      <c r="J529" s="14"/>
      <c r="K529" s="14"/>
      <c r="L529" s="14"/>
      <c r="M529" s="14"/>
      <c r="N529" s="14"/>
    </row>
    <row r="530" spans="9:14" ht="14.25" customHeight="1">
      <c r="I530" s="14"/>
      <c r="J530" s="14"/>
      <c r="K530" s="14"/>
      <c r="L530" s="14"/>
      <c r="M530" s="14"/>
      <c r="N530" s="14"/>
    </row>
    <row r="531" spans="9:14" ht="14.25" customHeight="1">
      <c r="I531" s="14"/>
      <c r="J531" s="14"/>
      <c r="K531" s="14"/>
      <c r="L531" s="14"/>
      <c r="M531" s="14"/>
      <c r="N531" s="14"/>
    </row>
    <row r="532" spans="9:14" ht="14.25" customHeight="1">
      <c r="I532" s="14"/>
      <c r="J532" s="14"/>
      <c r="K532" s="14"/>
      <c r="L532" s="14"/>
      <c r="M532" s="14"/>
      <c r="N532" s="14"/>
    </row>
    <row r="533" spans="9:14" ht="14.25" customHeight="1">
      <c r="I533" s="14"/>
      <c r="J533" s="14"/>
      <c r="K533" s="14"/>
      <c r="L533" s="14"/>
      <c r="M533" s="14"/>
      <c r="N533" s="14"/>
    </row>
    <row r="534" spans="9:14" ht="14.25" customHeight="1">
      <c r="I534" s="14"/>
      <c r="J534" s="14"/>
      <c r="K534" s="14"/>
      <c r="L534" s="14"/>
      <c r="M534" s="14"/>
      <c r="N534" s="14"/>
    </row>
    <row r="535" spans="9:14" ht="14.25" customHeight="1">
      <c r="I535" s="14"/>
      <c r="J535" s="14"/>
      <c r="K535" s="14"/>
      <c r="L535" s="14"/>
      <c r="M535" s="14"/>
      <c r="N535" s="14"/>
    </row>
    <row r="536" spans="9:14" ht="14.25" customHeight="1">
      <c r="I536" s="14"/>
      <c r="J536" s="14"/>
      <c r="K536" s="14"/>
      <c r="L536" s="14"/>
      <c r="M536" s="14"/>
      <c r="N536" s="14"/>
    </row>
    <row r="537" spans="9:14" ht="14.25" customHeight="1">
      <c r="I537" s="14"/>
      <c r="J537" s="14"/>
      <c r="K537" s="14"/>
      <c r="L537" s="14"/>
      <c r="M537" s="14"/>
      <c r="N537" s="14"/>
    </row>
    <row r="538" spans="9:14" ht="14.25" customHeight="1">
      <c r="I538" s="14"/>
      <c r="J538" s="14"/>
      <c r="K538" s="14"/>
      <c r="L538" s="14"/>
      <c r="M538" s="14"/>
      <c r="N538" s="14"/>
    </row>
    <row r="539" spans="9:14" ht="14.25" customHeight="1">
      <c r="I539" s="14"/>
      <c r="J539" s="14"/>
      <c r="K539" s="14"/>
      <c r="L539" s="14"/>
      <c r="M539" s="14"/>
      <c r="N539" s="14"/>
    </row>
    <row r="540" spans="9:14" ht="14.25" customHeight="1">
      <c r="I540" s="14"/>
      <c r="J540" s="14"/>
      <c r="K540" s="14"/>
      <c r="L540" s="14"/>
      <c r="M540" s="14"/>
      <c r="N540" s="14"/>
    </row>
    <row r="541" spans="9:14" ht="14.25" customHeight="1">
      <c r="I541" s="14"/>
      <c r="J541" s="14"/>
      <c r="K541" s="14"/>
      <c r="L541" s="14"/>
      <c r="M541" s="14"/>
      <c r="N541" s="14"/>
    </row>
    <row r="542" spans="9:14" ht="14.25" customHeight="1">
      <c r="I542" s="14"/>
      <c r="J542" s="14"/>
      <c r="K542" s="14"/>
      <c r="L542" s="14"/>
      <c r="M542" s="14"/>
      <c r="N542" s="14"/>
    </row>
    <row r="543" spans="9:14" ht="14.25" customHeight="1">
      <c r="I543" s="14"/>
      <c r="J543" s="14"/>
      <c r="K543" s="14"/>
      <c r="L543" s="14"/>
      <c r="M543" s="14"/>
      <c r="N543" s="14"/>
    </row>
    <row r="544" spans="9:14" ht="14.25" customHeight="1">
      <c r="I544" s="14"/>
      <c r="J544" s="14"/>
      <c r="K544" s="14"/>
      <c r="L544" s="14"/>
      <c r="M544" s="14"/>
      <c r="N544" s="14"/>
    </row>
    <row r="545" spans="9:14" ht="14.25" customHeight="1">
      <c r="I545" s="14"/>
      <c r="J545" s="14"/>
      <c r="K545" s="14"/>
      <c r="L545" s="14"/>
      <c r="M545" s="14"/>
      <c r="N545" s="14"/>
    </row>
    <row r="546" spans="9:14" ht="14.25" customHeight="1">
      <c r="I546" s="14"/>
      <c r="J546" s="14"/>
      <c r="K546" s="14"/>
      <c r="L546" s="14"/>
      <c r="M546" s="14"/>
      <c r="N546" s="14"/>
    </row>
    <row r="547" spans="9:14" ht="14.25" customHeight="1">
      <c r="I547" s="14"/>
      <c r="J547" s="14"/>
      <c r="K547" s="14"/>
      <c r="L547" s="14"/>
      <c r="M547" s="14"/>
      <c r="N547" s="14"/>
    </row>
    <row r="548" spans="9:14" ht="14.25" customHeight="1">
      <c r="I548" s="14"/>
      <c r="J548" s="14"/>
      <c r="K548" s="14"/>
      <c r="L548" s="14"/>
      <c r="M548" s="14"/>
      <c r="N548" s="14"/>
    </row>
    <row r="549" spans="9:14" ht="14.25" customHeight="1">
      <c r="I549" s="14"/>
      <c r="J549" s="14"/>
      <c r="K549" s="14"/>
      <c r="L549" s="14"/>
      <c r="M549" s="14"/>
      <c r="N549" s="14"/>
    </row>
    <row r="550" spans="9:14" ht="14.25" customHeight="1">
      <c r="I550" s="14"/>
      <c r="J550" s="14"/>
      <c r="K550" s="14"/>
      <c r="L550" s="14"/>
      <c r="M550" s="14"/>
      <c r="N550" s="14"/>
    </row>
    <row r="551" spans="9:14" ht="14.25" customHeight="1">
      <c r="I551" s="14"/>
      <c r="J551" s="14"/>
      <c r="K551" s="14"/>
      <c r="L551" s="14"/>
      <c r="M551" s="14"/>
      <c r="N551" s="14"/>
    </row>
    <row r="552" spans="9:14" ht="14.25" customHeight="1">
      <c r="I552" s="14"/>
      <c r="J552" s="14"/>
      <c r="K552" s="14"/>
      <c r="L552" s="14"/>
      <c r="M552" s="14"/>
      <c r="N552" s="14"/>
    </row>
    <row r="553" spans="9:14" ht="14.25" customHeight="1">
      <c r="I553" s="14"/>
      <c r="J553" s="14"/>
      <c r="K553" s="14"/>
      <c r="L553" s="14"/>
      <c r="M553" s="14"/>
      <c r="N553" s="14"/>
    </row>
    <row r="554" spans="9:14" ht="14.25" customHeight="1">
      <c r="I554" s="14"/>
      <c r="J554" s="14"/>
      <c r="K554" s="14"/>
      <c r="L554" s="14"/>
      <c r="M554" s="14"/>
      <c r="N554" s="14"/>
    </row>
    <row r="555" spans="9:14" ht="14.25" customHeight="1">
      <c r="I555" s="14"/>
      <c r="J555" s="14"/>
      <c r="K555" s="14"/>
      <c r="L555" s="14"/>
      <c r="M555" s="14"/>
      <c r="N555" s="14"/>
    </row>
    <row r="556" spans="9:14" ht="14.25" customHeight="1">
      <c r="I556" s="14"/>
      <c r="J556" s="14"/>
      <c r="K556" s="14"/>
      <c r="L556" s="14"/>
      <c r="M556" s="14"/>
      <c r="N556" s="14"/>
    </row>
    <row r="557" spans="9:14" ht="14.25" customHeight="1">
      <c r="I557" s="14"/>
      <c r="J557" s="14"/>
      <c r="K557" s="14"/>
      <c r="L557" s="14"/>
      <c r="M557" s="14"/>
      <c r="N557" s="14"/>
    </row>
    <row r="558" spans="9:14" ht="14.25" customHeight="1">
      <c r="I558" s="14"/>
      <c r="J558" s="14"/>
      <c r="K558" s="14"/>
      <c r="L558" s="14"/>
      <c r="M558" s="14"/>
      <c r="N558" s="14"/>
    </row>
    <row r="559" spans="9:14" ht="14.25" customHeight="1">
      <c r="I559" s="14"/>
      <c r="J559" s="14"/>
      <c r="K559" s="14"/>
      <c r="L559" s="14"/>
      <c r="M559" s="14"/>
      <c r="N559" s="14"/>
    </row>
    <row r="560" spans="9:14" ht="14.25" customHeight="1">
      <c r="I560" s="14"/>
      <c r="J560" s="14"/>
      <c r="K560" s="14"/>
      <c r="L560" s="14"/>
      <c r="M560" s="14"/>
      <c r="N560" s="14"/>
    </row>
    <row r="561" spans="9:14" ht="14.25" customHeight="1">
      <c r="I561" s="14"/>
      <c r="J561" s="14"/>
      <c r="K561" s="14"/>
      <c r="L561" s="14"/>
      <c r="M561" s="14"/>
      <c r="N561" s="14"/>
    </row>
    <row r="562" spans="9:14" ht="14.25" customHeight="1">
      <c r="I562" s="14"/>
      <c r="J562" s="14"/>
      <c r="K562" s="14"/>
      <c r="L562" s="14"/>
      <c r="M562" s="14"/>
      <c r="N562" s="14"/>
    </row>
    <row r="563" spans="9:14" ht="14.25" customHeight="1">
      <c r="I563" s="14"/>
      <c r="J563" s="14"/>
      <c r="K563" s="14"/>
      <c r="L563" s="14"/>
      <c r="M563" s="14"/>
      <c r="N563" s="14"/>
    </row>
    <row r="564" spans="9:14" ht="14.25" customHeight="1">
      <c r="I564" s="14"/>
      <c r="J564" s="14"/>
      <c r="K564" s="14"/>
      <c r="L564" s="14"/>
      <c r="M564" s="14"/>
      <c r="N564" s="14"/>
    </row>
    <row r="565" spans="9:14" ht="14.25" customHeight="1">
      <c r="I565" s="14"/>
      <c r="J565" s="14"/>
      <c r="K565" s="14"/>
      <c r="L565" s="14"/>
      <c r="M565" s="14"/>
      <c r="N565" s="14"/>
    </row>
    <row r="566" spans="9:14" ht="14.25" customHeight="1">
      <c r="I566" s="14"/>
      <c r="J566" s="14"/>
      <c r="K566" s="14"/>
      <c r="L566" s="14"/>
      <c r="M566" s="14"/>
      <c r="N566" s="14"/>
    </row>
    <row r="567" spans="9:14" ht="14.25" customHeight="1">
      <c r="I567" s="14"/>
      <c r="J567" s="14"/>
      <c r="K567" s="14"/>
      <c r="L567" s="14"/>
      <c r="M567" s="14"/>
      <c r="N567" s="14"/>
    </row>
    <row r="568" spans="9:14" ht="14.25" customHeight="1">
      <c r="I568" s="14"/>
      <c r="J568" s="14"/>
      <c r="K568" s="14"/>
      <c r="L568" s="14"/>
      <c r="M568" s="14"/>
      <c r="N568" s="14"/>
    </row>
    <row r="569" spans="9:14" ht="14.25" customHeight="1">
      <c r="I569" s="14"/>
      <c r="J569" s="14"/>
      <c r="K569" s="14"/>
      <c r="L569" s="14"/>
      <c r="M569" s="14"/>
      <c r="N569" s="14"/>
    </row>
    <row r="570" spans="9:14" ht="14.25" customHeight="1">
      <c r="I570" s="14"/>
      <c r="J570" s="14"/>
      <c r="K570" s="14"/>
      <c r="L570" s="14"/>
      <c r="M570" s="14"/>
      <c r="N570" s="14"/>
    </row>
    <row r="571" spans="9:14" ht="14.25" customHeight="1">
      <c r="I571" s="14"/>
      <c r="J571" s="14"/>
      <c r="K571" s="14"/>
      <c r="L571" s="14"/>
      <c r="M571" s="14"/>
      <c r="N571" s="14"/>
    </row>
    <row r="572" spans="9:14" ht="14.25" customHeight="1">
      <c r="I572" s="14"/>
      <c r="J572" s="14"/>
      <c r="K572" s="14"/>
      <c r="L572" s="14"/>
      <c r="M572" s="14"/>
      <c r="N572" s="14"/>
    </row>
    <row r="573" spans="9:14" ht="14.25" customHeight="1">
      <c r="I573" s="14"/>
      <c r="J573" s="14"/>
      <c r="K573" s="14"/>
      <c r="L573" s="14"/>
      <c r="M573" s="14"/>
      <c r="N573" s="14"/>
    </row>
    <row r="574" spans="9:14" ht="14.25" customHeight="1">
      <c r="I574" s="14"/>
      <c r="J574" s="14"/>
      <c r="K574" s="14"/>
      <c r="L574" s="14"/>
      <c r="M574" s="14"/>
      <c r="N574" s="14"/>
    </row>
    <row r="575" spans="9:14" ht="14.25" customHeight="1">
      <c r="I575" s="14"/>
      <c r="J575" s="14"/>
      <c r="K575" s="14"/>
      <c r="L575" s="14"/>
      <c r="M575" s="14"/>
      <c r="N575" s="14"/>
    </row>
    <row r="576" spans="9:14" ht="14.25" customHeight="1">
      <c r="I576" s="14"/>
      <c r="J576" s="14"/>
      <c r="K576" s="14"/>
      <c r="L576" s="14"/>
      <c r="M576" s="14"/>
      <c r="N576" s="14"/>
    </row>
    <row r="577" spans="9:14" ht="14.25" customHeight="1">
      <c r="I577" s="14"/>
      <c r="J577" s="14"/>
      <c r="K577" s="14"/>
      <c r="L577" s="14"/>
      <c r="M577" s="14"/>
      <c r="N577" s="14"/>
    </row>
    <row r="578" spans="9:14" ht="14.25" customHeight="1">
      <c r="I578" s="14"/>
      <c r="J578" s="14"/>
      <c r="K578" s="14"/>
      <c r="L578" s="14"/>
      <c r="M578" s="14"/>
      <c r="N578" s="14"/>
    </row>
    <row r="579" spans="9:14" ht="14.25" customHeight="1">
      <c r="I579" s="14"/>
      <c r="J579" s="14"/>
      <c r="K579" s="14"/>
      <c r="L579" s="14"/>
      <c r="M579" s="14"/>
      <c r="N579" s="14"/>
    </row>
    <row r="580" spans="9:14" ht="14.25" customHeight="1">
      <c r="I580" s="14"/>
      <c r="J580" s="14"/>
      <c r="K580" s="14"/>
      <c r="L580" s="14"/>
      <c r="M580" s="14"/>
      <c r="N580" s="14"/>
    </row>
    <row r="581" spans="9:14" ht="14.25" customHeight="1">
      <c r="I581" s="14"/>
      <c r="J581" s="14"/>
      <c r="K581" s="14"/>
      <c r="L581" s="14"/>
      <c r="M581" s="14"/>
      <c r="N581" s="14"/>
    </row>
    <row r="582" spans="9:14" ht="14.25" customHeight="1">
      <c r="I582" s="14"/>
      <c r="J582" s="14"/>
      <c r="K582" s="14"/>
      <c r="L582" s="14"/>
      <c r="M582" s="14"/>
      <c r="N582" s="14"/>
    </row>
    <row r="583" spans="9:14" ht="14.25" customHeight="1">
      <c r="I583" s="14"/>
      <c r="J583" s="14"/>
      <c r="K583" s="14"/>
      <c r="L583" s="14"/>
      <c r="M583" s="14"/>
      <c r="N583" s="14"/>
    </row>
    <row r="584" spans="9:14" ht="14.25" customHeight="1">
      <c r="I584" s="14"/>
      <c r="J584" s="14"/>
      <c r="K584" s="14"/>
      <c r="L584" s="14"/>
      <c r="M584" s="14"/>
      <c r="N584" s="14"/>
    </row>
    <row r="585" spans="9:14" ht="14.25" customHeight="1">
      <c r="I585" s="14"/>
      <c r="J585" s="14"/>
      <c r="K585" s="14"/>
      <c r="L585" s="14"/>
      <c r="M585" s="14"/>
      <c r="N585" s="14"/>
    </row>
    <row r="586" spans="9:14" ht="14.25" customHeight="1">
      <c r="I586" s="14"/>
      <c r="J586" s="14"/>
      <c r="K586" s="14"/>
      <c r="L586" s="14"/>
      <c r="M586" s="14"/>
      <c r="N586" s="14"/>
    </row>
    <row r="587" spans="9:14" ht="14.25" customHeight="1">
      <c r="I587" s="14"/>
      <c r="J587" s="14"/>
      <c r="K587" s="14"/>
      <c r="L587" s="14"/>
      <c r="M587" s="14"/>
      <c r="N587" s="14"/>
    </row>
    <row r="588" spans="9:14" ht="14.25" customHeight="1">
      <c r="I588" s="14"/>
      <c r="J588" s="14"/>
      <c r="K588" s="14"/>
      <c r="L588" s="14"/>
      <c r="M588" s="14"/>
      <c r="N588" s="14"/>
    </row>
    <row r="589" spans="9:14" ht="14.25" customHeight="1">
      <c r="I589" s="14"/>
      <c r="J589" s="14"/>
      <c r="K589" s="14"/>
      <c r="L589" s="14"/>
      <c r="M589" s="14"/>
      <c r="N589" s="14"/>
    </row>
    <row r="590" spans="9:14" ht="14.25" customHeight="1">
      <c r="I590" s="14"/>
      <c r="J590" s="14"/>
      <c r="K590" s="14"/>
      <c r="L590" s="14"/>
      <c r="M590" s="14"/>
      <c r="N590" s="14"/>
    </row>
    <row r="591" spans="9:14" ht="14.25" customHeight="1">
      <c r="I591" s="14"/>
      <c r="J591" s="14"/>
      <c r="K591" s="14"/>
      <c r="L591" s="14"/>
      <c r="M591" s="14"/>
      <c r="N591" s="14"/>
    </row>
    <row r="592" spans="9:14" ht="14.25" customHeight="1">
      <c r="I592" s="14"/>
      <c r="J592" s="14"/>
      <c r="K592" s="14"/>
      <c r="L592" s="14"/>
      <c r="M592" s="14"/>
      <c r="N592" s="14"/>
    </row>
    <row r="593" spans="9:14" ht="14.25" customHeight="1">
      <c r="I593" s="14"/>
      <c r="J593" s="14"/>
      <c r="K593" s="14"/>
      <c r="L593" s="14"/>
      <c r="M593" s="14"/>
      <c r="N593" s="14"/>
    </row>
    <row r="594" spans="9:14" ht="14.25" customHeight="1">
      <c r="I594" s="14"/>
      <c r="J594" s="14"/>
      <c r="K594" s="14"/>
      <c r="L594" s="14"/>
      <c r="M594" s="14"/>
      <c r="N594" s="14"/>
    </row>
    <row r="595" spans="9:14" ht="14.25" customHeight="1">
      <c r="I595" s="14"/>
      <c r="J595" s="14"/>
      <c r="K595" s="14"/>
      <c r="L595" s="14"/>
      <c r="M595" s="14"/>
      <c r="N595" s="14"/>
    </row>
    <row r="596" spans="9:14" ht="14.25" customHeight="1">
      <c r="I596" s="14"/>
      <c r="J596" s="14"/>
      <c r="K596" s="14"/>
      <c r="L596" s="14"/>
      <c r="M596" s="14"/>
      <c r="N596" s="14"/>
    </row>
    <row r="597" spans="9:14" ht="14.25" customHeight="1">
      <c r="I597" s="14"/>
      <c r="J597" s="14"/>
      <c r="K597" s="14"/>
      <c r="L597" s="14"/>
      <c r="M597" s="14"/>
      <c r="N597" s="14"/>
    </row>
    <row r="598" spans="9:14" ht="14.25" customHeight="1">
      <c r="I598" s="14"/>
      <c r="J598" s="14"/>
      <c r="K598" s="14"/>
      <c r="L598" s="14"/>
      <c r="M598" s="14"/>
      <c r="N598" s="14"/>
    </row>
    <row r="599" spans="9:14" ht="14.25" customHeight="1">
      <c r="I599" s="14"/>
      <c r="J599" s="14"/>
      <c r="K599" s="14"/>
      <c r="L599" s="14"/>
      <c r="M599" s="14"/>
      <c r="N599" s="14"/>
    </row>
    <row r="600" spans="9:14" ht="14.25" customHeight="1">
      <c r="I600" s="14"/>
      <c r="J600" s="14"/>
      <c r="K600" s="14"/>
      <c r="L600" s="14"/>
      <c r="M600" s="14"/>
      <c r="N600" s="14"/>
    </row>
    <row r="601" spans="9:14" ht="14.25" customHeight="1">
      <c r="I601" s="14"/>
      <c r="J601" s="14"/>
      <c r="K601" s="14"/>
      <c r="L601" s="14"/>
      <c r="M601" s="14"/>
      <c r="N601" s="14"/>
    </row>
    <row r="602" spans="9:14" ht="14.25" customHeight="1">
      <c r="I602" s="14"/>
      <c r="J602" s="14"/>
      <c r="K602" s="14"/>
      <c r="L602" s="14"/>
      <c r="M602" s="14"/>
      <c r="N602" s="14"/>
    </row>
    <row r="603" spans="9:14" ht="14.25" customHeight="1">
      <c r="I603" s="14"/>
      <c r="J603" s="14"/>
      <c r="K603" s="14"/>
      <c r="L603" s="14"/>
      <c r="M603" s="14"/>
      <c r="N603" s="14"/>
    </row>
    <row r="604" spans="9:14" ht="14.25" customHeight="1">
      <c r="I604" s="14"/>
      <c r="J604" s="14"/>
      <c r="K604" s="14"/>
      <c r="L604" s="14"/>
      <c r="M604" s="14"/>
      <c r="N604" s="14"/>
    </row>
    <row r="605" spans="9:14" ht="14.25" customHeight="1">
      <c r="I605" s="14"/>
      <c r="J605" s="14"/>
      <c r="K605" s="14"/>
      <c r="L605" s="14"/>
      <c r="M605" s="14"/>
      <c r="N605" s="14"/>
    </row>
    <row r="606" spans="9:14" ht="14.25" customHeight="1">
      <c r="I606" s="14"/>
      <c r="J606" s="14"/>
      <c r="K606" s="14"/>
      <c r="L606" s="14"/>
      <c r="M606" s="14"/>
      <c r="N606" s="14"/>
    </row>
    <row r="607" spans="9:14" ht="14.25" customHeight="1">
      <c r="I607" s="14"/>
      <c r="J607" s="14"/>
      <c r="K607" s="14"/>
      <c r="L607" s="14"/>
      <c r="M607" s="14"/>
      <c r="N607" s="14"/>
    </row>
    <row r="608" spans="9:14" ht="14.25" customHeight="1">
      <c r="I608" s="14"/>
      <c r="J608" s="14"/>
      <c r="K608" s="14"/>
      <c r="L608" s="14"/>
      <c r="M608" s="14"/>
      <c r="N608" s="14"/>
    </row>
    <row r="609" spans="9:14" ht="14.25" customHeight="1">
      <c r="I609" s="14"/>
      <c r="J609" s="14"/>
      <c r="K609" s="14"/>
      <c r="L609" s="14"/>
      <c r="M609" s="14"/>
      <c r="N609" s="14"/>
    </row>
    <row r="610" spans="9:14" ht="14.25" customHeight="1">
      <c r="I610" s="14"/>
      <c r="J610" s="14"/>
      <c r="K610" s="14"/>
      <c r="L610" s="14"/>
      <c r="M610" s="14"/>
      <c r="N610" s="14"/>
    </row>
    <row r="611" spans="9:14" ht="14.25" customHeight="1">
      <c r="I611" s="14"/>
      <c r="J611" s="14"/>
      <c r="K611" s="14"/>
      <c r="L611" s="14"/>
      <c r="M611" s="14"/>
      <c r="N611" s="14"/>
    </row>
    <row r="612" spans="9:14" ht="14.25" customHeight="1">
      <c r="I612" s="14"/>
      <c r="J612" s="14"/>
      <c r="K612" s="14"/>
      <c r="L612" s="14"/>
      <c r="M612" s="14"/>
      <c r="N612" s="14"/>
    </row>
    <row r="613" spans="9:14" ht="14.25" customHeight="1">
      <c r="I613" s="14"/>
      <c r="J613" s="14"/>
      <c r="K613" s="14"/>
      <c r="L613" s="14"/>
      <c r="M613" s="14"/>
      <c r="N613" s="14"/>
    </row>
    <row r="614" spans="9:14" ht="14.25" customHeight="1">
      <c r="I614" s="14"/>
      <c r="J614" s="14"/>
      <c r="K614" s="14"/>
      <c r="L614" s="14"/>
      <c r="M614" s="14"/>
      <c r="N614" s="14"/>
    </row>
    <row r="615" spans="9:14" ht="14.25" customHeight="1">
      <c r="I615" s="14"/>
      <c r="J615" s="14"/>
      <c r="K615" s="14"/>
      <c r="L615" s="14"/>
      <c r="M615" s="14"/>
      <c r="N615" s="14"/>
    </row>
    <row r="616" spans="9:14" ht="14.25" customHeight="1">
      <c r="I616" s="14"/>
      <c r="J616" s="14"/>
      <c r="K616" s="14"/>
      <c r="L616" s="14"/>
      <c r="M616" s="14"/>
      <c r="N616" s="14"/>
    </row>
    <row r="617" spans="9:14" ht="14.25" customHeight="1">
      <c r="I617" s="14"/>
      <c r="J617" s="14"/>
      <c r="K617" s="14"/>
      <c r="L617" s="14"/>
      <c r="M617" s="14"/>
      <c r="N617" s="14"/>
    </row>
    <row r="618" spans="9:14" ht="14.25" customHeight="1">
      <c r="I618" s="14"/>
      <c r="J618" s="14"/>
      <c r="K618" s="14"/>
      <c r="L618" s="14"/>
      <c r="M618" s="14"/>
      <c r="N618" s="14"/>
    </row>
    <row r="619" spans="9:14" ht="14.25" customHeight="1">
      <c r="I619" s="14"/>
      <c r="J619" s="14"/>
      <c r="K619" s="14"/>
      <c r="L619" s="14"/>
      <c r="M619" s="14"/>
      <c r="N619" s="14"/>
    </row>
    <row r="620" spans="9:14" ht="14.25" customHeight="1">
      <c r="I620" s="14"/>
      <c r="J620" s="14"/>
      <c r="K620" s="14"/>
      <c r="L620" s="14"/>
      <c r="M620" s="14"/>
      <c r="N620" s="14"/>
    </row>
    <row r="621" spans="9:14" ht="14.25" customHeight="1">
      <c r="I621" s="14"/>
      <c r="J621" s="14"/>
      <c r="K621" s="14"/>
      <c r="L621" s="14"/>
      <c r="M621" s="14"/>
      <c r="N621" s="14"/>
    </row>
    <row r="622" spans="9:14" ht="14.25" customHeight="1">
      <c r="I622" s="14"/>
      <c r="J622" s="14"/>
      <c r="K622" s="14"/>
      <c r="L622" s="14"/>
      <c r="M622" s="14"/>
      <c r="N622" s="14"/>
    </row>
    <row r="623" spans="9:14" ht="14.25" customHeight="1">
      <c r="I623" s="14"/>
      <c r="J623" s="14"/>
      <c r="K623" s="14"/>
      <c r="L623" s="14"/>
      <c r="M623" s="14"/>
      <c r="N623" s="14"/>
    </row>
    <row r="624" spans="9:14" ht="14.25" customHeight="1">
      <c r="I624" s="14"/>
      <c r="J624" s="14"/>
      <c r="K624" s="14"/>
      <c r="L624" s="14"/>
      <c r="M624" s="14"/>
      <c r="N624" s="14"/>
    </row>
    <row r="625" spans="9:14" ht="14.25" customHeight="1">
      <c r="I625" s="14"/>
      <c r="J625" s="14"/>
      <c r="K625" s="14"/>
      <c r="L625" s="14"/>
      <c r="M625" s="14"/>
      <c r="N625" s="14"/>
    </row>
    <row r="626" spans="9:14" ht="14.25" customHeight="1">
      <c r="I626" s="14"/>
      <c r="J626" s="14"/>
      <c r="K626" s="14"/>
      <c r="L626" s="14"/>
      <c r="M626" s="14"/>
      <c r="N626" s="14"/>
    </row>
    <row r="627" spans="9:14" ht="14.25" customHeight="1">
      <c r="I627" s="14"/>
      <c r="J627" s="14"/>
      <c r="K627" s="14"/>
      <c r="L627" s="14"/>
      <c r="M627" s="14"/>
      <c r="N627" s="14"/>
    </row>
    <row r="628" spans="9:14" ht="14.25" customHeight="1">
      <c r="I628" s="14"/>
      <c r="J628" s="14"/>
      <c r="K628" s="14"/>
      <c r="L628" s="14"/>
      <c r="M628" s="14"/>
      <c r="N628" s="14"/>
    </row>
    <row r="629" spans="9:14" ht="14.25" customHeight="1">
      <c r="I629" s="14"/>
      <c r="J629" s="14"/>
      <c r="K629" s="14"/>
      <c r="L629" s="14"/>
      <c r="M629" s="14"/>
      <c r="N629" s="14"/>
    </row>
    <row r="630" spans="9:14" ht="14.25" customHeight="1">
      <c r="I630" s="14"/>
      <c r="J630" s="14"/>
      <c r="K630" s="14"/>
      <c r="L630" s="14"/>
      <c r="M630" s="14"/>
      <c r="N630" s="14"/>
    </row>
    <row r="631" spans="9:14" ht="14.25" customHeight="1">
      <c r="I631" s="14"/>
      <c r="J631" s="14"/>
      <c r="K631" s="14"/>
      <c r="L631" s="14"/>
      <c r="M631" s="14"/>
      <c r="N631" s="14"/>
    </row>
    <row r="632" spans="9:14" ht="14.25" customHeight="1">
      <c r="I632" s="14"/>
      <c r="J632" s="14"/>
      <c r="K632" s="14"/>
      <c r="L632" s="14"/>
      <c r="M632" s="14"/>
      <c r="N632" s="14"/>
    </row>
    <row r="633" spans="9:14" ht="14.25" customHeight="1">
      <c r="I633" s="14"/>
      <c r="J633" s="14"/>
      <c r="K633" s="14"/>
      <c r="L633" s="14"/>
      <c r="M633" s="14"/>
      <c r="N633" s="14"/>
    </row>
    <row r="634" spans="9:14" ht="14.25" customHeight="1">
      <c r="I634" s="14"/>
      <c r="J634" s="14"/>
      <c r="K634" s="14"/>
      <c r="L634" s="14"/>
      <c r="M634" s="14"/>
      <c r="N634" s="14"/>
    </row>
    <row r="635" spans="9:14" ht="14.25" customHeight="1">
      <c r="I635" s="14"/>
      <c r="J635" s="14"/>
      <c r="K635" s="14"/>
      <c r="L635" s="14"/>
      <c r="M635" s="14"/>
      <c r="N635" s="14"/>
    </row>
    <row r="636" spans="9:14" ht="14.25" customHeight="1">
      <c r="I636" s="14"/>
      <c r="J636" s="14"/>
      <c r="K636" s="14"/>
      <c r="L636" s="14"/>
      <c r="M636" s="14"/>
      <c r="N636" s="14"/>
    </row>
    <row r="637" spans="9:14" ht="14.25" customHeight="1">
      <c r="I637" s="14"/>
      <c r="J637" s="14"/>
      <c r="K637" s="14"/>
      <c r="L637" s="14"/>
      <c r="M637" s="14"/>
      <c r="N637" s="14"/>
    </row>
    <row r="638" spans="9:14" ht="14.25" customHeight="1">
      <c r="I638" s="14"/>
      <c r="J638" s="14"/>
      <c r="K638" s="14"/>
      <c r="L638" s="14"/>
      <c r="M638" s="14"/>
      <c r="N638" s="14"/>
    </row>
    <row r="639" spans="9:14" ht="14.25" customHeight="1">
      <c r="I639" s="14"/>
      <c r="J639" s="14"/>
      <c r="K639" s="14"/>
      <c r="L639" s="14"/>
      <c r="M639" s="14"/>
      <c r="N639" s="14"/>
    </row>
    <row r="640" spans="9:14" ht="14.25" customHeight="1">
      <c r="I640" s="14"/>
      <c r="J640" s="14"/>
      <c r="K640" s="14"/>
      <c r="L640" s="14"/>
      <c r="M640" s="14"/>
      <c r="N640" s="14"/>
    </row>
    <row r="641" spans="9:14" ht="14.25" customHeight="1">
      <c r="I641" s="14"/>
      <c r="J641" s="14"/>
      <c r="K641" s="14"/>
      <c r="L641" s="14"/>
      <c r="M641" s="14"/>
      <c r="N641" s="14"/>
    </row>
    <row r="642" spans="9:14" ht="14.25" customHeight="1">
      <c r="I642" s="14"/>
      <c r="J642" s="14"/>
      <c r="K642" s="14"/>
      <c r="L642" s="14"/>
      <c r="M642" s="14"/>
      <c r="N642" s="14"/>
    </row>
    <row r="643" spans="9:14" ht="14.25" customHeight="1">
      <c r="I643" s="14"/>
      <c r="J643" s="14"/>
      <c r="K643" s="14"/>
      <c r="L643" s="14"/>
      <c r="M643" s="14"/>
      <c r="N643" s="14"/>
    </row>
    <row r="644" spans="9:14" ht="14.25" customHeight="1">
      <c r="I644" s="14"/>
      <c r="J644" s="14"/>
      <c r="K644" s="14"/>
      <c r="L644" s="14"/>
      <c r="M644" s="14"/>
      <c r="N644" s="14"/>
    </row>
    <row r="645" spans="9:14" ht="14.25" customHeight="1">
      <c r="I645" s="14"/>
      <c r="J645" s="14"/>
      <c r="K645" s="14"/>
      <c r="L645" s="14"/>
      <c r="M645" s="14"/>
      <c r="N645" s="14"/>
    </row>
    <row r="646" spans="9:14" ht="14.25" customHeight="1">
      <c r="I646" s="14"/>
      <c r="J646" s="14"/>
      <c r="K646" s="14"/>
      <c r="L646" s="14"/>
      <c r="M646" s="14"/>
      <c r="N646" s="14"/>
    </row>
    <row r="647" spans="9:14" ht="14.25" customHeight="1">
      <c r="I647" s="14"/>
      <c r="J647" s="14"/>
      <c r="K647" s="14"/>
      <c r="L647" s="14"/>
      <c r="M647" s="14"/>
      <c r="N647" s="14"/>
    </row>
    <row r="648" spans="9:14" ht="14.25" customHeight="1">
      <c r="I648" s="14"/>
      <c r="J648" s="14"/>
      <c r="K648" s="14"/>
      <c r="L648" s="14"/>
      <c r="M648" s="14"/>
      <c r="N648" s="14"/>
    </row>
    <row r="649" spans="9:14" ht="14.25" customHeight="1">
      <c r="I649" s="14"/>
      <c r="J649" s="14"/>
      <c r="K649" s="14"/>
      <c r="L649" s="14"/>
      <c r="M649" s="14"/>
      <c r="N649" s="14"/>
    </row>
    <row r="650" spans="9:14" ht="14.25" customHeight="1">
      <c r="I650" s="14"/>
      <c r="J650" s="14"/>
      <c r="K650" s="14"/>
      <c r="L650" s="14"/>
      <c r="M650" s="14"/>
      <c r="N650" s="14"/>
    </row>
    <row r="651" spans="9:14" ht="14.25" customHeight="1">
      <c r="I651" s="14"/>
      <c r="J651" s="14"/>
      <c r="K651" s="14"/>
      <c r="L651" s="14"/>
      <c r="M651" s="14"/>
      <c r="N651" s="14"/>
    </row>
    <row r="652" spans="9:14" ht="14.25" customHeight="1">
      <c r="I652" s="14"/>
      <c r="J652" s="14"/>
      <c r="K652" s="14"/>
      <c r="L652" s="14"/>
      <c r="M652" s="14"/>
      <c r="N652" s="14"/>
    </row>
    <row r="653" spans="9:14" ht="14.25" customHeight="1">
      <c r="I653" s="14"/>
      <c r="J653" s="14"/>
      <c r="K653" s="14"/>
      <c r="L653" s="14"/>
      <c r="M653" s="14"/>
      <c r="N653" s="14"/>
    </row>
    <row r="654" spans="9:14" ht="14.25" customHeight="1">
      <c r="I654" s="14"/>
      <c r="J654" s="14"/>
      <c r="K654" s="14"/>
      <c r="L654" s="14"/>
      <c r="M654" s="14"/>
      <c r="N654" s="14"/>
    </row>
    <row r="655" spans="9:14" ht="14.25" customHeight="1">
      <c r="I655" s="14"/>
      <c r="J655" s="14"/>
      <c r="K655" s="14"/>
      <c r="L655" s="14"/>
      <c r="M655" s="14"/>
      <c r="N655" s="14"/>
    </row>
    <row r="656" spans="9:14" ht="14.25" customHeight="1">
      <c r="I656" s="14"/>
      <c r="J656" s="14"/>
      <c r="K656" s="14"/>
      <c r="L656" s="14"/>
      <c r="M656" s="14"/>
      <c r="N656" s="14"/>
    </row>
    <row r="657" spans="9:14" ht="14.25" customHeight="1">
      <c r="I657" s="14"/>
      <c r="J657" s="14"/>
      <c r="K657" s="14"/>
      <c r="L657" s="14"/>
      <c r="M657" s="14"/>
      <c r="N657" s="14"/>
    </row>
    <row r="658" spans="9:14" ht="14.25" customHeight="1">
      <c r="I658" s="14"/>
      <c r="J658" s="14"/>
      <c r="K658" s="14"/>
      <c r="L658" s="14"/>
      <c r="M658" s="14"/>
      <c r="N658" s="14"/>
    </row>
    <row r="659" spans="9:14" ht="14.25" customHeight="1">
      <c r="I659" s="14"/>
      <c r="J659" s="14"/>
      <c r="K659" s="14"/>
      <c r="L659" s="14"/>
      <c r="M659" s="14"/>
      <c r="N659" s="14"/>
    </row>
    <row r="660" spans="9:14" ht="14.25" customHeight="1">
      <c r="I660" s="14"/>
      <c r="J660" s="14"/>
      <c r="K660" s="14"/>
      <c r="L660" s="14"/>
      <c r="M660" s="14"/>
      <c r="N660" s="14"/>
    </row>
    <row r="661" spans="9:14" ht="14.25" customHeight="1">
      <c r="I661" s="14"/>
      <c r="J661" s="14"/>
      <c r="K661" s="14"/>
      <c r="L661" s="14"/>
      <c r="M661" s="14"/>
      <c r="N661" s="14"/>
    </row>
    <row r="662" spans="9:14" ht="14.25" customHeight="1">
      <c r="I662" s="14"/>
      <c r="J662" s="14"/>
      <c r="K662" s="14"/>
      <c r="L662" s="14"/>
      <c r="M662" s="14"/>
      <c r="N662" s="14"/>
    </row>
    <row r="663" spans="9:14" ht="14.25" customHeight="1">
      <c r="I663" s="14"/>
      <c r="J663" s="14"/>
      <c r="K663" s="14"/>
      <c r="L663" s="14"/>
      <c r="M663" s="14"/>
      <c r="N663" s="14"/>
    </row>
    <row r="664" spans="9:14" ht="14.25" customHeight="1">
      <c r="I664" s="14"/>
      <c r="J664" s="14"/>
      <c r="K664" s="14"/>
      <c r="L664" s="14"/>
      <c r="M664" s="14"/>
      <c r="N664" s="14"/>
    </row>
    <row r="665" spans="9:14" ht="14.25" customHeight="1">
      <c r="I665" s="14"/>
      <c r="J665" s="14"/>
      <c r="K665" s="14"/>
      <c r="L665" s="14"/>
      <c r="M665" s="14"/>
      <c r="N665" s="14"/>
    </row>
    <row r="666" spans="9:14" ht="14.25" customHeight="1">
      <c r="I666" s="14"/>
      <c r="J666" s="14"/>
      <c r="K666" s="14"/>
      <c r="L666" s="14"/>
      <c r="M666" s="14"/>
      <c r="N666" s="14"/>
    </row>
    <row r="667" spans="9:14" ht="14.25" customHeight="1">
      <c r="I667" s="14"/>
      <c r="J667" s="14"/>
      <c r="K667" s="14"/>
      <c r="L667" s="14"/>
      <c r="M667" s="14"/>
      <c r="N667" s="14"/>
    </row>
    <row r="668" spans="9:14" ht="14.25" customHeight="1">
      <c r="I668" s="14"/>
      <c r="J668" s="14"/>
      <c r="K668" s="14"/>
      <c r="L668" s="14"/>
      <c r="M668" s="14"/>
      <c r="N668" s="14"/>
    </row>
    <row r="669" spans="9:14" ht="14.25" customHeight="1">
      <c r="I669" s="14"/>
      <c r="J669" s="14"/>
      <c r="K669" s="14"/>
      <c r="L669" s="14"/>
      <c r="M669" s="14"/>
      <c r="N669" s="14"/>
    </row>
    <row r="670" spans="9:14" ht="14.25" customHeight="1">
      <c r="I670" s="14"/>
      <c r="J670" s="14"/>
      <c r="K670" s="14"/>
      <c r="L670" s="14"/>
      <c r="M670" s="14"/>
      <c r="N670" s="14"/>
    </row>
    <row r="671" spans="9:14" ht="14.25" customHeight="1">
      <c r="I671" s="14"/>
      <c r="J671" s="14"/>
      <c r="K671" s="14"/>
      <c r="L671" s="14"/>
      <c r="M671" s="14"/>
      <c r="N671" s="14"/>
    </row>
    <row r="672" spans="9:14" ht="14.25" customHeight="1">
      <c r="I672" s="14"/>
      <c r="J672" s="14"/>
      <c r="K672" s="14"/>
      <c r="L672" s="14"/>
      <c r="M672" s="14"/>
      <c r="N672" s="14"/>
    </row>
    <row r="673" spans="9:14" ht="14.25" customHeight="1">
      <c r="I673" s="14"/>
      <c r="J673" s="14"/>
      <c r="K673" s="14"/>
      <c r="L673" s="14"/>
      <c r="M673" s="14"/>
      <c r="N673" s="14"/>
    </row>
    <row r="674" spans="9:14" ht="14.25" customHeight="1">
      <c r="I674" s="14"/>
      <c r="J674" s="14"/>
      <c r="K674" s="14"/>
      <c r="L674" s="14"/>
      <c r="M674" s="14"/>
      <c r="N674" s="14"/>
    </row>
    <row r="675" spans="9:14" ht="14.25" customHeight="1">
      <c r="I675" s="14"/>
      <c r="J675" s="14"/>
      <c r="K675" s="14"/>
      <c r="L675" s="14"/>
      <c r="M675" s="14"/>
      <c r="N675" s="14"/>
    </row>
    <row r="676" spans="9:14" ht="14.25" customHeight="1">
      <c r="I676" s="14"/>
      <c r="J676" s="14"/>
      <c r="K676" s="14"/>
      <c r="L676" s="14"/>
      <c r="M676" s="14"/>
      <c r="N676" s="14"/>
    </row>
    <row r="677" spans="9:14" ht="14.25" customHeight="1">
      <c r="I677" s="14"/>
      <c r="J677" s="14"/>
      <c r="K677" s="14"/>
      <c r="L677" s="14"/>
      <c r="M677" s="14"/>
      <c r="N677" s="14"/>
    </row>
    <row r="678" spans="9:14" ht="14.25" customHeight="1">
      <c r="I678" s="14"/>
      <c r="J678" s="14"/>
      <c r="K678" s="14"/>
      <c r="L678" s="14"/>
      <c r="M678" s="14"/>
      <c r="N678" s="14"/>
    </row>
    <row r="679" spans="9:14" ht="14.25" customHeight="1">
      <c r="I679" s="14"/>
      <c r="J679" s="14"/>
      <c r="K679" s="14"/>
      <c r="L679" s="14"/>
      <c r="M679" s="14"/>
      <c r="N679" s="14"/>
    </row>
    <row r="680" spans="9:14" ht="14.25" customHeight="1">
      <c r="I680" s="14"/>
      <c r="J680" s="14"/>
      <c r="K680" s="14"/>
      <c r="L680" s="14"/>
      <c r="M680" s="14"/>
      <c r="N680" s="14"/>
    </row>
    <row r="681" spans="9:14" ht="14.25" customHeight="1">
      <c r="I681" s="14"/>
      <c r="J681" s="14"/>
      <c r="K681" s="14"/>
      <c r="L681" s="14"/>
      <c r="M681" s="14"/>
      <c r="N681" s="14"/>
    </row>
    <row r="682" spans="9:14" ht="14.25" customHeight="1">
      <c r="I682" s="14"/>
      <c r="J682" s="14"/>
      <c r="K682" s="14"/>
      <c r="L682" s="14"/>
      <c r="M682" s="14"/>
      <c r="N682" s="14"/>
    </row>
    <row r="683" spans="9:14" ht="14.25" customHeight="1">
      <c r="I683" s="14"/>
      <c r="J683" s="14"/>
      <c r="K683" s="14"/>
      <c r="L683" s="14"/>
      <c r="M683" s="14"/>
      <c r="N683" s="14"/>
    </row>
    <row r="684" spans="9:14" ht="14.25" customHeight="1">
      <c r="I684" s="14"/>
      <c r="J684" s="14"/>
      <c r="K684" s="14"/>
      <c r="L684" s="14"/>
      <c r="M684" s="14"/>
      <c r="N684" s="14"/>
    </row>
    <row r="685" spans="9:14" ht="14.25" customHeight="1">
      <c r="I685" s="14"/>
      <c r="J685" s="14"/>
      <c r="K685" s="14"/>
      <c r="L685" s="14"/>
      <c r="M685" s="14"/>
      <c r="N685" s="14"/>
    </row>
    <row r="686" spans="9:14" ht="14.25" customHeight="1">
      <c r="I686" s="14"/>
      <c r="J686" s="14"/>
      <c r="K686" s="14"/>
      <c r="L686" s="14"/>
      <c r="M686" s="14"/>
      <c r="N686" s="14"/>
    </row>
    <row r="687" spans="9:14" ht="14.25" customHeight="1">
      <c r="I687" s="14"/>
      <c r="J687" s="14"/>
      <c r="K687" s="14"/>
      <c r="L687" s="14"/>
      <c r="M687" s="14"/>
      <c r="N687" s="14"/>
    </row>
    <row r="688" spans="9:14" ht="14.25" customHeight="1">
      <c r="I688" s="14"/>
      <c r="J688" s="14"/>
      <c r="K688" s="14"/>
      <c r="L688" s="14"/>
      <c r="M688" s="14"/>
      <c r="N688" s="14"/>
    </row>
    <row r="689" spans="9:14" ht="14.25" customHeight="1">
      <c r="I689" s="14"/>
      <c r="J689" s="14"/>
      <c r="K689" s="14"/>
      <c r="L689" s="14"/>
      <c r="M689" s="14"/>
      <c r="N689" s="14"/>
    </row>
    <row r="690" spans="9:14" ht="14.25" customHeight="1">
      <c r="I690" s="14"/>
      <c r="J690" s="14"/>
      <c r="K690" s="14"/>
      <c r="L690" s="14"/>
      <c r="M690" s="14"/>
      <c r="N690" s="14"/>
    </row>
    <row r="691" spans="9:14" ht="14.25" customHeight="1">
      <c r="I691" s="14"/>
      <c r="J691" s="14"/>
      <c r="K691" s="14"/>
      <c r="L691" s="14"/>
      <c r="M691" s="14"/>
      <c r="N691" s="14"/>
    </row>
    <row r="692" spans="9:14" ht="14.25" customHeight="1">
      <c r="I692" s="14"/>
      <c r="J692" s="14"/>
      <c r="K692" s="14"/>
      <c r="L692" s="14"/>
      <c r="M692" s="14"/>
      <c r="N692" s="14"/>
    </row>
    <row r="693" spans="9:14" ht="14.25" customHeight="1">
      <c r="I693" s="14"/>
      <c r="J693" s="14"/>
      <c r="K693" s="14"/>
      <c r="L693" s="14"/>
      <c r="M693" s="14"/>
      <c r="N693" s="14"/>
    </row>
    <row r="694" spans="9:14" ht="14.25" customHeight="1">
      <c r="I694" s="14"/>
      <c r="J694" s="14"/>
      <c r="K694" s="14"/>
      <c r="L694" s="14"/>
      <c r="M694" s="14"/>
      <c r="N694" s="14"/>
    </row>
    <row r="695" spans="9:14" ht="14.25" customHeight="1">
      <c r="I695" s="14"/>
      <c r="J695" s="14"/>
      <c r="K695" s="14"/>
      <c r="L695" s="14"/>
      <c r="M695" s="14"/>
      <c r="N695" s="14"/>
    </row>
    <row r="696" spans="9:14" ht="14.25" customHeight="1">
      <c r="I696" s="14"/>
      <c r="J696" s="14"/>
      <c r="K696" s="14"/>
      <c r="L696" s="14"/>
      <c r="M696" s="14"/>
      <c r="N696" s="14"/>
    </row>
    <row r="697" spans="9:14" ht="14.25" customHeight="1">
      <c r="I697" s="14"/>
      <c r="J697" s="14"/>
      <c r="K697" s="14"/>
      <c r="L697" s="14"/>
      <c r="M697" s="14"/>
      <c r="N697" s="14"/>
    </row>
    <row r="698" spans="9:14" ht="14.25" customHeight="1">
      <c r="I698" s="14"/>
      <c r="J698" s="14"/>
      <c r="K698" s="14"/>
      <c r="L698" s="14"/>
      <c r="M698" s="14"/>
      <c r="N698" s="14"/>
    </row>
    <row r="699" spans="9:14" ht="14.25" customHeight="1">
      <c r="I699" s="14"/>
      <c r="J699" s="14"/>
      <c r="K699" s="14"/>
      <c r="L699" s="14"/>
      <c r="M699" s="14"/>
      <c r="N699" s="14"/>
    </row>
    <row r="700" spans="9:14" ht="14.25" customHeight="1">
      <c r="I700" s="14"/>
      <c r="J700" s="14"/>
      <c r="K700" s="14"/>
      <c r="L700" s="14"/>
      <c r="M700" s="14"/>
      <c r="N700" s="14"/>
    </row>
    <row r="701" spans="9:14" ht="14.25" customHeight="1">
      <c r="I701" s="14"/>
      <c r="J701" s="14"/>
      <c r="K701" s="14"/>
      <c r="L701" s="14"/>
      <c r="M701" s="14"/>
      <c r="N701" s="14"/>
    </row>
    <row r="702" spans="9:14" ht="14.25" customHeight="1">
      <c r="I702" s="14"/>
      <c r="J702" s="14"/>
      <c r="K702" s="14"/>
      <c r="L702" s="14"/>
      <c r="M702" s="14"/>
      <c r="N702" s="14"/>
    </row>
    <row r="703" spans="9:14" ht="14.25" customHeight="1">
      <c r="I703" s="14"/>
      <c r="J703" s="14"/>
      <c r="K703" s="14"/>
      <c r="L703" s="14"/>
      <c r="M703" s="14"/>
      <c r="N703" s="14"/>
    </row>
    <row r="704" spans="9:14" ht="14.25" customHeight="1">
      <c r="I704" s="14"/>
      <c r="J704" s="14"/>
      <c r="K704" s="14"/>
      <c r="L704" s="14"/>
      <c r="M704" s="14"/>
      <c r="N704" s="14"/>
    </row>
    <row r="705" spans="9:14" ht="14.25" customHeight="1">
      <c r="I705" s="14"/>
      <c r="J705" s="14"/>
      <c r="K705" s="14"/>
      <c r="L705" s="14"/>
      <c r="M705" s="14"/>
      <c r="N705" s="14"/>
    </row>
    <row r="706" spans="9:14" ht="14.25" customHeight="1">
      <c r="I706" s="14"/>
      <c r="J706" s="14"/>
      <c r="K706" s="14"/>
      <c r="L706" s="14"/>
      <c r="M706" s="14"/>
      <c r="N706" s="14"/>
    </row>
    <row r="707" spans="9:14" ht="14.25" customHeight="1">
      <c r="I707" s="14"/>
      <c r="J707" s="14"/>
      <c r="K707" s="14"/>
      <c r="L707" s="14"/>
      <c r="M707" s="14"/>
      <c r="N707" s="14"/>
    </row>
    <row r="708" spans="9:14" ht="14.25" customHeight="1">
      <c r="I708" s="14"/>
      <c r="J708" s="14"/>
      <c r="K708" s="14"/>
      <c r="L708" s="14"/>
      <c r="M708" s="14"/>
      <c r="N708" s="14"/>
    </row>
    <row r="709" spans="9:14" ht="14.25" customHeight="1">
      <c r="I709" s="14"/>
      <c r="J709" s="14"/>
      <c r="K709" s="14"/>
      <c r="L709" s="14"/>
      <c r="M709" s="14"/>
      <c r="N709" s="14"/>
    </row>
    <row r="710" spans="9:14" ht="14.25" customHeight="1">
      <c r="I710" s="14"/>
      <c r="J710" s="14"/>
      <c r="K710" s="14"/>
      <c r="L710" s="14"/>
      <c r="M710" s="14"/>
      <c r="N710" s="14"/>
    </row>
    <row r="711" spans="9:14" ht="14.25" customHeight="1">
      <c r="I711" s="14"/>
      <c r="J711" s="14"/>
      <c r="K711" s="14"/>
      <c r="L711" s="14"/>
      <c r="M711" s="14"/>
      <c r="N711" s="14"/>
    </row>
    <row r="712" spans="9:14" ht="14.25" customHeight="1">
      <c r="I712" s="14"/>
      <c r="J712" s="14"/>
      <c r="K712" s="14"/>
      <c r="L712" s="14"/>
      <c r="M712" s="14"/>
      <c r="N712" s="14"/>
    </row>
    <row r="713" spans="9:14" ht="14.25" customHeight="1">
      <c r="I713" s="14"/>
      <c r="J713" s="14"/>
      <c r="K713" s="14"/>
      <c r="L713" s="14"/>
      <c r="M713" s="14"/>
      <c r="N713" s="14"/>
    </row>
    <row r="714" spans="9:14" ht="14.25" customHeight="1">
      <c r="I714" s="14"/>
      <c r="J714" s="14"/>
      <c r="K714" s="14"/>
      <c r="L714" s="14"/>
      <c r="M714" s="14"/>
      <c r="N714" s="14"/>
    </row>
    <row r="715" spans="9:14" ht="14.25" customHeight="1">
      <c r="I715" s="14"/>
      <c r="J715" s="14"/>
      <c r="K715" s="14"/>
      <c r="L715" s="14"/>
      <c r="M715" s="14"/>
      <c r="N715" s="14"/>
    </row>
    <row r="716" spans="9:14" ht="14.25" customHeight="1">
      <c r="I716" s="14"/>
      <c r="J716" s="14"/>
      <c r="K716" s="14"/>
      <c r="L716" s="14"/>
      <c r="M716" s="14"/>
      <c r="N716" s="14"/>
    </row>
    <row r="717" spans="9:14" ht="14.25" customHeight="1">
      <c r="I717" s="14"/>
      <c r="J717" s="14"/>
      <c r="K717" s="14"/>
      <c r="L717" s="14"/>
      <c r="M717" s="14"/>
      <c r="N717" s="14"/>
    </row>
    <row r="718" spans="9:14" ht="14.25" customHeight="1">
      <c r="I718" s="14"/>
      <c r="J718" s="14"/>
      <c r="K718" s="14"/>
      <c r="L718" s="14"/>
      <c r="M718" s="14"/>
      <c r="N718" s="14"/>
    </row>
    <row r="719" spans="9:14" ht="14.25" customHeight="1">
      <c r="I719" s="14"/>
      <c r="J719" s="14"/>
      <c r="K719" s="14"/>
      <c r="L719" s="14"/>
      <c r="M719" s="14"/>
      <c r="N719" s="14"/>
    </row>
    <row r="720" spans="9:14" ht="14.25" customHeight="1">
      <c r="I720" s="14"/>
      <c r="J720" s="14"/>
      <c r="K720" s="14"/>
      <c r="L720" s="14"/>
      <c r="M720" s="14"/>
      <c r="N720" s="14"/>
    </row>
    <row r="721" spans="9:14" ht="14.25" customHeight="1">
      <c r="I721" s="14"/>
      <c r="J721" s="14"/>
      <c r="K721" s="14"/>
      <c r="L721" s="14"/>
      <c r="M721" s="14"/>
      <c r="N721" s="14"/>
    </row>
    <row r="722" spans="9:14" ht="14.25" customHeight="1">
      <c r="I722" s="14"/>
      <c r="J722" s="14"/>
      <c r="K722" s="14"/>
      <c r="L722" s="14"/>
      <c r="M722" s="14"/>
      <c r="N722" s="14"/>
    </row>
    <row r="723" spans="9:14" ht="14.25" customHeight="1">
      <c r="I723" s="14"/>
      <c r="J723" s="14"/>
      <c r="K723" s="14"/>
      <c r="L723" s="14"/>
      <c r="M723" s="14"/>
      <c r="N723" s="14"/>
    </row>
    <row r="724" spans="9:14" ht="14.25" customHeight="1">
      <c r="I724" s="14"/>
      <c r="J724" s="14"/>
      <c r="K724" s="14"/>
      <c r="L724" s="14"/>
      <c r="M724" s="14"/>
      <c r="N724" s="14"/>
    </row>
    <row r="725" spans="9:14" ht="14.25" customHeight="1">
      <c r="I725" s="14"/>
      <c r="J725" s="14"/>
      <c r="K725" s="14"/>
      <c r="L725" s="14"/>
      <c r="M725" s="14"/>
      <c r="N725" s="14"/>
    </row>
    <row r="726" spans="9:14" ht="14.25" customHeight="1">
      <c r="I726" s="14"/>
      <c r="J726" s="14"/>
      <c r="K726" s="14"/>
      <c r="L726" s="14"/>
      <c r="M726" s="14"/>
      <c r="N726" s="14"/>
    </row>
    <row r="727" spans="9:14" ht="14.25" customHeight="1">
      <c r="I727" s="14"/>
      <c r="J727" s="14"/>
      <c r="K727" s="14"/>
      <c r="L727" s="14"/>
      <c r="M727" s="14"/>
      <c r="N727" s="14"/>
    </row>
    <row r="728" spans="9:14" ht="14.25" customHeight="1">
      <c r="I728" s="14"/>
      <c r="J728" s="14"/>
      <c r="K728" s="14"/>
      <c r="L728" s="14"/>
      <c r="M728" s="14"/>
      <c r="N728" s="14"/>
    </row>
    <row r="729" spans="9:14" ht="14.25" customHeight="1">
      <c r="I729" s="14"/>
      <c r="J729" s="14"/>
      <c r="K729" s="14"/>
      <c r="L729" s="14"/>
      <c r="M729" s="14"/>
      <c r="N729" s="14"/>
    </row>
    <row r="730" spans="9:14" ht="14.25" customHeight="1">
      <c r="I730" s="14"/>
      <c r="J730" s="14"/>
      <c r="K730" s="14"/>
      <c r="L730" s="14"/>
      <c r="M730" s="14"/>
      <c r="N730" s="14"/>
    </row>
    <row r="731" spans="9:14" ht="14.25" customHeight="1">
      <c r="I731" s="14"/>
      <c r="J731" s="14"/>
      <c r="K731" s="14"/>
      <c r="L731" s="14"/>
      <c r="M731" s="14"/>
      <c r="N731" s="14"/>
    </row>
    <row r="732" spans="9:14" ht="14.25" customHeight="1">
      <c r="I732" s="14"/>
      <c r="J732" s="14"/>
      <c r="K732" s="14"/>
      <c r="L732" s="14"/>
      <c r="M732" s="14"/>
      <c r="N732" s="14"/>
    </row>
    <row r="733" spans="9:14" ht="14.25" customHeight="1">
      <c r="I733" s="14"/>
      <c r="J733" s="14"/>
      <c r="K733" s="14"/>
      <c r="L733" s="14"/>
      <c r="M733" s="14"/>
      <c r="N733" s="14"/>
    </row>
    <row r="734" spans="9:14" ht="14.25" customHeight="1">
      <c r="I734" s="14"/>
      <c r="J734" s="14"/>
      <c r="K734" s="14"/>
      <c r="L734" s="14"/>
      <c r="M734" s="14"/>
      <c r="N734" s="14"/>
    </row>
    <row r="735" spans="9:14" ht="14.25" customHeight="1">
      <c r="I735" s="14"/>
      <c r="J735" s="14"/>
      <c r="K735" s="14"/>
      <c r="L735" s="14"/>
      <c r="M735" s="14"/>
      <c r="N735" s="14"/>
    </row>
    <row r="736" spans="9:14" ht="14.25" customHeight="1">
      <c r="I736" s="14"/>
      <c r="J736" s="14"/>
      <c r="K736" s="14"/>
      <c r="L736" s="14"/>
      <c r="M736" s="14"/>
      <c r="N736" s="14"/>
    </row>
    <row r="737" spans="9:14" ht="14.25" customHeight="1">
      <c r="I737" s="14"/>
      <c r="J737" s="14"/>
      <c r="K737" s="14"/>
      <c r="L737" s="14"/>
      <c r="M737" s="14"/>
      <c r="N737" s="14"/>
    </row>
    <row r="738" spans="9:14" ht="14.25" customHeight="1">
      <c r="I738" s="14"/>
      <c r="J738" s="14"/>
      <c r="K738" s="14"/>
      <c r="L738" s="14"/>
      <c r="M738" s="14"/>
      <c r="N738" s="14"/>
    </row>
    <row r="739" spans="9:14" ht="14.25" customHeight="1">
      <c r="I739" s="14"/>
      <c r="J739" s="14"/>
      <c r="K739" s="14"/>
      <c r="L739" s="14"/>
      <c r="M739" s="14"/>
      <c r="N739" s="14"/>
    </row>
    <row r="740" spans="9:14" ht="14.25" customHeight="1">
      <c r="I740" s="14"/>
      <c r="J740" s="14"/>
      <c r="K740" s="14"/>
      <c r="L740" s="14"/>
      <c r="M740" s="14"/>
      <c r="N740" s="14"/>
    </row>
    <row r="741" spans="9:14" ht="14.25" customHeight="1">
      <c r="I741" s="14"/>
      <c r="J741" s="14"/>
      <c r="K741" s="14"/>
      <c r="L741" s="14"/>
      <c r="M741" s="14"/>
      <c r="N741" s="14"/>
    </row>
    <row r="742" spans="9:14" ht="14.25" customHeight="1">
      <c r="I742" s="14"/>
      <c r="J742" s="14"/>
      <c r="K742" s="14"/>
      <c r="L742" s="14"/>
      <c r="M742" s="14"/>
      <c r="N742" s="14"/>
    </row>
    <row r="743" spans="9:14" ht="14.25" customHeight="1">
      <c r="I743" s="14"/>
      <c r="J743" s="14"/>
      <c r="K743" s="14"/>
      <c r="L743" s="14"/>
      <c r="M743" s="14"/>
      <c r="N743" s="14"/>
    </row>
    <row r="744" spans="9:14" ht="14.25" customHeight="1">
      <c r="I744" s="14"/>
      <c r="J744" s="14"/>
      <c r="K744" s="14"/>
      <c r="L744" s="14"/>
      <c r="M744" s="14"/>
      <c r="N744" s="14"/>
    </row>
    <row r="745" spans="9:14" ht="14.25" customHeight="1">
      <c r="I745" s="14"/>
      <c r="J745" s="14"/>
      <c r="K745" s="14"/>
      <c r="L745" s="14"/>
      <c r="M745" s="14"/>
      <c r="N745" s="14"/>
    </row>
    <row r="746" spans="9:14" ht="14.25" customHeight="1">
      <c r="I746" s="14"/>
      <c r="J746" s="14"/>
      <c r="K746" s="14"/>
      <c r="L746" s="14"/>
      <c r="M746" s="14"/>
      <c r="N746" s="14"/>
    </row>
    <row r="747" spans="9:14" ht="14.25" customHeight="1">
      <c r="I747" s="14"/>
      <c r="J747" s="14"/>
      <c r="K747" s="14"/>
      <c r="L747" s="14"/>
      <c r="M747" s="14"/>
      <c r="N747" s="14"/>
    </row>
    <row r="748" spans="9:14" ht="14.25" customHeight="1">
      <c r="I748" s="14"/>
      <c r="J748" s="14"/>
      <c r="K748" s="14"/>
      <c r="L748" s="14"/>
      <c r="M748" s="14"/>
      <c r="N748" s="14"/>
    </row>
    <row r="749" spans="9:14" ht="14.25" customHeight="1">
      <c r="I749" s="14"/>
      <c r="J749" s="14"/>
      <c r="K749" s="14"/>
      <c r="L749" s="14"/>
      <c r="M749" s="14"/>
      <c r="N749" s="14"/>
    </row>
    <row r="750" spans="9:14" ht="14.25" customHeight="1">
      <c r="I750" s="14"/>
      <c r="J750" s="14"/>
      <c r="K750" s="14"/>
      <c r="L750" s="14"/>
      <c r="M750" s="14"/>
      <c r="N750" s="14"/>
    </row>
    <row r="751" spans="9:14" ht="14.25" customHeight="1">
      <c r="I751" s="14"/>
      <c r="J751" s="14"/>
      <c r="K751" s="14"/>
      <c r="L751" s="14"/>
      <c r="M751" s="14"/>
      <c r="N751" s="14"/>
    </row>
    <row r="752" spans="9:14" ht="14.25" customHeight="1">
      <c r="I752" s="14"/>
      <c r="J752" s="14"/>
      <c r="K752" s="14"/>
      <c r="L752" s="14"/>
      <c r="M752" s="14"/>
      <c r="N752" s="14"/>
    </row>
    <row r="753" spans="9:14" ht="14.25" customHeight="1">
      <c r="I753" s="14"/>
      <c r="J753" s="14"/>
      <c r="K753" s="14"/>
      <c r="L753" s="14"/>
      <c r="M753" s="14"/>
      <c r="N753" s="14"/>
    </row>
    <row r="754" spans="9:14" ht="14.25" customHeight="1">
      <c r="I754" s="14"/>
      <c r="J754" s="14"/>
      <c r="K754" s="14"/>
      <c r="L754" s="14"/>
      <c r="M754" s="14"/>
      <c r="N754" s="14"/>
    </row>
    <row r="755" spans="9:14" ht="14.25" customHeight="1">
      <c r="I755" s="14"/>
      <c r="J755" s="14"/>
      <c r="K755" s="14"/>
      <c r="L755" s="14"/>
      <c r="M755" s="14"/>
      <c r="N755" s="14"/>
    </row>
    <row r="756" spans="9:14" ht="14.25" customHeight="1">
      <c r="I756" s="14"/>
      <c r="J756" s="14"/>
      <c r="K756" s="14"/>
      <c r="L756" s="14"/>
      <c r="M756" s="14"/>
      <c r="N756" s="14"/>
    </row>
    <row r="757" spans="9:14" ht="14.25" customHeight="1">
      <c r="I757" s="14"/>
      <c r="J757" s="14"/>
      <c r="K757" s="14"/>
      <c r="L757" s="14"/>
      <c r="M757" s="14"/>
      <c r="N757" s="14"/>
    </row>
    <row r="758" spans="9:14" ht="14.25" customHeight="1">
      <c r="I758" s="14"/>
      <c r="J758" s="14"/>
      <c r="K758" s="14"/>
      <c r="L758" s="14"/>
      <c r="M758" s="14"/>
      <c r="N758" s="14"/>
    </row>
    <row r="759" spans="9:14" ht="14.25" customHeight="1">
      <c r="I759" s="14"/>
      <c r="J759" s="14"/>
      <c r="K759" s="14"/>
      <c r="L759" s="14"/>
      <c r="M759" s="14"/>
      <c r="N759" s="14"/>
    </row>
    <row r="760" spans="9:14" ht="14.25" customHeight="1">
      <c r="I760" s="14"/>
      <c r="J760" s="14"/>
      <c r="K760" s="14"/>
      <c r="L760" s="14"/>
      <c r="M760" s="14"/>
      <c r="N760" s="14"/>
    </row>
    <row r="761" spans="9:14" ht="14.25" customHeight="1">
      <c r="I761" s="14"/>
      <c r="J761" s="14"/>
      <c r="K761" s="14"/>
      <c r="L761" s="14"/>
      <c r="M761" s="14"/>
      <c r="N761" s="14"/>
    </row>
    <row r="762" spans="9:14" ht="14.25" customHeight="1">
      <c r="I762" s="14"/>
      <c r="J762" s="14"/>
      <c r="K762" s="14"/>
      <c r="L762" s="14"/>
      <c r="M762" s="14"/>
      <c r="N762" s="14"/>
    </row>
    <row r="763" spans="9:14" ht="14.25" customHeight="1">
      <c r="I763" s="14"/>
      <c r="J763" s="14"/>
      <c r="K763" s="14"/>
      <c r="L763" s="14"/>
      <c r="M763" s="14"/>
      <c r="N763" s="14"/>
    </row>
    <row r="764" spans="9:14" ht="14.25" customHeight="1">
      <c r="I764" s="14"/>
      <c r="J764" s="14"/>
      <c r="K764" s="14"/>
      <c r="L764" s="14"/>
      <c r="M764" s="14"/>
      <c r="N764" s="14"/>
    </row>
    <row r="765" spans="9:14" ht="14.25" customHeight="1">
      <c r="I765" s="14"/>
      <c r="J765" s="14"/>
      <c r="K765" s="14"/>
      <c r="L765" s="14"/>
      <c r="M765" s="14"/>
      <c r="N765" s="14"/>
    </row>
    <row r="766" spans="9:14" ht="14.25" customHeight="1">
      <c r="I766" s="14"/>
      <c r="J766" s="14"/>
      <c r="K766" s="14"/>
      <c r="L766" s="14"/>
      <c r="M766" s="14"/>
      <c r="N766" s="14"/>
    </row>
    <row r="767" spans="9:14" ht="14.25" customHeight="1">
      <c r="I767" s="14"/>
      <c r="J767" s="14"/>
      <c r="K767" s="14"/>
      <c r="L767" s="14"/>
      <c r="M767" s="14"/>
      <c r="N767" s="14"/>
    </row>
    <row r="768" spans="9:14" ht="14.25" customHeight="1">
      <c r="I768" s="14"/>
      <c r="J768" s="14"/>
      <c r="K768" s="14"/>
      <c r="L768" s="14"/>
      <c r="M768" s="14"/>
      <c r="N768" s="14"/>
    </row>
    <row r="769" spans="9:14" ht="14.25" customHeight="1">
      <c r="I769" s="14"/>
      <c r="J769" s="14"/>
      <c r="K769" s="14"/>
      <c r="L769" s="14"/>
      <c r="M769" s="14"/>
      <c r="N769" s="14"/>
    </row>
    <row r="770" spans="9:14" ht="14.25" customHeight="1">
      <c r="I770" s="14"/>
      <c r="J770" s="14"/>
      <c r="K770" s="14"/>
      <c r="L770" s="14"/>
      <c r="M770" s="14"/>
      <c r="N770" s="14"/>
    </row>
    <row r="771" spans="9:14" ht="14.25" customHeight="1">
      <c r="I771" s="14"/>
      <c r="J771" s="14"/>
      <c r="K771" s="14"/>
      <c r="L771" s="14"/>
      <c r="M771" s="14"/>
      <c r="N771" s="14"/>
    </row>
    <row r="772" spans="9:14" ht="14.25" customHeight="1">
      <c r="I772" s="14"/>
      <c r="J772" s="14"/>
      <c r="K772" s="14"/>
      <c r="L772" s="14"/>
      <c r="M772" s="14"/>
      <c r="N772" s="14"/>
    </row>
    <row r="773" spans="9:14" ht="14.25" customHeight="1">
      <c r="I773" s="14"/>
      <c r="J773" s="14"/>
      <c r="K773" s="14"/>
      <c r="L773" s="14"/>
      <c r="M773" s="14"/>
      <c r="N773" s="14"/>
    </row>
    <row r="774" spans="9:14" ht="14.25" customHeight="1">
      <c r="I774" s="14"/>
      <c r="J774" s="14"/>
      <c r="K774" s="14"/>
      <c r="L774" s="14"/>
      <c r="M774" s="14"/>
      <c r="N774" s="14"/>
    </row>
    <row r="775" spans="9:14" ht="14.25" customHeight="1">
      <c r="I775" s="14"/>
      <c r="J775" s="14"/>
      <c r="K775" s="14"/>
      <c r="L775" s="14"/>
      <c r="M775" s="14"/>
      <c r="N775" s="14"/>
    </row>
    <row r="776" spans="9:14" ht="14.25" customHeight="1">
      <c r="I776" s="14"/>
      <c r="J776" s="14"/>
      <c r="K776" s="14"/>
      <c r="L776" s="14"/>
      <c r="M776" s="14"/>
      <c r="N776" s="14"/>
    </row>
    <row r="777" spans="9:14" ht="14.25" customHeight="1">
      <c r="I777" s="14"/>
      <c r="J777" s="14"/>
      <c r="K777" s="14"/>
      <c r="L777" s="14"/>
      <c r="M777" s="14"/>
      <c r="N777" s="14"/>
    </row>
    <row r="778" spans="9:14" ht="14.25" customHeight="1">
      <c r="I778" s="14"/>
      <c r="J778" s="14"/>
      <c r="K778" s="14"/>
      <c r="L778" s="14"/>
      <c r="M778" s="14"/>
      <c r="N778" s="14"/>
    </row>
    <row r="779" spans="9:14" ht="14.25" customHeight="1">
      <c r="I779" s="14"/>
      <c r="J779" s="14"/>
      <c r="K779" s="14"/>
      <c r="L779" s="14"/>
      <c r="M779" s="14"/>
      <c r="N779" s="14"/>
    </row>
    <row r="780" spans="9:14" ht="14.25" customHeight="1">
      <c r="I780" s="14"/>
      <c r="J780" s="14"/>
      <c r="K780" s="14"/>
      <c r="L780" s="14"/>
      <c r="M780" s="14"/>
      <c r="N780" s="14"/>
    </row>
    <row r="781" spans="9:14" ht="14.25" customHeight="1">
      <c r="I781" s="14"/>
      <c r="J781" s="14"/>
      <c r="K781" s="14"/>
      <c r="L781" s="14"/>
      <c r="M781" s="14"/>
      <c r="N781" s="14"/>
    </row>
    <row r="782" spans="9:14" ht="14.25" customHeight="1">
      <c r="I782" s="14"/>
      <c r="J782" s="14"/>
      <c r="K782" s="14"/>
      <c r="L782" s="14"/>
      <c r="M782" s="14"/>
      <c r="N782" s="14"/>
    </row>
    <row r="783" spans="9:14" ht="14.25" customHeight="1">
      <c r="I783" s="14"/>
      <c r="J783" s="14"/>
      <c r="K783" s="14"/>
      <c r="L783" s="14"/>
      <c r="M783" s="14"/>
      <c r="N783" s="14"/>
    </row>
    <row r="784" spans="9:14" ht="14.25" customHeight="1">
      <c r="I784" s="14"/>
      <c r="J784" s="14"/>
      <c r="K784" s="14"/>
      <c r="L784" s="14"/>
      <c r="M784" s="14"/>
      <c r="N784" s="14"/>
    </row>
    <row r="785" spans="9:14" ht="14.25" customHeight="1">
      <c r="I785" s="14"/>
      <c r="J785" s="14"/>
      <c r="K785" s="14"/>
      <c r="L785" s="14"/>
      <c r="M785" s="14"/>
      <c r="N785" s="14"/>
    </row>
    <row r="786" spans="9:14" ht="14.25" customHeight="1">
      <c r="I786" s="14"/>
      <c r="J786" s="14"/>
      <c r="K786" s="14"/>
      <c r="L786" s="14"/>
      <c r="M786" s="14"/>
      <c r="N786" s="14"/>
    </row>
    <row r="787" spans="9:14" ht="14.25" customHeight="1">
      <c r="I787" s="14"/>
      <c r="J787" s="14"/>
      <c r="K787" s="14"/>
      <c r="L787" s="14"/>
      <c r="M787" s="14"/>
      <c r="N787" s="14"/>
    </row>
    <row r="788" spans="9:14" ht="14.25" customHeight="1">
      <c r="I788" s="14"/>
      <c r="J788" s="14"/>
      <c r="K788" s="14"/>
      <c r="L788" s="14"/>
      <c r="M788" s="14"/>
      <c r="N788" s="14"/>
    </row>
    <row r="789" spans="9:14" ht="14.25" customHeight="1">
      <c r="I789" s="14"/>
      <c r="J789" s="14"/>
      <c r="K789" s="14"/>
      <c r="L789" s="14"/>
      <c r="M789" s="14"/>
      <c r="N789" s="14"/>
    </row>
    <row r="790" spans="9:14" ht="14.25" customHeight="1">
      <c r="I790" s="14"/>
      <c r="J790" s="14"/>
      <c r="K790" s="14"/>
      <c r="L790" s="14"/>
      <c r="M790" s="14"/>
      <c r="N790" s="14"/>
    </row>
    <row r="791" spans="9:14" ht="14.25" customHeight="1">
      <c r="I791" s="14"/>
      <c r="J791" s="14"/>
      <c r="K791" s="14"/>
      <c r="L791" s="14"/>
      <c r="M791" s="14"/>
      <c r="N791" s="14"/>
    </row>
    <row r="792" spans="9:14" ht="14.25" customHeight="1">
      <c r="I792" s="14"/>
      <c r="J792" s="14"/>
      <c r="K792" s="14"/>
      <c r="L792" s="14"/>
      <c r="M792" s="14"/>
      <c r="N792" s="14"/>
    </row>
    <row r="793" spans="9:14" ht="14.25" customHeight="1">
      <c r="I793" s="14"/>
      <c r="J793" s="14"/>
      <c r="K793" s="14"/>
      <c r="L793" s="14"/>
      <c r="M793" s="14"/>
      <c r="N793" s="14"/>
    </row>
    <row r="794" spans="9:14" ht="14.25" customHeight="1">
      <c r="I794" s="14"/>
      <c r="J794" s="14"/>
      <c r="K794" s="14"/>
      <c r="L794" s="14"/>
      <c r="M794" s="14"/>
      <c r="N794" s="14"/>
    </row>
    <row r="795" spans="9:14" ht="14.25" customHeight="1">
      <c r="I795" s="14"/>
      <c r="J795" s="14"/>
      <c r="K795" s="14"/>
      <c r="L795" s="14"/>
      <c r="M795" s="14"/>
      <c r="N795" s="14"/>
    </row>
    <row r="796" spans="9:14" ht="14.25" customHeight="1">
      <c r="I796" s="14"/>
      <c r="J796" s="14"/>
      <c r="K796" s="14"/>
      <c r="L796" s="14"/>
      <c r="M796" s="14"/>
      <c r="N796" s="14"/>
    </row>
    <row r="797" spans="9:14" ht="14.25" customHeight="1">
      <c r="I797" s="14"/>
      <c r="J797" s="14"/>
      <c r="K797" s="14"/>
      <c r="L797" s="14"/>
      <c r="M797" s="14"/>
      <c r="N797" s="14"/>
    </row>
    <row r="798" spans="9:14" ht="14.25" customHeight="1">
      <c r="I798" s="14"/>
      <c r="J798" s="14"/>
      <c r="K798" s="14"/>
      <c r="L798" s="14"/>
      <c r="M798" s="14"/>
      <c r="N798" s="14"/>
    </row>
    <row r="799" spans="9:14" ht="14.25" customHeight="1">
      <c r="I799" s="14"/>
      <c r="J799" s="14"/>
      <c r="K799" s="14"/>
      <c r="L799" s="14"/>
      <c r="M799" s="14"/>
      <c r="N799" s="14"/>
    </row>
    <row r="800" spans="9:14" ht="14.25" customHeight="1">
      <c r="I800" s="14"/>
      <c r="J800" s="14"/>
      <c r="K800" s="14"/>
      <c r="L800" s="14"/>
      <c r="M800" s="14"/>
      <c r="N800" s="14"/>
    </row>
    <row r="801" spans="9:14" ht="14.25" customHeight="1">
      <c r="I801" s="14"/>
      <c r="J801" s="14"/>
      <c r="K801" s="14"/>
      <c r="L801" s="14"/>
      <c r="M801" s="14"/>
      <c r="N801" s="14"/>
    </row>
    <row r="802" spans="9:14" ht="14.25" customHeight="1">
      <c r="I802" s="14"/>
      <c r="J802" s="14"/>
      <c r="K802" s="14"/>
      <c r="L802" s="14"/>
      <c r="M802" s="14"/>
      <c r="N802" s="14"/>
    </row>
    <row r="803" spans="9:14" ht="14.25" customHeight="1">
      <c r="I803" s="14"/>
      <c r="J803" s="14"/>
      <c r="K803" s="14"/>
      <c r="L803" s="14"/>
      <c r="M803" s="14"/>
      <c r="N803" s="14"/>
    </row>
    <row r="804" spans="9:14" ht="14.25" customHeight="1">
      <c r="I804" s="14"/>
      <c r="J804" s="14"/>
      <c r="K804" s="14"/>
      <c r="L804" s="14"/>
      <c r="M804" s="14"/>
      <c r="N804" s="14"/>
    </row>
    <row r="805" spans="9:14" ht="14.25" customHeight="1">
      <c r="I805" s="14"/>
      <c r="J805" s="14"/>
      <c r="K805" s="14"/>
      <c r="L805" s="14"/>
      <c r="M805" s="14"/>
      <c r="N805" s="14"/>
    </row>
    <row r="806" spans="9:14" ht="14.25" customHeight="1">
      <c r="I806" s="14"/>
      <c r="J806" s="14"/>
      <c r="K806" s="14"/>
      <c r="L806" s="14"/>
      <c r="M806" s="14"/>
      <c r="N806" s="14"/>
    </row>
    <row r="807" spans="9:14" ht="14.25" customHeight="1">
      <c r="I807" s="14"/>
      <c r="J807" s="14"/>
      <c r="K807" s="14"/>
      <c r="L807" s="14"/>
      <c r="M807" s="14"/>
      <c r="N807" s="14"/>
    </row>
    <row r="808" spans="9:14" ht="14.25" customHeight="1">
      <c r="I808" s="14"/>
      <c r="J808" s="14"/>
      <c r="K808" s="14"/>
      <c r="L808" s="14"/>
      <c r="M808" s="14"/>
      <c r="N808" s="14"/>
    </row>
    <row r="809" spans="9:14" ht="14.25" customHeight="1">
      <c r="I809" s="14"/>
      <c r="J809" s="14"/>
      <c r="K809" s="14"/>
      <c r="L809" s="14"/>
      <c r="M809" s="14"/>
      <c r="N809" s="14"/>
    </row>
    <row r="810" spans="9:14" ht="14.25" customHeight="1">
      <c r="I810" s="14"/>
      <c r="J810" s="14"/>
      <c r="K810" s="14"/>
      <c r="L810" s="14"/>
      <c r="M810" s="14"/>
      <c r="N810" s="14"/>
    </row>
    <row r="811" spans="9:14" ht="14.25" customHeight="1">
      <c r="I811" s="14"/>
      <c r="J811" s="14"/>
      <c r="K811" s="14"/>
      <c r="L811" s="14"/>
      <c r="M811" s="14"/>
      <c r="N811" s="14"/>
    </row>
    <row r="812" spans="9:14" ht="14.25" customHeight="1">
      <c r="I812" s="14"/>
      <c r="J812" s="14"/>
      <c r="K812" s="14"/>
      <c r="L812" s="14"/>
      <c r="M812" s="14"/>
      <c r="N812" s="14"/>
    </row>
    <row r="813" spans="9:14" ht="14.25" customHeight="1">
      <c r="I813" s="14"/>
      <c r="J813" s="14"/>
      <c r="K813" s="14"/>
      <c r="L813" s="14"/>
      <c r="M813" s="14"/>
      <c r="N813" s="14"/>
    </row>
    <row r="814" spans="9:14" ht="14.25" customHeight="1">
      <c r="I814" s="14"/>
      <c r="J814" s="14"/>
      <c r="K814" s="14"/>
      <c r="L814" s="14"/>
      <c r="M814" s="14"/>
      <c r="N814" s="14"/>
    </row>
    <row r="815" spans="9:14" ht="14.25" customHeight="1">
      <c r="I815" s="14"/>
      <c r="J815" s="14"/>
      <c r="K815" s="14"/>
      <c r="L815" s="14"/>
      <c r="M815" s="14"/>
      <c r="N815" s="14"/>
    </row>
    <row r="816" spans="9:14" ht="14.25" customHeight="1">
      <c r="I816" s="14"/>
      <c r="J816" s="14"/>
      <c r="K816" s="14"/>
      <c r="L816" s="14"/>
      <c r="M816" s="14"/>
      <c r="N816" s="14"/>
    </row>
    <row r="817" spans="9:14" ht="14.25" customHeight="1">
      <c r="I817" s="14"/>
      <c r="J817" s="14"/>
      <c r="K817" s="14"/>
      <c r="L817" s="14"/>
      <c r="M817" s="14"/>
      <c r="N817" s="14"/>
    </row>
    <row r="818" spans="9:14" ht="14.25" customHeight="1">
      <c r="I818" s="14"/>
      <c r="J818" s="14"/>
      <c r="K818" s="14"/>
      <c r="L818" s="14"/>
      <c r="M818" s="14"/>
      <c r="N818" s="14"/>
    </row>
    <row r="819" spans="9:14" ht="14.25" customHeight="1">
      <c r="I819" s="14"/>
      <c r="J819" s="14"/>
      <c r="K819" s="14"/>
      <c r="L819" s="14"/>
      <c r="M819" s="14"/>
      <c r="N819" s="14"/>
    </row>
    <row r="820" spans="9:14" ht="14.25" customHeight="1">
      <c r="I820" s="14"/>
      <c r="J820" s="14"/>
      <c r="K820" s="14"/>
      <c r="L820" s="14"/>
      <c r="M820" s="14"/>
      <c r="N820" s="14"/>
    </row>
    <row r="821" spans="9:14" ht="14.25" customHeight="1">
      <c r="I821" s="14"/>
      <c r="J821" s="14"/>
      <c r="K821" s="14"/>
      <c r="L821" s="14"/>
      <c r="M821" s="14"/>
      <c r="N821" s="14"/>
    </row>
    <row r="822" spans="9:14" ht="14.25" customHeight="1">
      <c r="I822" s="14"/>
      <c r="J822" s="14"/>
      <c r="K822" s="14"/>
      <c r="L822" s="14"/>
      <c r="M822" s="14"/>
      <c r="N822" s="14"/>
    </row>
    <row r="823" spans="9:14" ht="14.25" customHeight="1">
      <c r="I823" s="14"/>
      <c r="J823" s="14"/>
      <c r="K823" s="14"/>
      <c r="L823" s="14"/>
      <c r="M823" s="14"/>
      <c r="N823" s="14"/>
    </row>
    <row r="824" spans="9:14" ht="14.25" customHeight="1">
      <c r="I824" s="14"/>
      <c r="J824" s="14"/>
      <c r="K824" s="14"/>
      <c r="L824" s="14"/>
      <c r="M824" s="14"/>
      <c r="N824" s="14"/>
    </row>
    <row r="825" spans="9:14" ht="14.25" customHeight="1">
      <c r="I825" s="14"/>
      <c r="J825" s="14"/>
      <c r="K825" s="14"/>
      <c r="L825" s="14"/>
      <c r="M825" s="14"/>
      <c r="N825" s="14"/>
    </row>
    <row r="826" spans="9:14" ht="14.25" customHeight="1">
      <c r="I826" s="14"/>
      <c r="J826" s="14"/>
      <c r="K826" s="14"/>
      <c r="L826" s="14"/>
      <c r="M826" s="14"/>
      <c r="N826" s="14"/>
    </row>
    <row r="827" spans="9:14" ht="14.25" customHeight="1">
      <c r="I827" s="14"/>
      <c r="J827" s="14"/>
      <c r="K827" s="14"/>
      <c r="L827" s="14"/>
      <c r="M827" s="14"/>
      <c r="N827" s="14"/>
    </row>
    <row r="828" spans="9:14" ht="14.25" customHeight="1">
      <c r="I828" s="14"/>
      <c r="J828" s="14"/>
      <c r="K828" s="14"/>
      <c r="L828" s="14"/>
      <c r="M828" s="14"/>
      <c r="N828" s="14"/>
    </row>
    <row r="829" spans="9:14" ht="14.25" customHeight="1">
      <c r="I829" s="14"/>
      <c r="J829" s="14"/>
      <c r="K829" s="14"/>
      <c r="L829" s="14"/>
      <c r="M829" s="14"/>
      <c r="N829" s="14"/>
    </row>
    <row r="830" spans="9:14" ht="14.25" customHeight="1">
      <c r="I830" s="14"/>
      <c r="J830" s="14"/>
      <c r="K830" s="14"/>
      <c r="L830" s="14"/>
      <c r="M830" s="14"/>
      <c r="N830" s="14"/>
    </row>
    <row r="831" spans="9:14" ht="14.25" customHeight="1">
      <c r="I831" s="14"/>
      <c r="J831" s="14"/>
      <c r="K831" s="14"/>
      <c r="L831" s="14"/>
      <c r="M831" s="14"/>
      <c r="N831" s="14"/>
    </row>
    <row r="832" spans="9:14" ht="14.25" customHeight="1">
      <c r="I832" s="14"/>
      <c r="J832" s="14"/>
      <c r="K832" s="14"/>
      <c r="L832" s="14"/>
      <c r="M832" s="14"/>
      <c r="N832" s="14"/>
    </row>
    <row r="833" spans="9:14" ht="14.25" customHeight="1">
      <c r="I833" s="14"/>
      <c r="J833" s="14"/>
      <c r="K833" s="14"/>
      <c r="L833" s="14"/>
      <c r="M833" s="14"/>
      <c r="N833" s="14"/>
    </row>
    <row r="834" spans="9:14" ht="14.25" customHeight="1">
      <c r="I834" s="14"/>
      <c r="J834" s="14"/>
      <c r="K834" s="14"/>
      <c r="L834" s="14"/>
      <c r="M834" s="14"/>
      <c r="N834" s="14"/>
    </row>
    <row r="835" spans="9:14" ht="14.25" customHeight="1">
      <c r="I835" s="14"/>
      <c r="J835" s="14"/>
      <c r="K835" s="14"/>
      <c r="L835" s="14"/>
      <c r="M835" s="14"/>
      <c r="N835" s="14"/>
    </row>
    <row r="836" spans="9:14" ht="14.25" customHeight="1">
      <c r="I836" s="14"/>
      <c r="J836" s="14"/>
      <c r="K836" s="14"/>
      <c r="L836" s="14"/>
      <c r="M836" s="14"/>
      <c r="N836" s="14"/>
    </row>
    <row r="837" spans="9:14" ht="14.25" customHeight="1">
      <c r="I837" s="14"/>
      <c r="J837" s="14"/>
      <c r="K837" s="14"/>
      <c r="L837" s="14"/>
      <c r="M837" s="14"/>
      <c r="N837" s="14"/>
    </row>
    <row r="838" spans="9:14" ht="14.25" customHeight="1">
      <c r="I838" s="14"/>
      <c r="J838" s="14"/>
      <c r="K838" s="14"/>
      <c r="L838" s="14"/>
      <c r="M838" s="14"/>
      <c r="N838" s="14"/>
    </row>
    <row r="839" spans="9:14" ht="14.25" customHeight="1">
      <c r="I839" s="14"/>
      <c r="J839" s="14"/>
      <c r="K839" s="14"/>
      <c r="L839" s="14"/>
      <c r="M839" s="14"/>
      <c r="N839" s="14"/>
    </row>
    <row r="840" spans="9:14" ht="14.25" customHeight="1">
      <c r="I840" s="14"/>
      <c r="J840" s="14"/>
      <c r="K840" s="14"/>
      <c r="L840" s="14"/>
      <c r="M840" s="14"/>
      <c r="N840" s="14"/>
    </row>
    <row r="841" spans="9:14" ht="14.25" customHeight="1">
      <c r="I841" s="14"/>
      <c r="J841" s="14"/>
      <c r="K841" s="14"/>
      <c r="L841" s="14"/>
      <c r="M841" s="14"/>
      <c r="N841" s="14"/>
    </row>
    <row r="842" spans="9:14" ht="14.25" customHeight="1">
      <c r="I842" s="14"/>
      <c r="J842" s="14"/>
      <c r="K842" s="14"/>
      <c r="L842" s="14"/>
      <c r="M842" s="14"/>
      <c r="N842" s="14"/>
    </row>
    <row r="843" spans="9:14" ht="14.25" customHeight="1">
      <c r="I843" s="14"/>
      <c r="J843" s="14"/>
      <c r="K843" s="14"/>
      <c r="L843" s="14"/>
      <c r="M843" s="14"/>
      <c r="N843" s="14"/>
    </row>
    <row r="844" spans="9:14" ht="14.25" customHeight="1">
      <c r="I844" s="14"/>
      <c r="J844" s="14"/>
      <c r="K844" s="14"/>
      <c r="L844" s="14"/>
      <c r="M844" s="14"/>
      <c r="N844" s="14"/>
    </row>
    <row r="845" spans="9:14" ht="14.25" customHeight="1">
      <c r="I845" s="14"/>
      <c r="J845" s="14"/>
      <c r="K845" s="14"/>
      <c r="L845" s="14"/>
      <c r="M845" s="14"/>
      <c r="N845" s="14"/>
    </row>
    <row r="846" spans="9:14" ht="14.25" customHeight="1">
      <c r="I846" s="14"/>
      <c r="J846" s="14"/>
      <c r="K846" s="14"/>
      <c r="L846" s="14"/>
      <c r="M846" s="14"/>
      <c r="N846" s="14"/>
    </row>
    <row r="847" spans="9:14" ht="14.25" customHeight="1">
      <c r="I847" s="14"/>
      <c r="J847" s="14"/>
      <c r="K847" s="14"/>
      <c r="L847" s="14"/>
      <c r="M847" s="14"/>
      <c r="N847" s="14"/>
    </row>
    <row r="848" spans="9:14" ht="14.25" customHeight="1">
      <c r="I848" s="14"/>
      <c r="J848" s="14"/>
      <c r="K848" s="14"/>
      <c r="L848" s="14"/>
      <c r="M848" s="14"/>
      <c r="N848" s="14"/>
    </row>
    <row r="849" spans="9:14" ht="14.25" customHeight="1">
      <c r="I849" s="14"/>
      <c r="J849" s="14"/>
      <c r="K849" s="14"/>
      <c r="L849" s="14"/>
      <c r="M849" s="14"/>
      <c r="N849" s="14"/>
    </row>
    <row r="850" spans="9:14" ht="14.25" customHeight="1">
      <c r="I850" s="14"/>
      <c r="J850" s="14"/>
      <c r="K850" s="14"/>
      <c r="L850" s="14"/>
      <c r="M850" s="14"/>
      <c r="N850" s="14"/>
    </row>
    <row r="851" spans="9:14" ht="14.25" customHeight="1">
      <c r="I851" s="14"/>
      <c r="J851" s="14"/>
      <c r="K851" s="14"/>
      <c r="L851" s="14"/>
      <c r="M851" s="14"/>
      <c r="N851" s="14"/>
    </row>
    <row r="852" spans="9:14" ht="14.25" customHeight="1">
      <c r="I852" s="14"/>
      <c r="J852" s="14"/>
      <c r="K852" s="14"/>
      <c r="L852" s="14"/>
      <c r="M852" s="14"/>
      <c r="N852" s="14"/>
    </row>
    <row r="853" spans="9:14" ht="14.25" customHeight="1">
      <c r="I853" s="14"/>
      <c r="J853" s="14"/>
      <c r="K853" s="14"/>
      <c r="L853" s="14"/>
      <c r="M853" s="14"/>
      <c r="N853" s="14"/>
    </row>
    <row r="854" spans="9:14" ht="14.25" customHeight="1">
      <c r="I854" s="14"/>
      <c r="J854" s="14"/>
      <c r="K854" s="14"/>
      <c r="L854" s="14"/>
      <c r="M854" s="14"/>
      <c r="N854" s="14"/>
    </row>
    <row r="855" spans="9:14" ht="14.25" customHeight="1">
      <c r="I855" s="14"/>
      <c r="J855" s="14"/>
      <c r="K855" s="14"/>
      <c r="L855" s="14"/>
      <c r="M855" s="14"/>
      <c r="N855" s="14"/>
    </row>
    <row r="856" spans="9:14" ht="14.25" customHeight="1">
      <c r="I856" s="14"/>
      <c r="J856" s="14"/>
      <c r="K856" s="14"/>
      <c r="L856" s="14"/>
      <c r="M856" s="14"/>
      <c r="N856" s="14"/>
    </row>
    <row r="857" spans="9:14" ht="14.25" customHeight="1">
      <c r="I857" s="14"/>
      <c r="J857" s="14"/>
      <c r="K857" s="14"/>
      <c r="L857" s="14"/>
      <c r="M857" s="14"/>
      <c r="N857" s="14"/>
    </row>
    <row r="858" spans="9:14" ht="14.25" customHeight="1">
      <c r="I858" s="14"/>
      <c r="J858" s="14"/>
      <c r="K858" s="14"/>
      <c r="L858" s="14"/>
      <c r="M858" s="14"/>
      <c r="N858" s="14"/>
    </row>
    <row r="859" spans="9:14" ht="14.25" customHeight="1">
      <c r="I859" s="14"/>
      <c r="J859" s="14"/>
      <c r="K859" s="14"/>
      <c r="L859" s="14"/>
      <c r="M859" s="14"/>
      <c r="N859" s="14"/>
    </row>
    <row r="860" spans="9:14" ht="14.25" customHeight="1">
      <c r="I860" s="14"/>
      <c r="J860" s="14"/>
      <c r="K860" s="14"/>
      <c r="L860" s="14"/>
      <c r="M860" s="14"/>
      <c r="N860" s="14"/>
    </row>
    <row r="861" spans="9:14" ht="14.25" customHeight="1">
      <c r="I861" s="14"/>
      <c r="J861" s="14"/>
      <c r="K861" s="14"/>
      <c r="L861" s="14"/>
      <c r="M861" s="14"/>
      <c r="N861" s="14"/>
    </row>
    <row r="862" spans="9:14" ht="14.25" customHeight="1">
      <c r="I862" s="14"/>
      <c r="J862" s="14"/>
      <c r="K862" s="14"/>
      <c r="L862" s="14"/>
      <c r="M862" s="14"/>
      <c r="N862" s="14"/>
    </row>
    <row r="863" spans="9:14" ht="14.25" customHeight="1">
      <c r="I863" s="14"/>
      <c r="J863" s="14"/>
      <c r="K863" s="14"/>
      <c r="L863" s="14"/>
      <c r="M863" s="14"/>
      <c r="N863" s="14"/>
    </row>
    <row r="864" spans="9:14" ht="14.25" customHeight="1">
      <c r="I864" s="14"/>
      <c r="J864" s="14"/>
      <c r="K864" s="14"/>
      <c r="L864" s="14"/>
      <c r="M864" s="14"/>
      <c r="N864" s="14"/>
    </row>
    <row r="865" spans="9:14" ht="14.25" customHeight="1">
      <c r="I865" s="14"/>
      <c r="J865" s="14"/>
      <c r="K865" s="14"/>
      <c r="L865" s="14"/>
      <c r="M865" s="14"/>
      <c r="N865" s="14"/>
    </row>
    <row r="866" spans="9:14" ht="14.25" customHeight="1">
      <c r="I866" s="14"/>
      <c r="J866" s="14"/>
      <c r="K866" s="14"/>
      <c r="L866" s="14"/>
      <c r="M866" s="14"/>
      <c r="N866" s="14"/>
    </row>
    <row r="867" spans="9:14" ht="14.25" customHeight="1">
      <c r="I867" s="14"/>
      <c r="J867" s="14"/>
      <c r="K867" s="14"/>
      <c r="L867" s="14"/>
      <c r="M867" s="14"/>
      <c r="N867" s="14"/>
    </row>
    <row r="868" spans="9:14" ht="14.25" customHeight="1">
      <c r="I868" s="14"/>
      <c r="J868" s="14"/>
      <c r="K868" s="14"/>
      <c r="L868" s="14"/>
      <c r="M868" s="14"/>
      <c r="N868" s="14"/>
    </row>
    <row r="869" spans="9:14" ht="14.25" customHeight="1">
      <c r="I869" s="14"/>
      <c r="J869" s="14"/>
      <c r="K869" s="14"/>
      <c r="L869" s="14"/>
      <c r="M869" s="14"/>
      <c r="N869" s="14"/>
    </row>
    <row r="870" spans="9:14" ht="14.25" customHeight="1">
      <c r="I870" s="14"/>
      <c r="J870" s="14"/>
      <c r="K870" s="14"/>
      <c r="L870" s="14"/>
      <c r="M870" s="14"/>
      <c r="N870" s="14"/>
    </row>
    <row r="871" spans="9:14" ht="14.25" customHeight="1">
      <c r="I871" s="14"/>
      <c r="J871" s="14"/>
      <c r="K871" s="14"/>
      <c r="L871" s="14"/>
      <c r="M871" s="14"/>
      <c r="N871" s="14"/>
    </row>
    <row r="872" spans="9:14" ht="14.25" customHeight="1">
      <c r="I872" s="14"/>
      <c r="J872" s="14"/>
      <c r="K872" s="14"/>
      <c r="L872" s="14"/>
      <c r="M872" s="14"/>
      <c r="N872" s="14"/>
    </row>
    <row r="873" spans="9:14" ht="14.25" customHeight="1">
      <c r="I873" s="14"/>
      <c r="J873" s="14"/>
      <c r="K873" s="14"/>
      <c r="L873" s="14"/>
      <c r="M873" s="14"/>
      <c r="N873" s="14"/>
    </row>
    <row r="874" spans="9:14" ht="14.25" customHeight="1">
      <c r="I874" s="14"/>
      <c r="J874" s="14"/>
      <c r="K874" s="14"/>
      <c r="L874" s="14"/>
      <c r="M874" s="14"/>
      <c r="N874" s="14"/>
    </row>
    <row r="875" spans="9:14" ht="14.25" customHeight="1">
      <c r="I875" s="14"/>
      <c r="J875" s="14"/>
      <c r="K875" s="14"/>
      <c r="L875" s="14"/>
      <c r="M875" s="14"/>
      <c r="N875" s="14"/>
    </row>
    <row r="876" spans="9:14" ht="14.25" customHeight="1">
      <c r="I876" s="14"/>
      <c r="J876" s="14"/>
      <c r="K876" s="14"/>
      <c r="L876" s="14"/>
      <c r="M876" s="14"/>
      <c r="N876" s="14"/>
    </row>
    <row r="877" spans="9:14" ht="14.25" customHeight="1">
      <c r="I877" s="14"/>
      <c r="J877" s="14"/>
      <c r="K877" s="14"/>
      <c r="L877" s="14"/>
      <c r="M877" s="14"/>
      <c r="N877" s="14"/>
    </row>
    <row r="878" spans="9:14" ht="14.25" customHeight="1">
      <c r="I878" s="14"/>
      <c r="J878" s="14"/>
      <c r="K878" s="14"/>
      <c r="L878" s="14"/>
      <c r="M878" s="14"/>
      <c r="N878" s="14"/>
    </row>
    <row r="879" spans="9:14" ht="14.25" customHeight="1">
      <c r="I879" s="14"/>
      <c r="J879" s="14"/>
      <c r="K879" s="14"/>
      <c r="L879" s="14"/>
      <c r="M879" s="14"/>
      <c r="N879" s="14"/>
    </row>
    <row r="880" spans="9:14" ht="14.25" customHeight="1">
      <c r="I880" s="14"/>
      <c r="J880" s="14"/>
      <c r="K880" s="14"/>
      <c r="L880" s="14"/>
      <c r="M880" s="14"/>
      <c r="N880" s="14"/>
    </row>
    <row r="881" spans="9:14" ht="14.25" customHeight="1">
      <c r="I881" s="14"/>
      <c r="J881" s="14"/>
      <c r="K881" s="14"/>
      <c r="L881" s="14"/>
      <c r="M881" s="14"/>
      <c r="N881" s="14"/>
    </row>
    <row r="882" spans="9:14" ht="14.25" customHeight="1">
      <c r="I882" s="14"/>
      <c r="J882" s="14"/>
      <c r="K882" s="14"/>
      <c r="L882" s="14"/>
      <c r="M882" s="14"/>
      <c r="N882" s="14"/>
    </row>
    <row r="883" spans="9:14" ht="14.25" customHeight="1">
      <c r="I883" s="14"/>
      <c r="J883" s="14"/>
      <c r="K883" s="14"/>
      <c r="L883" s="14"/>
      <c r="M883" s="14"/>
      <c r="N883" s="14"/>
    </row>
    <row r="884" spans="9:14" ht="14.25" customHeight="1">
      <c r="I884" s="14"/>
      <c r="J884" s="14"/>
      <c r="K884" s="14"/>
      <c r="L884" s="14"/>
      <c r="M884" s="14"/>
      <c r="N884" s="14"/>
    </row>
    <row r="885" spans="9:14" ht="14.25" customHeight="1">
      <c r="I885" s="14"/>
      <c r="J885" s="14"/>
      <c r="K885" s="14"/>
      <c r="L885" s="14"/>
      <c r="M885" s="14"/>
      <c r="N885" s="14"/>
    </row>
    <row r="886" spans="9:14" ht="14.25" customHeight="1">
      <c r="I886" s="14"/>
      <c r="J886" s="14"/>
      <c r="K886" s="14"/>
      <c r="L886" s="14"/>
      <c r="M886" s="14"/>
      <c r="N886" s="14"/>
    </row>
    <row r="887" spans="9:14" ht="14.25" customHeight="1">
      <c r="I887" s="14"/>
      <c r="J887" s="14"/>
      <c r="K887" s="14"/>
      <c r="L887" s="14"/>
      <c r="M887" s="14"/>
      <c r="N887" s="14"/>
    </row>
    <row r="888" spans="9:14" ht="14.25" customHeight="1">
      <c r="I888" s="14"/>
      <c r="J888" s="14"/>
      <c r="K888" s="14"/>
      <c r="L888" s="14"/>
      <c r="M888" s="14"/>
      <c r="N888" s="14"/>
    </row>
    <row r="889" spans="9:14" ht="14.25" customHeight="1">
      <c r="I889" s="14"/>
      <c r="J889" s="14"/>
      <c r="K889" s="14"/>
      <c r="L889" s="14"/>
      <c r="M889" s="14"/>
      <c r="N889" s="14"/>
    </row>
    <row r="890" spans="9:14" ht="14.25" customHeight="1">
      <c r="I890" s="14"/>
      <c r="J890" s="14"/>
      <c r="K890" s="14"/>
      <c r="L890" s="14"/>
      <c r="M890" s="14"/>
      <c r="N890" s="14"/>
    </row>
    <row r="891" spans="9:14" ht="14.25" customHeight="1">
      <c r="I891" s="14"/>
      <c r="J891" s="14"/>
      <c r="K891" s="14"/>
      <c r="L891" s="14"/>
      <c r="M891" s="14"/>
      <c r="N891" s="14"/>
    </row>
    <row r="892" spans="9:14" ht="14.25" customHeight="1">
      <c r="I892" s="14"/>
      <c r="J892" s="14"/>
      <c r="K892" s="14"/>
      <c r="L892" s="14"/>
      <c r="M892" s="14"/>
      <c r="N892" s="14"/>
    </row>
    <row r="893" spans="9:14" ht="14.25" customHeight="1">
      <c r="I893" s="14"/>
      <c r="J893" s="14"/>
      <c r="K893" s="14"/>
      <c r="L893" s="14"/>
      <c r="M893" s="14"/>
      <c r="N893" s="14"/>
    </row>
    <row r="894" spans="9:14" ht="14.25" customHeight="1">
      <c r="I894" s="14"/>
      <c r="J894" s="14"/>
      <c r="K894" s="14"/>
      <c r="L894" s="14"/>
      <c r="M894" s="14"/>
      <c r="N894" s="14"/>
    </row>
    <row r="895" spans="9:14" ht="14.25" customHeight="1">
      <c r="I895" s="14"/>
      <c r="J895" s="14"/>
      <c r="K895" s="14"/>
      <c r="L895" s="14"/>
      <c r="M895" s="14"/>
      <c r="N895" s="14"/>
    </row>
    <row r="896" spans="9:14" ht="14.25" customHeight="1">
      <c r="I896" s="14"/>
      <c r="J896" s="14"/>
      <c r="K896" s="14"/>
      <c r="L896" s="14"/>
      <c r="M896" s="14"/>
      <c r="N896" s="14"/>
    </row>
    <row r="897" spans="9:14" ht="14.25" customHeight="1">
      <c r="I897" s="14"/>
      <c r="J897" s="14"/>
      <c r="K897" s="14"/>
      <c r="L897" s="14"/>
      <c r="M897" s="14"/>
      <c r="N897" s="14"/>
    </row>
    <row r="898" spans="9:14" ht="14.25" customHeight="1">
      <c r="I898" s="14"/>
      <c r="J898" s="14"/>
      <c r="K898" s="14"/>
      <c r="L898" s="14"/>
      <c r="M898" s="14"/>
      <c r="N898" s="14"/>
    </row>
    <row r="899" spans="9:14" ht="14.25" customHeight="1">
      <c r="I899" s="14"/>
      <c r="J899" s="14"/>
      <c r="K899" s="14"/>
      <c r="L899" s="14"/>
      <c r="M899" s="14"/>
      <c r="N899" s="14"/>
    </row>
    <row r="900" spans="9:14" ht="14.25" customHeight="1">
      <c r="I900" s="14"/>
      <c r="J900" s="14"/>
      <c r="K900" s="14"/>
      <c r="L900" s="14"/>
      <c r="M900" s="14"/>
      <c r="N900" s="14"/>
    </row>
    <row r="901" spans="9:14" ht="14.25" customHeight="1">
      <c r="I901" s="14"/>
      <c r="J901" s="14"/>
      <c r="K901" s="14"/>
      <c r="L901" s="14"/>
      <c r="M901" s="14"/>
      <c r="N901" s="14"/>
    </row>
    <row r="902" spans="9:14" ht="14.25" customHeight="1">
      <c r="I902" s="14"/>
      <c r="J902" s="14"/>
      <c r="K902" s="14"/>
      <c r="L902" s="14"/>
      <c r="M902" s="14"/>
      <c r="N902" s="14"/>
    </row>
    <row r="903" spans="9:14" ht="14.25" customHeight="1">
      <c r="I903" s="14"/>
      <c r="J903" s="14"/>
      <c r="K903" s="14"/>
      <c r="L903" s="14"/>
      <c r="M903" s="14"/>
      <c r="N903" s="14"/>
    </row>
    <row r="904" spans="9:14" ht="14.25" customHeight="1">
      <c r="I904" s="14"/>
      <c r="J904" s="14"/>
      <c r="K904" s="14"/>
      <c r="L904" s="14"/>
      <c r="M904" s="14"/>
      <c r="N904" s="14"/>
    </row>
    <row r="905" spans="9:14" ht="14.25" customHeight="1">
      <c r="I905" s="14"/>
      <c r="J905" s="14"/>
      <c r="K905" s="14"/>
      <c r="L905" s="14"/>
      <c r="M905" s="14"/>
      <c r="N905" s="14"/>
    </row>
    <row r="906" spans="9:14" ht="14.25" customHeight="1">
      <c r="I906" s="14"/>
      <c r="J906" s="14"/>
      <c r="K906" s="14"/>
      <c r="L906" s="14"/>
      <c r="M906" s="14"/>
      <c r="N906" s="14"/>
    </row>
    <row r="907" spans="9:14" ht="14.25" customHeight="1">
      <c r="I907" s="14"/>
      <c r="J907" s="14"/>
      <c r="K907" s="14"/>
      <c r="L907" s="14"/>
      <c r="M907" s="14"/>
      <c r="N907" s="14"/>
    </row>
    <row r="908" spans="9:14" ht="14.25" customHeight="1">
      <c r="I908" s="14"/>
      <c r="J908" s="14"/>
      <c r="K908" s="14"/>
      <c r="L908" s="14"/>
      <c r="M908" s="14"/>
      <c r="N908" s="14"/>
    </row>
    <row r="909" spans="9:14" ht="14.25" customHeight="1">
      <c r="I909" s="14"/>
      <c r="J909" s="14"/>
      <c r="K909" s="14"/>
      <c r="L909" s="14"/>
      <c r="M909" s="14"/>
      <c r="N909" s="14"/>
    </row>
    <row r="910" spans="9:14" ht="14.25" customHeight="1">
      <c r="I910" s="14"/>
      <c r="J910" s="14"/>
      <c r="K910" s="14"/>
      <c r="L910" s="14"/>
      <c r="M910" s="14"/>
      <c r="N910" s="14"/>
    </row>
    <row r="911" spans="9:14" ht="14.25" customHeight="1">
      <c r="I911" s="14"/>
      <c r="J911" s="14"/>
      <c r="K911" s="14"/>
      <c r="L911" s="14"/>
      <c r="M911" s="14"/>
      <c r="N911" s="14"/>
    </row>
    <row r="912" spans="9:14" ht="14.25" customHeight="1">
      <c r="I912" s="14"/>
      <c r="J912" s="14"/>
      <c r="K912" s="14"/>
      <c r="L912" s="14"/>
      <c r="M912" s="14"/>
      <c r="N912" s="14"/>
    </row>
    <row r="913" spans="9:14" ht="14.25" customHeight="1">
      <c r="I913" s="14"/>
      <c r="J913" s="14"/>
      <c r="K913" s="14"/>
      <c r="L913" s="14"/>
      <c r="M913" s="14"/>
      <c r="N913" s="14"/>
    </row>
    <row r="914" spans="9:14" ht="14.25" customHeight="1">
      <c r="I914" s="14"/>
      <c r="J914" s="14"/>
      <c r="K914" s="14"/>
      <c r="L914" s="14"/>
      <c r="M914" s="14"/>
      <c r="N914" s="14"/>
    </row>
    <row r="915" spans="9:14" ht="14.25" customHeight="1">
      <c r="I915" s="14"/>
      <c r="J915" s="14"/>
      <c r="K915" s="14"/>
      <c r="L915" s="14"/>
      <c r="M915" s="14"/>
      <c r="N915" s="14"/>
    </row>
    <row r="916" spans="9:14" ht="14.25" customHeight="1">
      <c r="I916" s="14"/>
      <c r="J916" s="14"/>
      <c r="K916" s="14"/>
      <c r="L916" s="14"/>
      <c r="M916" s="14"/>
      <c r="N916" s="14"/>
    </row>
    <row r="917" spans="9:14" ht="14.25" customHeight="1">
      <c r="I917" s="14"/>
      <c r="J917" s="14"/>
      <c r="K917" s="14"/>
      <c r="L917" s="14"/>
      <c r="M917" s="14"/>
      <c r="N917" s="14"/>
    </row>
    <row r="918" spans="9:14" ht="14.25" customHeight="1">
      <c r="I918" s="14"/>
      <c r="J918" s="14"/>
      <c r="K918" s="14"/>
      <c r="L918" s="14"/>
      <c r="M918" s="14"/>
      <c r="N918" s="14"/>
    </row>
    <row r="919" spans="9:14" ht="14.25" customHeight="1">
      <c r="I919" s="14"/>
      <c r="J919" s="14"/>
      <c r="K919" s="14"/>
      <c r="L919" s="14"/>
      <c r="M919" s="14"/>
      <c r="N919" s="14"/>
    </row>
    <row r="920" spans="9:14" ht="14.25" customHeight="1">
      <c r="I920" s="14"/>
      <c r="J920" s="14"/>
      <c r="K920" s="14"/>
      <c r="L920" s="14"/>
      <c r="M920" s="14"/>
      <c r="N920" s="14"/>
    </row>
    <row r="921" spans="9:14" ht="14.25" customHeight="1">
      <c r="I921" s="14"/>
      <c r="J921" s="14"/>
      <c r="K921" s="14"/>
      <c r="L921" s="14"/>
      <c r="M921" s="14"/>
      <c r="N921" s="14"/>
    </row>
    <row r="922" spans="9:14" ht="14.25" customHeight="1">
      <c r="I922" s="14"/>
      <c r="J922" s="14"/>
      <c r="K922" s="14"/>
      <c r="L922" s="14"/>
      <c r="M922" s="14"/>
      <c r="N922" s="14"/>
    </row>
    <row r="923" spans="9:14" ht="14.25" customHeight="1">
      <c r="I923" s="14"/>
      <c r="J923" s="14"/>
      <c r="K923" s="14"/>
      <c r="L923" s="14"/>
      <c r="M923" s="14"/>
      <c r="N923" s="14"/>
    </row>
    <row r="924" spans="9:14" ht="14.25" customHeight="1">
      <c r="I924" s="14"/>
      <c r="J924" s="14"/>
      <c r="K924" s="14"/>
      <c r="L924" s="14"/>
      <c r="M924" s="14"/>
      <c r="N924" s="14"/>
    </row>
    <row r="925" spans="9:14" ht="14.25" customHeight="1">
      <c r="I925" s="14"/>
      <c r="J925" s="14"/>
      <c r="K925" s="14"/>
      <c r="L925" s="14"/>
      <c r="M925" s="14"/>
      <c r="N925" s="14"/>
    </row>
    <row r="926" spans="9:14" ht="14.25" customHeight="1">
      <c r="I926" s="14"/>
      <c r="J926" s="14"/>
      <c r="K926" s="14"/>
      <c r="L926" s="14"/>
      <c r="M926" s="14"/>
      <c r="N926" s="14"/>
    </row>
    <row r="927" spans="9:14" ht="14.25" customHeight="1">
      <c r="I927" s="14"/>
      <c r="J927" s="14"/>
      <c r="K927" s="14"/>
      <c r="L927" s="14"/>
      <c r="M927" s="14"/>
      <c r="N927" s="14"/>
    </row>
    <row r="928" spans="9:14" ht="14.25" customHeight="1">
      <c r="I928" s="14"/>
      <c r="J928" s="14"/>
      <c r="K928" s="14"/>
      <c r="L928" s="14"/>
      <c r="M928" s="14"/>
      <c r="N928" s="14"/>
    </row>
    <row r="929" spans="9:14" ht="14.25" customHeight="1">
      <c r="I929" s="14"/>
      <c r="J929" s="14"/>
      <c r="K929" s="14"/>
      <c r="L929" s="14"/>
      <c r="M929" s="14"/>
      <c r="N929" s="14"/>
    </row>
    <row r="930" spans="9:14" ht="14.25" customHeight="1">
      <c r="I930" s="14"/>
      <c r="J930" s="14"/>
      <c r="K930" s="14"/>
      <c r="L930" s="14"/>
      <c r="M930" s="14"/>
      <c r="N930" s="14"/>
    </row>
    <row r="931" spans="9:14" ht="14.25" customHeight="1">
      <c r="I931" s="14"/>
      <c r="J931" s="14"/>
      <c r="K931" s="14"/>
      <c r="L931" s="14"/>
      <c r="M931" s="14"/>
      <c r="N931" s="14"/>
    </row>
    <row r="932" spans="9:14" ht="14.25" customHeight="1">
      <c r="I932" s="14"/>
      <c r="J932" s="14"/>
      <c r="K932" s="14"/>
      <c r="L932" s="14"/>
      <c r="M932" s="14"/>
      <c r="N932" s="14"/>
    </row>
    <row r="933" spans="9:14" ht="14.25" customHeight="1">
      <c r="I933" s="14"/>
      <c r="J933" s="14"/>
      <c r="K933" s="14"/>
      <c r="L933" s="14"/>
      <c r="M933" s="14"/>
      <c r="N933" s="14"/>
    </row>
    <row r="934" spans="9:14" ht="14.25" customHeight="1">
      <c r="I934" s="14"/>
      <c r="J934" s="14"/>
      <c r="K934" s="14"/>
      <c r="L934" s="14"/>
      <c r="M934" s="14"/>
      <c r="N934" s="14"/>
    </row>
    <row r="935" spans="9:14" ht="14.25" customHeight="1">
      <c r="I935" s="14"/>
      <c r="J935" s="14"/>
      <c r="K935" s="14"/>
      <c r="L935" s="14"/>
      <c r="M935" s="14"/>
      <c r="N935" s="14"/>
    </row>
    <row r="936" spans="9:14" ht="14.25" customHeight="1">
      <c r="I936" s="14"/>
      <c r="J936" s="14"/>
      <c r="K936" s="14"/>
      <c r="L936" s="14"/>
      <c r="M936" s="14"/>
      <c r="N936" s="14"/>
    </row>
    <row r="937" spans="9:14" ht="14.25" customHeight="1">
      <c r="I937" s="14"/>
      <c r="J937" s="14"/>
      <c r="K937" s="14"/>
      <c r="L937" s="14"/>
      <c r="M937" s="14"/>
      <c r="N937" s="14"/>
    </row>
    <row r="938" spans="9:14" ht="14.25" customHeight="1">
      <c r="I938" s="14"/>
      <c r="J938" s="14"/>
      <c r="K938" s="14"/>
      <c r="L938" s="14"/>
      <c r="M938" s="14"/>
      <c r="N938" s="14"/>
    </row>
    <row r="939" spans="9:14" ht="14.25" customHeight="1">
      <c r="I939" s="14"/>
      <c r="J939" s="14"/>
      <c r="K939" s="14"/>
      <c r="L939" s="14"/>
      <c r="M939" s="14"/>
      <c r="N939" s="14"/>
    </row>
    <row r="940" spans="9:14" ht="14.25" customHeight="1">
      <c r="I940" s="14"/>
      <c r="J940" s="14"/>
      <c r="K940" s="14"/>
      <c r="L940" s="14"/>
      <c r="M940" s="14"/>
      <c r="N940" s="14"/>
    </row>
    <row r="941" spans="9:14" ht="14.25" customHeight="1">
      <c r="I941" s="14"/>
      <c r="J941" s="14"/>
      <c r="K941" s="14"/>
      <c r="L941" s="14"/>
      <c r="M941" s="14"/>
      <c r="N941" s="14"/>
    </row>
    <row r="942" spans="9:14" ht="14.25" customHeight="1">
      <c r="I942" s="14"/>
      <c r="J942" s="14"/>
      <c r="K942" s="14"/>
      <c r="L942" s="14"/>
      <c r="M942" s="14"/>
      <c r="N942" s="14"/>
    </row>
    <row r="943" spans="9:14" ht="14.25" customHeight="1">
      <c r="I943" s="14"/>
      <c r="J943" s="14"/>
      <c r="K943" s="14"/>
      <c r="L943" s="14"/>
      <c r="M943" s="14"/>
      <c r="N943" s="14"/>
    </row>
    <row r="944" spans="9:14" ht="14.25" customHeight="1">
      <c r="I944" s="14"/>
      <c r="J944" s="14"/>
      <c r="K944" s="14"/>
      <c r="L944" s="14"/>
      <c r="M944" s="14"/>
      <c r="N944" s="14"/>
    </row>
    <row r="945" spans="9:14" ht="14.25" customHeight="1">
      <c r="I945" s="14"/>
      <c r="J945" s="14"/>
      <c r="K945" s="14"/>
      <c r="L945" s="14"/>
      <c r="M945" s="14"/>
      <c r="N945" s="14"/>
    </row>
    <row r="946" spans="9:14" ht="14.25" customHeight="1">
      <c r="I946" s="14"/>
      <c r="J946" s="14"/>
      <c r="K946" s="14"/>
      <c r="L946" s="14"/>
      <c r="M946" s="14"/>
      <c r="N946" s="14"/>
    </row>
    <row r="947" spans="9:14" ht="14.25" customHeight="1">
      <c r="I947" s="14"/>
      <c r="J947" s="14"/>
      <c r="K947" s="14"/>
      <c r="L947" s="14"/>
      <c r="M947" s="14"/>
      <c r="N947" s="14"/>
    </row>
    <row r="948" spans="9:14" ht="14.25" customHeight="1">
      <c r="I948" s="14"/>
      <c r="J948" s="14"/>
      <c r="K948" s="14"/>
      <c r="L948" s="14"/>
      <c r="M948" s="14"/>
      <c r="N948" s="14"/>
    </row>
    <row r="949" spans="9:14" ht="14.25" customHeight="1">
      <c r="I949" s="14"/>
      <c r="J949" s="14"/>
      <c r="K949" s="14"/>
      <c r="L949" s="14"/>
      <c r="M949" s="14"/>
      <c r="N949" s="14"/>
    </row>
    <row r="950" spans="9:14" ht="14.25" customHeight="1">
      <c r="I950" s="14"/>
      <c r="J950" s="14"/>
      <c r="K950" s="14"/>
      <c r="L950" s="14"/>
      <c r="M950" s="14"/>
      <c r="N950" s="14"/>
    </row>
    <row r="951" spans="9:14" ht="14.25" customHeight="1">
      <c r="I951" s="14"/>
      <c r="J951" s="14"/>
      <c r="K951" s="14"/>
      <c r="L951" s="14"/>
      <c r="M951" s="14"/>
      <c r="N951" s="14"/>
    </row>
    <row r="952" spans="9:14" ht="14.25" customHeight="1">
      <c r="I952" s="14"/>
      <c r="J952" s="14"/>
      <c r="K952" s="14"/>
      <c r="L952" s="14"/>
      <c r="M952" s="14"/>
      <c r="N952" s="14"/>
    </row>
    <row r="953" spans="9:14" ht="14.25" customHeight="1">
      <c r="I953" s="14"/>
      <c r="J953" s="14"/>
      <c r="K953" s="14"/>
      <c r="L953" s="14"/>
      <c r="M953" s="14"/>
      <c r="N953" s="14"/>
    </row>
    <row r="954" spans="9:14" ht="14.25" customHeight="1">
      <c r="I954" s="14"/>
      <c r="J954" s="14"/>
      <c r="K954" s="14"/>
      <c r="L954" s="14"/>
      <c r="M954" s="14"/>
      <c r="N954" s="14"/>
    </row>
    <row r="955" spans="9:14" ht="14.25" customHeight="1">
      <c r="I955" s="14"/>
      <c r="J955" s="14"/>
      <c r="K955" s="14"/>
      <c r="L955" s="14"/>
      <c r="M955" s="14"/>
      <c r="N955" s="14"/>
    </row>
    <row r="956" spans="9:14" ht="14.25" customHeight="1">
      <c r="I956" s="14"/>
      <c r="J956" s="14"/>
      <c r="K956" s="14"/>
      <c r="L956" s="14"/>
      <c r="M956" s="14"/>
      <c r="N956" s="14"/>
    </row>
    <row r="957" spans="9:14" ht="14.25" customHeight="1">
      <c r="I957" s="14"/>
      <c r="J957" s="14"/>
      <c r="K957" s="14"/>
      <c r="L957" s="14"/>
      <c r="M957" s="14"/>
      <c r="N957" s="14"/>
    </row>
    <row r="958" spans="9:14" ht="14.25" customHeight="1">
      <c r="I958" s="14"/>
      <c r="J958" s="14"/>
      <c r="K958" s="14"/>
      <c r="L958" s="14"/>
      <c r="M958" s="14"/>
      <c r="N958" s="14"/>
    </row>
    <row r="959" spans="9:14" ht="14.25" customHeight="1">
      <c r="I959" s="14"/>
      <c r="J959" s="14"/>
      <c r="K959" s="14"/>
      <c r="L959" s="14"/>
      <c r="M959" s="14"/>
      <c r="N959" s="14"/>
    </row>
    <row r="960" spans="9:14" ht="14.25" customHeight="1">
      <c r="I960" s="14"/>
      <c r="J960" s="14"/>
      <c r="K960" s="14"/>
      <c r="L960" s="14"/>
      <c r="M960" s="14"/>
      <c r="N960" s="14"/>
    </row>
    <row r="961" spans="9:14" ht="14.25" customHeight="1">
      <c r="I961" s="14"/>
      <c r="J961" s="14"/>
      <c r="K961" s="14"/>
      <c r="L961" s="14"/>
      <c r="M961" s="14"/>
      <c r="N961" s="14"/>
    </row>
    <row r="962" spans="9:14" ht="14.25" customHeight="1">
      <c r="I962" s="14"/>
      <c r="J962" s="14"/>
      <c r="K962" s="14"/>
      <c r="L962" s="14"/>
      <c r="M962" s="14"/>
      <c r="N962" s="14"/>
    </row>
    <row r="963" spans="9:14" ht="14.25" customHeight="1">
      <c r="I963" s="14"/>
      <c r="J963" s="14"/>
      <c r="K963" s="14"/>
      <c r="L963" s="14"/>
      <c r="M963" s="14"/>
      <c r="N963" s="14"/>
    </row>
    <row r="964" spans="9:14" ht="14.25" customHeight="1">
      <c r="I964" s="14"/>
      <c r="J964" s="14"/>
      <c r="K964" s="14"/>
      <c r="L964" s="14"/>
      <c r="M964" s="14"/>
      <c r="N964" s="14"/>
    </row>
    <row r="965" spans="9:14" ht="14.25" customHeight="1">
      <c r="I965" s="14"/>
      <c r="J965" s="14"/>
      <c r="K965" s="14"/>
      <c r="L965" s="14"/>
      <c r="M965" s="14"/>
      <c r="N965" s="14"/>
    </row>
    <row r="966" spans="9:14" ht="14.25" customHeight="1">
      <c r="I966" s="14"/>
      <c r="J966" s="14"/>
      <c r="K966" s="14"/>
      <c r="L966" s="14"/>
      <c r="M966" s="14"/>
      <c r="N966" s="14"/>
    </row>
    <row r="967" spans="9:14" ht="14.25" customHeight="1">
      <c r="I967" s="14"/>
      <c r="J967" s="14"/>
      <c r="K967" s="14"/>
      <c r="L967" s="14"/>
      <c r="M967" s="14"/>
      <c r="N967" s="14"/>
    </row>
    <row r="968" spans="9:14" ht="14.25" customHeight="1">
      <c r="I968" s="14"/>
      <c r="J968" s="14"/>
      <c r="K968" s="14"/>
      <c r="L968" s="14"/>
      <c r="M968" s="14"/>
      <c r="N968" s="14"/>
    </row>
    <row r="969" spans="9:14" ht="14.25" customHeight="1">
      <c r="I969" s="14"/>
      <c r="J969" s="14"/>
      <c r="K969" s="14"/>
      <c r="L969" s="14"/>
      <c r="M969" s="14"/>
      <c r="N969" s="14"/>
    </row>
    <row r="970" spans="9:14" ht="14.25" customHeight="1">
      <c r="I970" s="14"/>
      <c r="J970" s="14"/>
      <c r="K970" s="14"/>
      <c r="L970" s="14"/>
      <c r="M970" s="14"/>
      <c r="N970" s="14"/>
    </row>
    <row r="971" spans="9:14" ht="14.25" customHeight="1">
      <c r="I971" s="14"/>
      <c r="J971" s="14"/>
      <c r="K971" s="14"/>
      <c r="L971" s="14"/>
      <c r="M971" s="14"/>
      <c r="N971" s="14"/>
    </row>
    <row r="972" spans="9:14" ht="14.25" customHeight="1">
      <c r="I972" s="14"/>
      <c r="J972" s="14"/>
      <c r="K972" s="14"/>
      <c r="L972" s="14"/>
      <c r="M972" s="14"/>
      <c r="N972" s="14"/>
    </row>
    <row r="973" spans="9:14" ht="14.25" customHeight="1">
      <c r="I973" s="14"/>
      <c r="J973" s="14"/>
      <c r="K973" s="14"/>
      <c r="L973" s="14"/>
      <c r="M973" s="14"/>
      <c r="N973" s="14"/>
    </row>
    <row r="974" spans="9:14" ht="14.25" customHeight="1">
      <c r="I974" s="14"/>
      <c r="J974" s="14"/>
      <c r="K974" s="14"/>
      <c r="L974" s="14"/>
      <c r="M974" s="14"/>
      <c r="N974" s="14"/>
    </row>
    <row r="975" spans="9:14" ht="14.25" customHeight="1">
      <c r="I975" s="14"/>
      <c r="J975" s="14"/>
      <c r="K975" s="14"/>
      <c r="L975" s="14"/>
      <c r="M975" s="14"/>
      <c r="N975" s="14"/>
    </row>
    <row r="976" spans="9:14" ht="14.25" customHeight="1">
      <c r="I976" s="14"/>
      <c r="J976" s="14"/>
      <c r="K976" s="14"/>
      <c r="L976" s="14"/>
      <c r="M976" s="14"/>
      <c r="N976" s="14"/>
    </row>
    <row r="977" spans="9:14" ht="14.25" customHeight="1">
      <c r="I977" s="14"/>
      <c r="J977" s="14"/>
      <c r="K977" s="14"/>
      <c r="L977" s="14"/>
      <c r="M977" s="14"/>
      <c r="N977" s="14"/>
    </row>
    <row r="978" spans="9:14" ht="14.25" customHeight="1">
      <c r="I978" s="14"/>
      <c r="J978" s="14"/>
      <c r="K978" s="14"/>
      <c r="L978" s="14"/>
      <c r="M978" s="14"/>
      <c r="N978" s="14"/>
    </row>
    <row r="979" spans="9:14" ht="14.25" customHeight="1">
      <c r="I979" s="14"/>
      <c r="J979" s="14"/>
      <c r="K979" s="14"/>
      <c r="L979" s="14"/>
      <c r="M979" s="14"/>
      <c r="N979" s="14"/>
    </row>
    <row r="980" spans="9:14" ht="14.25" customHeight="1">
      <c r="I980" s="14"/>
      <c r="J980" s="14"/>
      <c r="K980" s="14"/>
      <c r="L980" s="14"/>
      <c r="M980" s="14"/>
      <c r="N980" s="14"/>
    </row>
    <row r="981" spans="9:14" ht="14.25" customHeight="1">
      <c r="I981" s="14"/>
      <c r="J981" s="14"/>
      <c r="K981" s="14"/>
      <c r="L981" s="14"/>
      <c r="M981" s="14"/>
      <c r="N981" s="14"/>
    </row>
    <row r="982" spans="9:14" ht="14.25" customHeight="1">
      <c r="I982" s="14"/>
      <c r="J982" s="14"/>
      <c r="K982" s="14"/>
      <c r="L982" s="14"/>
      <c r="M982" s="14"/>
      <c r="N982" s="14"/>
    </row>
    <row r="983" spans="9:14" ht="14.25" customHeight="1">
      <c r="I983" s="14"/>
      <c r="J983" s="14"/>
      <c r="K983" s="14"/>
      <c r="L983" s="14"/>
      <c r="M983" s="14"/>
      <c r="N983" s="14"/>
    </row>
    <row r="984" spans="9:14" ht="14.25" customHeight="1">
      <c r="I984" s="14"/>
      <c r="J984" s="14"/>
      <c r="K984" s="14"/>
      <c r="L984" s="14"/>
      <c r="M984" s="14"/>
      <c r="N984" s="14"/>
    </row>
    <row r="985" spans="9:14" ht="14.25" customHeight="1">
      <c r="I985" s="14"/>
      <c r="J985" s="14"/>
      <c r="K985" s="14"/>
      <c r="L985" s="14"/>
      <c r="M985" s="14"/>
      <c r="N985" s="14"/>
    </row>
    <row r="986" spans="9:14" ht="14.25" customHeight="1">
      <c r="I986" s="14"/>
      <c r="J986" s="14"/>
      <c r="K986" s="14"/>
      <c r="L986" s="14"/>
      <c r="M986" s="14"/>
      <c r="N986" s="14"/>
    </row>
    <row r="987" spans="9:14" ht="14.25" customHeight="1">
      <c r="I987" s="14"/>
      <c r="J987" s="14"/>
      <c r="K987" s="14"/>
      <c r="L987" s="14"/>
      <c r="M987" s="14"/>
      <c r="N987" s="14"/>
    </row>
    <row r="988" spans="9:14" ht="14.25" customHeight="1">
      <c r="I988" s="14"/>
      <c r="J988" s="14"/>
      <c r="K988" s="14"/>
      <c r="L988" s="14"/>
      <c r="M988" s="14"/>
      <c r="N988" s="14"/>
    </row>
    <row r="989" spans="9:14" ht="14.25" customHeight="1">
      <c r="I989" s="14"/>
      <c r="J989" s="14"/>
      <c r="K989" s="14"/>
      <c r="L989" s="14"/>
      <c r="M989" s="14"/>
      <c r="N989" s="14"/>
    </row>
    <row r="990" spans="9:14" ht="14.25" customHeight="1">
      <c r="I990" s="14"/>
      <c r="J990" s="14"/>
      <c r="K990" s="14"/>
      <c r="L990" s="14"/>
      <c r="M990" s="14"/>
      <c r="N990" s="14"/>
    </row>
    <row r="991" spans="9:14" ht="14.25" customHeight="1">
      <c r="I991" s="14"/>
      <c r="J991" s="14"/>
      <c r="K991" s="14"/>
      <c r="L991" s="14"/>
      <c r="M991" s="14"/>
      <c r="N991" s="14"/>
    </row>
    <row r="992" spans="9:14" ht="14.25" customHeight="1">
      <c r="I992" s="14"/>
      <c r="J992" s="14"/>
      <c r="K992" s="14"/>
      <c r="L992" s="14"/>
      <c r="M992" s="14"/>
      <c r="N992" s="14"/>
    </row>
    <row r="993" spans="9:14" ht="14.25" customHeight="1">
      <c r="I993" s="14"/>
      <c r="J993" s="14"/>
      <c r="K993" s="14"/>
      <c r="L993" s="14"/>
      <c r="M993" s="14"/>
      <c r="N993" s="14"/>
    </row>
    <row r="994" spans="9:14" ht="14.25" customHeight="1">
      <c r="I994" s="14"/>
      <c r="J994" s="14"/>
      <c r="K994" s="14"/>
      <c r="L994" s="14"/>
      <c r="M994" s="14"/>
      <c r="N994" s="14"/>
    </row>
    <row r="995" spans="9:14" ht="14.25" customHeight="1">
      <c r="I995" s="14"/>
      <c r="J995" s="14"/>
      <c r="K995" s="14"/>
      <c r="L995" s="14"/>
      <c r="M995" s="14"/>
      <c r="N995" s="14"/>
    </row>
    <row r="996" spans="9:14" ht="14.25" customHeight="1">
      <c r="I996" s="14"/>
      <c r="J996" s="14"/>
      <c r="K996" s="14"/>
      <c r="L996" s="14"/>
      <c r="M996" s="14"/>
      <c r="N996" s="14"/>
    </row>
    <row r="997" spans="9:14" ht="14.25" customHeight="1">
      <c r="I997" s="14"/>
      <c r="J997" s="14"/>
      <c r="K997" s="14"/>
      <c r="L997" s="14"/>
      <c r="M997" s="14"/>
      <c r="N997" s="14"/>
    </row>
    <row r="998" spans="9:14" ht="14.25" customHeight="1">
      <c r="I998" s="14"/>
      <c r="J998" s="14"/>
      <c r="K998" s="14"/>
      <c r="L998" s="14"/>
      <c r="M998" s="14"/>
      <c r="N998" s="14"/>
    </row>
    <row r="999" spans="9:14" ht="14.25" customHeight="1">
      <c r="I999" s="14"/>
      <c r="J999" s="14"/>
      <c r="K999" s="14"/>
      <c r="L999" s="14"/>
      <c r="M999" s="14"/>
      <c r="N999" s="14"/>
    </row>
    <row r="1000" spans="9:14" ht="14.25" customHeight="1">
      <c r="I1000" s="14"/>
      <c r="J1000" s="14"/>
      <c r="K1000" s="14"/>
      <c r="L1000" s="14"/>
      <c r="M1000" s="14"/>
      <c r="N1000" s="14"/>
    </row>
  </sheetData>
  <mergeCells count="27">
    <mergeCell ref="R20:U20"/>
    <mergeCell ref="R21:U21"/>
    <mergeCell ref="R22:U22"/>
    <mergeCell ref="R23:U23"/>
    <mergeCell ref="R24:U24"/>
    <mergeCell ref="R25:U25"/>
    <mergeCell ref="K20:N20"/>
    <mergeCell ref="K21:N21"/>
    <mergeCell ref="B18:G19"/>
    <mergeCell ref="I18:N19"/>
    <mergeCell ref="B20:B22"/>
    <mergeCell ref="D20:G20"/>
    <mergeCell ref="I20:I22"/>
    <mergeCell ref="P20:P22"/>
    <mergeCell ref="D21:G21"/>
    <mergeCell ref="K23:N23"/>
    <mergeCell ref="K24:N24"/>
    <mergeCell ref="K25:N25"/>
    <mergeCell ref="D22:G22"/>
    <mergeCell ref="P18:U19"/>
    <mergeCell ref="K22:N22"/>
    <mergeCell ref="B23:B25"/>
    <mergeCell ref="D23:G23"/>
    <mergeCell ref="I23:I25"/>
    <mergeCell ref="P23:P25"/>
    <mergeCell ref="D25:G25"/>
    <mergeCell ref="D24:G24"/>
  </mergeCells>
  <conditionalFormatting sqref="D23:G23 K23:N23 R23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:G25 K24:N24 R24:U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5:N25 R25:U2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B1:U1001"/>
  <sheetViews>
    <sheetView showGridLines="0" topLeftCell="A2" zoomScale="87" zoomScaleNormal="55" workbookViewId="0">
      <selection activeCell="D26" sqref="D26:G26"/>
    </sheetView>
  </sheetViews>
  <sheetFormatPr defaultColWidth="14.42578125" defaultRowHeight="15" customHeight="1"/>
  <cols>
    <col min="1" max="1" width="8.5703125" customWidth="1"/>
    <col min="2" max="4" width="12.42578125" customWidth="1"/>
    <col min="5" max="6" width="19.42578125" customWidth="1"/>
    <col min="7" max="7" width="19.5703125" customWidth="1"/>
    <col min="8" max="8" width="8.5703125" customWidth="1"/>
    <col min="9" max="9" width="11.5703125" customWidth="1"/>
    <col min="10" max="12" width="12.42578125" customWidth="1"/>
    <col min="13" max="13" width="6.42578125" customWidth="1"/>
    <col min="14" max="14" width="8.5703125" customWidth="1"/>
    <col min="15" max="15" width="18.42578125" customWidth="1"/>
    <col min="16" max="16" width="18.5703125" customWidth="1"/>
    <col min="17" max="17" width="20.5703125" customWidth="1"/>
    <col min="18" max="26" width="8.5703125" customWidth="1"/>
  </cols>
  <sheetData>
    <row r="1" spans="9:17" ht="14.25" customHeight="1">
      <c r="I1" s="14"/>
      <c r="J1" s="14"/>
      <c r="K1" s="14"/>
      <c r="L1" s="14"/>
      <c r="M1" s="14"/>
      <c r="N1" s="14"/>
      <c r="O1" s="14"/>
      <c r="P1" s="14"/>
      <c r="Q1" s="14"/>
    </row>
    <row r="2" spans="9:17" ht="14.25" customHeight="1">
      <c r="I2" s="14"/>
      <c r="J2" s="14"/>
      <c r="K2" s="14"/>
      <c r="L2" s="14"/>
      <c r="M2" s="14"/>
      <c r="N2" s="14"/>
      <c r="O2" s="14"/>
      <c r="P2" s="14"/>
      <c r="Q2" s="14"/>
    </row>
    <row r="3" spans="9:17" ht="14.25" customHeight="1">
      <c r="I3" s="14"/>
      <c r="J3" s="14"/>
      <c r="K3" s="14"/>
      <c r="L3" s="14"/>
      <c r="M3" s="14"/>
      <c r="N3" s="14"/>
      <c r="O3" s="14"/>
      <c r="P3" s="14"/>
      <c r="Q3" s="14"/>
    </row>
    <row r="4" spans="9:17" ht="14.25" customHeight="1">
      <c r="I4" s="14"/>
      <c r="J4" s="14"/>
      <c r="K4" s="14"/>
      <c r="L4" s="14"/>
      <c r="M4" s="14"/>
      <c r="N4" s="14"/>
      <c r="O4" s="14"/>
      <c r="P4" s="14"/>
      <c r="Q4" s="14"/>
    </row>
    <row r="5" spans="9:17" ht="14.25" customHeight="1">
      <c r="I5" s="14"/>
      <c r="J5" s="14"/>
      <c r="K5" s="14"/>
      <c r="L5" s="14"/>
      <c r="M5" s="14"/>
      <c r="N5" s="14"/>
      <c r="O5" s="14"/>
      <c r="P5" s="14"/>
      <c r="Q5" s="14"/>
    </row>
    <row r="6" spans="9:17" ht="14.25" customHeight="1">
      <c r="I6" s="14"/>
      <c r="J6" s="14"/>
      <c r="K6" s="14"/>
      <c r="L6" s="14"/>
      <c r="M6" s="14"/>
      <c r="N6" s="14"/>
      <c r="O6" s="14"/>
      <c r="P6" s="14"/>
      <c r="Q6" s="14"/>
    </row>
    <row r="7" spans="9:17" ht="14.25" customHeight="1">
      <c r="I7" s="14"/>
      <c r="J7" s="14"/>
      <c r="K7" s="14"/>
      <c r="L7" s="14"/>
      <c r="M7" s="14"/>
      <c r="N7" s="14"/>
      <c r="O7" s="14"/>
      <c r="P7" s="14"/>
      <c r="Q7" s="14"/>
    </row>
    <row r="8" spans="9:17" ht="14.25" customHeight="1">
      <c r="I8" s="14"/>
      <c r="J8" s="14"/>
      <c r="K8" s="14"/>
      <c r="L8" s="14"/>
      <c r="M8" s="14"/>
      <c r="N8" s="14"/>
      <c r="O8" s="14"/>
      <c r="P8" s="14"/>
      <c r="Q8" s="14"/>
    </row>
    <row r="9" spans="9:17" ht="14.25" customHeight="1">
      <c r="I9" s="14"/>
      <c r="J9" s="14"/>
      <c r="K9" s="14"/>
      <c r="L9" s="14"/>
      <c r="M9" s="14"/>
      <c r="N9" s="14"/>
      <c r="O9" s="14"/>
      <c r="P9" s="14"/>
      <c r="Q9" s="14"/>
    </row>
    <row r="10" spans="9:17" ht="14.25" customHeight="1">
      <c r="I10" s="14"/>
      <c r="J10" s="14"/>
      <c r="K10" s="14"/>
      <c r="L10" s="14"/>
      <c r="M10" s="14"/>
      <c r="N10" s="14"/>
      <c r="O10" s="14"/>
      <c r="P10" s="14"/>
      <c r="Q10" s="14"/>
    </row>
    <row r="11" spans="9:17" ht="14.25" customHeight="1">
      <c r="I11" s="14"/>
      <c r="J11" s="14"/>
      <c r="K11" s="14"/>
      <c r="L11" s="14"/>
      <c r="M11" s="14"/>
      <c r="N11" s="14"/>
      <c r="O11" s="14"/>
      <c r="P11" s="14"/>
      <c r="Q11" s="14"/>
    </row>
    <row r="12" spans="9:17" ht="14.25" customHeight="1">
      <c r="I12" s="14"/>
      <c r="J12" s="14"/>
      <c r="K12" s="14"/>
      <c r="L12" s="14"/>
      <c r="M12" s="14"/>
      <c r="N12" s="14"/>
      <c r="O12" s="14"/>
      <c r="P12" s="14"/>
      <c r="Q12" s="14"/>
    </row>
    <row r="13" spans="9:17" ht="14.25" customHeight="1">
      <c r="I13" s="14"/>
      <c r="J13" s="14"/>
      <c r="K13" s="14"/>
      <c r="L13" s="14"/>
      <c r="M13" s="14"/>
      <c r="N13" s="14"/>
      <c r="O13" s="14"/>
      <c r="P13" s="14"/>
      <c r="Q13" s="14"/>
    </row>
    <row r="14" spans="9:17" ht="14.25" customHeight="1">
      <c r="I14" s="14"/>
      <c r="J14" s="14"/>
      <c r="K14" s="14"/>
      <c r="L14" s="14"/>
      <c r="M14" s="14"/>
      <c r="N14" s="14"/>
      <c r="O14" s="14"/>
      <c r="P14" s="14"/>
      <c r="Q14" s="14"/>
    </row>
    <row r="15" spans="9:17" ht="14.25" customHeight="1">
      <c r="I15" s="14"/>
      <c r="J15" s="14"/>
      <c r="K15" s="14"/>
      <c r="L15" s="14"/>
      <c r="M15" s="14"/>
      <c r="N15" s="14"/>
      <c r="O15" s="14"/>
      <c r="P15" s="14"/>
      <c r="Q15" s="14"/>
    </row>
    <row r="16" spans="9:17" ht="14.25" customHeight="1">
      <c r="I16" s="14"/>
      <c r="J16" s="14"/>
      <c r="K16" s="14"/>
      <c r="L16" s="14"/>
      <c r="M16" s="14"/>
      <c r="N16" s="14"/>
      <c r="O16" s="14"/>
      <c r="P16" s="14"/>
      <c r="Q16" s="14"/>
    </row>
    <row r="17" spans="2:21" ht="14.25" customHeight="1">
      <c r="I17" s="14"/>
      <c r="J17" s="14"/>
      <c r="K17" s="14"/>
      <c r="L17" s="14"/>
      <c r="M17" s="14"/>
      <c r="N17" s="14"/>
      <c r="O17" s="14"/>
      <c r="P17" s="14"/>
      <c r="Q17" s="14"/>
    </row>
    <row r="18" spans="2:21" ht="14.25" customHeight="1">
      <c r="B18" s="162" t="s">
        <v>98</v>
      </c>
      <c r="C18" s="159"/>
      <c r="D18" s="159"/>
      <c r="E18" s="159"/>
      <c r="F18" s="159"/>
      <c r="G18" s="159"/>
      <c r="I18" s="162" t="s">
        <v>99</v>
      </c>
      <c r="J18" s="159"/>
      <c r="K18" s="159"/>
      <c r="L18" s="159"/>
      <c r="M18" s="159"/>
      <c r="N18" s="159"/>
      <c r="O18" s="159"/>
      <c r="P18" s="159"/>
      <c r="Q18" s="159"/>
    </row>
    <row r="19" spans="2:21" ht="14.25" customHeight="1">
      <c r="B19" s="161"/>
      <c r="C19" s="161"/>
      <c r="D19" s="161"/>
      <c r="E19" s="161"/>
      <c r="F19" s="161"/>
      <c r="G19" s="161"/>
      <c r="I19" s="161"/>
      <c r="J19" s="161"/>
      <c r="K19" s="161"/>
      <c r="L19" s="161"/>
      <c r="M19" s="161"/>
      <c r="N19" s="161"/>
      <c r="O19" s="161"/>
      <c r="P19" s="161"/>
      <c r="Q19" s="161"/>
    </row>
    <row r="20" spans="2:21" ht="14.25" customHeight="1">
      <c r="B20" s="151" t="s">
        <v>83</v>
      </c>
      <c r="C20" s="25" t="s">
        <v>100</v>
      </c>
      <c r="D20" s="172">
        <f>SLOPE(C29:C68,B29:B68)</f>
        <v>276.69643527204505</v>
      </c>
      <c r="E20" s="161"/>
      <c r="F20" s="161"/>
      <c r="G20" s="161"/>
      <c r="I20" s="151" t="s">
        <v>83</v>
      </c>
      <c r="J20" s="2" t="s">
        <v>86</v>
      </c>
      <c r="K20" s="170">
        <f>_xlfn.FORECAST.ETS.STAT(J29:J68,I29:I68,1,0)</f>
        <v>0.25</v>
      </c>
      <c r="L20" s="171"/>
      <c r="M20" s="171"/>
      <c r="N20" s="171"/>
      <c r="O20" s="171"/>
      <c r="P20" s="171"/>
      <c r="Q20" s="171"/>
      <c r="R20" s="21"/>
    </row>
    <row r="21" spans="2:21" ht="14.25" customHeight="1">
      <c r="B21" s="141"/>
      <c r="C21" s="26" t="s">
        <v>101</v>
      </c>
      <c r="D21" s="208">
        <f>INTERCEPT(C29:C68,B29:B68)</f>
        <v>4847.7230769230764</v>
      </c>
      <c r="E21" s="208"/>
      <c r="F21" s="208"/>
      <c r="G21" s="208"/>
      <c r="I21" s="141"/>
      <c r="J21" s="14" t="s">
        <v>102</v>
      </c>
      <c r="K21" s="173">
        <f>_xlfn.FORECAST.ETS.STAT(J29:J68,I29:I68,2,0)</f>
        <v>1E-3</v>
      </c>
      <c r="L21" s="161"/>
      <c r="M21" s="161"/>
      <c r="N21" s="161"/>
      <c r="O21" s="161"/>
      <c r="P21" s="161"/>
      <c r="Q21" s="161"/>
    </row>
    <row r="22" spans="2:21" ht="14.25" customHeight="1">
      <c r="B22" s="141"/>
      <c r="C22" s="26"/>
      <c r="D22" s="70"/>
      <c r="E22" s="32"/>
      <c r="F22" s="32"/>
      <c r="G22" s="32"/>
      <c r="I22" s="141"/>
      <c r="J22" s="14" t="s">
        <v>103</v>
      </c>
      <c r="K22" s="172">
        <f>J29</f>
        <v>4708</v>
      </c>
      <c r="L22" s="172"/>
      <c r="M22" s="172"/>
      <c r="N22" s="172"/>
      <c r="O22" s="172"/>
      <c r="P22" s="172"/>
      <c r="Q22" s="172"/>
    </row>
    <row r="23" spans="2:21" ht="14.25" customHeight="1">
      <c r="B23" s="163"/>
      <c r="C23" s="19"/>
      <c r="D23" s="167"/>
      <c r="E23" s="163"/>
      <c r="F23" s="163"/>
      <c r="G23" s="163"/>
      <c r="I23" s="163"/>
      <c r="J23" s="19" t="s">
        <v>104</v>
      </c>
      <c r="K23" s="168">
        <f>0</f>
        <v>0</v>
      </c>
      <c r="L23" s="169"/>
      <c r="M23" s="169"/>
      <c r="N23" s="169"/>
      <c r="O23" s="169"/>
      <c r="P23" s="169"/>
      <c r="Q23" s="169"/>
    </row>
    <row r="24" spans="2:21" ht="14.25" customHeight="1">
      <c r="B24" s="151" t="s">
        <v>89</v>
      </c>
      <c r="C24" s="20" t="s">
        <v>90</v>
      </c>
      <c r="D24" s="152">
        <f>AVERAGE(E29:E74)</f>
        <v>214.44151969981232</v>
      </c>
      <c r="E24" s="148"/>
      <c r="F24" s="148"/>
      <c r="G24" s="148"/>
      <c r="I24" s="151" t="s">
        <v>89</v>
      </c>
      <c r="J24" s="20" t="s">
        <v>90</v>
      </c>
      <c r="K24" s="152">
        <f>AVERAGE(O29:O74)</f>
        <v>1468.2016555703638</v>
      </c>
      <c r="L24" s="148"/>
      <c r="M24" s="148"/>
      <c r="N24" s="148"/>
      <c r="O24" s="148"/>
      <c r="P24" s="148"/>
      <c r="Q24" s="148"/>
      <c r="S24" s="28"/>
      <c r="T24" s="28"/>
      <c r="U24" s="29"/>
    </row>
    <row r="25" spans="2:21" ht="14.25" customHeight="1">
      <c r="B25" s="141"/>
      <c r="C25" s="90" t="s">
        <v>91</v>
      </c>
      <c r="D25" s="165">
        <f>AVERAGE(F29:F74)</f>
        <v>69193.270806754153</v>
      </c>
      <c r="E25" s="166"/>
      <c r="F25" s="166"/>
      <c r="G25" s="166"/>
      <c r="I25" s="141"/>
      <c r="J25" s="90" t="s">
        <v>91</v>
      </c>
      <c r="K25" s="165">
        <f>AVERAGE(P29:P74)</f>
        <v>6718376.8649822604</v>
      </c>
      <c r="L25" s="166"/>
      <c r="M25" s="166"/>
      <c r="N25" s="166"/>
      <c r="O25" s="166"/>
      <c r="P25" s="166"/>
      <c r="Q25" s="166"/>
    </row>
    <row r="26" spans="2:21" ht="14.25" customHeight="1">
      <c r="B26" s="150"/>
      <c r="C26" s="22" t="s">
        <v>92</v>
      </c>
      <c r="D26" s="174">
        <f>AVERAGE(G29:G68)</f>
        <v>2.3443914365167681E-2</v>
      </c>
      <c r="E26" s="174"/>
      <c r="F26" s="174"/>
      <c r="G26" s="174"/>
      <c r="I26" s="150"/>
      <c r="J26" s="22" t="s">
        <v>92</v>
      </c>
      <c r="K26" s="174">
        <f>AVERAGE(Q29:Q68)</f>
        <v>0.92353998128654047</v>
      </c>
      <c r="L26" s="150"/>
      <c r="M26" s="150"/>
      <c r="N26" s="150"/>
      <c r="O26" s="150"/>
      <c r="P26" s="150"/>
      <c r="Q26" s="150"/>
    </row>
    <row r="27" spans="2:21" ht="14.25" customHeight="1">
      <c r="B27" s="14"/>
      <c r="C27" s="14"/>
      <c r="D27" s="14"/>
      <c r="E27" s="14"/>
      <c r="F27" s="14"/>
      <c r="G27" s="14"/>
      <c r="I27" s="14"/>
      <c r="J27" s="14"/>
      <c r="K27" s="14"/>
      <c r="L27" s="14"/>
      <c r="M27" s="14"/>
      <c r="N27" s="14"/>
      <c r="O27" s="14"/>
      <c r="P27" s="14"/>
      <c r="Q27" s="14"/>
      <c r="S27" s="23"/>
    </row>
    <row r="28" spans="2:21" s="35" customFormat="1" ht="60">
      <c r="B28" s="34" t="s">
        <v>27</v>
      </c>
      <c r="C28" s="34" t="s">
        <v>105</v>
      </c>
      <c r="D28" s="34" t="s">
        <v>94</v>
      </c>
      <c r="E28" s="34" t="s">
        <v>95</v>
      </c>
      <c r="F28" s="34" t="s">
        <v>96</v>
      </c>
      <c r="G28" s="34" t="s">
        <v>97</v>
      </c>
      <c r="I28" s="34" t="s">
        <v>27</v>
      </c>
      <c r="J28" s="34" t="s">
        <v>105</v>
      </c>
      <c r="K28" s="34" t="s">
        <v>106</v>
      </c>
      <c r="L28" s="34" t="s">
        <v>107</v>
      </c>
      <c r="M28" s="34" t="s">
        <v>108</v>
      </c>
      <c r="N28" s="34" t="s">
        <v>109</v>
      </c>
      <c r="O28" s="34" t="s">
        <v>95</v>
      </c>
      <c r="P28" s="34" t="s">
        <v>96</v>
      </c>
      <c r="Q28" s="34" t="s">
        <v>97</v>
      </c>
      <c r="S28" s="73"/>
    </row>
    <row r="29" spans="2:21" ht="14.25" customHeight="1">
      <c r="B29" s="14">
        <v>1</v>
      </c>
      <c r="C29" s="6">
        <v>4708</v>
      </c>
      <c r="D29" s="18">
        <f>$D$21+$D$20*B29</f>
        <v>5124.4195121951216</v>
      </c>
      <c r="E29" s="18">
        <f>ABS(C29-D29)</f>
        <v>416.41951219512157</v>
      </c>
      <c r="F29" s="18">
        <f>E29^2</f>
        <v>173405.21013682301</v>
      </c>
      <c r="G29" s="24">
        <f>E29/C29</f>
        <v>8.8449344136601868E-2</v>
      </c>
      <c r="I29" s="14">
        <v>1</v>
      </c>
      <c r="J29" s="6">
        <v>4708</v>
      </c>
      <c r="K29" s="17">
        <f>K20*J29+(1-K20)*(K22+K23)</f>
        <v>4708</v>
      </c>
      <c r="L29" s="17">
        <f>K21*(K29-K22)+(1-K21)*K23</f>
        <v>0</v>
      </c>
      <c r="M29" s="14">
        <v>1</v>
      </c>
      <c r="N29" s="18">
        <f>K29+M29*L29</f>
        <v>4708</v>
      </c>
      <c r="O29" s="18">
        <f>ABS(N29-J29)</f>
        <v>0</v>
      </c>
      <c r="P29" s="18">
        <f>O29^2</f>
        <v>0</v>
      </c>
      <c r="Q29" s="24">
        <f>N29/J29</f>
        <v>1</v>
      </c>
      <c r="S29" s="23"/>
    </row>
    <row r="30" spans="2:21" ht="14.25" customHeight="1">
      <c r="B30" s="14">
        <v>2</v>
      </c>
      <c r="C30" s="8">
        <v>5518</v>
      </c>
      <c r="D30" s="18">
        <f t="shared" ref="D30:D74" si="0">$D$21+$D$20*B30</f>
        <v>5401.1159474671667</v>
      </c>
      <c r="E30" s="18">
        <f t="shared" ref="E30:E68" si="1">ABS(C30-D30)</f>
        <v>116.88405253283327</v>
      </c>
      <c r="F30" s="18">
        <f t="shared" ref="F30:F68" si="2">E30^2</f>
        <v>13661.881736498126</v>
      </c>
      <c r="G30" s="24">
        <f t="shared" ref="G30:G68" si="3">E30/C30</f>
        <v>2.1182321952307587E-2</v>
      </c>
      <c r="I30" s="14">
        <v>2</v>
      </c>
      <c r="J30" s="8">
        <v>5518</v>
      </c>
      <c r="K30" s="17">
        <f>K$20*J30+(1-K$20)*(K29+L29)</f>
        <v>4910.5</v>
      </c>
      <c r="L30" s="17">
        <f>K$21*(K30-K29)+(1-K$21)*L29</f>
        <v>0.20250000000000001</v>
      </c>
      <c r="M30" s="14">
        <v>1</v>
      </c>
      <c r="N30" s="18">
        <f t="shared" ref="N30:N74" si="4">K30+M30*L30</f>
        <v>4910.7025000000003</v>
      </c>
      <c r="O30" s="18">
        <f t="shared" ref="O30:O74" si="5">ABS(N30-J30)</f>
        <v>607.29749999999967</v>
      </c>
      <c r="P30" s="18">
        <f t="shared" ref="P30:P74" si="6">O30^2</f>
        <v>368810.25350624957</v>
      </c>
      <c r="Q30" s="24">
        <f t="shared" ref="Q30:Q68" si="7">N30/J30</f>
        <v>0.88994246103660757</v>
      </c>
      <c r="S30" s="18"/>
      <c r="T30" s="18"/>
      <c r="U30" s="24"/>
    </row>
    <row r="31" spans="2:21" ht="14.25" customHeight="1">
      <c r="B31" s="14">
        <v>3</v>
      </c>
      <c r="C31" s="6">
        <v>5912</v>
      </c>
      <c r="D31" s="18">
        <f t="shared" si="0"/>
        <v>5677.8123827392119</v>
      </c>
      <c r="E31" s="18">
        <f t="shared" si="1"/>
        <v>234.1876172607881</v>
      </c>
      <c r="F31" s="18">
        <f t="shared" si="2"/>
        <v>54843.840078285379</v>
      </c>
      <c r="G31" s="24">
        <f t="shared" si="3"/>
        <v>3.9612249198374173E-2</v>
      </c>
      <c r="I31" s="14">
        <v>3</v>
      </c>
      <c r="J31" s="6">
        <v>5912</v>
      </c>
      <c r="K31" s="17">
        <f t="shared" ref="K31:K74" si="8">K$20*J31+(1-K$20)*(K30+L30)</f>
        <v>5161.0268750000005</v>
      </c>
      <c r="L31" s="17">
        <f t="shared" ref="L31:L74" si="9">K$21*(K31-K30)+(1-K$21)*L30</f>
        <v>0.4528243750000005</v>
      </c>
      <c r="M31" s="14">
        <v>1</v>
      </c>
      <c r="N31" s="18">
        <f t="shared" si="4"/>
        <v>5161.4796993750006</v>
      </c>
      <c r="O31" s="18">
        <f t="shared" si="5"/>
        <v>750.52030062499944</v>
      </c>
      <c r="P31" s="18">
        <f t="shared" si="6"/>
        <v>563280.72165023955</v>
      </c>
      <c r="Q31" s="24">
        <f t="shared" si="7"/>
        <v>0.87305136998900545</v>
      </c>
      <c r="S31" s="18"/>
      <c r="T31" s="18"/>
      <c r="U31" s="24"/>
    </row>
    <row r="32" spans="2:21" ht="14.25" customHeight="1">
      <c r="B32" s="14">
        <v>4</v>
      </c>
      <c r="C32" s="10">
        <v>5600</v>
      </c>
      <c r="D32" s="18">
        <f t="shared" si="0"/>
        <v>5954.5088180112562</v>
      </c>
      <c r="E32" s="18">
        <f t="shared" si="1"/>
        <v>354.50881801125615</v>
      </c>
      <c r="F32" s="18">
        <f t="shared" si="2"/>
        <v>125676.50204773793</v>
      </c>
      <c r="G32" s="24">
        <f t="shared" si="3"/>
        <v>6.3305146073438595E-2</v>
      </c>
      <c r="I32" s="14">
        <v>4</v>
      </c>
      <c r="J32" s="10">
        <v>5600</v>
      </c>
      <c r="K32" s="17">
        <f t="shared" si="8"/>
        <v>5271.1097745312509</v>
      </c>
      <c r="L32" s="17">
        <f t="shared" si="9"/>
        <v>0.56245445015625095</v>
      </c>
      <c r="M32" s="14">
        <v>1</v>
      </c>
      <c r="N32" s="18">
        <f t="shared" si="4"/>
        <v>5271.672228981407</v>
      </c>
      <c r="O32" s="18">
        <f t="shared" si="5"/>
        <v>328.32777101859301</v>
      </c>
      <c r="P32" s="18">
        <f t="shared" si="6"/>
        <v>107799.12522203765</v>
      </c>
      <c r="Q32" s="24">
        <f t="shared" si="7"/>
        <v>0.94137004088953691</v>
      </c>
      <c r="S32" s="18"/>
      <c r="T32" s="18"/>
      <c r="U32" s="24"/>
    </row>
    <row r="33" spans="2:21" ht="14.25" customHeight="1">
      <c r="B33" s="14">
        <v>5</v>
      </c>
      <c r="C33" s="8">
        <v>6417</v>
      </c>
      <c r="D33" s="18">
        <f t="shared" si="0"/>
        <v>6231.2052532833022</v>
      </c>
      <c r="E33" s="18">
        <f t="shared" si="1"/>
        <v>185.79474671669777</v>
      </c>
      <c r="F33" s="18">
        <f t="shared" si="2"/>
        <v>34519.687907521875</v>
      </c>
      <c r="G33" s="24">
        <f t="shared" si="3"/>
        <v>2.8953521383309609E-2</v>
      </c>
      <c r="I33" s="14">
        <v>5</v>
      </c>
      <c r="J33" s="8">
        <v>6417</v>
      </c>
      <c r="K33" s="17">
        <f t="shared" si="8"/>
        <v>5558.0041717360555</v>
      </c>
      <c r="L33" s="17">
        <f t="shared" si="9"/>
        <v>0.8487863929108993</v>
      </c>
      <c r="M33" s="14">
        <v>1</v>
      </c>
      <c r="N33" s="18">
        <f t="shared" si="4"/>
        <v>5558.8529581289667</v>
      </c>
      <c r="O33" s="18">
        <f t="shared" si="5"/>
        <v>858.14704187103325</v>
      </c>
      <c r="P33" s="18">
        <f t="shared" si="6"/>
        <v>736416.34547200485</v>
      </c>
      <c r="Q33" s="24">
        <f t="shared" si="7"/>
        <v>0.86626974569564696</v>
      </c>
      <c r="S33" s="18"/>
      <c r="T33" s="18"/>
      <c r="U33" s="24"/>
    </row>
    <row r="34" spans="2:21" ht="14.25" customHeight="1">
      <c r="B34" s="14">
        <v>6</v>
      </c>
      <c r="C34" s="6">
        <v>6534</v>
      </c>
      <c r="D34" s="18">
        <f t="shared" si="0"/>
        <v>6507.9016885553465</v>
      </c>
      <c r="E34" s="18">
        <f t="shared" si="1"/>
        <v>26.098311444653518</v>
      </c>
      <c r="F34" s="18">
        <f t="shared" si="2"/>
        <v>681.12186026213283</v>
      </c>
      <c r="G34" s="24">
        <f t="shared" si="3"/>
        <v>3.9942319321477687E-3</v>
      </c>
      <c r="I34" s="14">
        <v>6</v>
      </c>
      <c r="J34" s="6">
        <v>6534</v>
      </c>
      <c r="K34" s="17">
        <f t="shared" si="8"/>
        <v>5802.6397185967253</v>
      </c>
      <c r="L34" s="17">
        <f t="shared" si="9"/>
        <v>1.0925731533786582</v>
      </c>
      <c r="M34" s="14">
        <v>1</v>
      </c>
      <c r="N34" s="18">
        <f t="shared" si="4"/>
        <v>5803.7322917501042</v>
      </c>
      <c r="O34" s="18">
        <f t="shared" si="5"/>
        <v>730.2677082498958</v>
      </c>
      <c r="P34" s="18">
        <f t="shared" si="6"/>
        <v>533290.92571255495</v>
      </c>
      <c r="Q34" s="24">
        <f t="shared" si="7"/>
        <v>0.88823573488676222</v>
      </c>
      <c r="S34" s="18"/>
      <c r="T34" s="18"/>
      <c r="U34" s="24"/>
    </row>
    <row r="35" spans="2:21" ht="14.25" customHeight="1">
      <c r="B35" s="14">
        <v>7</v>
      </c>
      <c r="C35" s="10">
        <v>6939</v>
      </c>
      <c r="D35" s="18">
        <f t="shared" si="0"/>
        <v>6784.5981238273916</v>
      </c>
      <c r="E35" s="18">
        <f t="shared" si="1"/>
        <v>154.40187617260835</v>
      </c>
      <c r="F35" s="18">
        <f t="shared" si="2"/>
        <v>23839.939365621482</v>
      </c>
      <c r="G35" s="24">
        <f t="shared" si="3"/>
        <v>2.225131519997238E-2</v>
      </c>
      <c r="I35" s="14">
        <v>7</v>
      </c>
      <c r="J35" s="10">
        <v>6939</v>
      </c>
      <c r="K35" s="17">
        <f t="shared" si="8"/>
        <v>6087.5492188125781</v>
      </c>
      <c r="L35" s="17">
        <f t="shared" si="9"/>
        <v>1.3763900804411324</v>
      </c>
      <c r="M35" s="14">
        <v>1</v>
      </c>
      <c r="N35" s="18">
        <f t="shared" si="4"/>
        <v>6088.9256088930197</v>
      </c>
      <c r="O35" s="18">
        <f t="shared" si="5"/>
        <v>850.07439110698033</v>
      </c>
      <c r="P35" s="18">
        <f t="shared" si="6"/>
        <v>722626.47041590337</v>
      </c>
      <c r="Q35" s="24">
        <f t="shared" si="7"/>
        <v>0.87749324238262283</v>
      </c>
      <c r="S35" s="18"/>
      <c r="T35" s="18"/>
      <c r="U35" s="24"/>
    </row>
    <row r="36" spans="2:21" ht="14.25" customHeight="1">
      <c r="B36" s="14">
        <v>8</v>
      </c>
      <c r="C36" s="8">
        <v>7543</v>
      </c>
      <c r="D36" s="18">
        <f t="shared" si="0"/>
        <v>7061.2945590994368</v>
      </c>
      <c r="E36" s="18">
        <f t="shared" si="1"/>
        <v>481.70544090056319</v>
      </c>
      <c r="F36" s="18">
        <f t="shared" si="2"/>
        <v>232040.13179320598</v>
      </c>
      <c r="G36" s="24">
        <f t="shared" si="3"/>
        <v>6.3861254262304545E-2</v>
      </c>
      <c r="I36" s="14">
        <v>8</v>
      </c>
      <c r="J36" s="8">
        <v>7543</v>
      </c>
      <c r="K36" s="17">
        <f t="shared" si="8"/>
        <v>6452.4442066697648</v>
      </c>
      <c r="L36" s="17">
        <f t="shared" si="9"/>
        <v>1.7399086782178779</v>
      </c>
      <c r="M36" s="14">
        <v>1</v>
      </c>
      <c r="N36" s="18">
        <f t="shared" si="4"/>
        <v>6454.1841153479827</v>
      </c>
      <c r="O36" s="18">
        <f t="shared" si="5"/>
        <v>1088.8158846520173</v>
      </c>
      <c r="P36" s="18">
        <f t="shared" si="6"/>
        <v>1185520.0306705551</v>
      </c>
      <c r="Q36" s="24">
        <f t="shared" si="7"/>
        <v>0.85565214309266635</v>
      </c>
      <c r="S36" s="18"/>
      <c r="T36" s="18"/>
      <c r="U36" s="24"/>
    </row>
    <row r="37" spans="2:21" ht="14.25" customHeight="1">
      <c r="B37" s="14">
        <v>9</v>
      </c>
      <c r="C37" s="6">
        <v>7183</v>
      </c>
      <c r="D37" s="18">
        <f t="shared" si="0"/>
        <v>7337.990994371482</v>
      </c>
      <c r="E37" s="18">
        <f t="shared" si="1"/>
        <v>154.99099437148197</v>
      </c>
      <c r="F37" s="18">
        <f t="shared" si="2"/>
        <v>24022.208336260755</v>
      </c>
      <c r="G37" s="24">
        <f t="shared" si="3"/>
        <v>2.1577473809199773E-2</v>
      </c>
      <c r="I37" s="14">
        <v>9</v>
      </c>
      <c r="J37" s="6">
        <v>7183</v>
      </c>
      <c r="K37" s="17">
        <f t="shared" si="8"/>
        <v>6636.3880865109868</v>
      </c>
      <c r="L37" s="17">
        <f t="shared" si="9"/>
        <v>1.922112649380882</v>
      </c>
      <c r="M37" s="14">
        <v>1</v>
      </c>
      <c r="N37" s="18">
        <f t="shared" si="4"/>
        <v>6638.310199160368</v>
      </c>
      <c r="O37" s="18">
        <f t="shared" si="5"/>
        <v>544.68980083963197</v>
      </c>
      <c r="P37" s="18">
        <f t="shared" si="6"/>
        <v>296686.97913871793</v>
      </c>
      <c r="Q37" s="24">
        <f t="shared" si="7"/>
        <v>0.9241695947599009</v>
      </c>
      <c r="S37" s="18"/>
      <c r="T37" s="18"/>
      <c r="U37" s="24"/>
    </row>
    <row r="38" spans="2:21" ht="14.25" customHeight="1">
      <c r="B38" s="14">
        <v>10</v>
      </c>
      <c r="C38" s="10">
        <v>7312</v>
      </c>
      <c r="D38" s="18">
        <f t="shared" si="0"/>
        <v>7614.6874296435271</v>
      </c>
      <c r="E38" s="18">
        <f t="shared" si="1"/>
        <v>302.68742964352714</v>
      </c>
      <c r="F38" s="18">
        <f t="shared" si="2"/>
        <v>91619.680064205197</v>
      </c>
      <c r="G38" s="24">
        <f t="shared" si="3"/>
        <v>4.1395983266346713E-2</v>
      </c>
      <c r="I38" s="14">
        <v>10</v>
      </c>
      <c r="J38" s="10">
        <v>7312</v>
      </c>
      <c r="K38" s="17">
        <f t="shared" si="8"/>
        <v>6806.7326493702758</v>
      </c>
      <c r="L38" s="17">
        <f t="shared" si="9"/>
        <v>2.0905350995907899</v>
      </c>
      <c r="M38" s="14">
        <v>1</v>
      </c>
      <c r="N38" s="18">
        <f t="shared" si="4"/>
        <v>6808.8231844698666</v>
      </c>
      <c r="O38" s="18">
        <f t="shared" si="5"/>
        <v>503.17681553013335</v>
      </c>
      <c r="P38" s="18">
        <f t="shared" si="6"/>
        <v>253186.90768704584</v>
      </c>
      <c r="Q38" s="24">
        <f t="shared" si="7"/>
        <v>0.93118478999861409</v>
      </c>
      <c r="S38" s="18"/>
      <c r="T38" s="18"/>
      <c r="U38" s="24"/>
    </row>
    <row r="39" spans="2:21" ht="14.25" customHeight="1">
      <c r="B39" s="14">
        <v>11</v>
      </c>
      <c r="C39" s="8">
        <v>7554</v>
      </c>
      <c r="D39" s="18">
        <f t="shared" si="0"/>
        <v>7891.3838649155714</v>
      </c>
      <c r="E39" s="18">
        <f t="shared" si="1"/>
        <v>337.38386491557139</v>
      </c>
      <c r="F39" s="18">
        <f t="shared" si="2"/>
        <v>113827.87230536852</v>
      </c>
      <c r="G39" s="24">
        <f t="shared" si="3"/>
        <v>4.4662942138677705E-2</v>
      </c>
      <c r="I39" s="14">
        <v>11</v>
      </c>
      <c r="J39" s="8">
        <v>7554</v>
      </c>
      <c r="K39" s="17">
        <f t="shared" si="8"/>
        <v>6995.1173883523998</v>
      </c>
      <c r="L39" s="17">
        <f t="shared" si="9"/>
        <v>2.2768293034733231</v>
      </c>
      <c r="M39" s="14">
        <v>1</v>
      </c>
      <c r="N39" s="18">
        <f t="shared" si="4"/>
        <v>6997.394217655873</v>
      </c>
      <c r="O39" s="18">
        <f t="shared" si="5"/>
        <v>556.60578234412696</v>
      </c>
      <c r="P39" s="18">
        <f t="shared" si="6"/>
        <v>309809.99693891767</v>
      </c>
      <c r="Q39" s="24">
        <f t="shared" si="7"/>
        <v>0.92631641748158233</v>
      </c>
      <c r="S39" s="18"/>
      <c r="T39" s="18"/>
      <c r="U39" s="24"/>
    </row>
    <row r="40" spans="2:21" ht="14.25" customHeight="1">
      <c r="B40" s="14">
        <v>12</v>
      </c>
      <c r="C40" s="6">
        <v>7858</v>
      </c>
      <c r="D40" s="18">
        <f t="shared" si="0"/>
        <v>8168.0803001876175</v>
      </c>
      <c r="E40" s="18">
        <f t="shared" si="1"/>
        <v>310.08030018761747</v>
      </c>
      <c r="F40" s="18">
        <f t="shared" si="2"/>
        <v>96149.792564442963</v>
      </c>
      <c r="G40" s="24">
        <f t="shared" si="3"/>
        <v>3.9460460700893034E-2</v>
      </c>
      <c r="I40" s="14">
        <v>12</v>
      </c>
      <c r="J40" s="6">
        <v>7858</v>
      </c>
      <c r="K40" s="17">
        <f t="shared" si="8"/>
        <v>7212.5456632419045</v>
      </c>
      <c r="L40" s="17">
        <f t="shared" si="9"/>
        <v>2.4919807490593548</v>
      </c>
      <c r="M40" s="14">
        <v>1</v>
      </c>
      <c r="N40" s="18">
        <f t="shared" si="4"/>
        <v>7215.0376439909642</v>
      </c>
      <c r="O40" s="18">
        <f t="shared" si="5"/>
        <v>642.96235600903583</v>
      </c>
      <c r="P40" s="18">
        <f t="shared" si="6"/>
        <v>413400.59124469012</v>
      </c>
      <c r="Q40" s="24">
        <f t="shared" si="7"/>
        <v>0.91817735352392005</v>
      </c>
      <c r="S40" s="18"/>
      <c r="T40" s="18"/>
      <c r="U40" s="24"/>
    </row>
    <row r="41" spans="2:21" ht="14.25" customHeight="1">
      <c r="B41" s="14">
        <v>13</v>
      </c>
      <c r="C41" s="10">
        <v>8361</v>
      </c>
      <c r="D41" s="18">
        <f t="shared" si="0"/>
        <v>8444.7767354596617</v>
      </c>
      <c r="E41" s="18">
        <f t="shared" si="1"/>
        <v>83.776735459661722</v>
      </c>
      <c r="F41" s="18">
        <f t="shared" si="2"/>
        <v>7018.5414042781422</v>
      </c>
      <c r="G41" s="24">
        <f t="shared" si="3"/>
        <v>1.0019942047561502E-2</v>
      </c>
      <c r="I41" s="14">
        <v>13</v>
      </c>
      <c r="J41" s="10">
        <v>8361</v>
      </c>
      <c r="K41" s="17">
        <f t="shared" si="8"/>
        <v>7501.5282329932234</v>
      </c>
      <c r="L41" s="17">
        <f t="shared" si="9"/>
        <v>2.7784713380616144</v>
      </c>
      <c r="M41" s="14">
        <v>1</v>
      </c>
      <c r="N41" s="18">
        <f t="shared" si="4"/>
        <v>7504.3067043312849</v>
      </c>
      <c r="O41" s="18">
        <f t="shared" si="5"/>
        <v>856.69329566871511</v>
      </c>
      <c r="P41" s="18">
        <f t="shared" si="6"/>
        <v>733923.40284372447</v>
      </c>
      <c r="Q41" s="24">
        <f t="shared" si="7"/>
        <v>0.89753698174037611</v>
      </c>
      <c r="S41" s="18"/>
      <c r="T41" s="18"/>
      <c r="U41" s="24"/>
    </row>
    <row r="42" spans="2:21" ht="14.25" customHeight="1">
      <c r="B42" s="14">
        <v>14</v>
      </c>
      <c r="C42" s="8">
        <v>8769</v>
      </c>
      <c r="D42" s="18">
        <f t="shared" si="0"/>
        <v>8721.4731707317078</v>
      </c>
      <c r="E42" s="18">
        <f t="shared" si="1"/>
        <v>47.526829268292204</v>
      </c>
      <c r="F42" s="18">
        <f t="shared" si="2"/>
        <v>2258.7995002973967</v>
      </c>
      <c r="G42" s="24">
        <f t="shared" si="3"/>
        <v>5.4198687727554113E-3</v>
      </c>
      <c r="I42" s="14">
        <v>14</v>
      </c>
      <c r="J42" s="8">
        <v>8769</v>
      </c>
      <c r="K42" s="17">
        <f t="shared" si="8"/>
        <v>7820.4800282484639</v>
      </c>
      <c r="L42" s="17">
        <f t="shared" si="9"/>
        <v>3.0946446619787933</v>
      </c>
      <c r="M42" s="14">
        <v>1</v>
      </c>
      <c r="N42" s="18">
        <f t="shared" si="4"/>
        <v>7823.574672910443</v>
      </c>
      <c r="O42" s="18">
        <f t="shared" si="5"/>
        <v>945.42532708955696</v>
      </c>
      <c r="P42" s="18">
        <f t="shared" si="6"/>
        <v>893829.04910239577</v>
      </c>
      <c r="Q42" s="24">
        <f t="shared" si="7"/>
        <v>0.89218550266968222</v>
      </c>
      <c r="S42" s="18"/>
      <c r="T42" s="18"/>
      <c r="U42" s="24"/>
    </row>
    <row r="43" spans="2:21" ht="14.25" customHeight="1">
      <c r="B43" s="14">
        <v>15</v>
      </c>
      <c r="C43" s="6">
        <v>9032</v>
      </c>
      <c r="D43" s="18">
        <f t="shared" si="0"/>
        <v>8998.1696060037521</v>
      </c>
      <c r="E43" s="18">
        <f t="shared" si="1"/>
        <v>33.830393996247949</v>
      </c>
      <c r="F43" s="18">
        <f t="shared" si="2"/>
        <v>1144.4955579413693</v>
      </c>
      <c r="G43" s="24">
        <f t="shared" si="3"/>
        <v>3.7456149242967173E-3</v>
      </c>
      <c r="I43" s="14">
        <v>15</v>
      </c>
      <c r="J43" s="6">
        <v>9032</v>
      </c>
      <c r="K43" s="17">
        <f t="shared" si="8"/>
        <v>8125.6810046828323</v>
      </c>
      <c r="L43" s="17">
        <f t="shared" si="9"/>
        <v>3.3967509937511826</v>
      </c>
      <c r="M43" s="14">
        <v>1</v>
      </c>
      <c r="N43" s="18">
        <f t="shared" si="4"/>
        <v>8129.0777556765834</v>
      </c>
      <c r="O43" s="18">
        <f t="shared" si="5"/>
        <v>902.92224432341663</v>
      </c>
      <c r="P43" s="18">
        <f t="shared" si="6"/>
        <v>815268.57929403568</v>
      </c>
      <c r="Q43" s="24">
        <f t="shared" si="7"/>
        <v>0.90003075239997599</v>
      </c>
      <c r="S43" s="18"/>
      <c r="T43" s="18"/>
      <c r="U43" s="24"/>
    </row>
    <row r="44" spans="2:21" ht="14.25" customHeight="1">
      <c r="B44" s="14">
        <v>16</v>
      </c>
      <c r="C44" s="10">
        <v>9479</v>
      </c>
      <c r="D44" s="18">
        <f t="shared" si="0"/>
        <v>9274.8660412757963</v>
      </c>
      <c r="E44" s="18">
        <f t="shared" si="1"/>
        <v>204.13395872420369</v>
      </c>
      <c r="F44" s="18">
        <f t="shared" si="2"/>
        <v>41670.673104414898</v>
      </c>
      <c r="G44" s="24">
        <f t="shared" si="3"/>
        <v>2.1535389674459719E-2</v>
      </c>
      <c r="I44" s="14">
        <v>16</v>
      </c>
      <c r="J44" s="10">
        <v>9479</v>
      </c>
      <c r="K44" s="17">
        <f t="shared" si="8"/>
        <v>8466.5583167574368</v>
      </c>
      <c r="L44" s="17">
        <f t="shared" si="9"/>
        <v>3.7342315548320362</v>
      </c>
      <c r="M44" s="14">
        <v>1</v>
      </c>
      <c r="N44" s="18">
        <f t="shared" si="4"/>
        <v>8470.292548312269</v>
      </c>
      <c r="O44" s="18">
        <f t="shared" si="5"/>
        <v>1008.707451687731</v>
      </c>
      <c r="P44" s="18">
        <f t="shared" si="6"/>
        <v>1017490.7230903562</v>
      </c>
      <c r="Q44" s="24">
        <f t="shared" si="7"/>
        <v>0.89358503516323129</v>
      </c>
      <c r="S44" s="18"/>
      <c r="T44" s="18"/>
      <c r="U44" s="24"/>
    </row>
    <row r="45" spans="2:21" ht="14.25" customHeight="1">
      <c r="B45" s="14">
        <v>17</v>
      </c>
      <c r="C45" s="8">
        <v>9517</v>
      </c>
      <c r="D45" s="18">
        <f t="shared" si="0"/>
        <v>9551.5624765478424</v>
      </c>
      <c r="E45" s="18">
        <f t="shared" si="1"/>
        <v>34.56247654784238</v>
      </c>
      <c r="F45" s="18">
        <f t="shared" si="2"/>
        <v>1194.5647851201545</v>
      </c>
      <c r="G45" s="24">
        <f t="shared" si="3"/>
        <v>3.6316566720439613E-3</v>
      </c>
      <c r="I45" s="14">
        <v>17</v>
      </c>
      <c r="J45" s="8">
        <v>9517</v>
      </c>
      <c r="K45" s="17">
        <f t="shared" si="8"/>
        <v>8731.9694112342022</v>
      </c>
      <c r="L45" s="17">
        <f t="shared" si="9"/>
        <v>3.9959084177539697</v>
      </c>
      <c r="M45" s="14">
        <v>1</v>
      </c>
      <c r="N45" s="18">
        <f t="shared" si="4"/>
        <v>8735.9653196519557</v>
      </c>
      <c r="O45" s="18">
        <f t="shared" si="5"/>
        <v>781.03468034804428</v>
      </c>
      <c r="P45" s="18">
        <f t="shared" si="6"/>
        <v>610015.17190637172</v>
      </c>
      <c r="Q45" s="24">
        <f t="shared" si="7"/>
        <v>0.91793268042996279</v>
      </c>
      <c r="S45" s="18"/>
      <c r="T45" s="18"/>
      <c r="U45" s="24"/>
    </row>
    <row r="46" spans="2:21" ht="14.25" customHeight="1">
      <c r="B46" s="14">
        <v>18</v>
      </c>
      <c r="C46" s="6">
        <v>10231</v>
      </c>
      <c r="D46" s="18">
        <f t="shared" si="0"/>
        <v>9828.2589118198885</v>
      </c>
      <c r="E46" s="18">
        <f t="shared" si="1"/>
        <v>402.74108818011155</v>
      </c>
      <c r="F46" s="18">
        <f t="shared" si="2"/>
        <v>162200.38410850038</v>
      </c>
      <c r="G46" s="24">
        <f t="shared" si="3"/>
        <v>3.9364782345822649E-2</v>
      </c>
      <c r="I46" s="14">
        <v>18</v>
      </c>
      <c r="J46" s="6">
        <v>10231</v>
      </c>
      <c r="K46" s="17">
        <f t="shared" si="8"/>
        <v>9109.7239897389663</v>
      </c>
      <c r="L46" s="17">
        <f t="shared" si="9"/>
        <v>4.3696670878409796</v>
      </c>
      <c r="M46" s="14">
        <v>1</v>
      </c>
      <c r="N46" s="18">
        <f t="shared" si="4"/>
        <v>9114.093656826808</v>
      </c>
      <c r="O46" s="18">
        <f t="shared" si="5"/>
        <v>1116.906343173192</v>
      </c>
      <c r="P46" s="18">
        <f t="shared" si="6"/>
        <v>1247479.779420512</v>
      </c>
      <c r="Q46" s="24">
        <f t="shared" si="7"/>
        <v>0.89083116575376875</v>
      </c>
      <c r="S46" s="18"/>
      <c r="T46" s="18"/>
      <c r="U46" s="24"/>
    </row>
    <row r="47" spans="2:21" ht="14.25" customHeight="1">
      <c r="B47" s="14">
        <v>19</v>
      </c>
      <c r="C47" s="10">
        <v>9998</v>
      </c>
      <c r="D47" s="18">
        <f t="shared" si="0"/>
        <v>10104.955347091933</v>
      </c>
      <c r="E47" s="18">
        <f t="shared" si="1"/>
        <v>106.95534709193271</v>
      </c>
      <c r="F47" s="18">
        <f t="shared" si="2"/>
        <v>11439.446271555798</v>
      </c>
      <c r="G47" s="24">
        <f t="shared" si="3"/>
        <v>1.0697674244042079E-2</v>
      </c>
      <c r="I47" s="14">
        <v>19</v>
      </c>
      <c r="J47" s="10">
        <v>9998</v>
      </c>
      <c r="K47" s="17">
        <f t="shared" si="8"/>
        <v>9335.070242620106</v>
      </c>
      <c r="L47" s="17">
        <f t="shared" si="9"/>
        <v>4.5906436736342791</v>
      </c>
      <c r="M47" s="14">
        <v>1</v>
      </c>
      <c r="N47" s="18">
        <f t="shared" si="4"/>
        <v>9339.660886293741</v>
      </c>
      <c r="O47" s="18">
        <f t="shared" si="5"/>
        <v>658.33911370625901</v>
      </c>
      <c r="P47" s="18">
        <f t="shared" si="6"/>
        <v>433410.38863554265</v>
      </c>
      <c r="Q47" s="24">
        <f t="shared" si="7"/>
        <v>0.93415291921321675</v>
      </c>
      <c r="S47" s="18"/>
      <c r="T47" s="18"/>
      <c r="U47" s="24"/>
    </row>
    <row r="48" spans="2:21" ht="14.25" customHeight="1">
      <c r="B48" s="14">
        <v>20</v>
      </c>
      <c r="C48" s="8">
        <v>11175</v>
      </c>
      <c r="D48" s="18">
        <f t="shared" si="0"/>
        <v>10381.651782363977</v>
      </c>
      <c r="E48" s="18">
        <f t="shared" si="1"/>
        <v>793.34821763602304</v>
      </c>
      <c r="F48" s="18">
        <f t="shared" si="2"/>
        <v>629401.39442625456</v>
      </c>
      <c r="G48" s="24">
        <f t="shared" si="3"/>
        <v>7.0993129094946136E-2</v>
      </c>
      <c r="I48" s="14">
        <v>20</v>
      </c>
      <c r="J48" s="8">
        <v>11175</v>
      </c>
      <c r="K48" s="17">
        <f t="shared" si="8"/>
        <v>9798.4956647203053</v>
      </c>
      <c r="L48" s="17">
        <f t="shared" si="9"/>
        <v>5.0494784520608436</v>
      </c>
      <c r="M48" s="14">
        <v>1</v>
      </c>
      <c r="N48" s="18">
        <f t="shared" si="4"/>
        <v>9803.5451431723668</v>
      </c>
      <c r="O48" s="18">
        <f t="shared" si="5"/>
        <v>1371.4548568276332</v>
      </c>
      <c r="P48" s="18">
        <f t="shared" si="6"/>
        <v>1880888.4243161038</v>
      </c>
      <c r="Q48" s="24">
        <f t="shared" si="7"/>
        <v>0.87727473316978677</v>
      </c>
      <c r="S48" s="18"/>
      <c r="T48" s="18"/>
      <c r="U48" s="24"/>
    </row>
    <row r="49" spans="2:21" ht="14.25" customHeight="1">
      <c r="B49" s="14">
        <v>21</v>
      </c>
      <c r="C49" s="6">
        <v>10829</v>
      </c>
      <c r="D49" s="18">
        <f t="shared" si="0"/>
        <v>10658.348217636023</v>
      </c>
      <c r="E49" s="18">
        <f t="shared" si="1"/>
        <v>170.65178236397696</v>
      </c>
      <c r="F49" s="18">
        <f t="shared" si="2"/>
        <v>29122.030824002159</v>
      </c>
      <c r="G49" s="24">
        <f t="shared" si="3"/>
        <v>1.5758775728504659E-2</v>
      </c>
      <c r="I49" s="14">
        <v>21</v>
      </c>
      <c r="J49" s="6">
        <v>10829</v>
      </c>
      <c r="K49" s="17">
        <f t="shared" si="8"/>
        <v>10059.908857379276</v>
      </c>
      <c r="L49" s="17">
        <f t="shared" si="9"/>
        <v>5.3058421662677535</v>
      </c>
      <c r="M49" s="14">
        <v>1</v>
      </c>
      <c r="N49" s="18">
        <f t="shared" si="4"/>
        <v>10065.214699545544</v>
      </c>
      <c r="O49" s="18">
        <f t="shared" si="5"/>
        <v>763.78530045445586</v>
      </c>
      <c r="P49" s="18">
        <f t="shared" si="6"/>
        <v>583367.98519030341</v>
      </c>
      <c r="Q49" s="24">
        <f t="shared" si="7"/>
        <v>0.92946852890807496</v>
      </c>
      <c r="S49" s="18"/>
      <c r="T49" s="18"/>
      <c r="U49" s="24"/>
    </row>
    <row r="50" spans="2:21" ht="14.25" customHeight="1">
      <c r="B50" s="14">
        <v>22</v>
      </c>
      <c r="C50" s="10">
        <v>10666</v>
      </c>
      <c r="D50" s="18">
        <f t="shared" si="0"/>
        <v>10935.044652908067</v>
      </c>
      <c r="E50" s="18">
        <f t="shared" si="1"/>
        <v>269.04465290806729</v>
      </c>
      <c r="F50" s="18">
        <f t="shared" si="2"/>
        <v>72385.025258422407</v>
      </c>
      <c r="G50" s="24">
        <f t="shared" si="3"/>
        <v>2.5224512742177695E-2</v>
      </c>
      <c r="I50" s="14">
        <v>22</v>
      </c>
      <c r="J50" s="10">
        <v>10666</v>
      </c>
      <c r="K50" s="17">
        <f t="shared" si="8"/>
        <v>10215.411024659159</v>
      </c>
      <c r="L50" s="17">
        <f t="shared" si="9"/>
        <v>5.456038491381368</v>
      </c>
      <c r="M50" s="14">
        <v>1</v>
      </c>
      <c r="N50" s="18">
        <f t="shared" si="4"/>
        <v>10220.867063150541</v>
      </c>
      <c r="O50" s="18">
        <f t="shared" si="5"/>
        <v>445.13293684945893</v>
      </c>
      <c r="P50" s="18">
        <f t="shared" si="6"/>
        <v>198143.33146822438</v>
      </c>
      <c r="Q50" s="24">
        <f t="shared" si="7"/>
        <v>0.95826617880653864</v>
      </c>
      <c r="S50" s="18"/>
      <c r="T50" s="18"/>
      <c r="U50" s="24"/>
    </row>
    <row r="51" spans="2:21" ht="14.25" customHeight="1">
      <c r="B51" s="14">
        <v>23</v>
      </c>
      <c r="C51" s="8">
        <v>10884</v>
      </c>
      <c r="D51" s="18">
        <f t="shared" si="0"/>
        <v>11211.741088180112</v>
      </c>
      <c r="E51" s="18">
        <f t="shared" si="1"/>
        <v>327.74108818011155</v>
      </c>
      <c r="F51" s="18">
        <f t="shared" si="2"/>
        <v>107414.22088148365</v>
      </c>
      <c r="G51" s="24">
        <f t="shared" si="3"/>
        <v>3.0112191122759237E-2</v>
      </c>
      <c r="I51" s="14">
        <v>23</v>
      </c>
      <c r="J51" s="8">
        <v>10884</v>
      </c>
      <c r="K51" s="17">
        <f t="shared" si="8"/>
        <v>10386.650297362907</v>
      </c>
      <c r="L51" s="17">
        <f t="shared" si="9"/>
        <v>5.6218217255937342</v>
      </c>
      <c r="M51" s="14">
        <v>1</v>
      </c>
      <c r="N51" s="18">
        <f t="shared" si="4"/>
        <v>10392.2721190885</v>
      </c>
      <c r="O51" s="18">
        <f t="shared" si="5"/>
        <v>491.7278809114996</v>
      </c>
      <c r="P51" s="18">
        <f t="shared" si="6"/>
        <v>241796.30886571392</v>
      </c>
      <c r="Q51" s="24">
        <f t="shared" si="7"/>
        <v>0.95482103262481632</v>
      </c>
      <c r="S51" s="18"/>
      <c r="T51" s="18"/>
      <c r="U51" s="24"/>
    </row>
    <row r="52" spans="2:21" ht="14.25" customHeight="1">
      <c r="B52" s="14">
        <v>24</v>
      </c>
      <c r="C52" s="6">
        <v>11632</v>
      </c>
      <c r="D52" s="18">
        <f t="shared" si="0"/>
        <v>11488.437523452158</v>
      </c>
      <c r="E52" s="18">
        <f t="shared" si="1"/>
        <v>143.56247654784238</v>
      </c>
      <c r="F52" s="18">
        <f t="shared" si="2"/>
        <v>20610.184672549793</v>
      </c>
      <c r="G52" s="24">
        <f t="shared" si="3"/>
        <v>1.2342028589051099E-2</v>
      </c>
      <c r="I52" s="14">
        <v>24</v>
      </c>
      <c r="J52" s="6">
        <v>11632</v>
      </c>
      <c r="K52" s="17">
        <f t="shared" si="8"/>
        <v>10702.204089316376</v>
      </c>
      <c r="L52" s="17">
        <f t="shared" si="9"/>
        <v>5.9317536958216097</v>
      </c>
      <c r="M52" s="14">
        <v>1</v>
      </c>
      <c r="N52" s="18">
        <f t="shared" si="4"/>
        <v>10708.135843012198</v>
      </c>
      <c r="O52" s="18">
        <f t="shared" si="5"/>
        <v>923.86415698780183</v>
      </c>
      <c r="P52" s="18">
        <f t="shared" si="6"/>
        <v>853524.98056678171</v>
      </c>
      <c r="Q52" s="24">
        <f t="shared" si="7"/>
        <v>0.92057563987381341</v>
      </c>
      <c r="S52" s="18"/>
      <c r="T52" s="18"/>
      <c r="U52" s="24"/>
    </row>
    <row r="53" spans="2:21" ht="14.25" customHeight="1">
      <c r="B53" s="14">
        <v>25</v>
      </c>
      <c r="C53" s="10">
        <v>11702</v>
      </c>
      <c r="D53" s="18">
        <f t="shared" si="0"/>
        <v>11765.133958724204</v>
      </c>
      <c r="E53" s="18">
        <f t="shared" si="1"/>
        <v>63.133958724203694</v>
      </c>
      <c r="F53" s="18">
        <f t="shared" si="2"/>
        <v>3985.8967441894556</v>
      </c>
      <c r="G53" s="24">
        <f t="shared" si="3"/>
        <v>5.3951426016239697E-3</v>
      </c>
      <c r="I53" s="14">
        <v>25</v>
      </c>
      <c r="J53" s="10">
        <v>11702</v>
      </c>
      <c r="K53" s="17">
        <f t="shared" si="8"/>
        <v>10956.601882259149</v>
      </c>
      <c r="L53" s="17">
        <f t="shared" si="9"/>
        <v>6.1802197350685608</v>
      </c>
      <c r="M53" s="14">
        <v>1</v>
      </c>
      <c r="N53" s="18">
        <f t="shared" si="4"/>
        <v>10962.782101994217</v>
      </c>
      <c r="O53" s="18">
        <f t="shared" si="5"/>
        <v>739.21789800578335</v>
      </c>
      <c r="P53" s="18">
        <f t="shared" si="6"/>
        <v>546443.10073208867</v>
      </c>
      <c r="Q53" s="24">
        <f t="shared" si="7"/>
        <v>0.93682978140439388</v>
      </c>
      <c r="S53" s="18"/>
      <c r="T53" s="18"/>
      <c r="U53" s="24"/>
    </row>
    <row r="54" spans="2:21" ht="14.25" customHeight="1">
      <c r="B54" s="14">
        <v>26</v>
      </c>
      <c r="C54" s="8">
        <v>12265</v>
      </c>
      <c r="D54" s="18">
        <f t="shared" si="0"/>
        <v>12041.830393996248</v>
      </c>
      <c r="E54" s="18">
        <f t="shared" si="1"/>
        <v>223.16960600375205</v>
      </c>
      <c r="F54" s="18">
        <f t="shared" si="2"/>
        <v>49804.673043869923</v>
      </c>
      <c r="G54" s="24">
        <f t="shared" si="3"/>
        <v>1.8195646637077217E-2</v>
      </c>
      <c r="I54" s="14">
        <v>26</v>
      </c>
      <c r="J54" s="8">
        <v>12265</v>
      </c>
      <c r="K54" s="17">
        <f t="shared" si="8"/>
        <v>11288.336576495662</v>
      </c>
      <c r="L54" s="17">
        <f t="shared" si="9"/>
        <v>6.5057742095700046</v>
      </c>
      <c r="M54" s="14">
        <v>1</v>
      </c>
      <c r="N54" s="18">
        <f t="shared" si="4"/>
        <v>11294.842350705232</v>
      </c>
      <c r="O54" s="18">
        <f t="shared" si="5"/>
        <v>970.15764929476791</v>
      </c>
      <c r="P54" s="18">
        <f t="shared" si="6"/>
        <v>941205.86448514985</v>
      </c>
      <c r="Q54" s="24">
        <f t="shared" si="7"/>
        <v>0.92090031395884486</v>
      </c>
      <c r="S54" s="18"/>
      <c r="T54" s="18"/>
      <c r="U54" s="24"/>
    </row>
    <row r="55" spans="2:21" ht="14.25" customHeight="1">
      <c r="B55" s="14">
        <v>27</v>
      </c>
      <c r="C55" s="6">
        <v>12475</v>
      </c>
      <c r="D55" s="18">
        <f t="shared" si="0"/>
        <v>12318.526829268292</v>
      </c>
      <c r="E55" s="18">
        <f t="shared" si="1"/>
        <v>156.4731707317078</v>
      </c>
      <c r="F55" s="18">
        <f t="shared" si="2"/>
        <v>24483.853158834176</v>
      </c>
      <c r="G55" s="24">
        <f t="shared" si="3"/>
        <v>1.2542939537611847E-2</v>
      </c>
      <c r="I55" s="14">
        <v>27</v>
      </c>
      <c r="J55" s="6">
        <v>12475</v>
      </c>
      <c r="K55" s="17">
        <f t="shared" si="8"/>
        <v>11589.881763028923</v>
      </c>
      <c r="L55" s="17">
        <f t="shared" si="9"/>
        <v>6.8008136218936963</v>
      </c>
      <c r="M55" s="14">
        <v>1</v>
      </c>
      <c r="N55" s="18">
        <f t="shared" si="4"/>
        <v>11596.682576650817</v>
      </c>
      <c r="O55" s="18">
        <f t="shared" si="5"/>
        <v>878.31742334918272</v>
      </c>
      <c r="P55" s="18">
        <f t="shared" si="6"/>
        <v>771441.49615874747</v>
      </c>
      <c r="Q55" s="24">
        <f t="shared" si="7"/>
        <v>0.92959379371950435</v>
      </c>
      <c r="S55" s="18"/>
      <c r="T55" s="18"/>
      <c r="U55" s="24"/>
    </row>
    <row r="56" spans="2:21" ht="14.25" customHeight="1">
      <c r="B56" s="14">
        <v>28</v>
      </c>
      <c r="C56" s="10">
        <v>12594</v>
      </c>
      <c r="D56" s="18">
        <f t="shared" si="0"/>
        <v>12595.223264540338</v>
      </c>
      <c r="E56" s="18">
        <f t="shared" si="1"/>
        <v>1.2232645403382776</v>
      </c>
      <c r="F56" s="18">
        <f t="shared" si="2"/>
        <v>1.4963761356490175</v>
      </c>
      <c r="G56" s="24">
        <f t="shared" si="3"/>
        <v>9.7130740061797489E-5</v>
      </c>
      <c r="I56" s="14">
        <v>28</v>
      </c>
      <c r="J56" s="10">
        <v>12594</v>
      </c>
      <c r="K56" s="17">
        <f t="shared" si="8"/>
        <v>11846.011932488113</v>
      </c>
      <c r="L56" s="17">
        <f t="shared" si="9"/>
        <v>7.0501429777309923</v>
      </c>
      <c r="M56" s="14">
        <v>1</v>
      </c>
      <c r="N56" s="18">
        <f t="shared" si="4"/>
        <v>11853.062075465843</v>
      </c>
      <c r="O56" s="18">
        <f t="shared" si="5"/>
        <v>740.93792453415699</v>
      </c>
      <c r="P56" s="18">
        <f t="shared" si="6"/>
        <v>548989.00801298406</v>
      </c>
      <c r="Q56" s="24">
        <f t="shared" si="7"/>
        <v>0.94116738728488514</v>
      </c>
      <c r="S56" s="18"/>
      <c r="T56" s="18"/>
      <c r="U56" s="24"/>
    </row>
    <row r="57" spans="2:21" ht="14.25" customHeight="1">
      <c r="B57" s="14">
        <v>29</v>
      </c>
      <c r="C57" s="8">
        <v>12643</v>
      </c>
      <c r="D57" s="18">
        <f t="shared" si="0"/>
        <v>12871.919699812383</v>
      </c>
      <c r="E57" s="18">
        <f t="shared" si="1"/>
        <v>228.91969981238253</v>
      </c>
      <c r="F57" s="18">
        <f t="shared" si="2"/>
        <v>52404.22896219133</v>
      </c>
      <c r="G57" s="24">
        <f t="shared" si="3"/>
        <v>1.8106438330489798E-2</v>
      </c>
      <c r="I57" s="14">
        <v>29</v>
      </c>
      <c r="J57" s="8">
        <v>12643</v>
      </c>
      <c r="K57" s="17">
        <f t="shared" si="8"/>
        <v>12050.546556599382</v>
      </c>
      <c r="L57" s="17">
        <f t="shared" si="9"/>
        <v>7.24762745886453</v>
      </c>
      <c r="M57" s="14">
        <v>1</v>
      </c>
      <c r="N57" s="18">
        <f t="shared" si="4"/>
        <v>12057.794184058246</v>
      </c>
      <c r="O57" s="18">
        <f t="shared" si="5"/>
        <v>585.20581594175383</v>
      </c>
      <c r="P57" s="18">
        <f t="shared" si="6"/>
        <v>342465.84701205388</v>
      </c>
      <c r="Q57" s="24">
        <f t="shared" si="7"/>
        <v>0.9537130573485918</v>
      </c>
      <c r="S57" s="18"/>
      <c r="T57" s="18"/>
      <c r="U57" s="24"/>
    </row>
    <row r="58" spans="2:21" ht="14.25" customHeight="1">
      <c r="B58" s="14">
        <v>30</v>
      </c>
      <c r="C58" s="6">
        <v>12725</v>
      </c>
      <c r="D58" s="18">
        <f t="shared" si="0"/>
        <v>13148.616135084427</v>
      </c>
      <c r="E58" s="18">
        <f t="shared" si="1"/>
        <v>423.61613508442679</v>
      </c>
      <c r="F58" s="18">
        <f t="shared" si="2"/>
        <v>179450.62990386732</v>
      </c>
      <c r="G58" s="24">
        <f t="shared" si="3"/>
        <v>3.3290069554768313E-2</v>
      </c>
      <c r="I58" s="14">
        <v>30</v>
      </c>
      <c r="J58" s="6">
        <v>12725</v>
      </c>
      <c r="K58" s="17">
        <f t="shared" si="8"/>
        <v>12224.595638043684</v>
      </c>
      <c r="L58" s="17">
        <f t="shared" si="9"/>
        <v>7.4144289128499672</v>
      </c>
      <c r="M58" s="14">
        <v>1</v>
      </c>
      <c r="N58" s="18">
        <f t="shared" si="4"/>
        <v>12232.010066956535</v>
      </c>
      <c r="O58" s="18">
        <f t="shared" si="5"/>
        <v>492.9899330434655</v>
      </c>
      <c r="P58" s="18">
        <f t="shared" si="6"/>
        <v>243039.07408220059</v>
      </c>
      <c r="Q58" s="24">
        <f t="shared" si="7"/>
        <v>0.96125815850346052</v>
      </c>
      <c r="S58" s="18"/>
      <c r="T58" s="18"/>
      <c r="U58" s="24"/>
    </row>
    <row r="59" spans="2:21" ht="14.25" customHeight="1">
      <c r="B59" s="14">
        <v>31</v>
      </c>
      <c r="C59" s="10">
        <v>13328</v>
      </c>
      <c r="D59" s="18">
        <f t="shared" si="0"/>
        <v>13425.312570356473</v>
      </c>
      <c r="E59" s="18">
        <f t="shared" si="1"/>
        <v>97.312570356472861</v>
      </c>
      <c r="F59" s="18">
        <f t="shared" si="2"/>
        <v>9469.73634938348</v>
      </c>
      <c r="G59" s="24">
        <f t="shared" si="3"/>
        <v>7.3013633220642901E-3</v>
      </c>
      <c r="I59" s="14">
        <v>31</v>
      </c>
      <c r="J59" s="10">
        <v>13328</v>
      </c>
      <c r="K59" s="17">
        <f t="shared" si="8"/>
        <v>12506.0075502174</v>
      </c>
      <c r="L59" s="17">
        <f t="shared" si="9"/>
        <v>7.6884263961108337</v>
      </c>
      <c r="M59" s="14">
        <v>1</v>
      </c>
      <c r="N59" s="18">
        <f t="shared" si="4"/>
        <v>12513.695976613511</v>
      </c>
      <c r="O59" s="18">
        <f t="shared" si="5"/>
        <v>814.30402338648855</v>
      </c>
      <c r="P59" s="18">
        <f t="shared" si="6"/>
        <v>663091.04250342294</v>
      </c>
      <c r="Q59" s="24">
        <f t="shared" si="7"/>
        <v>0.93890275934975331</v>
      </c>
      <c r="S59" s="18"/>
      <c r="T59" s="18"/>
      <c r="U59" s="24"/>
    </row>
    <row r="60" spans="2:21" ht="14.25" customHeight="1">
      <c r="B60" s="14">
        <v>32</v>
      </c>
      <c r="C60" s="8">
        <v>14001</v>
      </c>
      <c r="D60" s="18">
        <f t="shared" si="0"/>
        <v>13702.009005628519</v>
      </c>
      <c r="E60" s="18">
        <f t="shared" si="1"/>
        <v>298.99099437148107</v>
      </c>
      <c r="F60" s="18">
        <f t="shared" si="2"/>
        <v>89395.614715247022</v>
      </c>
      <c r="G60" s="24">
        <f t="shared" si="3"/>
        <v>2.1354974242659888E-2</v>
      </c>
      <c r="I60" s="14">
        <v>32</v>
      </c>
      <c r="J60" s="8">
        <v>14001</v>
      </c>
      <c r="K60" s="17">
        <f t="shared" si="8"/>
        <v>12885.521982460134</v>
      </c>
      <c r="L60" s="17">
        <f t="shared" si="9"/>
        <v>8.060252401957456</v>
      </c>
      <c r="M60" s="14">
        <v>1</v>
      </c>
      <c r="N60" s="18">
        <f t="shared" si="4"/>
        <v>12893.582234862091</v>
      </c>
      <c r="O60" s="18">
        <f t="shared" si="5"/>
        <v>1107.4177651379086</v>
      </c>
      <c r="P60" s="18">
        <f t="shared" si="6"/>
        <v>1226374.1065430401</v>
      </c>
      <c r="Q60" s="24">
        <f t="shared" si="7"/>
        <v>0.92090438074866732</v>
      </c>
      <c r="S60" s="18"/>
      <c r="T60" s="18"/>
      <c r="U60" s="24"/>
    </row>
    <row r="61" spans="2:21" ht="14.25" customHeight="1">
      <c r="B61" s="14">
        <v>33</v>
      </c>
      <c r="C61" s="6">
        <v>14090</v>
      </c>
      <c r="D61" s="18">
        <f t="shared" si="0"/>
        <v>13978.705440900561</v>
      </c>
      <c r="E61" s="18">
        <f t="shared" si="1"/>
        <v>111.29455909943863</v>
      </c>
      <c r="F61" s="18">
        <f t="shared" si="2"/>
        <v>12386.478885138438</v>
      </c>
      <c r="G61" s="24">
        <f t="shared" si="3"/>
        <v>7.8988331511312022E-3</v>
      </c>
      <c r="I61" s="14">
        <v>33</v>
      </c>
      <c r="J61" s="6">
        <v>14090</v>
      </c>
      <c r="K61" s="17">
        <f t="shared" si="8"/>
        <v>13192.686676146568</v>
      </c>
      <c r="L61" s="17">
        <f t="shared" si="9"/>
        <v>8.3593568432419332</v>
      </c>
      <c r="M61" s="14">
        <v>1</v>
      </c>
      <c r="N61" s="18">
        <f t="shared" si="4"/>
        <v>13201.046032989811</v>
      </c>
      <c r="O61" s="18">
        <f t="shared" si="5"/>
        <v>888.95396701018944</v>
      </c>
      <c r="P61" s="18">
        <f t="shared" si="6"/>
        <v>790239.15546315303</v>
      </c>
      <c r="Q61" s="24">
        <f t="shared" si="7"/>
        <v>0.93690887388146282</v>
      </c>
      <c r="S61" s="18"/>
      <c r="T61" s="18"/>
      <c r="U61" s="24"/>
    </row>
    <row r="62" spans="2:21" ht="14.25" customHeight="1">
      <c r="B62" s="14">
        <v>34</v>
      </c>
      <c r="C62" s="10">
        <v>13934</v>
      </c>
      <c r="D62" s="18">
        <f t="shared" si="0"/>
        <v>14255.401876172607</v>
      </c>
      <c r="E62" s="18">
        <f t="shared" si="1"/>
        <v>321.40187617260744</v>
      </c>
      <c r="F62" s="18">
        <f t="shared" si="2"/>
        <v>103299.16600727208</v>
      </c>
      <c r="G62" s="24">
        <f t="shared" si="3"/>
        <v>2.3066016662308557E-2</v>
      </c>
      <c r="I62" s="14">
        <v>34</v>
      </c>
      <c r="J62" s="10">
        <v>13934</v>
      </c>
      <c r="K62" s="17">
        <f t="shared" si="8"/>
        <v>13384.284524742357</v>
      </c>
      <c r="L62" s="17">
        <f t="shared" si="9"/>
        <v>8.5425953349944805</v>
      </c>
      <c r="M62" s="14">
        <v>1</v>
      </c>
      <c r="N62" s="18">
        <f t="shared" si="4"/>
        <v>13392.827120077352</v>
      </c>
      <c r="O62" s="18">
        <f t="shared" si="5"/>
        <v>541.17287992264755</v>
      </c>
      <c r="P62" s="18">
        <f t="shared" si="6"/>
        <v>292868.08596377232</v>
      </c>
      <c r="Q62" s="24">
        <f t="shared" si="7"/>
        <v>0.96116169944576957</v>
      </c>
      <c r="S62" s="18"/>
      <c r="T62" s="18"/>
      <c r="U62" s="24"/>
    </row>
    <row r="63" spans="2:21" ht="14.25" customHeight="1">
      <c r="B63" s="14">
        <v>35</v>
      </c>
      <c r="C63" s="8">
        <v>14642</v>
      </c>
      <c r="D63" s="18">
        <f t="shared" si="0"/>
        <v>14532.098311444654</v>
      </c>
      <c r="E63" s="18">
        <f t="shared" si="1"/>
        <v>109.90168855534648</v>
      </c>
      <c r="F63" s="18">
        <f t="shared" si="2"/>
        <v>12078.381147316375</v>
      </c>
      <c r="G63" s="24">
        <f t="shared" si="3"/>
        <v>7.5059205405918917E-3</v>
      </c>
      <c r="I63" s="14">
        <v>35</v>
      </c>
      <c r="J63" s="8">
        <v>14642</v>
      </c>
      <c r="K63" s="17">
        <f t="shared" si="8"/>
        <v>13705.120340058014</v>
      </c>
      <c r="L63" s="17">
        <f t="shared" si="9"/>
        <v>8.8548885549751439</v>
      </c>
      <c r="M63" s="14">
        <v>1</v>
      </c>
      <c r="N63" s="18">
        <f t="shared" si="4"/>
        <v>13713.97522861299</v>
      </c>
      <c r="O63" s="18">
        <f t="shared" si="5"/>
        <v>928.02477138701033</v>
      </c>
      <c r="P63" s="18">
        <f t="shared" si="6"/>
        <v>861229.97630791285</v>
      </c>
      <c r="Q63" s="24">
        <f t="shared" si="7"/>
        <v>0.93661898843142943</v>
      </c>
      <c r="S63" s="18"/>
    </row>
    <row r="64" spans="2:21" ht="14.25" customHeight="1">
      <c r="B64" s="14">
        <v>36</v>
      </c>
      <c r="C64" s="6">
        <v>14987</v>
      </c>
      <c r="D64" s="18">
        <f t="shared" si="0"/>
        <v>14808.7947467167</v>
      </c>
      <c r="E64" s="18">
        <f t="shared" si="1"/>
        <v>178.20525328330041</v>
      </c>
      <c r="F64" s="18">
        <f t="shared" si="2"/>
        <v>31757.112297765252</v>
      </c>
      <c r="G64" s="24">
        <f t="shared" si="3"/>
        <v>1.1890655453613159E-2</v>
      </c>
      <c r="I64" s="14">
        <v>36</v>
      </c>
      <c r="J64" s="6">
        <v>14987</v>
      </c>
      <c r="K64" s="17">
        <f t="shared" si="8"/>
        <v>14032.231421459743</v>
      </c>
      <c r="L64" s="17">
        <f t="shared" si="9"/>
        <v>9.1731447478218975</v>
      </c>
      <c r="M64" s="14">
        <v>1</v>
      </c>
      <c r="N64" s="18">
        <f t="shared" si="4"/>
        <v>14041.404566207564</v>
      </c>
      <c r="O64" s="18">
        <f t="shared" si="5"/>
        <v>945.59543379243587</v>
      </c>
      <c r="P64" s="18">
        <f t="shared" si="6"/>
        <v>894150.72440910502</v>
      </c>
      <c r="Q64" s="24">
        <f t="shared" si="7"/>
        <v>0.93690562262010835</v>
      </c>
      <c r="S64" s="18"/>
    </row>
    <row r="65" spans="2:19" ht="14.25" customHeight="1">
      <c r="B65" s="14">
        <v>37</v>
      </c>
      <c r="C65" s="10">
        <v>14889</v>
      </c>
      <c r="D65" s="18">
        <f t="shared" si="0"/>
        <v>15085.491181988742</v>
      </c>
      <c r="E65" s="18">
        <f t="shared" si="1"/>
        <v>196.49118198874203</v>
      </c>
      <c r="F65" s="18">
        <f t="shared" si="2"/>
        <v>38608.784599332939</v>
      </c>
      <c r="G65" s="24">
        <f t="shared" si="3"/>
        <v>1.3197070453941973E-2</v>
      </c>
      <c r="I65" s="14">
        <v>37</v>
      </c>
      <c r="J65" s="10">
        <v>14889</v>
      </c>
      <c r="K65" s="17">
        <f t="shared" si="8"/>
        <v>14253.303424655673</v>
      </c>
      <c r="L65" s="17">
        <f t="shared" si="9"/>
        <v>9.3850436062700062</v>
      </c>
      <c r="M65" s="14">
        <v>1</v>
      </c>
      <c r="N65" s="18">
        <f t="shared" si="4"/>
        <v>14262.688468261942</v>
      </c>
      <c r="O65" s="18">
        <f t="shared" si="5"/>
        <v>626.31153173805797</v>
      </c>
      <c r="P65" s="18">
        <f t="shared" si="6"/>
        <v>392266.13478807238</v>
      </c>
      <c r="Q65" s="24">
        <f t="shared" si="7"/>
        <v>0.95793461402793623</v>
      </c>
      <c r="S65" s="18"/>
    </row>
    <row r="66" spans="2:19" ht="14.25" customHeight="1">
      <c r="B66" s="14">
        <v>38</v>
      </c>
      <c r="C66" s="8">
        <v>15482</v>
      </c>
      <c r="D66" s="18">
        <f t="shared" si="0"/>
        <v>15362.187617260788</v>
      </c>
      <c r="E66" s="18">
        <f t="shared" si="1"/>
        <v>119.8123827392119</v>
      </c>
      <c r="F66" s="18">
        <f t="shared" si="2"/>
        <v>14355.007057647401</v>
      </c>
      <c r="G66" s="24">
        <f t="shared" si="3"/>
        <v>7.7388181591016595E-3</v>
      </c>
      <c r="I66" s="14">
        <v>38</v>
      </c>
      <c r="J66" s="8">
        <v>15482</v>
      </c>
      <c r="K66" s="17">
        <f t="shared" si="8"/>
        <v>14567.516351196457</v>
      </c>
      <c r="L66" s="17">
        <f t="shared" si="9"/>
        <v>9.6898714892045188</v>
      </c>
      <c r="M66" s="14">
        <v>1</v>
      </c>
      <c r="N66" s="18">
        <f t="shared" si="4"/>
        <v>14577.206222685661</v>
      </c>
      <c r="O66" s="18">
        <f t="shared" si="5"/>
        <v>904.79377731433851</v>
      </c>
      <c r="P66" s="18">
        <f t="shared" si="6"/>
        <v>818651.77946674882</v>
      </c>
      <c r="Q66" s="24">
        <f t="shared" si="7"/>
        <v>0.94155834018122087</v>
      </c>
      <c r="S66" s="18"/>
    </row>
    <row r="67" spans="2:19" ht="14.25" customHeight="1">
      <c r="B67" s="14">
        <v>39</v>
      </c>
      <c r="C67" s="6">
        <v>15735</v>
      </c>
      <c r="D67" s="18">
        <f t="shared" si="0"/>
        <v>15638.884052532834</v>
      </c>
      <c r="E67" s="18">
        <f t="shared" si="1"/>
        <v>96.115947467165824</v>
      </c>
      <c r="F67" s="18">
        <f t="shared" si="2"/>
        <v>9238.27535751098</v>
      </c>
      <c r="G67" s="24">
        <f t="shared" si="3"/>
        <v>6.1084173795466047E-3</v>
      </c>
      <c r="I67" s="14">
        <v>39</v>
      </c>
      <c r="J67" s="6">
        <v>15735</v>
      </c>
      <c r="K67" s="17">
        <f t="shared" si="8"/>
        <v>14866.654667014245</v>
      </c>
      <c r="L67" s="17">
        <f t="shared" si="9"/>
        <v>9.9793199335331035</v>
      </c>
      <c r="M67" s="14">
        <v>1</v>
      </c>
      <c r="N67" s="18">
        <f t="shared" si="4"/>
        <v>14876.633986947778</v>
      </c>
      <c r="O67" s="18">
        <f t="shared" si="5"/>
        <v>858.36601305222212</v>
      </c>
      <c r="P67" s="18">
        <f t="shared" si="6"/>
        <v>736792.21236316755</v>
      </c>
      <c r="Q67" s="24">
        <f t="shared" si="7"/>
        <v>0.94544861690167004</v>
      </c>
      <c r="S67" s="18"/>
    </row>
    <row r="68" spans="2:19" ht="14.25" customHeight="1">
      <c r="B68" s="14">
        <v>40</v>
      </c>
      <c r="C68" s="10">
        <v>15657</v>
      </c>
      <c r="D68" s="18">
        <f t="shared" si="0"/>
        <v>15915.58048780488</v>
      </c>
      <c r="E68" s="18">
        <f t="shared" si="1"/>
        <v>258.58048780488025</v>
      </c>
      <c r="F68" s="18">
        <f t="shared" si="2"/>
        <v>66863.86867340983</v>
      </c>
      <c r="G68" s="24">
        <f t="shared" si="3"/>
        <v>1.6515327828120346E-2</v>
      </c>
      <c r="I68" s="14">
        <v>40</v>
      </c>
      <c r="J68" s="10">
        <v>15657</v>
      </c>
      <c r="K68" s="17">
        <f t="shared" si="8"/>
        <v>15071.725490210833</v>
      </c>
      <c r="L68" s="17">
        <f t="shared" si="9"/>
        <v>10.174411436796158</v>
      </c>
      <c r="M68" s="14">
        <v>1</v>
      </c>
      <c r="N68" s="18">
        <f t="shared" si="4"/>
        <v>15081.899901647628</v>
      </c>
      <c r="O68" s="18">
        <f t="shared" si="5"/>
        <v>575.10009835237179</v>
      </c>
      <c r="P68" s="18">
        <f t="shared" si="6"/>
        <v>330740.12312490772</v>
      </c>
      <c r="Q68" s="24">
        <f t="shared" si="7"/>
        <v>0.96326881916380069</v>
      </c>
      <c r="S68" s="18"/>
    </row>
    <row r="69" spans="2:19" ht="14.25" customHeight="1">
      <c r="B69" s="14">
        <v>41</v>
      </c>
      <c r="C69" s="33"/>
      <c r="D69" s="18">
        <f t="shared" si="0"/>
        <v>16192.276923076923</v>
      </c>
      <c r="E69" s="14"/>
      <c r="F69" s="14"/>
      <c r="G69" s="14"/>
      <c r="I69" s="14">
        <v>41</v>
      </c>
      <c r="J69" s="33"/>
      <c r="K69" s="17">
        <f t="shared" si="8"/>
        <v>11311.424926235721</v>
      </c>
      <c r="L69" s="17">
        <f t="shared" si="9"/>
        <v>6.4039364613842489</v>
      </c>
      <c r="M69" s="14">
        <v>1</v>
      </c>
      <c r="N69" s="18">
        <f t="shared" si="4"/>
        <v>11317.828862697104</v>
      </c>
      <c r="O69" s="18">
        <f t="shared" si="5"/>
        <v>11317.828862697104</v>
      </c>
      <c r="P69" s="18">
        <f t="shared" si="6"/>
        <v>128093250.16529962</v>
      </c>
      <c r="Q69" s="14"/>
      <c r="S69" s="18"/>
    </row>
    <row r="70" spans="2:19" ht="14.25" customHeight="1">
      <c r="B70" s="14">
        <v>42</v>
      </c>
      <c r="C70" s="33"/>
      <c r="D70" s="18">
        <f t="shared" si="0"/>
        <v>16468.973358348969</v>
      </c>
      <c r="E70" s="14"/>
      <c r="F70" s="14"/>
      <c r="G70" s="14"/>
      <c r="I70" s="14">
        <v>42</v>
      </c>
      <c r="J70" s="33"/>
      <c r="K70" s="17">
        <f t="shared" si="8"/>
        <v>8488.3716470228283</v>
      </c>
      <c r="L70" s="17">
        <f t="shared" si="9"/>
        <v>3.5744792457099717</v>
      </c>
      <c r="M70" s="14">
        <v>2</v>
      </c>
      <c r="N70" s="18">
        <f t="shared" si="4"/>
        <v>8495.520605514248</v>
      </c>
      <c r="O70" s="18">
        <f t="shared" si="5"/>
        <v>8495.520605514248</v>
      </c>
      <c r="P70" s="18">
        <f t="shared" si="6"/>
        <v>72173870.358717173</v>
      </c>
      <c r="Q70" s="14"/>
      <c r="S70" s="18"/>
    </row>
    <row r="71" spans="2:19" ht="14.25" customHeight="1">
      <c r="B71" s="14">
        <v>43</v>
      </c>
      <c r="C71" s="33"/>
      <c r="D71" s="18">
        <f t="shared" si="0"/>
        <v>16745.669793621015</v>
      </c>
      <c r="E71" s="14"/>
      <c r="F71" s="14"/>
      <c r="G71" s="14"/>
      <c r="I71" s="14">
        <v>43</v>
      </c>
      <c r="J71" s="33"/>
      <c r="K71" s="17">
        <f>K$20*J71+(1-K$20)*(K70+L70)</f>
        <v>6368.9595947014041</v>
      </c>
      <c r="L71" s="17">
        <f t="shared" si="9"/>
        <v>1.4514927141428373</v>
      </c>
      <c r="M71" s="14">
        <v>3</v>
      </c>
      <c r="N71" s="18">
        <f t="shared" si="4"/>
        <v>6373.3140728438329</v>
      </c>
      <c r="O71" s="18">
        <f t="shared" si="5"/>
        <v>6373.3140728438329</v>
      </c>
      <c r="P71" s="18">
        <f t="shared" si="6"/>
        <v>40619132.271109246</v>
      </c>
      <c r="Q71" s="14"/>
      <c r="S71" s="18"/>
    </row>
    <row r="72" spans="2:19" ht="14.25" customHeight="1">
      <c r="B72" s="14">
        <v>44</v>
      </c>
      <c r="C72" s="33"/>
      <c r="D72" s="18">
        <f t="shared" si="0"/>
        <v>17022.366228893057</v>
      </c>
      <c r="E72" s="14"/>
      <c r="F72" s="14"/>
      <c r="G72" s="14"/>
      <c r="I72" s="14">
        <v>44</v>
      </c>
      <c r="J72" s="33"/>
      <c r="K72" s="17">
        <f t="shared" si="8"/>
        <v>4777.8083155616605</v>
      </c>
      <c r="L72" s="17">
        <f t="shared" si="9"/>
        <v>-0.14111005771104912</v>
      </c>
      <c r="M72" s="14">
        <v>4</v>
      </c>
      <c r="N72" s="18">
        <f t="shared" si="4"/>
        <v>4777.2438753308161</v>
      </c>
      <c r="O72" s="18">
        <f t="shared" si="5"/>
        <v>4777.2438753308161</v>
      </c>
      <c r="P72" s="18">
        <f t="shared" si="6"/>
        <v>22822059.044385795</v>
      </c>
      <c r="Q72" s="14"/>
      <c r="S72" s="18"/>
    </row>
    <row r="73" spans="2:19" ht="14.25" customHeight="1">
      <c r="B73" s="14">
        <v>45</v>
      </c>
      <c r="C73" s="33"/>
      <c r="D73" s="18">
        <f t="shared" si="0"/>
        <v>17299.062664165103</v>
      </c>
      <c r="E73" s="14"/>
      <c r="F73" s="14"/>
      <c r="G73" s="14"/>
      <c r="I73" s="14">
        <v>45</v>
      </c>
      <c r="J73" s="33"/>
      <c r="K73" s="17">
        <f t="shared" si="8"/>
        <v>3583.2504041279626</v>
      </c>
      <c r="L73" s="17">
        <f t="shared" si="9"/>
        <v>-1.3355268590870359</v>
      </c>
      <c r="M73" s="14">
        <v>5</v>
      </c>
      <c r="N73" s="18">
        <f t="shared" si="4"/>
        <v>3576.5727698325272</v>
      </c>
      <c r="O73" s="18">
        <f t="shared" si="5"/>
        <v>3576.5727698325272</v>
      </c>
      <c r="P73" s="18">
        <f t="shared" si="6"/>
        <v>12791872.777907515</v>
      </c>
      <c r="Q73" s="14"/>
      <c r="S73" s="18"/>
    </row>
    <row r="74" spans="2:19" ht="14.25" customHeight="1">
      <c r="B74" s="14">
        <v>46</v>
      </c>
      <c r="C74" s="33"/>
      <c r="D74" s="18">
        <f t="shared" si="0"/>
        <v>17575.759099437149</v>
      </c>
      <c r="E74" s="14"/>
      <c r="F74" s="14"/>
      <c r="G74" s="14"/>
      <c r="I74" s="14">
        <v>46</v>
      </c>
      <c r="J74" s="33"/>
      <c r="K74" s="17">
        <f t="shared" si="8"/>
        <v>2686.4361579516567</v>
      </c>
      <c r="L74" s="17">
        <f t="shared" si="9"/>
        <v>-2.2310055784042548</v>
      </c>
      <c r="M74" s="14">
        <v>6</v>
      </c>
      <c r="N74" s="18">
        <f t="shared" si="4"/>
        <v>2673.0501244812313</v>
      </c>
      <c r="O74" s="18">
        <f t="shared" si="5"/>
        <v>2673.0501244812313</v>
      </c>
      <c r="P74" s="18">
        <f t="shared" si="6"/>
        <v>7145196.9679891262</v>
      </c>
      <c r="Q74" s="14"/>
      <c r="S74" s="18"/>
    </row>
    <row r="75" spans="2:19" ht="14.25" customHeight="1">
      <c r="B75" s="20"/>
      <c r="C75" s="20"/>
      <c r="D75" s="20"/>
      <c r="E75" s="20"/>
      <c r="F75" s="20"/>
      <c r="G75" s="20"/>
      <c r="I75" s="2"/>
      <c r="J75" s="2"/>
      <c r="K75" s="2"/>
      <c r="L75" s="2"/>
      <c r="M75" s="2"/>
      <c r="N75" s="2"/>
      <c r="O75" s="2"/>
      <c r="P75" s="2"/>
      <c r="Q75" s="2"/>
    </row>
    <row r="76" spans="2:19" ht="14.25" customHeight="1">
      <c r="I76" s="14"/>
      <c r="J76" s="14"/>
      <c r="K76" s="14"/>
      <c r="L76" s="14"/>
      <c r="M76" s="14"/>
      <c r="N76" s="14"/>
      <c r="O76" s="14"/>
      <c r="P76" s="14"/>
      <c r="Q76" s="14"/>
    </row>
    <row r="77" spans="2:19" ht="14.25" customHeight="1">
      <c r="I77" s="14"/>
      <c r="J77" s="14"/>
      <c r="K77" s="14"/>
      <c r="L77" s="14"/>
      <c r="M77" s="14"/>
      <c r="N77" s="14"/>
      <c r="O77" s="14"/>
      <c r="P77" s="14"/>
      <c r="Q77" s="14"/>
    </row>
    <row r="78" spans="2:19" ht="14.25" customHeight="1">
      <c r="I78" s="14"/>
      <c r="J78" s="14"/>
      <c r="K78" s="14"/>
      <c r="L78" s="14"/>
      <c r="M78" s="14"/>
      <c r="N78" s="14"/>
      <c r="O78" s="14"/>
      <c r="P78" s="14"/>
      <c r="Q78" s="14"/>
    </row>
    <row r="79" spans="2:19" ht="14.25" customHeight="1">
      <c r="I79" s="14"/>
      <c r="J79" s="14"/>
      <c r="K79" s="14"/>
      <c r="L79" s="14"/>
      <c r="M79" s="14"/>
      <c r="N79" s="14"/>
      <c r="O79" s="14"/>
      <c r="P79" s="14"/>
      <c r="Q79" s="14"/>
    </row>
    <row r="80" spans="2:19" ht="14.25" customHeight="1">
      <c r="I80" s="14"/>
      <c r="J80" s="14"/>
      <c r="K80" s="14"/>
      <c r="L80" s="14"/>
      <c r="M80" s="14"/>
      <c r="N80" s="14"/>
      <c r="O80" s="14"/>
      <c r="P80" s="14"/>
      <c r="Q80" s="14"/>
    </row>
    <row r="81" spans="9:17" ht="14.25" customHeight="1">
      <c r="I81" s="14"/>
      <c r="J81" s="14"/>
      <c r="K81" s="14"/>
      <c r="L81" s="14"/>
      <c r="M81" s="14"/>
      <c r="N81" s="14"/>
      <c r="O81" s="14"/>
      <c r="P81" s="14"/>
      <c r="Q81" s="14"/>
    </row>
    <row r="82" spans="9:17" ht="14.25" customHeight="1">
      <c r="I82" s="14"/>
      <c r="J82" s="14"/>
      <c r="K82" s="14"/>
      <c r="L82" s="14"/>
      <c r="M82" s="14"/>
      <c r="N82" s="14"/>
      <c r="O82" s="14"/>
      <c r="P82" s="14"/>
      <c r="Q82" s="14"/>
    </row>
    <row r="83" spans="9:17" ht="14.25" customHeight="1">
      <c r="I83" s="14"/>
      <c r="J83" s="14"/>
      <c r="K83" s="14"/>
      <c r="L83" s="14"/>
      <c r="M83" s="14"/>
      <c r="N83" s="14"/>
      <c r="O83" s="14"/>
      <c r="P83" s="14"/>
      <c r="Q83" s="14"/>
    </row>
    <row r="84" spans="9:17" ht="14.25" customHeight="1">
      <c r="I84" s="14"/>
      <c r="J84" s="14"/>
      <c r="K84" s="14"/>
      <c r="L84" s="14"/>
      <c r="M84" s="14"/>
      <c r="N84" s="14"/>
      <c r="O84" s="14"/>
      <c r="P84" s="14"/>
      <c r="Q84" s="14"/>
    </row>
    <row r="85" spans="9:17" ht="14.25" customHeight="1">
      <c r="I85" s="14"/>
      <c r="J85" s="14"/>
      <c r="K85" s="14"/>
      <c r="L85" s="14"/>
      <c r="M85" s="14"/>
      <c r="N85" s="14"/>
      <c r="O85" s="14"/>
      <c r="P85" s="14"/>
      <c r="Q85" s="14"/>
    </row>
    <row r="86" spans="9:17" ht="14.25" customHeight="1">
      <c r="I86" s="14"/>
      <c r="J86" s="14"/>
      <c r="K86" s="14"/>
      <c r="L86" s="14"/>
      <c r="M86" s="14"/>
      <c r="N86" s="14"/>
      <c r="O86" s="14"/>
      <c r="P86" s="14"/>
      <c r="Q86" s="14"/>
    </row>
    <row r="87" spans="9:17" ht="14.25" customHeight="1">
      <c r="I87" s="14"/>
      <c r="J87" s="14"/>
      <c r="K87" s="14"/>
      <c r="L87" s="14"/>
      <c r="M87" s="14"/>
      <c r="N87" s="14"/>
      <c r="O87" s="14"/>
      <c r="P87" s="14"/>
      <c r="Q87" s="14"/>
    </row>
    <row r="88" spans="9:17" ht="14.25" customHeight="1">
      <c r="I88" s="14"/>
      <c r="J88" s="14"/>
      <c r="K88" s="14"/>
      <c r="L88" s="14"/>
      <c r="M88" s="14"/>
      <c r="N88" s="14"/>
      <c r="O88" s="14"/>
      <c r="P88" s="14"/>
      <c r="Q88" s="14"/>
    </row>
    <row r="89" spans="9:17" ht="14.25" customHeight="1">
      <c r="I89" s="14"/>
      <c r="J89" s="14"/>
      <c r="K89" s="14"/>
      <c r="L89" s="14"/>
      <c r="M89" s="14"/>
      <c r="N89" s="14"/>
      <c r="O89" s="14"/>
      <c r="P89" s="14"/>
      <c r="Q89" s="14"/>
    </row>
    <row r="90" spans="9:17" ht="14.25" customHeight="1">
      <c r="I90" s="14"/>
      <c r="J90" s="14"/>
      <c r="K90" s="14"/>
      <c r="L90" s="14"/>
      <c r="M90" s="14"/>
      <c r="N90" s="14"/>
      <c r="O90" s="14"/>
      <c r="P90" s="14"/>
      <c r="Q90" s="14"/>
    </row>
    <row r="91" spans="9:17" ht="14.25" customHeight="1">
      <c r="I91" s="14"/>
      <c r="J91" s="14"/>
      <c r="K91" s="14"/>
      <c r="L91" s="14"/>
      <c r="M91" s="14"/>
      <c r="N91" s="14"/>
      <c r="O91" s="14"/>
      <c r="P91" s="14"/>
      <c r="Q91" s="14"/>
    </row>
    <row r="92" spans="9:17" ht="14.25" customHeight="1">
      <c r="I92" s="14"/>
      <c r="J92" s="14"/>
      <c r="K92" s="14"/>
      <c r="L92" s="14"/>
      <c r="M92" s="14"/>
      <c r="N92" s="14"/>
      <c r="O92" s="14"/>
      <c r="P92" s="14"/>
      <c r="Q92" s="14"/>
    </row>
    <row r="93" spans="9:17" ht="14.25" customHeight="1">
      <c r="I93" s="14"/>
      <c r="J93" s="14"/>
      <c r="K93" s="14"/>
      <c r="L93" s="14"/>
      <c r="M93" s="14"/>
      <c r="N93" s="14"/>
      <c r="O93" s="14"/>
      <c r="P93" s="14"/>
      <c r="Q93" s="14"/>
    </row>
    <row r="94" spans="9:17" ht="14.25" customHeight="1">
      <c r="I94" s="14"/>
      <c r="J94" s="14"/>
      <c r="K94" s="14"/>
      <c r="L94" s="14"/>
      <c r="M94" s="14"/>
      <c r="N94" s="14"/>
      <c r="O94" s="14"/>
      <c r="P94" s="14"/>
      <c r="Q94" s="14"/>
    </row>
    <row r="95" spans="9:17" ht="14.25" customHeight="1">
      <c r="I95" s="14"/>
      <c r="J95" s="14"/>
      <c r="K95" s="14"/>
      <c r="L95" s="14"/>
      <c r="M95" s="14"/>
      <c r="N95" s="14"/>
      <c r="O95" s="14"/>
      <c r="P95" s="14"/>
      <c r="Q95" s="14"/>
    </row>
    <row r="96" spans="9:17" ht="14.25" customHeight="1">
      <c r="I96" s="14"/>
      <c r="J96" s="14"/>
      <c r="K96" s="14"/>
      <c r="L96" s="14"/>
      <c r="M96" s="14"/>
      <c r="N96" s="14"/>
      <c r="O96" s="14"/>
      <c r="P96" s="14"/>
      <c r="Q96" s="14"/>
    </row>
    <row r="97" spans="9:17" ht="14.25" customHeight="1">
      <c r="I97" s="14"/>
      <c r="J97" s="14"/>
      <c r="K97" s="14"/>
      <c r="L97" s="14"/>
      <c r="M97" s="14"/>
      <c r="N97" s="14"/>
      <c r="O97" s="14"/>
      <c r="P97" s="14"/>
      <c r="Q97" s="14"/>
    </row>
    <row r="98" spans="9:17" ht="14.25" customHeight="1">
      <c r="I98" s="14"/>
      <c r="J98" s="14"/>
      <c r="K98" s="14"/>
      <c r="L98" s="14"/>
      <c r="M98" s="14"/>
      <c r="N98" s="14"/>
      <c r="O98" s="14"/>
      <c r="P98" s="14"/>
      <c r="Q98" s="14"/>
    </row>
    <row r="99" spans="9:17" ht="14.25" customHeight="1">
      <c r="I99" s="14"/>
      <c r="J99" s="14"/>
      <c r="K99" s="14"/>
      <c r="L99" s="14"/>
      <c r="M99" s="14"/>
      <c r="N99" s="14"/>
      <c r="O99" s="14"/>
      <c r="P99" s="14"/>
      <c r="Q99" s="14"/>
    </row>
    <row r="100" spans="9:17" ht="14.25" customHeight="1"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9:17" ht="14.25" customHeight="1"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9:17" ht="14.25" customHeight="1"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9:17" ht="14.25" customHeight="1"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9:17" ht="14.25" customHeight="1"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9:17" ht="14.25" customHeight="1"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9:17" ht="14.25" customHeight="1"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9:17" ht="14.25" customHeight="1"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9:17" ht="14.25" customHeight="1"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9:17" ht="14.25" customHeight="1"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9:17" ht="14.25" customHeight="1"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9:17" ht="14.25" customHeight="1"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9:17" ht="14.25" customHeight="1">
      <c r="I112" s="14"/>
      <c r="J112" s="14"/>
      <c r="K112" s="14"/>
      <c r="L112" s="14"/>
      <c r="M112" s="14"/>
      <c r="N112" s="14"/>
      <c r="O112" s="14"/>
      <c r="P112" s="14"/>
      <c r="Q112" s="14"/>
    </row>
    <row r="113" spans="9:17" ht="14.25" customHeight="1">
      <c r="I113" s="14"/>
      <c r="J113" s="14"/>
      <c r="K113" s="14"/>
      <c r="L113" s="14"/>
      <c r="M113" s="14"/>
      <c r="N113" s="14"/>
      <c r="O113" s="14"/>
      <c r="P113" s="14"/>
      <c r="Q113" s="14"/>
    </row>
    <row r="114" spans="9:17" ht="14.25" customHeight="1">
      <c r="I114" s="14"/>
      <c r="J114" s="14"/>
      <c r="K114" s="14"/>
      <c r="L114" s="14"/>
      <c r="M114" s="14"/>
      <c r="N114" s="14"/>
      <c r="O114" s="14"/>
      <c r="P114" s="14"/>
      <c r="Q114" s="14"/>
    </row>
    <row r="115" spans="9:17" ht="14.25" customHeight="1">
      <c r="I115" s="14"/>
      <c r="J115" s="14"/>
      <c r="K115" s="14"/>
      <c r="L115" s="14"/>
      <c r="M115" s="14"/>
      <c r="N115" s="14"/>
      <c r="O115" s="14"/>
      <c r="P115" s="14"/>
      <c r="Q115" s="14"/>
    </row>
    <row r="116" spans="9:17" ht="14.25" customHeight="1">
      <c r="I116" s="14"/>
      <c r="J116" s="14"/>
      <c r="K116" s="14"/>
      <c r="L116" s="14"/>
      <c r="M116" s="14"/>
      <c r="N116" s="14"/>
      <c r="O116" s="14"/>
      <c r="P116" s="14"/>
      <c r="Q116" s="14"/>
    </row>
    <row r="117" spans="9:17" ht="14.25" customHeight="1">
      <c r="I117" s="14"/>
      <c r="J117" s="14"/>
      <c r="K117" s="14"/>
      <c r="L117" s="14"/>
      <c r="M117" s="14"/>
      <c r="N117" s="14"/>
      <c r="O117" s="14"/>
      <c r="P117" s="14"/>
      <c r="Q117" s="14"/>
    </row>
    <row r="118" spans="9:17" ht="14.25" customHeight="1">
      <c r="I118" s="14"/>
      <c r="J118" s="14"/>
      <c r="K118" s="14"/>
      <c r="L118" s="14"/>
      <c r="M118" s="14"/>
      <c r="N118" s="14"/>
      <c r="O118" s="14"/>
      <c r="P118" s="14"/>
      <c r="Q118" s="14"/>
    </row>
    <row r="119" spans="9:17" ht="14.25" customHeight="1">
      <c r="I119" s="14"/>
      <c r="J119" s="14"/>
      <c r="K119" s="14"/>
      <c r="L119" s="14"/>
      <c r="M119" s="14"/>
      <c r="N119" s="14"/>
      <c r="O119" s="14"/>
      <c r="P119" s="14"/>
      <c r="Q119" s="14"/>
    </row>
    <row r="120" spans="9:17" ht="14.25" customHeight="1">
      <c r="I120" s="14"/>
      <c r="J120" s="14"/>
      <c r="K120" s="14"/>
      <c r="L120" s="14"/>
      <c r="M120" s="14"/>
      <c r="N120" s="14"/>
      <c r="O120" s="14"/>
      <c r="P120" s="14"/>
      <c r="Q120" s="14"/>
    </row>
    <row r="121" spans="9:17" ht="14.25" customHeight="1">
      <c r="I121" s="14"/>
      <c r="J121" s="14"/>
      <c r="K121" s="14"/>
      <c r="L121" s="14"/>
      <c r="M121" s="14"/>
      <c r="N121" s="14"/>
      <c r="O121" s="14"/>
      <c r="P121" s="14"/>
      <c r="Q121" s="14"/>
    </row>
    <row r="122" spans="9:17" ht="14.25" customHeight="1">
      <c r="I122" s="14"/>
      <c r="J122" s="14"/>
      <c r="K122" s="14"/>
      <c r="L122" s="14"/>
      <c r="M122" s="14"/>
      <c r="N122" s="14"/>
      <c r="O122" s="14"/>
      <c r="P122" s="14"/>
      <c r="Q122" s="14"/>
    </row>
    <row r="123" spans="9:17" ht="14.25" customHeight="1">
      <c r="I123" s="14"/>
      <c r="J123" s="14"/>
      <c r="K123" s="14"/>
      <c r="L123" s="14"/>
      <c r="M123" s="14"/>
      <c r="N123" s="14"/>
      <c r="O123" s="14"/>
      <c r="P123" s="14"/>
      <c r="Q123" s="14"/>
    </row>
    <row r="124" spans="9:17" ht="14.25" customHeight="1">
      <c r="I124" s="14"/>
      <c r="J124" s="14"/>
      <c r="K124" s="14"/>
      <c r="L124" s="14"/>
      <c r="M124" s="14"/>
      <c r="N124" s="14"/>
      <c r="O124" s="14"/>
      <c r="P124" s="14"/>
      <c r="Q124" s="14"/>
    </row>
    <row r="125" spans="9:17" ht="14.25" customHeight="1">
      <c r="I125" s="14"/>
      <c r="J125" s="14"/>
      <c r="K125" s="14"/>
      <c r="L125" s="14"/>
      <c r="M125" s="14"/>
      <c r="N125" s="14"/>
      <c r="O125" s="14"/>
      <c r="P125" s="14"/>
      <c r="Q125" s="14"/>
    </row>
    <row r="126" spans="9:17" ht="14.25" customHeight="1">
      <c r="I126" s="14"/>
      <c r="J126" s="14"/>
      <c r="K126" s="14"/>
      <c r="L126" s="14"/>
      <c r="M126" s="14"/>
      <c r="N126" s="14"/>
      <c r="O126" s="14"/>
      <c r="P126" s="14"/>
      <c r="Q126" s="14"/>
    </row>
    <row r="127" spans="9:17" ht="14.25" customHeight="1">
      <c r="I127" s="14"/>
      <c r="J127" s="14"/>
      <c r="K127" s="14"/>
      <c r="L127" s="14"/>
      <c r="M127" s="14"/>
      <c r="N127" s="14"/>
      <c r="O127" s="14"/>
      <c r="P127" s="14"/>
      <c r="Q127" s="14"/>
    </row>
    <row r="128" spans="9:17" ht="14.25" customHeight="1">
      <c r="I128" s="14"/>
      <c r="J128" s="14"/>
      <c r="K128" s="14"/>
      <c r="L128" s="14"/>
      <c r="M128" s="14"/>
      <c r="N128" s="14"/>
      <c r="O128" s="14"/>
      <c r="P128" s="14"/>
      <c r="Q128" s="14"/>
    </row>
    <row r="129" spans="9:17" ht="14.25" customHeight="1">
      <c r="I129" s="14"/>
      <c r="J129" s="14"/>
      <c r="K129" s="14"/>
      <c r="L129" s="14"/>
      <c r="M129" s="14"/>
      <c r="N129" s="14"/>
      <c r="O129" s="14"/>
      <c r="P129" s="14"/>
      <c r="Q129" s="14"/>
    </row>
    <row r="130" spans="9:17" ht="14.25" customHeight="1">
      <c r="I130" s="14"/>
      <c r="J130" s="14"/>
      <c r="K130" s="14"/>
      <c r="L130" s="14"/>
      <c r="M130" s="14"/>
      <c r="N130" s="14"/>
      <c r="O130" s="14"/>
      <c r="P130" s="14"/>
      <c r="Q130" s="14"/>
    </row>
    <row r="131" spans="9:17" ht="14.25" customHeight="1">
      <c r="I131" s="14"/>
      <c r="J131" s="14"/>
      <c r="K131" s="14"/>
      <c r="L131" s="14"/>
      <c r="M131" s="14"/>
      <c r="N131" s="14"/>
      <c r="O131" s="14"/>
      <c r="P131" s="14"/>
      <c r="Q131" s="14"/>
    </row>
    <row r="132" spans="9:17" ht="14.25" customHeight="1">
      <c r="I132" s="14"/>
      <c r="J132" s="14"/>
      <c r="K132" s="14"/>
      <c r="L132" s="14"/>
      <c r="M132" s="14"/>
      <c r="N132" s="14"/>
      <c r="O132" s="14"/>
      <c r="P132" s="14"/>
      <c r="Q132" s="14"/>
    </row>
    <row r="133" spans="9:17" ht="14.25" customHeight="1">
      <c r="I133" s="14"/>
      <c r="J133" s="14"/>
      <c r="K133" s="14"/>
      <c r="L133" s="14"/>
      <c r="M133" s="14"/>
      <c r="N133" s="14"/>
      <c r="O133" s="14"/>
      <c r="P133" s="14"/>
      <c r="Q133" s="14"/>
    </row>
    <row r="134" spans="9:17" ht="14.25" customHeight="1">
      <c r="I134" s="14"/>
      <c r="J134" s="14"/>
      <c r="K134" s="14"/>
      <c r="L134" s="14"/>
      <c r="M134" s="14"/>
      <c r="N134" s="14"/>
      <c r="O134" s="14"/>
      <c r="P134" s="14"/>
      <c r="Q134" s="14"/>
    </row>
    <row r="135" spans="9:17" ht="14.25" customHeight="1">
      <c r="I135" s="14"/>
      <c r="J135" s="14"/>
      <c r="K135" s="14"/>
      <c r="L135" s="14"/>
      <c r="M135" s="14"/>
      <c r="N135" s="14"/>
      <c r="O135" s="14"/>
      <c r="P135" s="14"/>
      <c r="Q135" s="14"/>
    </row>
    <row r="136" spans="9:17" ht="14.25" customHeight="1">
      <c r="I136" s="14"/>
      <c r="J136" s="14"/>
      <c r="K136" s="14"/>
      <c r="L136" s="14"/>
      <c r="M136" s="14"/>
      <c r="N136" s="14"/>
      <c r="O136" s="14"/>
      <c r="P136" s="14"/>
      <c r="Q136" s="14"/>
    </row>
    <row r="137" spans="9:17" ht="14.25" customHeight="1">
      <c r="I137" s="14"/>
      <c r="J137" s="14"/>
      <c r="K137" s="14"/>
      <c r="L137" s="14"/>
      <c r="M137" s="14"/>
      <c r="N137" s="14"/>
      <c r="O137" s="14"/>
      <c r="P137" s="14"/>
      <c r="Q137" s="14"/>
    </row>
    <row r="138" spans="9:17" ht="14.25" customHeight="1">
      <c r="I138" s="14"/>
      <c r="J138" s="14"/>
      <c r="K138" s="14"/>
      <c r="L138" s="14"/>
      <c r="M138" s="14"/>
      <c r="N138" s="14"/>
      <c r="O138" s="14"/>
      <c r="P138" s="14"/>
      <c r="Q138" s="14"/>
    </row>
    <row r="139" spans="9:17" ht="14.25" customHeight="1">
      <c r="I139" s="14"/>
      <c r="J139" s="14"/>
      <c r="K139" s="14"/>
      <c r="L139" s="14"/>
      <c r="M139" s="14"/>
      <c r="N139" s="14"/>
      <c r="O139" s="14"/>
      <c r="P139" s="14"/>
      <c r="Q139" s="14"/>
    </row>
    <row r="140" spans="9:17" ht="14.25" customHeight="1">
      <c r="I140" s="14"/>
      <c r="J140" s="14"/>
      <c r="K140" s="14"/>
      <c r="L140" s="14"/>
      <c r="M140" s="14"/>
      <c r="N140" s="14"/>
      <c r="O140" s="14"/>
      <c r="P140" s="14"/>
      <c r="Q140" s="14"/>
    </row>
    <row r="141" spans="9:17" ht="14.25" customHeight="1">
      <c r="I141" s="14"/>
      <c r="J141" s="14"/>
      <c r="K141" s="14"/>
      <c r="L141" s="14"/>
      <c r="M141" s="14"/>
      <c r="N141" s="14"/>
      <c r="O141" s="14"/>
      <c r="P141" s="14"/>
      <c r="Q141" s="14"/>
    </row>
    <row r="142" spans="9:17" ht="14.25" customHeight="1">
      <c r="I142" s="14"/>
      <c r="J142" s="14"/>
      <c r="K142" s="14"/>
      <c r="L142" s="14"/>
      <c r="M142" s="14"/>
      <c r="N142" s="14"/>
      <c r="O142" s="14"/>
      <c r="P142" s="14"/>
      <c r="Q142" s="14"/>
    </row>
    <row r="143" spans="9:17" ht="14.25" customHeight="1">
      <c r="I143" s="14"/>
      <c r="J143" s="14"/>
      <c r="K143" s="14"/>
      <c r="L143" s="14"/>
      <c r="M143" s="14"/>
      <c r="N143" s="14"/>
      <c r="O143" s="14"/>
      <c r="P143" s="14"/>
      <c r="Q143" s="14"/>
    </row>
    <row r="144" spans="9:17" ht="14.25" customHeight="1">
      <c r="I144" s="14"/>
      <c r="J144" s="14"/>
      <c r="K144" s="14"/>
      <c r="L144" s="14"/>
      <c r="M144" s="14"/>
      <c r="N144" s="14"/>
      <c r="O144" s="14"/>
      <c r="P144" s="14"/>
      <c r="Q144" s="14"/>
    </row>
    <row r="145" spans="9:17" ht="14.25" customHeight="1">
      <c r="I145" s="14"/>
      <c r="J145" s="14"/>
      <c r="K145" s="14"/>
      <c r="L145" s="14"/>
      <c r="M145" s="14"/>
      <c r="N145" s="14"/>
      <c r="O145" s="14"/>
      <c r="P145" s="14"/>
      <c r="Q145" s="14"/>
    </row>
    <row r="146" spans="9:17" ht="14.25" customHeight="1">
      <c r="I146" s="14"/>
      <c r="J146" s="14"/>
      <c r="K146" s="14"/>
      <c r="L146" s="14"/>
      <c r="M146" s="14"/>
      <c r="N146" s="14"/>
      <c r="O146" s="14"/>
      <c r="P146" s="14"/>
      <c r="Q146" s="14"/>
    </row>
    <row r="147" spans="9:17" ht="14.25" customHeight="1">
      <c r="I147" s="14"/>
      <c r="J147" s="14"/>
      <c r="K147" s="14"/>
      <c r="L147" s="14"/>
      <c r="M147" s="14"/>
      <c r="N147" s="14"/>
      <c r="O147" s="14"/>
      <c r="P147" s="14"/>
      <c r="Q147" s="14"/>
    </row>
    <row r="148" spans="9:17" ht="14.25" customHeight="1">
      <c r="I148" s="14"/>
      <c r="J148" s="14"/>
      <c r="K148" s="14"/>
      <c r="L148" s="14"/>
      <c r="M148" s="14"/>
      <c r="N148" s="14"/>
      <c r="O148" s="14"/>
      <c r="P148" s="14"/>
      <c r="Q148" s="14"/>
    </row>
    <row r="149" spans="9:17" ht="14.25" customHeight="1">
      <c r="I149" s="14"/>
      <c r="J149" s="14"/>
      <c r="K149" s="14"/>
      <c r="L149" s="14"/>
      <c r="M149" s="14"/>
      <c r="N149" s="14"/>
      <c r="O149" s="14"/>
      <c r="P149" s="14"/>
      <c r="Q149" s="14"/>
    </row>
    <row r="150" spans="9:17" ht="14.25" customHeight="1">
      <c r="I150" s="14"/>
      <c r="J150" s="14"/>
      <c r="K150" s="14"/>
      <c r="L150" s="14"/>
      <c r="M150" s="14"/>
      <c r="N150" s="14"/>
      <c r="O150" s="14"/>
      <c r="P150" s="14"/>
      <c r="Q150" s="14"/>
    </row>
    <row r="151" spans="9:17" ht="14.25" customHeight="1">
      <c r="I151" s="14"/>
      <c r="J151" s="14"/>
      <c r="K151" s="14"/>
      <c r="L151" s="14"/>
      <c r="M151" s="14"/>
      <c r="N151" s="14"/>
      <c r="O151" s="14"/>
      <c r="P151" s="14"/>
      <c r="Q151" s="14"/>
    </row>
    <row r="152" spans="9:17" ht="14.25" customHeight="1">
      <c r="I152" s="14"/>
      <c r="J152" s="14"/>
      <c r="K152" s="14"/>
      <c r="L152" s="14"/>
      <c r="M152" s="14"/>
      <c r="N152" s="14"/>
      <c r="O152" s="14"/>
      <c r="P152" s="14"/>
      <c r="Q152" s="14"/>
    </row>
    <row r="153" spans="9:17" ht="14.25" customHeight="1">
      <c r="I153" s="14"/>
      <c r="J153" s="14"/>
      <c r="K153" s="14"/>
      <c r="L153" s="14"/>
      <c r="M153" s="14"/>
      <c r="N153" s="14"/>
      <c r="O153" s="14"/>
      <c r="P153" s="14"/>
      <c r="Q153" s="14"/>
    </row>
    <row r="154" spans="9:17" ht="14.25" customHeight="1">
      <c r="I154" s="14"/>
      <c r="J154" s="14"/>
      <c r="K154" s="14"/>
      <c r="L154" s="14"/>
      <c r="M154" s="14"/>
      <c r="N154" s="14"/>
      <c r="O154" s="14"/>
      <c r="P154" s="14"/>
      <c r="Q154" s="14"/>
    </row>
    <row r="155" spans="9:17" ht="14.25" customHeight="1">
      <c r="I155" s="14"/>
      <c r="J155" s="14"/>
      <c r="K155" s="14"/>
      <c r="L155" s="14"/>
      <c r="M155" s="14"/>
      <c r="N155" s="14"/>
      <c r="O155" s="14"/>
      <c r="P155" s="14"/>
      <c r="Q155" s="14"/>
    </row>
    <row r="156" spans="9:17" ht="14.25" customHeight="1">
      <c r="I156" s="14"/>
      <c r="J156" s="14"/>
      <c r="K156" s="14"/>
      <c r="L156" s="14"/>
      <c r="M156" s="14"/>
      <c r="N156" s="14"/>
      <c r="O156" s="14"/>
      <c r="P156" s="14"/>
      <c r="Q156" s="14"/>
    </row>
    <row r="157" spans="9:17" ht="14.25" customHeight="1">
      <c r="I157" s="14"/>
      <c r="J157" s="14"/>
      <c r="K157" s="14"/>
      <c r="L157" s="14"/>
      <c r="M157" s="14"/>
      <c r="N157" s="14"/>
      <c r="O157" s="14"/>
      <c r="P157" s="14"/>
      <c r="Q157" s="14"/>
    </row>
    <row r="158" spans="9:17" ht="14.25" customHeight="1">
      <c r="I158" s="14"/>
      <c r="J158" s="14"/>
      <c r="K158" s="14"/>
      <c r="L158" s="14"/>
      <c r="M158" s="14"/>
      <c r="N158" s="14"/>
      <c r="O158" s="14"/>
      <c r="P158" s="14"/>
      <c r="Q158" s="14"/>
    </row>
    <row r="159" spans="9:17" ht="14.25" customHeight="1">
      <c r="I159" s="14"/>
      <c r="J159" s="14"/>
      <c r="K159" s="14"/>
      <c r="L159" s="14"/>
      <c r="M159" s="14"/>
      <c r="N159" s="14"/>
      <c r="O159" s="14"/>
      <c r="P159" s="14"/>
      <c r="Q159" s="14"/>
    </row>
    <row r="160" spans="9:17" ht="14.25" customHeight="1">
      <c r="I160" s="14"/>
      <c r="J160" s="14"/>
      <c r="K160" s="14"/>
      <c r="L160" s="14"/>
      <c r="M160" s="14"/>
      <c r="N160" s="14"/>
      <c r="O160" s="14"/>
      <c r="P160" s="14"/>
      <c r="Q160" s="14"/>
    </row>
    <row r="161" spans="9:17" ht="14.25" customHeight="1">
      <c r="I161" s="14"/>
      <c r="J161" s="14"/>
      <c r="K161" s="14"/>
      <c r="L161" s="14"/>
      <c r="M161" s="14"/>
      <c r="N161" s="14"/>
      <c r="O161" s="14"/>
      <c r="P161" s="14"/>
      <c r="Q161" s="14"/>
    </row>
    <row r="162" spans="9:17" ht="14.25" customHeight="1">
      <c r="I162" s="14"/>
      <c r="J162" s="14"/>
      <c r="K162" s="14"/>
      <c r="L162" s="14"/>
      <c r="M162" s="14"/>
      <c r="N162" s="14"/>
      <c r="O162" s="14"/>
      <c r="P162" s="14"/>
      <c r="Q162" s="14"/>
    </row>
    <row r="163" spans="9:17" ht="14.25" customHeight="1">
      <c r="I163" s="14"/>
      <c r="J163" s="14"/>
      <c r="K163" s="14"/>
      <c r="L163" s="14"/>
      <c r="M163" s="14"/>
      <c r="N163" s="14"/>
      <c r="O163" s="14"/>
      <c r="P163" s="14"/>
      <c r="Q163" s="14"/>
    </row>
    <row r="164" spans="9:17" ht="14.25" customHeight="1">
      <c r="I164" s="14"/>
      <c r="J164" s="14"/>
      <c r="K164" s="14"/>
      <c r="L164" s="14"/>
      <c r="M164" s="14"/>
      <c r="N164" s="14"/>
      <c r="O164" s="14"/>
      <c r="P164" s="14"/>
      <c r="Q164" s="14"/>
    </row>
    <row r="165" spans="9:17" ht="14.25" customHeight="1">
      <c r="I165" s="14"/>
      <c r="J165" s="14"/>
      <c r="K165" s="14"/>
      <c r="L165" s="14"/>
      <c r="M165" s="14"/>
      <c r="N165" s="14"/>
      <c r="O165" s="14"/>
      <c r="P165" s="14"/>
      <c r="Q165" s="14"/>
    </row>
    <row r="166" spans="9:17" ht="14.25" customHeight="1">
      <c r="I166" s="14"/>
      <c r="J166" s="14"/>
      <c r="K166" s="14"/>
      <c r="L166" s="14"/>
      <c r="M166" s="14"/>
      <c r="N166" s="14"/>
      <c r="O166" s="14"/>
      <c r="P166" s="14"/>
      <c r="Q166" s="14"/>
    </row>
    <row r="167" spans="9:17" ht="14.25" customHeight="1">
      <c r="I167" s="14"/>
      <c r="J167" s="14"/>
      <c r="K167" s="14"/>
      <c r="L167" s="14"/>
      <c r="M167" s="14"/>
      <c r="N167" s="14"/>
      <c r="O167" s="14"/>
      <c r="P167" s="14"/>
      <c r="Q167" s="14"/>
    </row>
    <row r="168" spans="9:17" ht="14.25" customHeight="1">
      <c r="I168" s="14"/>
      <c r="J168" s="14"/>
      <c r="K168" s="14"/>
      <c r="L168" s="14"/>
      <c r="M168" s="14"/>
      <c r="N168" s="14"/>
      <c r="O168" s="14"/>
      <c r="P168" s="14"/>
      <c r="Q168" s="14"/>
    </row>
    <row r="169" spans="9:17" ht="14.25" customHeight="1">
      <c r="I169" s="14"/>
      <c r="J169" s="14"/>
      <c r="K169" s="14"/>
      <c r="L169" s="14"/>
      <c r="M169" s="14"/>
      <c r="N169" s="14"/>
      <c r="O169" s="14"/>
      <c r="P169" s="14"/>
      <c r="Q169" s="14"/>
    </row>
    <row r="170" spans="9:17" ht="14.25" customHeight="1">
      <c r="I170" s="14"/>
      <c r="J170" s="14"/>
      <c r="K170" s="14"/>
      <c r="L170" s="14"/>
      <c r="M170" s="14"/>
      <c r="N170" s="14"/>
      <c r="O170" s="14"/>
      <c r="P170" s="14"/>
      <c r="Q170" s="14"/>
    </row>
    <row r="171" spans="9:17" ht="14.25" customHeight="1">
      <c r="I171" s="14"/>
      <c r="J171" s="14"/>
      <c r="K171" s="14"/>
      <c r="L171" s="14"/>
      <c r="M171" s="14"/>
      <c r="N171" s="14"/>
      <c r="O171" s="14"/>
      <c r="P171" s="14"/>
      <c r="Q171" s="14"/>
    </row>
    <row r="172" spans="9:17" ht="14.25" customHeight="1">
      <c r="I172" s="14"/>
      <c r="J172" s="14"/>
      <c r="K172" s="14"/>
      <c r="L172" s="14"/>
      <c r="M172" s="14"/>
      <c r="N172" s="14"/>
      <c r="O172" s="14"/>
      <c r="P172" s="14"/>
      <c r="Q172" s="14"/>
    </row>
    <row r="173" spans="9:17" ht="14.25" customHeight="1">
      <c r="I173" s="14"/>
      <c r="J173" s="14"/>
      <c r="K173" s="14"/>
      <c r="L173" s="14"/>
      <c r="M173" s="14"/>
      <c r="N173" s="14"/>
      <c r="O173" s="14"/>
      <c r="P173" s="14"/>
      <c r="Q173" s="14"/>
    </row>
    <row r="174" spans="9:17" ht="14.25" customHeight="1">
      <c r="I174" s="14"/>
      <c r="J174" s="14"/>
      <c r="K174" s="14"/>
      <c r="L174" s="14"/>
      <c r="M174" s="14"/>
      <c r="N174" s="14"/>
      <c r="O174" s="14"/>
      <c r="P174" s="14"/>
      <c r="Q174" s="14"/>
    </row>
    <row r="175" spans="9:17" ht="14.25" customHeight="1">
      <c r="I175" s="14"/>
      <c r="J175" s="14"/>
      <c r="K175" s="14"/>
      <c r="L175" s="14"/>
      <c r="M175" s="14"/>
      <c r="N175" s="14"/>
      <c r="O175" s="14"/>
      <c r="P175" s="14"/>
      <c r="Q175" s="14"/>
    </row>
    <row r="176" spans="9:17" ht="14.25" customHeight="1">
      <c r="I176" s="14"/>
      <c r="J176" s="14"/>
      <c r="K176" s="14"/>
      <c r="L176" s="14"/>
      <c r="M176" s="14"/>
      <c r="N176" s="14"/>
      <c r="O176" s="14"/>
      <c r="P176" s="14"/>
      <c r="Q176" s="14"/>
    </row>
    <row r="177" spans="9:17" ht="14.25" customHeight="1">
      <c r="I177" s="14"/>
      <c r="J177" s="14"/>
      <c r="K177" s="14"/>
      <c r="L177" s="14"/>
      <c r="M177" s="14"/>
      <c r="N177" s="14"/>
      <c r="O177" s="14"/>
      <c r="P177" s="14"/>
      <c r="Q177" s="14"/>
    </row>
    <row r="178" spans="9:17" ht="14.25" customHeight="1">
      <c r="I178" s="14"/>
      <c r="J178" s="14"/>
      <c r="K178" s="14"/>
      <c r="L178" s="14"/>
      <c r="M178" s="14"/>
      <c r="N178" s="14"/>
      <c r="O178" s="14"/>
      <c r="P178" s="14"/>
      <c r="Q178" s="14"/>
    </row>
    <row r="179" spans="9:17" ht="14.25" customHeight="1">
      <c r="I179" s="14"/>
      <c r="J179" s="14"/>
      <c r="K179" s="14"/>
      <c r="L179" s="14"/>
      <c r="M179" s="14"/>
      <c r="N179" s="14"/>
      <c r="O179" s="14"/>
      <c r="P179" s="14"/>
      <c r="Q179" s="14"/>
    </row>
    <row r="180" spans="9:17" ht="14.25" customHeight="1">
      <c r="I180" s="14"/>
      <c r="J180" s="14"/>
      <c r="K180" s="14"/>
      <c r="L180" s="14"/>
      <c r="M180" s="14"/>
      <c r="N180" s="14"/>
      <c r="O180" s="14"/>
      <c r="P180" s="14"/>
      <c r="Q180" s="14"/>
    </row>
    <row r="181" spans="9:17" ht="14.25" customHeight="1">
      <c r="I181" s="14"/>
      <c r="J181" s="14"/>
      <c r="K181" s="14"/>
      <c r="L181" s="14"/>
      <c r="M181" s="14"/>
      <c r="N181" s="14"/>
      <c r="O181" s="14"/>
      <c r="P181" s="14"/>
      <c r="Q181" s="14"/>
    </row>
    <row r="182" spans="9:17" ht="14.25" customHeight="1">
      <c r="I182" s="14"/>
      <c r="J182" s="14"/>
      <c r="K182" s="14"/>
      <c r="L182" s="14"/>
      <c r="M182" s="14"/>
      <c r="N182" s="14"/>
      <c r="O182" s="14"/>
      <c r="P182" s="14"/>
      <c r="Q182" s="14"/>
    </row>
    <row r="183" spans="9:17" ht="14.25" customHeight="1">
      <c r="I183" s="14"/>
      <c r="J183" s="14"/>
      <c r="K183" s="14"/>
      <c r="L183" s="14"/>
      <c r="M183" s="14"/>
      <c r="N183" s="14"/>
      <c r="O183" s="14"/>
      <c r="P183" s="14"/>
      <c r="Q183" s="14"/>
    </row>
    <row r="184" spans="9:17" ht="14.25" customHeight="1">
      <c r="I184" s="14"/>
      <c r="J184" s="14"/>
      <c r="K184" s="14"/>
      <c r="L184" s="14"/>
      <c r="M184" s="14"/>
      <c r="N184" s="14"/>
      <c r="O184" s="14"/>
      <c r="P184" s="14"/>
      <c r="Q184" s="14"/>
    </row>
    <row r="185" spans="9:17" ht="14.25" customHeight="1">
      <c r="I185" s="14"/>
      <c r="J185" s="14"/>
      <c r="K185" s="14"/>
      <c r="L185" s="14"/>
      <c r="M185" s="14"/>
      <c r="N185" s="14"/>
      <c r="O185" s="14"/>
      <c r="P185" s="14"/>
      <c r="Q185" s="14"/>
    </row>
    <row r="186" spans="9:17" ht="14.25" customHeight="1">
      <c r="I186" s="14"/>
      <c r="J186" s="14"/>
      <c r="K186" s="14"/>
      <c r="L186" s="14"/>
      <c r="M186" s="14"/>
      <c r="N186" s="14"/>
      <c r="O186" s="14"/>
      <c r="P186" s="14"/>
      <c r="Q186" s="14"/>
    </row>
    <row r="187" spans="9:17" ht="14.25" customHeight="1">
      <c r="I187" s="14"/>
      <c r="J187" s="14"/>
      <c r="K187" s="14"/>
      <c r="L187" s="14"/>
      <c r="M187" s="14"/>
      <c r="N187" s="14"/>
      <c r="O187" s="14"/>
      <c r="P187" s="14"/>
      <c r="Q187" s="14"/>
    </row>
    <row r="188" spans="9:17" ht="14.25" customHeight="1">
      <c r="I188" s="14"/>
      <c r="J188" s="14"/>
      <c r="K188" s="14"/>
      <c r="L188" s="14"/>
      <c r="M188" s="14"/>
      <c r="N188" s="14"/>
      <c r="O188" s="14"/>
      <c r="P188" s="14"/>
      <c r="Q188" s="14"/>
    </row>
    <row r="189" spans="9:17" ht="14.25" customHeight="1">
      <c r="I189" s="14"/>
      <c r="J189" s="14"/>
      <c r="K189" s="14"/>
      <c r="L189" s="14"/>
      <c r="M189" s="14"/>
      <c r="N189" s="14"/>
      <c r="O189" s="14"/>
      <c r="P189" s="14"/>
      <c r="Q189" s="14"/>
    </row>
    <row r="190" spans="9:17" ht="14.25" customHeight="1">
      <c r="I190" s="14"/>
      <c r="J190" s="14"/>
      <c r="K190" s="14"/>
      <c r="L190" s="14"/>
      <c r="M190" s="14"/>
      <c r="N190" s="14"/>
      <c r="O190" s="14"/>
      <c r="P190" s="14"/>
      <c r="Q190" s="14"/>
    </row>
    <row r="191" spans="9:17" ht="14.25" customHeight="1">
      <c r="I191" s="14"/>
      <c r="J191" s="14"/>
      <c r="K191" s="14"/>
      <c r="L191" s="14"/>
      <c r="M191" s="14"/>
      <c r="N191" s="14"/>
      <c r="O191" s="14"/>
      <c r="P191" s="14"/>
      <c r="Q191" s="14"/>
    </row>
    <row r="192" spans="9:17" ht="14.25" customHeight="1">
      <c r="I192" s="14"/>
      <c r="J192" s="14"/>
      <c r="K192" s="14"/>
      <c r="L192" s="14"/>
      <c r="M192" s="14"/>
      <c r="N192" s="14"/>
      <c r="O192" s="14"/>
      <c r="P192" s="14"/>
      <c r="Q192" s="14"/>
    </row>
    <row r="193" spans="9:17" ht="14.25" customHeight="1">
      <c r="I193" s="14"/>
      <c r="J193" s="14"/>
      <c r="K193" s="14"/>
      <c r="L193" s="14"/>
      <c r="M193" s="14"/>
      <c r="N193" s="14"/>
      <c r="O193" s="14"/>
      <c r="P193" s="14"/>
      <c r="Q193" s="14"/>
    </row>
    <row r="194" spans="9:17" ht="14.25" customHeight="1">
      <c r="I194" s="14"/>
      <c r="J194" s="14"/>
      <c r="K194" s="14"/>
      <c r="L194" s="14"/>
      <c r="M194" s="14"/>
      <c r="N194" s="14"/>
      <c r="O194" s="14"/>
      <c r="P194" s="14"/>
      <c r="Q194" s="14"/>
    </row>
    <row r="195" spans="9:17" ht="14.25" customHeight="1">
      <c r="I195" s="14"/>
      <c r="J195" s="14"/>
      <c r="K195" s="14"/>
      <c r="L195" s="14"/>
      <c r="M195" s="14"/>
      <c r="N195" s="14"/>
      <c r="O195" s="14"/>
      <c r="P195" s="14"/>
      <c r="Q195" s="14"/>
    </row>
    <row r="196" spans="9:17" ht="14.25" customHeight="1">
      <c r="I196" s="14"/>
      <c r="J196" s="14"/>
      <c r="K196" s="14"/>
      <c r="L196" s="14"/>
      <c r="M196" s="14"/>
      <c r="N196" s="14"/>
      <c r="O196" s="14"/>
      <c r="P196" s="14"/>
      <c r="Q196" s="14"/>
    </row>
    <row r="197" spans="9:17" ht="14.25" customHeight="1">
      <c r="I197" s="14"/>
      <c r="J197" s="14"/>
      <c r="K197" s="14"/>
      <c r="L197" s="14"/>
      <c r="M197" s="14"/>
      <c r="N197" s="14"/>
      <c r="O197" s="14"/>
      <c r="P197" s="14"/>
      <c r="Q197" s="14"/>
    </row>
    <row r="198" spans="9:17" ht="14.25" customHeight="1">
      <c r="I198" s="14"/>
      <c r="J198" s="14"/>
      <c r="K198" s="14"/>
      <c r="L198" s="14"/>
      <c r="M198" s="14"/>
      <c r="N198" s="14"/>
      <c r="O198" s="14"/>
      <c r="P198" s="14"/>
      <c r="Q198" s="14"/>
    </row>
    <row r="199" spans="9:17" ht="14.25" customHeight="1">
      <c r="I199" s="14"/>
      <c r="J199" s="14"/>
      <c r="K199" s="14"/>
      <c r="L199" s="14"/>
      <c r="M199" s="14"/>
      <c r="N199" s="14"/>
      <c r="O199" s="14"/>
      <c r="P199" s="14"/>
      <c r="Q199" s="14"/>
    </row>
    <row r="200" spans="9:17" ht="14.25" customHeight="1">
      <c r="I200" s="14"/>
      <c r="J200" s="14"/>
      <c r="K200" s="14"/>
      <c r="L200" s="14"/>
      <c r="M200" s="14"/>
      <c r="N200" s="14"/>
      <c r="O200" s="14"/>
      <c r="P200" s="14"/>
      <c r="Q200" s="14"/>
    </row>
    <row r="201" spans="9:17" ht="14.25" customHeight="1">
      <c r="I201" s="14"/>
      <c r="J201" s="14"/>
      <c r="K201" s="14"/>
      <c r="L201" s="14"/>
      <c r="M201" s="14"/>
      <c r="N201" s="14"/>
      <c r="O201" s="14"/>
      <c r="P201" s="14"/>
      <c r="Q201" s="14"/>
    </row>
    <row r="202" spans="9:17" ht="14.25" customHeight="1">
      <c r="I202" s="14"/>
      <c r="J202" s="14"/>
      <c r="K202" s="14"/>
      <c r="L202" s="14"/>
      <c r="M202" s="14"/>
      <c r="N202" s="14"/>
      <c r="O202" s="14"/>
      <c r="P202" s="14"/>
      <c r="Q202" s="14"/>
    </row>
    <row r="203" spans="9:17" ht="14.25" customHeight="1">
      <c r="I203" s="14"/>
      <c r="J203" s="14"/>
      <c r="K203" s="14"/>
      <c r="L203" s="14"/>
      <c r="M203" s="14"/>
      <c r="N203" s="14"/>
      <c r="O203" s="14"/>
      <c r="P203" s="14"/>
      <c r="Q203" s="14"/>
    </row>
    <row r="204" spans="9:17" ht="14.25" customHeight="1">
      <c r="I204" s="14"/>
      <c r="J204" s="14"/>
      <c r="K204" s="14"/>
      <c r="L204" s="14"/>
      <c r="M204" s="14"/>
      <c r="N204" s="14"/>
      <c r="O204" s="14"/>
      <c r="P204" s="14"/>
      <c r="Q204" s="14"/>
    </row>
    <row r="205" spans="9:17" ht="14.25" customHeight="1">
      <c r="I205" s="14"/>
      <c r="J205" s="14"/>
      <c r="K205" s="14"/>
      <c r="L205" s="14"/>
      <c r="M205" s="14"/>
      <c r="N205" s="14"/>
      <c r="O205" s="14"/>
      <c r="P205" s="14"/>
      <c r="Q205" s="14"/>
    </row>
    <row r="206" spans="9:17" ht="14.25" customHeight="1">
      <c r="I206" s="14"/>
      <c r="J206" s="14"/>
      <c r="K206" s="14"/>
      <c r="L206" s="14"/>
      <c r="M206" s="14"/>
      <c r="N206" s="14"/>
      <c r="O206" s="14"/>
      <c r="P206" s="14"/>
      <c r="Q206" s="14"/>
    </row>
    <row r="207" spans="9:17" ht="14.25" customHeight="1">
      <c r="I207" s="14"/>
      <c r="J207" s="14"/>
      <c r="K207" s="14"/>
      <c r="L207" s="14"/>
      <c r="M207" s="14"/>
      <c r="N207" s="14"/>
      <c r="O207" s="14"/>
      <c r="P207" s="14"/>
      <c r="Q207" s="14"/>
    </row>
    <row r="208" spans="9:17" ht="14.25" customHeight="1">
      <c r="I208" s="14"/>
      <c r="J208" s="14"/>
      <c r="K208" s="14"/>
      <c r="L208" s="14"/>
      <c r="M208" s="14"/>
      <c r="N208" s="14"/>
      <c r="O208" s="14"/>
      <c r="P208" s="14"/>
      <c r="Q208" s="14"/>
    </row>
    <row r="209" spans="9:17" ht="14.25" customHeight="1">
      <c r="I209" s="14"/>
      <c r="J209" s="14"/>
      <c r="K209" s="14"/>
      <c r="L209" s="14"/>
      <c r="M209" s="14"/>
      <c r="N209" s="14"/>
      <c r="O209" s="14"/>
      <c r="P209" s="14"/>
      <c r="Q209" s="14"/>
    </row>
    <row r="210" spans="9:17" ht="14.25" customHeight="1">
      <c r="I210" s="14"/>
      <c r="J210" s="14"/>
      <c r="K210" s="14"/>
      <c r="L210" s="14"/>
      <c r="M210" s="14"/>
      <c r="N210" s="14"/>
      <c r="O210" s="14"/>
      <c r="P210" s="14"/>
      <c r="Q210" s="14"/>
    </row>
    <row r="211" spans="9:17" ht="14.25" customHeight="1">
      <c r="I211" s="14"/>
      <c r="J211" s="14"/>
      <c r="K211" s="14"/>
      <c r="L211" s="14"/>
      <c r="M211" s="14"/>
      <c r="N211" s="14"/>
      <c r="O211" s="14"/>
      <c r="P211" s="14"/>
      <c r="Q211" s="14"/>
    </row>
    <row r="212" spans="9:17" ht="14.25" customHeight="1">
      <c r="I212" s="14"/>
      <c r="J212" s="14"/>
      <c r="K212" s="14"/>
      <c r="L212" s="14"/>
      <c r="M212" s="14"/>
      <c r="N212" s="14"/>
      <c r="O212" s="14"/>
      <c r="P212" s="14"/>
      <c r="Q212" s="14"/>
    </row>
    <row r="213" spans="9:17" ht="14.25" customHeight="1">
      <c r="I213" s="14"/>
      <c r="J213" s="14"/>
      <c r="K213" s="14"/>
      <c r="L213" s="14"/>
      <c r="M213" s="14"/>
      <c r="N213" s="14"/>
      <c r="O213" s="14"/>
      <c r="P213" s="14"/>
      <c r="Q213" s="14"/>
    </row>
    <row r="214" spans="9:17" ht="14.25" customHeight="1">
      <c r="I214" s="14"/>
      <c r="J214" s="14"/>
      <c r="K214" s="14"/>
      <c r="L214" s="14"/>
      <c r="M214" s="14"/>
      <c r="N214" s="14"/>
      <c r="O214" s="14"/>
      <c r="P214" s="14"/>
      <c r="Q214" s="14"/>
    </row>
    <row r="215" spans="9:17" ht="14.25" customHeight="1">
      <c r="I215" s="14"/>
      <c r="J215" s="14"/>
      <c r="K215" s="14"/>
      <c r="L215" s="14"/>
      <c r="M215" s="14"/>
      <c r="N215" s="14"/>
      <c r="O215" s="14"/>
      <c r="P215" s="14"/>
      <c r="Q215" s="14"/>
    </row>
    <row r="216" spans="9:17" ht="14.25" customHeight="1">
      <c r="I216" s="14"/>
      <c r="J216" s="14"/>
      <c r="K216" s="14"/>
      <c r="L216" s="14"/>
      <c r="M216" s="14"/>
      <c r="N216" s="14"/>
      <c r="O216" s="14"/>
      <c r="P216" s="14"/>
      <c r="Q216" s="14"/>
    </row>
    <row r="217" spans="9:17" ht="14.25" customHeight="1">
      <c r="I217" s="14"/>
      <c r="J217" s="14"/>
      <c r="K217" s="14"/>
      <c r="L217" s="14"/>
      <c r="M217" s="14"/>
      <c r="N217" s="14"/>
      <c r="O217" s="14"/>
      <c r="P217" s="14"/>
      <c r="Q217" s="14"/>
    </row>
    <row r="218" spans="9:17" ht="14.25" customHeight="1">
      <c r="I218" s="14"/>
      <c r="J218" s="14"/>
      <c r="K218" s="14"/>
      <c r="L218" s="14"/>
      <c r="M218" s="14"/>
      <c r="N218" s="14"/>
      <c r="O218" s="14"/>
      <c r="P218" s="14"/>
      <c r="Q218" s="14"/>
    </row>
    <row r="219" spans="9:17" ht="14.25" customHeight="1">
      <c r="I219" s="14"/>
      <c r="J219" s="14"/>
      <c r="K219" s="14"/>
      <c r="L219" s="14"/>
      <c r="M219" s="14"/>
      <c r="N219" s="14"/>
      <c r="O219" s="14"/>
      <c r="P219" s="14"/>
      <c r="Q219" s="14"/>
    </row>
    <row r="220" spans="9:17" ht="14.25" customHeight="1">
      <c r="I220" s="14"/>
      <c r="J220" s="14"/>
      <c r="K220" s="14"/>
      <c r="L220" s="14"/>
      <c r="M220" s="14"/>
      <c r="N220" s="14"/>
      <c r="O220" s="14"/>
      <c r="P220" s="14"/>
      <c r="Q220" s="14"/>
    </row>
    <row r="221" spans="9:17" ht="14.25" customHeight="1">
      <c r="I221" s="14"/>
      <c r="J221" s="14"/>
      <c r="K221" s="14"/>
      <c r="L221" s="14"/>
      <c r="M221" s="14"/>
      <c r="N221" s="14"/>
      <c r="O221" s="14"/>
      <c r="P221" s="14"/>
      <c r="Q221" s="14"/>
    </row>
    <row r="222" spans="9:17" ht="14.25" customHeight="1">
      <c r="I222" s="14"/>
      <c r="J222" s="14"/>
      <c r="K222" s="14"/>
      <c r="L222" s="14"/>
      <c r="M222" s="14"/>
      <c r="N222" s="14"/>
      <c r="O222" s="14"/>
      <c r="P222" s="14"/>
      <c r="Q222" s="14"/>
    </row>
    <row r="223" spans="9:17" ht="14.25" customHeight="1">
      <c r="I223" s="14"/>
      <c r="J223" s="14"/>
      <c r="K223" s="14"/>
      <c r="L223" s="14"/>
      <c r="M223" s="14"/>
      <c r="N223" s="14"/>
      <c r="O223" s="14"/>
      <c r="P223" s="14"/>
      <c r="Q223" s="14"/>
    </row>
    <row r="224" spans="9:17" ht="14.25" customHeight="1">
      <c r="I224" s="14"/>
      <c r="J224" s="14"/>
      <c r="K224" s="14"/>
      <c r="L224" s="14"/>
      <c r="M224" s="14"/>
      <c r="N224" s="14"/>
      <c r="O224" s="14"/>
      <c r="P224" s="14"/>
      <c r="Q224" s="14"/>
    </row>
    <row r="225" spans="9:17" ht="14.25" customHeight="1">
      <c r="I225" s="14"/>
      <c r="J225" s="14"/>
      <c r="K225" s="14"/>
      <c r="L225" s="14"/>
      <c r="M225" s="14"/>
      <c r="N225" s="14"/>
      <c r="O225" s="14"/>
      <c r="P225" s="14"/>
      <c r="Q225" s="14"/>
    </row>
    <row r="226" spans="9:17" ht="14.25" customHeight="1">
      <c r="I226" s="14"/>
      <c r="J226" s="14"/>
      <c r="K226" s="14"/>
      <c r="L226" s="14"/>
      <c r="M226" s="14"/>
      <c r="N226" s="14"/>
      <c r="O226" s="14"/>
      <c r="P226" s="14"/>
      <c r="Q226" s="14"/>
    </row>
    <row r="227" spans="9:17" ht="14.25" customHeight="1">
      <c r="I227" s="14"/>
      <c r="J227" s="14"/>
      <c r="K227" s="14"/>
      <c r="L227" s="14"/>
      <c r="M227" s="14"/>
      <c r="N227" s="14"/>
      <c r="O227" s="14"/>
      <c r="P227" s="14"/>
      <c r="Q227" s="14"/>
    </row>
    <row r="228" spans="9:17" ht="14.25" customHeight="1">
      <c r="I228" s="14"/>
      <c r="J228" s="14"/>
      <c r="K228" s="14"/>
      <c r="L228" s="14"/>
      <c r="M228" s="14"/>
      <c r="N228" s="14"/>
      <c r="O228" s="14"/>
      <c r="P228" s="14"/>
      <c r="Q228" s="14"/>
    </row>
    <row r="229" spans="9:17" ht="14.25" customHeight="1">
      <c r="I229" s="14"/>
      <c r="J229" s="14"/>
      <c r="K229" s="14"/>
      <c r="L229" s="14"/>
      <c r="M229" s="14"/>
      <c r="N229" s="14"/>
      <c r="O229" s="14"/>
      <c r="P229" s="14"/>
      <c r="Q229" s="14"/>
    </row>
    <row r="230" spans="9:17" ht="14.25" customHeight="1">
      <c r="I230" s="14"/>
      <c r="J230" s="14"/>
      <c r="K230" s="14"/>
      <c r="L230" s="14"/>
      <c r="M230" s="14"/>
      <c r="N230" s="14"/>
      <c r="O230" s="14"/>
      <c r="P230" s="14"/>
      <c r="Q230" s="14"/>
    </row>
    <row r="231" spans="9:17" ht="14.25" customHeight="1">
      <c r="I231" s="14"/>
      <c r="J231" s="14"/>
      <c r="K231" s="14"/>
      <c r="L231" s="14"/>
      <c r="M231" s="14"/>
      <c r="N231" s="14"/>
      <c r="O231" s="14"/>
      <c r="P231" s="14"/>
      <c r="Q231" s="14"/>
    </row>
    <row r="232" spans="9:17" ht="14.25" customHeight="1">
      <c r="I232" s="14"/>
      <c r="J232" s="14"/>
      <c r="K232" s="14"/>
      <c r="L232" s="14"/>
      <c r="M232" s="14"/>
      <c r="N232" s="14"/>
      <c r="O232" s="14"/>
      <c r="P232" s="14"/>
      <c r="Q232" s="14"/>
    </row>
    <row r="233" spans="9:17" ht="14.25" customHeight="1">
      <c r="I233" s="14"/>
      <c r="J233" s="14"/>
      <c r="K233" s="14"/>
      <c r="L233" s="14"/>
      <c r="M233" s="14"/>
      <c r="N233" s="14"/>
      <c r="O233" s="14"/>
      <c r="P233" s="14"/>
      <c r="Q233" s="14"/>
    </row>
    <row r="234" spans="9:17" ht="14.25" customHeight="1">
      <c r="I234" s="14"/>
      <c r="J234" s="14"/>
      <c r="K234" s="14"/>
      <c r="L234" s="14"/>
      <c r="M234" s="14"/>
      <c r="N234" s="14"/>
      <c r="O234" s="14"/>
      <c r="P234" s="14"/>
      <c r="Q234" s="14"/>
    </row>
    <row r="235" spans="9:17" ht="14.25" customHeight="1">
      <c r="I235" s="14"/>
      <c r="J235" s="14"/>
      <c r="K235" s="14"/>
      <c r="L235" s="14"/>
      <c r="M235" s="14"/>
      <c r="N235" s="14"/>
      <c r="O235" s="14"/>
      <c r="P235" s="14"/>
      <c r="Q235" s="14"/>
    </row>
    <row r="236" spans="9:17" ht="14.25" customHeight="1">
      <c r="I236" s="14"/>
      <c r="J236" s="14"/>
      <c r="K236" s="14"/>
      <c r="L236" s="14"/>
      <c r="M236" s="14"/>
      <c r="N236" s="14"/>
      <c r="O236" s="14"/>
      <c r="P236" s="14"/>
      <c r="Q236" s="14"/>
    </row>
    <row r="237" spans="9:17" ht="14.25" customHeight="1">
      <c r="I237" s="14"/>
      <c r="J237" s="14"/>
      <c r="K237" s="14"/>
      <c r="L237" s="14"/>
      <c r="M237" s="14"/>
      <c r="N237" s="14"/>
      <c r="O237" s="14"/>
      <c r="P237" s="14"/>
      <c r="Q237" s="14"/>
    </row>
    <row r="238" spans="9:17" ht="14.25" customHeight="1">
      <c r="I238" s="14"/>
      <c r="J238" s="14"/>
      <c r="K238" s="14"/>
      <c r="L238" s="14"/>
      <c r="M238" s="14"/>
      <c r="N238" s="14"/>
      <c r="O238" s="14"/>
      <c r="P238" s="14"/>
      <c r="Q238" s="14"/>
    </row>
    <row r="239" spans="9:17" ht="14.25" customHeight="1">
      <c r="I239" s="14"/>
      <c r="J239" s="14"/>
      <c r="K239" s="14"/>
      <c r="L239" s="14"/>
      <c r="M239" s="14"/>
      <c r="N239" s="14"/>
      <c r="O239" s="14"/>
      <c r="P239" s="14"/>
      <c r="Q239" s="14"/>
    </row>
    <row r="240" spans="9:17" ht="14.25" customHeight="1">
      <c r="I240" s="14"/>
      <c r="J240" s="14"/>
      <c r="K240" s="14"/>
      <c r="L240" s="14"/>
      <c r="M240" s="14"/>
      <c r="N240" s="14"/>
      <c r="O240" s="14"/>
      <c r="P240" s="14"/>
      <c r="Q240" s="14"/>
    </row>
    <row r="241" spans="9:17" ht="14.25" customHeight="1">
      <c r="I241" s="14"/>
      <c r="J241" s="14"/>
      <c r="K241" s="14"/>
      <c r="L241" s="14"/>
      <c r="M241" s="14"/>
      <c r="N241" s="14"/>
      <c r="O241" s="14"/>
      <c r="P241" s="14"/>
      <c r="Q241" s="14"/>
    </row>
    <row r="242" spans="9:17" ht="14.25" customHeight="1">
      <c r="I242" s="14"/>
      <c r="J242" s="14"/>
      <c r="K242" s="14"/>
      <c r="L242" s="14"/>
      <c r="M242" s="14"/>
      <c r="N242" s="14"/>
      <c r="O242" s="14"/>
      <c r="P242" s="14"/>
      <c r="Q242" s="14"/>
    </row>
    <row r="243" spans="9:17" ht="14.25" customHeight="1">
      <c r="I243" s="14"/>
      <c r="J243" s="14"/>
      <c r="K243" s="14"/>
      <c r="L243" s="14"/>
      <c r="M243" s="14"/>
      <c r="N243" s="14"/>
      <c r="O243" s="14"/>
      <c r="P243" s="14"/>
      <c r="Q243" s="14"/>
    </row>
    <row r="244" spans="9:17" ht="14.25" customHeight="1">
      <c r="I244" s="14"/>
      <c r="J244" s="14"/>
      <c r="K244" s="14"/>
      <c r="L244" s="14"/>
      <c r="M244" s="14"/>
      <c r="N244" s="14"/>
      <c r="O244" s="14"/>
      <c r="P244" s="14"/>
      <c r="Q244" s="14"/>
    </row>
    <row r="245" spans="9:17" ht="14.25" customHeight="1">
      <c r="I245" s="14"/>
      <c r="J245" s="14"/>
      <c r="K245" s="14"/>
      <c r="L245" s="14"/>
      <c r="M245" s="14"/>
      <c r="N245" s="14"/>
      <c r="O245" s="14"/>
      <c r="P245" s="14"/>
      <c r="Q245" s="14"/>
    </row>
    <row r="246" spans="9:17" ht="14.25" customHeight="1">
      <c r="I246" s="14"/>
      <c r="J246" s="14"/>
      <c r="K246" s="14"/>
      <c r="L246" s="14"/>
      <c r="M246" s="14"/>
      <c r="N246" s="14"/>
      <c r="O246" s="14"/>
      <c r="P246" s="14"/>
      <c r="Q246" s="14"/>
    </row>
    <row r="247" spans="9:17" ht="14.25" customHeight="1">
      <c r="I247" s="14"/>
      <c r="J247" s="14"/>
      <c r="K247" s="14"/>
      <c r="L247" s="14"/>
      <c r="M247" s="14"/>
      <c r="N247" s="14"/>
      <c r="O247" s="14"/>
      <c r="P247" s="14"/>
      <c r="Q247" s="14"/>
    </row>
    <row r="248" spans="9:17" ht="14.25" customHeight="1">
      <c r="I248" s="14"/>
      <c r="J248" s="14"/>
      <c r="K248" s="14"/>
      <c r="L248" s="14"/>
      <c r="M248" s="14"/>
      <c r="N248" s="14"/>
      <c r="O248" s="14"/>
      <c r="P248" s="14"/>
      <c r="Q248" s="14"/>
    </row>
    <row r="249" spans="9:17" ht="14.25" customHeight="1">
      <c r="I249" s="14"/>
      <c r="J249" s="14"/>
      <c r="K249" s="14"/>
      <c r="L249" s="14"/>
      <c r="M249" s="14"/>
      <c r="N249" s="14"/>
      <c r="O249" s="14"/>
      <c r="P249" s="14"/>
      <c r="Q249" s="14"/>
    </row>
    <row r="250" spans="9:17" ht="14.25" customHeight="1">
      <c r="I250" s="14"/>
      <c r="J250" s="14"/>
      <c r="K250" s="14"/>
      <c r="L250" s="14"/>
      <c r="M250" s="14"/>
      <c r="N250" s="14"/>
      <c r="O250" s="14"/>
      <c r="P250" s="14"/>
      <c r="Q250" s="14"/>
    </row>
    <row r="251" spans="9:17" ht="14.25" customHeight="1">
      <c r="I251" s="14"/>
      <c r="J251" s="14"/>
      <c r="K251" s="14"/>
      <c r="L251" s="14"/>
      <c r="M251" s="14"/>
      <c r="N251" s="14"/>
      <c r="O251" s="14"/>
      <c r="P251" s="14"/>
      <c r="Q251" s="14"/>
    </row>
    <row r="252" spans="9:17" ht="14.25" customHeight="1">
      <c r="I252" s="14"/>
      <c r="J252" s="14"/>
      <c r="K252" s="14"/>
      <c r="L252" s="14"/>
      <c r="M252" s="14"/>
      <c r="N252" s="14"/>
      <c r="O252" s="14"/>
      <c r="P252" s="14"/>
      <c r="Q252" s="14"/>
    </row>
    <row r="253" spans="9:17" ht="14.25" customHeight="1">
      <c r="I253" s="14"/>
      <c r="J253" s="14"/>
      <c r="K253" s="14"/>
      <c r="L253" s="14"/>
      <c r="M253" s="14"/>
      <c r="N253" s="14"/>
      <c r="O253" s="14"/>
      <c r="P253" s="14"/>
      <c r="Q253" s="14"/>
    </row>
    <row r="254" spans="9:17" ht="14.25" customHeight="1">
      <c r="I254" s="14"/>
      <c r="J254" s="14"/>
      <c r="K254" s="14"/>
      <c r="L254" s="14"/>
      <c r="M254" s="14"/>
      <c r="N254" s="14"/>
      <c r="O254" s="14"/>
      <c r="P254" s="14"/>
      <c r="Q254" s="14"/>
    </row>
    <row r="255" spans="9:17" ht="14.25" customHeight="1">
      <c r="I255" s="14"/>
      <c r="J255" s="14"/>
      <c r="K255" s="14"/>
      <c r="L255" s="14"/>
      <c r="M255" s="14"/>
      <c r="N255" s="14"/>
      <c r="O255" s="14"/>
      <c r="P255" s="14"/>
      <c r="Q255" s="14"/>
    </row>
    <row r="256" spans="9:17" ht="14.25" customHeight="1">
      <c r="I256" s="14"/>
      <c r="J256" s="14"/>
      <c r="K256" s="14"/>
      <c r="L256" s="14"/>
      <c r="M256" s="14"/>
      <c r="N256" s="14"/>
      <c r="O256" s="14"/>
      <c r="P256" s="14"/>
      <c r="Q256" s="14"/>
    </row>
    <row r="257" spans="9:17" ht="14.25" customHeight="1">
      <c r="I257" s="14"/>
      <c r="J257" s="14"/>
      <c r="K257" s="14"/>
      <c r="L257" s="14"/>
      <c r="M257" s="14"/>
      <c r="N257" s="14"/>
      <c r="O257" s="14"/>
      <c r="P257" s="14"/>
      <c r="Q257" s="14"/>
    </row>
    <row r="258" spans="9:17" ht="14.25" customHeight="1">
      <c r="I258" s="14"/>
      <c r="J258" s="14"/>
      <c r="K258" s="14"/>
      <c r="L258" s="14"/>
      <c r="M258" s="14"/>
      <c r="N258" s="14"/>
      <c r="O258" s="14"/>
      <c r="P258" s="14"/>
      <c r="Q258" s="14"/>
    </row>
    <row r="259" spans="9:17" ht="14.25" customHeight="1">
      <c r="I259" s="14"/>
      <c r="J259" s="14"/>
      <c r="K259" s="14"/>
      <c r="L259" s="14"/>
      <c r="M259" s="14"/>
      <c r="N259" s="14"/>
      <c r="O259" s="14"/>
      <c r="P259" s="14"/>
      <c r="Q259" s="14"/>
    </row>
    <row r="260" spans="9:17" ht="14.25" customHeight="1">
      <c r="I260" s="14"/>
      <c r="J260" s="14"/>
      <c r="K260" s="14"/>
      <c r="L260" s="14"/>
      <c r="M260" s="14"/>
      <c r="N260" s="14"/>
      <c r="O260" s="14"/>
      <c r="P260" s="14"/>
      <c r="Q260" s="14"/>
    </row>
    <row r="261" spans="9:17" ht="14.25" customHeight="1">
      <c r="I261" s="14"/>
      <c r="J261" s="14"/>
      <c r="K261" s="14"/>
      <c r="L261" s="14"/>
      <c r="M261" s="14"/>
      <c r="N261" s="14"/>
      <c r="O261" s="14"/>
      <c r="P261" s="14"/>
      <c r="Q261" s="14"/>
    </row>
    <row r="262" spans="9:17" ht="14.25" customHeight="1">
      <c r="I262" s="14"/>
      <c r="J262" s="14"/>
      <c r="K262" s="14"/>
      <c r="L262" s="14"/>
      <c r="M262" s="14"/>
      <c r="N262" s="14"/>
      <c r="O262" s="14"/>
      <c r="P262" s="14"/>
      <c r="Q262" s="14"/>
    </row>
    <row r="263" spans="9:17" ht="14.25" customHeight="1">
      <c r="I263" s="14"/>
      <c r="J263" s="14"/>
      <c r="K263" s="14"/>
      <c r="L263" s="14"/>
      <c r="M263" s="14"/>
      <c r="N263" s="14"/>
      <c r="O263" s="14"/>
      <c r="P263" s="14"/>
      <c r="Q263" s="14"/>
    </row>
    <row r="264" spans="9:17" ht="14.25" customHeight="1">
      <c r="I264" s="14"/>
      <c r="J264" s="14"/>
      <c r="K264" s="14"/>
      <c r="L264" s="14"/>
      <c r="M264" s="14"/>
      <c r="N264" s="14"/>
      <c r="O264" s="14"/>
      <c r="P264" s="14"/>
      <c r="Q264" s="14"/>
    </row>
    <row r="265" spans="9:17" ht="14.25" customHeight="1">
      <c r="I265" s="14"/>
      <c r="J265" s="14"/>
      <c r="K265" s="14"/>
      <c r="L265" s="14"/>
      <c r="M265" s="14"/>
      <c r="N265" s="14"/>
      <c r="O265" s="14"/>
      <c r="P265" s="14"/>
      <c r="Q265" s="14"/>
    </row>
    <row r="266" spans="9:17" ht="14.25" customHeight="1">
      <c r="I266" s="14"/>
      <c r="J266" s="14"/>
      <c r="K266" s="14"/>
      <c r="L266" s="14"/>
      <c r="M266" s="14"/>
      <c r="N266" s="14"/>
      <c r="O266" s="14"/>
      <c r="P266" s="14"/>
      <c r="Q266" s="14"/>
    </row>
    <row r="267" spans="9:17" ht="14.25" customHeight="1">
      <c r="I267" s="14"/>
      <c r="J267" s="14"/>
      <c r="K267" s="14"/>
      <c r="L267" s="14"/>
      <c r="M267" s="14"/>
      <c r="N267" s="14"/>
      <c r="O267" s="14"/>
      <c r="P267" s="14"/>
      <c r="Q267" s="14"/>
    </row>
    <row r="268" spans="9:17" ht="14.25" customHeight="1">
      <c r="I268" s="14"/>
      <c r="J268" s="14"/>
      <c r="K268" s="14"/>
      <c r="L268" s="14"/>
      <c r="M268" s="14"/>
      <c r="N268" s="14"/>
      <c r="O268" s="14"/>
      <c r="P268" s="14"/>
      <c r="Q268" s="14"/>
    </row>
    <row r="269" spans="9:17" ht="14.25" customHeight="1">
      <c r="I269" s="14"/>
      <c r="J269" s="14"/>
      <c r="K269" s="14"/>
      <c r="L269" s="14"/>
      <c r="M269" s="14"/>
      <c r="N269" s="14"/>
      <c r="O269" s="14"/>
      <c r="P269" s="14"/>
      <c r="Q269" s="14"/>
    </row>
    <row r="270" spans="9:17" ht="14.25" customHeight="1">
      <c r="I270" s="14"/>
      <c r="J270" s="14"/>
      <c r="K270" s="14"/>
      <c r="L270" s="14"/>
      <c r="M270" s="14"/>
      <c r="N270" s="14"/>
      <c r="O270" s="14"/>
      <c r="P270" s="14"/>
      <c r="Q270" s="14"/>
    </row>
    <row r="271" spans="9:17" ht="14.25" customHeight="1">
      <c r="I271" s="14"/>
      <c r="J271" s="14"/>
      <c r="K271" s="14"/>
      <c r="L271" s="14"/>
      <c r="M271" s="14"/>
      <c r="N271" s="14"/>
      <c r="O271" s="14"/>
      <c r="P271" s="14"/>
      <c r="Q271" s="14"/>
    </row>
    <row r="272" spans="9:17" ht="14.25" customHeight="1">
      <c r="I272" s="14"/>
      <c r="J272" s="14"/>
      <c r="K272" s="14"/>
      <c r="L272" s="14"/>
      <c r="M272" s="14"/>
      <c r="N272" s="14"/>
      <c r="O272" s="14"/>
      <c r="P272" s="14"/>
      <c r="Q272" s="14"/>
    </row>
    <row r="273" spans="9:17" ht="14.25" customHeight="1">
      <c r="I273" s="14"/>
      <c r="J273" s="14"/>
      <c r="K273" s="14"/>
      <c r="L273" s="14"/>
      <c r="M273" s="14"/>
      <c r="N273" s="14"/>
      <c r="O273" s="14"/>
      <c r="P273" s="14"/>
      <c r="Q273" s="14"/>
    </row>
    <row r="274" spans="9:17" ht="14.25" customHeight="1">
      <c r="I274" s="14"/>
      <c r="J274" s="14"/>
      <c r="K274" s="14"/>
      <c r="L274" s="14"/>
      <c r="M274" s="14"/>
      <c r="N274" s="14"/>
      <c r="O274" s="14"/>
      <c r="P274" s="14"/>
      <c r="Q274" s="14"/>
    </row>
    <row r="275" spans="9:17" ht="14.25" customHeight="1">
      <c r="I275" s="14"/>
      <c r="J275" s="14"/>
      <c r="K275" s="14"/>
      <c r="L275" s="14"/>
      <c r="M275" s="14"/>
      <c r="N275" s="14"/>
      <c r="O275" s="14"/>
      <c r="P275" s="14"/>
      <c r="Q275" s="14"/>
    </row>
    <row r="276" spans="9:17" ht="14.25" customHeight="1">
      <c r="I276" s="14"/>
      <c r="J276" s="14"/>
      <c r="K276" s="14"/>
      <c r="L276" s="14"/>
      <c r="M276" s="14"/>
      <c r="N276" s="14"/>
      <c r="O276" s="14"/>
      <c r="P276" s="14"/>
      <c r="Q276" s="14"/>
    </row>
    <row r="277" spans="9:17" ht="14.25" customHeight="1">
      <c r="I277" s="14"/>
      <c r="J277" s="14"/>
      <c r="K277" s="14"/>
      <c r="L277" s="14"/>
      <c r="M277" s="14"/>
      <c r="N277" s="14"/>
      <c r="O277" s="14"/>
      <c r="P277" s="14"/>
      <c r="Q277" s="14"/>
    </row>
    <row r="278" spans="9:17" ht="14.25" customHeight="1">
      <c r="I278" s="14"/>
      <c r="J278" s="14"/>
      <c r="K278" s="14"/>
      <c r="L278" s="14"/>
      <c r="M278" s="14"/>
      <c r="N278" s="14"/>
      <c r="O278" s="14"/>
      <c r="P278" s="14"/>
      <c r="Q278" s="14"/>
    </row>
    <row r="279" spans="9:17" ht="14.25" customHeight="1">
      <c r="I279" s="14"/>
      <c r="J279" s="14"/>
      <c r="K279" s="14"/>
      <c r="L279" s="14"/>
      <c r="M279" s="14"/>
      <c r="N279" s="14"/>
      <c r="O279" s="14"/>
      <c r="P279" s="14"/>
      <c r="Q279" s="14"/>
    </row>
    <row r="280" spans="9:17" ht="14.25" customHeight="1">
      <c r="I280" s="14"/>
      <c r="J280" s="14"/>
      <c r="K280" s="14"/>
      <c r="L280" s="14"/>
      <c r="M280" s="14"/>
      <c r="N280" s="14"/>
      <c r="O280" s="14"/>
      <c r="P280" s="14"/>
      <c r="Q280" s="14"/>
    </row>
    <row r="281" spans="9:17" ht="14.25" customHeight="1">
      <c r="I281" s="14"/>
      <c r="J281" s="14"/>
      <c r="K281" s="14"/>
      <c r="L281" s="14"/>
      <c r="M281" s="14"/>
      <c r="N281" s="14"/>
      <c r="O281" s="14"/>
      <c r="P281" s="14"/>
      <c r="Q281" s="14"/>
    </row>
    <row r="282" spans="9:17" ht="14.25" customHeight="1">
      <c r="I282" s="14"/>
      <c r="J282" s="14"/>
      <c r="K282" s="14"/>
      <c r="L282" s="14"/>
      <c r="M282" s="14"/>
      <c r="N282" s="14"/>
      <c r="O282" s="14"/>
      <c r="P282" s="14"/>
      <c r="Q282" s="14"/>
    </row>
    <row r="283" spans="9:17" ht="14.25" customHeight="1">
      <c r="I283" s="14"/>
      <c r="J283" s="14"/>
      <c r="K283" s="14"/>
      <c r="L283" s="14"/>
      <c r="M283" s="14"/>
      <c r="N283" s="14"/>
      <c r="O283" s="14"/>
      <c r="P283" s="14"/>
      <c r="Q283" s="14"/>
    </row>
    <row r="284" spans="9:17" ht="14.25" customHeight="1">
      <c r="I284" s="14"/>
      <c r="J284" s="14"/>
      <c r="K284" s="14"/>
      <c r="L284" s="14"/>
      <c r="M284" s="14"/>
      <c r="N284" s="14"/>
      <c r="O284" s="14"/>
      <c r="P284" s="14"/>
      <c r="Q284" s="14"/>
    </row>
    <row r="285" spans="9:17" ht="14.25" customHeight="1">
      <c r="I285" s="14"/>
      <c r="J285" s="14"/>
      <c r="K285" s="14"/>
      <c r="L285" s="14"/>
      <c r="M285" s="14"/>
      <c r="N285" s="14"/>
      <c r="O285" s="14"/>
      <c r="P285" s="14"/>
      <c r="Q285" s="14"/>
    </row>
    <row r="286" spans="9:17" ht="14.25" customHeight="1">
      <c r="I286" s="14"/>
      <c r="J286" s="14"/>
      <c r="K286" s="14"/>
      <c r="L286" s="14"/>
      <c r="M286" s="14"/>
      <c r="N286" s="14"/>
      <c r="O286" s="14"/>
      <c r="P286" s="14"/>
      <c r="Q286" s="14"/>
    </row>
    <row r="287" spans="9:17" ht="14.25" customHeight="1">
      <c r="I287" s="14"/>
      <c r="J287" s="14"/>
      <c r="K287" s="14"/>
      <c r="L287" s="14"/>
      <c r="M287" s="14"/>
      <c r="N287" s="14"/>
      <c r="O287" s="14"/>
      <c r="P287" s="14"/>
      <c r="Q287" s="14"/>
    </row>
    <row r="288" spans="9:17" ht="14.25" customHeight="1">
      <c r="I288" s="14"/>
      <c r="J288" s="14"/>
      <c r="K288" s="14"/>
      <c r="L288" s="14"/>
      <c r="M288" s="14"/>
      <c r="N288" s="14"/>
      <c r="O288" s="14"/>
      <c r="P288" s="14"/>
      <c r="Q288" s="14"/>
    </row>
    <row r="289" spans="9:17" ht="14.25" customHeight="1">
      <c r="I289" s="14"/>
      <c r="J289" s="14"/>
      <c r="K289" s="14"/>
      <c r="L289" s="14"/>
      <c r="M289" s="14"/>
      <c r="N289" s="14"/>
      <c r="O289" s="14"/>
      <c r="P289" s="14"/>
      <c r="Q289" s="14"/>
    </row>
    <row r="290" spans="9:17" ht="14.25" customHeight="1">
      <c r="I290" s="14"/>
      <c r="J290" s="14"/>
      <c r="K290" s="14"/>
      <c r="L290" s="14"/>
      <c r="M290" s="14"/>
      <c r="N290" s="14"/>
      <c r="O290" s="14"/>
      <c r="P290" s="14"/>
      <c r="Q290" s="14"/>
    </row>
    <row r="291" spans="9:17" ht="14.25" customHeight="1">
      <c r="I291" s="14"/>
      <c r="J291" s="14"/>
      <c r="K291" s="14"/>
      <c r="L291" s="14"/>
      <c r="M291" s="14"/>
      <c r="N291" s="14"/>
      <c r="O291" s="14"/>
      <c r="P291" s="14"/>
      <c r="Q291" s="14"/>
    </row>
    <row r="292" spans="9:17" ht="14.25" customHeight="1">
      <c r="I292" s="14"/>
      <c r="J292" s="14"/>
      <c r="K292" s="14"/>
      <c r="L292" s="14"/>
      <c r="M292" s="14"/>
      <c r="N292" s="14"/>
      <c r="O292" s="14"/>
      <c r="P292" s="14"/>
      <c r="Q292" s="14"/>
    </row>
    <row r="293" spans="9:17" ht="14.25" customHeight="1">
      <c r="I293" s="14"/>
      <c r="J293" s="14"/>
      <c r="K293" s="14"/>
      <c r="L293" s="14"/>
      <c r="M293" s="14"/>
      <c r="N293" s="14"/>
      <c r="O293" s="14"/>
      <c r="P293" s="14"/>
      <c r="Q293" s="14"/>
    </row>
    <row r="294" spans="9:17" ht="14.25" customHeight="1">
      <c r="I294" s="14"/>
      <c r="J294" s="14"/>
      <c r="K294" s="14"/>
      <c r="L294" s="14"/>
      <c r="M294" s="14"/>
      <c r="N294" s="14"/>
      <c r="O294" s="14"/>
      <c r="P294" s="14"/>
      <c r="Q294" s="14"/>
    </row>
    <row r="295" spans="9:17" ht="14.25" customHeight="1">
      <c r="I295" s="14"/>
      <c r="J295" s="14"/>
      <c r="K295" s="14"/>
      <c r="L295" s="14"/>
      <c r="M295" s="14"/>
      <c r="N295" s="14"/>
      <c r="O295" s="14"/>
      <c r="P295" s="14"/>
      <c r="Q295" s="14"/>
    </row>
    <row r="296" spans="9:17" ht="14.25" customHeight="1">
      <c r="I296" s="14"/>
      <c r="J296" s="14"/>
      <c r="K296" s="14"/>
      <c r="L296" s="14"/>
      <c r="M296" s="14"/>
      <c r="N296" s="14"/>
      <c r="O296" s="14"/>
      <c r="P296" s="14"/>
      <c r="Q296" s="14"/>
    </row>
    <row r="297" spans="9:17" ht="14.25" customHeight="1">
      <c r="I297" s="14"/>
      <c r="J297" s="14"/>
      <c r="K297" s="14"/>
      <c r="L297" s="14"/>
      <c r="M297" s="14"/>
      <c r="N297" s="14"/>
      <c r="O297" s="14"/>
      <c r="P297" s="14"/>
      <c r="Q297" s="14"/>
    </row>
    <row r="298" spans="9:17" ht="14.25" customHeight="1">
      <c r="I298" s="14"/>
      <c r="J298" s="14"/>
      <c r="K298" s="14"/>
      <c r="L298" s="14"/>
      <c r="M298" s="14"/>
      <c r="N298" s="14"/>
      <c r="O298" s="14"/>
      <c r="P298" s="14"/>
      <c r="Q298" s="14"/>
    </row>
    <row r="299" spans="9:17" ht="14.25" customHeight="1">
      <c r="I299" s="14"/>
      <c r="J299" s="14"/>
      <c r="K299" s="14"/>
      <c r="L299" s="14"/>
      <c r="M299" s="14"/>
      <c r="N299" s="14"/>
      <c r="O299" s="14"/>
      <c r="P299" s="14"/>
      <c r="Q299" s="14"/>
    </row>
    <row r="300" spans="9:17" ht="14.25" customHeight="1">
      <c r="I300" s="14"/>
      <c r="J300" s="14"/>
      <c r="K300" s="14"/>
      <c r="L300" s="14"/>
      <c r="M300" s="14"/>
      <c r="N300" s="14"/>
      <c r="O300" s="14"/>
      <c r="P300" s="14"/>
      <c r="Q300" s="14"/>
    </row>
    <row r="301" spans="9:17" ht="14.25" customHeight="1">
      <c r="I301" s="14"/>
      <c r="J301" s="14"/>
      <c r="K301" s="14"/>
      <c r="L301" s="14"/>
      <c r="M301" s="14"/>
      <c r="N301" s="14"/>
      <c r="O301" s="14"/>
      <c r="P301" s="14"/>
      <c r="Q301" s="14"/>
    </row>
    <row r="302" spans="9:17" ht="14.25" customHeight="1">
      <c r="I302" s="14"/>
      <c r="J302" s="14"/>
      <c r="K302" s="14"/>
      <c r="L302" s="14"/>
      <c r="M302" s="14"/>
      <c r="N302" s="14"/>
      <c r="O302" s="14"/>
      <c r="P302" s="14"/>
      <c r="Q302" s="14"/>
    </row>
    <row r="303" spans="9:17" ht="14.25" customHeight="1">
      <c r="I303" s="14"/>
      <c r="J303" s="14"/>
      <c r="K303" s="14"/>
      <c r="L303" s="14"/>
      <c r="M303" s="14"/>
      <c r="N303" s="14"/>
      <c r="O303" s="14"/>
      <c r="P303" s="14"/>
      <c r="Q303" s="14"/>
    </row>
    <row r="304" spans="9:17" ht="14.25" customHeight="1">
      <c r="I304" s="14"/>
      <c r="J304" s="14"/>
      <c r="K304" s="14"/>
      <c r="L304" s="14"/>
      <c r="M304" s="14"/>
      <c r="N304" s="14"/>
      <c r="O304" s="14"/>
      <c r="P304" s="14"/>
      <c r="Q304" s="14"/>
    </row>
    <row r="305" spans="9:17" ht="14.25" customHeight="1">
      <c r="I305" s="14"/>
      <c r="J305" s="14"/>
      <c r="K305" s="14"/>
      <c r="L305" s="14"/>
      <c r="M305" s="14"/>
      <c r="N305" s="14"/>
      <c r="O305" s="14"/>
      <c r="P305" s="14"/>
      <c r="Q305" s="14"/>
    </row>
    <row r="306" spans="9:17" ht="14.25" customHeight="1">
      <c r="I306" s="14"/>
      <c r="J306" s="14"/>
      <c r="K306" s="14"/>
      <c r="L306" s="14"/>
      <c r="M306" s="14"/>
      <c r="N306" s="14"/>
      <c r="O306" s="14"/>
      <c r="P306" s="14"/>
      <c r="Q306" s="14"/>
    </row>
    <row r="307" spans="9:17" ht="14.25" customHeight="1">
      <c r="I307" s="14"/>
      <c r="J307" s="14"/>
      <c r="K307" s="14"/>
      <c r="L307" s="14"/>
      <c r="M307" s="14"/>
      <c r="N307" s="14"/>
      <c r="O307" s="14"/>
      <c r="P307" s="14"/>
      <c r="Q307" s="14"/>
    </row>
    <row r="308" spans="9:17" ht="14.25" customHeight="1">
      <c r="I308" s="14"/>
      <c r="J308" s="14"/>
      <c r="K308" s="14"/>
      <c r="L308" s="14"/>
      <c r="M308" s="14"/>
      <c r="N308" s="14"/>
      <c r="O308" s="14"/>
      <c r="P308" s="14"/>
      <c r="Q308" s="14"/>
    </row>
    <row r="309" spans="9:17" ht="14.25" customHeight="1">
      <c r="I309" s="14"/>
      <c r="J309" s="14"/>
      <c r="K309" s="14"/>
      <c r="L309" s="14"/>
      <c r="M309" s="14"/>
      <c r="N309" s="14"/>
      <c r="O309" s="14"/>
      <c r="P309" s="14"/>
      <c r="Q309" s="14"/>
    </row>
    <row r="310" spans="9:17" ht="14.25" customHeight="1">
      <c r="I310" s="14"/>
      <c r="J310" s="14"/>
      <c r="K310" s="14"/>
      <c r="L310" s="14"/>
      <c r="M310" s="14"/>
      <c r="N310" s="14"/>
      <c r="O310" s="14"/>
      <c r="P310" s="14"/>
      <c r="Q310" s="14"/>
    </row>
    <row r="311" spans="9:17" ht="14.25" customHeight="1">
      <c r="I311" s="14"/>
      <c r="J311" s="14"/>
      <c r="K311" s="14"/>
      <c r="L311" s="14"/>
      <c r="M311" s="14"/>
      <c r="N311" s="14"/>
      <c r="O311" s="14"/>
      <c r="P311" s="14"/>
      <c r="Q311" s="14"/>
    </row>
    <row r="312" spans="9:17" ht="14.25" customHeight="1">
      <c r="I312" s="14"/>
      <c r="J312" s="14"/>
      <c r="K312" s="14"/>
      <c r="L312" s="14"/>
      <c r="M312" s="14"/>
      <c r="N312" s="14"/>
      <c r="O312" s="14"/>
      <c r="P312" s="14"/>
      <c r="Q312" s="14"/>
    </row>
    <row r="313" spans="9:17" ht="14.25" customHeight="1">
      <c r="I313" s="14"/>
      <c r="J313" s="14"/>
      <c r="K313" s="14"/>
      <c r="L313" s="14"/>
      <c r="M313" s="14"/>
      <c r="N313" s="14"/>
      <c r="O313" s="14"/>
      <c r="P313" s="14"/>
      <c r="Q313" s="14"/>
    </row>
    <row r="314" spans="9:17" ht="14.25" customHeight="1">
      <c r="I314" s="14"/>
      <c r="J314" s="14"/>
      <c r="K314" s="14"/>
      <c r="L314" s="14"/>
      <c r="M314" s="14"/>
      <c r="N314" s="14"/>
      <c r="O314" s="14"/>
      <c r="P314" s="14"/>
      <c r="Q314" s="14"/>
    </row>
    <row r="315" spans="9:17" ht="14.25" customHeight="1">
      <c r="I315" s="14"/>
      <c r="J315" s="14"/>
      <c r="K315" s="14"/>
      <c r="L315" s="14"/>
      <c r="M315" s="14"/>
      <c r="N315" s="14"/>
      <c r="O315" s="14"/>
      <c r="P315" s="14"/>
      <c r="Q315" s="14"/>
    </row>
    <row r="316" spans="9:17" ht="14.25" customHeight="1">
      <c r="I316" s="14"/>
      <c r="J316" s="14"/>
      <c r="K316" s="14"/>
      <c r="L316" s="14"/>
      <c r="M316" s="14"/>
      <c r="N316" s="14"/>
      <c r="O316" s="14"/>
      <c r="P316" s="14"/>
      <c r="Q316" s="14"/>
    </row>
    <row r="317" spans="9:17" ht="14.25" customHeight="1">
      <c r="I317" s="14"/>
      <c r="J317" s="14"/>
      <c r="K317" s="14"/>
      <c r="L317" s="14"/>
      <c r="M317" s="14"/>
      <c r="N317" s="14"/>
      <c r="O317" s="14"/>
      <c r="P317" s="14"/>
      <c r="Q317" s="14"/>
    </row>
    <row r="318" spans="9:17" ht="14.25" customHeight="1">
      <c r="I318" s="14"/>
      <c r="J318" s="14"/>
      <c r="K318" s="14"/>
      <c r="L318" s="14"/>
      <c r="M318" s="14"/>
      <c r="N318" s="14"/>
      <c r="O318" s="14"/>
      <c r="P318" s="14"/>
      <c r="Q318" s="14"/>
    </row>
    <row r="319" spans="9:17" ht="14.25" customHeight="1">
      <c r="I319" s="14"/>
      <c r="J319" s="14"/>
      <c r="K319" s="14"/>
      <c r="L319" s="14"/>
      <c r="M319" s="14"/>
      <c r="N319" s="14"/>
      <c r="O319" s="14"/>
      <c r="P319" s="14"/>
      <c r="Q319" s="14"/>
    </row>
    <row r="320" spans="9:17" ht="14.25" customHeight="1">
      <c r="I320" s="14"/>
      <c r="J320" s="14"/>
      <c r="K320" s="14"/>
      <c r="L320" s="14"/>
      <c r="M320" s="14"/>
      <c r="N320" s="14"/>
      <c r="O320" s="14"/>
      <c r="P320" s="14"/>
      <c r="Q320" s="14"/>
    </row>
    <row r="321" spans="9:17" ht="14.25" customHeight="1">
      <c r="I321" s="14"/>
      <c r="J321" s="14"/>
      <c r="K321" s="14"/>
      <c r="L321" s="14"/>
      <c r="M321" s="14"/>
      <c r="N321" s="14"/>
      <c r="O321" s="14"/>
      <c r="P321" s="14"/>
      <c r="Q321" s="14"/>
    </row>
    <row r="322" spans="9:17" ht="14.25" customHeight="1">
      <c r="I322" s="14"/>
      <c r="J322" s="14"/>
      <c r="K322" s="14"/>
      <c r="L322" s="14"/>
      <c r="M322" s="14"/>
      <c r="N322" s="14"/>
      <c r="O322" s="14"/>
      <c r="P322" s="14"/>
      <c r="Q322" s="14"/>
    </row>
    <row r="323" spans="9:17" ht="14.25" customHeight="1">
      <c r="I323" s="14"/>
      <c r="J323" s="14"/>
      <c r="K323" s="14"/>
      <c r="L323" s="14"/>
      <c r="M323" s="14"/>
      <c r="N323" s="14"/>
      <c r="O323" s="14"/>
      <c r="P323" s="14"/>
      <c r="Q323" s="14"/>
    </row>
    <row r="324" spans="9:17" ht="14.25" customHeight="1">
      <c r="I324" s="14"/>
      <c r="J324" s="14"/>
      <c r="K324" s="14"/>
      <c r="L324" s="14"/>
      <c r="M324" s="14"/>
      <c r="N324" s="14"/>
      <c r="O324" s="14"/>
      <c r="P324" s="14"/>
      <c r="Q324" s="14"/>
    </row>
    <row r="325" spans="9:17" ht="14.25" customHeight="1">
      <c r="I325" s="14"/>
      <c r="J325" s="14"/>
      <c r="K325" s="14"/>
      <c r="L325" s="14"/>
      <c r="M325" s="14"/>
      <c r="N325" s="14"/>
      <c r="O325" s="14"/>
      <c r="P325" s="14"/>
      <c r="Q325" s="14"/>
    </row>
    <row r="326" spans="9:17" ht="14.25" customHeight="1">
      <c r="I326" s="14"/>
      <c r="J326" s="14"/>
      <c r="K326" s="14"/>
      <c r="L326" s="14"/>
      <c r="M326" s="14"/>
      <c r="N326" s="14"/>
      <c r="O326" s="14"/>
      <c r="P326" s="14"/>
      <c r="Q326" s="14"/>
    </row>
    <row r="327" spans="9:17" ht="14.25" customHeight="1">
      <c r="I327" s="14"/>
      <c r="J327" s="14"/>
      <c r="K327" s="14"/>
      <c r="L327" s="14"/>
      <c r="M327" s="14"/>
      <c r="N327" s="14"/>
      <c r="O327" s="14"/>
      <c r="P327" s="14"/>
      <c r="Q327" s="14"/>
    </row>
    <row r="328" spans="9:17" ht="14.25" customHeight="1">
      <c r="I328" s="14"/>
      <c r="J328" s="14"/>
      <c r="K328" s="14"/>
      <c r="L328" s="14"/>
      <c r="M328" s="14"/>
      <c r="N328" s="14"/>
      <c r="O328" s="14"/>
      <c r="P328" s="14"/>
      <c r="Q328" s="14"/>
    </row>
    <row r="329" spans="9:17" ht="14.25" customHeight="1">
      <c r="I329" s="14"/>
      <c r="J329" s="14"/>
      <c r="K329" s="14"/>
      <c r="L329" s="14"/>
      <c r="M329" s="14"/>
      <c r="N329" s="14"/>
      <c r="O329" s="14"/>
      <c r="P329" s="14"/>
      <c r="Q329" s="14"/>
    </row>
    <row r="330" spans="9:17" ht="14.25" customHeight="1">
      <c r="I330" s="14"/>
      <c r="J330" s="14"/>
      <c r="K330" s="14"/>
      <c r="L330" s="14"/>
      <c r="M330" s="14"/>
      <c r="N330" s="14"/>
      <c r="O330" s="14"/>
      <c r="P330" s="14"/>
      <c r="Q330" s="14"/>
    </row>
    <row r="331" spans="9:17" ht="14.25" customHeight="1">
      <c r="I331" s="14"/>
      <c r="J331" s="14"/>
      <c r="K331" s="14"/>
      <c r="L331" s="14"/>
      <c r="M331" s="14"/>
      <c r="N331" s="14"/>
      <c r="O331" s="14"/>
      <c r="P331" s="14"/>
      <c r="Q331" s="14"/>
    </row>
    <row r="332" spans="9:17" ht="14.25" customHeight="1">
      <c r="I332" s="14"/>
      <c r="J332" s="14"/>
      <c r="K332" s="14"/>
      <c r="L332" s="14"/>
      <c r="M332" s="14"/>
      <c r="N332" s="14"/>
      <c r="O332" s="14"/>
      <c r="P332" s="14"/>
      <c r="Q332" s="14"/>
    </row>
    <row r="333" spans="9:17" ht="14.25" customHeight="1">
      <c r="I333" s="14"/>
      <c r="J333" s="14"/>
      <c r="K333" s="14"/>
      <c r="L333" s="14"/>
      <c r="M333" s="14"/>
      <c r="N333" s="14"/>
      <c r="O333" s="14"/>
      <c r="P333" s="14"/>
      <c r="Q333" s="14"/>
    </row>
    <row r="334" spans="9:17" ht="14.25" customHeight="1">
      <c r="I334" s="14"/>
      <c r="J334" s="14"/>
      <c r="K334" s="14"/>
      <c r="L334" s="14"/>
      <c r="M334" s="14"/>
      <c r="N334" s="14"/>
      <c r="O334" s="14"/>
      <c r="P334" s="14"/>
      <c r="Q334" s="14"/>
    </row>
    <row r="335" spans="9:17" ht="14.25" customHeight="1">
      <c r="I335" s="14"/>
      <c r="J335" s="14"/>
      <c r="K335" s="14"/>
      <c r="L335" s="14"/>
      <c r="M335" s="14"/>
      <c r="N335" s="14"/>
      <c r="O335" s="14"/>
      <c r="P335" s="14"/>
      <c r="Q335" s="14"/>
    </row>
    <row r="336" spans="9:17" ht="14.25" customHeight="1">
      <c r="I336" s="14"/>
      <c r="J336" s="14"/>
      <c r="K336" s="14"/>
      <c r="L336" s="14"/>
      <c r="M336" s="14"/>
      <c r="N336" s="14"/>
      <c r="O336" s="14"/>
      <c r="P336" s="14"/>
      <c r="Q336" s="14"/>
    </row>
    <row r="337" spans="9:17" ht="14.25" customHeight="1">
      <c r="I337" s="14"/>
      <c r="J337" s="14"/>
      <c r="K337" s="14"/>
      <c r="L337" s="14"/>
      <c r="M337" s="14"/>
      <c r="N337" s="14"/>
      <c r="O337" s="14"/>
      <c r="P337" s="14"/>
      <c r="Q337" s="14"/>
    </row>
    <row r="338" spans="9:17" ht="14.25" customHeight="1">
      <c r="I338" s="14"/>
      <c r="J338" s="14"/>
      <c r="K338" s="14"/>
      <c r="L338" s="14"/>
      <c r="M338" s="14"/>
      <c r="N338" s="14"/>
      <c r="O338" s="14"/>
      <c r="P338" s="14"/>
      <c r="Q338" s="14"/>
    </row>
    <row r="339" spans="9:17" ht="14.25" customHeight="1">
      <c r="I339" s="14"/>
      <c r="J339" s="14"/>
      <c r="K339" s="14"/>
      <c r="L339" s="14"/>
      <c r="M339" s="14"/>
      <c r="N339" s="14"/>
      <c r="O339" s="14"/>
      <c r="P339" s="14"/>
      <c r="Q339" s="14"/>
    </row>
    <row r="340" spans="9:17" ht="14.25" customHeight="1">
      <c r="I340" s="14"/>
      <c r="J340" s="14"/>
      <c r="K340" s="14"/>
      <c r="L340" s="14"/>
      <c r="M340" s="14"/>
      <c r="N340" s="14"/>
      <c r="O340" s="14"/>
      <c r="P340" s="14"/>
      <c r="Q340" s="14"/>
    </row>
    <row r="341" spans="9:17" ht="14.25" customHeight="1">
      <c r="I341" s="14"/>
      <c r="J341" s="14"/>
      <c r="K341" s="14"/>
      <c r="L341" s="14"/>
      <c r="M341" s="14"/>
      <c r="N341" s="14"/>
      <c r="O341" s="14"/>
      <c r="P341" s="14"/>
      <c r="Q341" s="14"/>
    </row>
    <row r="342" spans="9:17" ht="14.25" customHeight="1">
      <c r="I342" s="14"/>
      <c r="J342" s="14"/>
      <c r="K342" s="14"/>
      <c r="L342" s="14"/>
      <c r="M342" s="14"/>
      <c r="N342" s="14"/>
      <c r="O342" s="14"/>
      <c r="P342" s="14"/>
      <c r="Q342" s="14"/>
    </row>
    <row r="343" spans="9:17" ht="14.25" customHeight="1">
      <c r="I343" s="14"/>
      <c r="J343" s="14"/>
      <c r="K343" s="14"/>
      <c r="L343" s="14"/>
      <c r="M343" s="14"/>
      <c r="N343" s="14"/>
      <c r="O343" s="14"/>
      <c r="P343" s="14"/>
      <c r="Q343" s="14"/>
    </row>
    <row r="344" spans="9:17" ht="14.25" customHeight="1">
      <c r="I344" s="14"/>
      <c r="J344" s="14"/>
      <c r="K344" s="14"/>
      <c r="L344" s="14"/>
      <c r="M344" s="14"/>
      <c r="N344" s="14"/>
      <c r="O344" s="14"/>
      <c r="P344" s="14"/>
      <c r="Q344" s="14"/>
    </row>
    <row r="345" spans="9:17" ht="14.25" customHeight="1">
      <c r="I345" s="14"/>
      <c r="J345" s="14"/>
      <c r="K345" s="14"/>
      <c r="L345" s="14"/>
      <c r="M345" s="14"/>
      <c r="N345" s="14"/>
      <c r="O345" s="14"/>
      <c r="P345" s="14"/>
      <c r="Q345" s="14"/>
    </row>
    <row r="346" spans="9:17" ht="14.25" customHeight="1">
      <c r="I346" s="14"/>
      <c r="J346" s="14"/>
      <c r="K346" s="14"/>
      <c r="L346" s="14"/>
      <c r="M346" s="14"/>
      <c r="N346" s="14"/>
      <c r="O346" s="14"/>
      <c r="P346" s="14"/>
      <c r="Q346" s="14"/>
    </row>
    <row r="347" spans="9:17" ht="14.25" customHeight="1">
      <c r="I347" s="14"/>
      <c r="J347" s="14"/>
      <c r="K347" s="14"/>
      <c r="L347" s="14"/>
      <c r="M347" s="14"/>
      <c r="N347" s="14"/>
      <c r="O347" s="14"/>
      <c r="P347" s="14"/>
      <c r="Q347" s="14"/>
    </row>
    <row r="348" spans="9:17" ht="14.25" customHeight="1">
      <c r="I348" s="14"/>
      <c r="J348" s="14"/>
      <c r="K348" s="14"/>
      <c r="L348" s="14"/>
      <c r="M348" s="14"/>
      <c r="N348" s="14"/>
      <c r="O348" s="14"/>
      <c r="P348" s="14"/>
      <c r="Q348" s="14"/>
    </row>
    <row r="349" spans="9:17" ht="14.25" customHeight="1">
      <c r="I349" s="14"/>
      <c r="J349" s="14"/>
      <c r="K349" s="14"/>
      <c r="L349" s="14"/>
      <c r="M349" s="14"/>
      <c r="N349" s="14"/>
      <c r="O349" s="14"/>
      <c r="P349" s="14"/>
      <c r="Q349" s="14"/>
    </row>
    <row r="350" spans="9:17" ht="14.25" customHeight="1">
      <c r="I350" s="14"/>
      <c r="J350" s="14"/>
      <c r="K350" s="14"/>
      <c r="L350" s="14"/>
      <c r="M350" s="14"/>
      <c r="N350" s="14"/>
      <c r="O350" s="14"/>
      <c r="P350" s="14"/>
      <c r="Q350" s="14"/>
    </row>
    <row r="351" spans="9:17" ht="14.25" customHeight="1">
      <c r="I351" s="14"/>
      <c r="J351" s="14"/>
      <c r="K351" s="14"/>
      <c r="L351" s="14"/>
      <c r="M351" s="14"/>
      <c r="N351" s="14"/>
      <c r="O351" s="14"/>
      <c r="P351" s="14"/>
      <c r="Q351" s="14"/>
    </row>
    <row r="352" spans="9:17" ht="14.25" customHeight="1">
      <c r="I352" s="14"/>
      <c r="J352" s="14"/>
      <c r="K352" s="14"/>
      <c r="L352" s="14"/>
      <c r="M352" s="14"/>
      <c r="N352" s="14"/>
      <c r="O352" s="14"/>
      <c r="P352" s="14"/>
      <c r="Q352" s="14"/>
    </row>
    <row r="353" spans="9:17" ht="14.25" customHeight="1">
      <c r="I353" s="14"/>
      <c r="J353" s="14"/>
      <c r="K353" s="14"/>
      <c r="L353" s="14"/>
      <c r="M353" s="14"/>
      <c r="N353" s="14"/>
      <c r="O353" s="14"/>
      <c r="P353" s="14"/>
      <c r="Q353" s="14"/>
    </row>
    <row r="354" spans="9:17" ht="14.25" customHeight="1">
      <c r="I354" s="14"/>
      <c r="J354" s="14"/>
      <c r="K354" s="14"/>
      <c r="L354" s="14"/>
      <c r="M354" s="14"/>
      <c r="N354" s="14"/>
      <c r="O354" s="14"/>
      <c r="P354" s="14"/>
      <c r="Q354" s="14"/>
    </row>
    <row r="355" spans="9:17" ht="14.25" customHeight="1">
      <c r="I355" s="14"/>
      <c r="J355" s="14"/>
      <c r="K355" s="14"/>
      <c r="L355" s="14"/>
      <c r="M355" s="14"/>
      <c r="N355" s="14"/>
      <c r="O355" s="14"/>
      <c r="P355" s="14"/>
      <c r="Q355" s="14"/>
    </row>
    <row r="356" spans="9:17" ht="14.25" customHeight="1">
      <c r="I356" s="14"/>
      <c r="J356" s="14"/>
      <c r="K356" s="14"/>
      <c r="L356" s="14"/>
      <c r="M356" s="14"/>
      <c r="N356" s="14"/>
      <c r="O356" s="14"/>
      <c r="P356" s="14"/>
      <c r="Q356" s="14"/>
    </row>
    <row r="357" spans="9:17" ht="14.25" customHeight="1">
      <c r="I357" s="14"/>
      <c r="J357" s="14"/>
      <c r="K357" s="14"/>
      <c r="L357" s="14"/>
      <c r="M357" s="14"/>
      <c r="N357" s="14"/>
      <c r="O357" s="14"/>
      <c r="P357" s="14"/>
      <c r="Q357" s="14"/>
    </row>
    <row r="358" spans="9:17" ht="14.25" customHeight="1">
      <c r="I358" s="14"/>
      <c r="J358" s="14"/>
      <c r="K358" s="14"/>
      <c r="L358" s="14"/>
      <c r="M358" s="14"/>
      <c r="N358" s="14"/>
      <c r="O358" s="14"/>
      <c r="P358" s="14"/>
      <c r="Q358" s="14"/>
    </row>
    <row r="359" spans="9:17" ht="14.25" customHeight="1">
      <c r="I359" s="14"/>
      <c r="J359" s="14"/>
      <c r="K359" s="14"/>
      <c r="L359" s="14"/>
      <c r="M359" s="14"/>
      <c r="N359" s="14"/>
      <c r="O359" s="14"/>
      <c r="P359" s="14"/>
      <c r="Q359" s="14"/>
    </row>
    <row r="360" spans="9:17" ht="14.25" customHeight="1">
      <c r="I360" s="14"/>
      <c r="J360" s="14"/>
      <c r="K360" s="14"/>
      <c r="L360" s="14"/>
      <c r="M360" s="14"/>
      <c r="N360" s="14"/>
      <c r="O360" s="14"/>
      <c r="P360" s="14"/>
      <c r="Q360" s="14"/>
    </row>
    <row r="361" spans="9:17" ht="14.25" customHeight="1">
      <c r="I361" s="14"/>
      <c r="J361" s="14"/>
      <c r="K361" s="14"/>
      <c r="L361" s="14"/>
      <c r="M361" s="14"/>
      <c r="N361" s="14"/>
      <c r="O361" s="14"/>
      <c r="P361" s="14"/>
      <c r="Q361" s="14"/>
    </row>
    <row r="362" spans="9:17" ht="14.25" customHeight="1">
      <c r="I362" s="14"/>
      <c r="J362" s="14"/>
      <c r="K362" s="14"/>
      <c r="L362" s="14"/>
      <c r="M362" s="14"/>
      <c r="N362" s="14"/>
      <c r="O362" s="14"/>
      <c r="P362" s="14"/>
      <c r="Q362" s="14"/>
    </row>
    <row r="363" spans="9:17" ht="14.25" customHeight="1">
      <c r="I363" s="14"/>
      <c r="J363" s="14"/>
      <c r="K363" s="14"/>
      <c r="L363" s="14"/>
      <c r="M363" s="14"/>
      <c r="N363" s="14"/>
      <c r="O363" s="14"/>
      <c r="P363" s="14"/>
      <c r="Q363" s="14"/>
    </row>
    <row r="364" spans="9:17" ht="14.25" customHeight="1">
      <c r="I364" s="14"/>
      <c r="J364" s="14"/>
      <c r="K364" s="14"/>
      <c r="L364" s="14"/>
      <c r="M364" s="14"/>
      <c r="N364" s="14"/>
      <c r="O364" s="14"/>
      <c r="P364" s="14"/>
      <c r="Q364" s="14"/>
    </row>
    <row r="365" spans="9:17" ht="14.25" customHeight="1">
      <c r="I365" s="14"/>
      <c r="J365" s="14"/>
      <c r="K365" s="14"/>
      <c r="L365" s="14"/>
      <c r="M365" s="14"/>
      <c r="N365" s="14"/>
      <c r="O365" s="14"/>
      <c r="P365" s="14"/>
      <c r="Q365" s="14"/>
    </row>
    <row r="366" spans="9:17" ht="14.25" customHeight="1">
      <c r="I366" s="14"/>
      <c r="J366" s="14"/>
      <c r="K366" s="14"/>
      <c r="L366" s="14"/>
      <c r="M366" s="14"/>
      <c r="N366" s="14"/>
      <c r="O366" s="14"/>
      <c r="P366" s="14"/>
      <c r="Q366" s="14"/>
    </row>
    <row r="367" spans="9:17" ht="14.25" customHeight="1">
      <c r="I367" s="14"/>
      <c r="J367" s="14"/>
      <c r="K367" s="14"/>
      <c r="L367" s="14"/>
      <c r="M367" s="14"/>
      <c r="N367" s="14"/>
      <c r="O367" s="14"/>
      <c r="P367" s="14"/>
      <c r="Q367" s="14"/>
    </row>
    <row r="368" spans="9:17" ht="14.25" customHeight="1">
      <c r="I368" s="14"/>
      <c r="J368" s="14"/>
      <c r="K368" s="14"/>
      <c r="L368" s="14"/>
      <c r="M368" s="14"/>
      <c r="N368" s="14"/>
      <c r="O368" s="14"/>
      <c r="P368" s="14"/>
      <c r="Q368" s="14"/>
    </row>
    <row r="369" spans="9:17" ht="14.25" customHeight="1">
      <c r="I369" s="14"/>
      <c r="J369" s="14"/>
      <c r="K369" s="14"/>
      <c r="L369" s="14"/>
      <c r="M369" s="14"/>
      <c r="N369" s="14"/>
      <c r="O369" s="14"/>
      <c r="P369" s="14"/>
      <c r="Q369" s="14"/>
    </row>
    <row r="370" spans="9:17" ht="14.25" customHeight="1">
      <c r="I370" s="14"/>
      <c r="J370" s="14"/>
      <c r="K370" s="14"/>
      <c r="L370" s="14"/>
      <c r="M370" s="14"/>
      <c r="N370" s="14"/>
      <c r="O370" s="14"/>
      <c r="P370" s="14"/>
      <c r="Q370" s="14"/>
    </row>
    <row r="371" spans="9:17" ht="14.25" customHeight="1">
      <c r="I371" s="14"/>
      <c r="J371" s="14"/>
      <c r="K371" s="14"/>
      <c r="L371" s="14"/>
      <c r="M371" s="14"/>
      <c r="N371" s="14"/>
      <c r="O371" s="14"/>
      <c r="P371" s="14"/>
      <c r="Q371" s="14"/>
    </row>
    <row r="372" spans="9:17" ht="14.25" customHeight="1">
      <c r="I372" s="14"/>
      <c r="J372" s="14"/>
      <c r="K372" s="14"/>
      <c r="L372" s="14"/>
      <c r="M372" s="14"/>
      <c r="N372" s="14"/>
      <c r="O372" s="14"/>
      <c r="P372" s="14"/>
      <c r="Q372" s="14"/>
    </row>
    <row r="373" spans="9:17" ht="14.25" customHeight="1">
      <c r="I373" s="14"/>
      <c r="J373" s="14"/>
      <c r="K373" s="14"/>
      <c r="L373" s="14"/>
      <c r="M373" s="14"/>
      <c r="N373" s="14"/>
      <c r="O373" s="14"/>
      <c r="P373" s="14"/>
      <c r="Q373" s="14"/>
    </row>
    <row r="374" spans="9:17" ht="14.25" customHeight="1">
      <c r="I374" s="14"/>
      <c r="J374" s="14"/>
      <c r="K374" s="14"/>
      <c r="L374" s="14"/>
      <c r="M374" s="14"/>
      <c r="N374" s="14"/>
      <c r="O374" s="14"/>
      <c r="P374" s="14"/>
      <c r="Q374" s="14"/>
    </row>
    <row r="375" spans="9:17" ht="14.25" customHeight="1">
      <c r="I375" s="14"/>
      <c r="J375" s="14"/>
      <c r="K375" s="14"/>
      <c r="L375" s="14"/>
      <c r="M375" s="14"/>
      <c r="N375" s="14"/>
      <c r="O375" s="14"/>
      <c r="P375" s="14"/>
      <c r="Q375" s="14"/>
    </row>
    <row r="376" spans="9:17" ht="14.25" customHeight="1">
      <c r="I376" s="14"/>
      <c r="J376" s="14"/>
      <c r="K376" s="14"/>
      <c r="L376" s="14"/>
      <c r="M376" s="14"/>
      <c r="N376" s="14"/>
      <c r="O376" s="14"/>
      <c r="P376" s="14"/>
      <c r="Q376" s="14"/>
    </row>
    <row r="377" spans="9:17" ht="14.25" customHeight="1">
      <c r="I377" s="14"/>
      <c r="J377" s="14"/>
      <c r="K377" s="14"/>
      <c r="L377" s="14"/>
      <c r="M377" s="14"/>
      <c r="N377" s="14"/>
      <c r="O377" s="14"/>
      <c r="P377" s="14"/>
      <c r="Q377" s="14"/>
    </row>
    <row r="378" spans="9:17" ht="14.25" customHeight="1">
      <c r="I378" s="14"/>
      <c r="J378" s="14"/>
      <c r="K378" s="14"/>
      <c r="L378" s="14"/>
      <c r="M378" s="14"/>
      <c r="N378" s="14"/>
      <c r="O378" s="14"/>
      <c r="P378" s="14"/>
      <c r="Q378" s="14"/>
    </row>
    <row r="379" spans="9:17" ht="14.25" customHeight="1">
      <c r="I379" s="14"/>
      <c r="J379" s="14"/>
      <c r="K379" s="14"/>
      <c r="L379" s="14"/>
      <c r="M379" s="14"/>
      <c r="N379" s="14"/>
      <c r="O379" s="14"/>
      <c r="P379" s="14"/>
      <c r="Q379" s="14"/>
    </row>
    <row r="380" spans="9:17" ht="14.25" customHeight="1">
      <c r="I380" s="14"/>
      <c r="J380" s="14"/>
      <c r="K380" s="14"/>
      <c r="L380" s="14"/>
      <c r="M380" s="14"/>
      <c r="N380" s="14"/>
      <c r="O380" s="14"/>
      <c r="P380" s="14"/>
      <c r="Q380" s="14"/>
    </row>
    <row r="381" spans="9:17" ht="14.25" customHeight="1">
      <c r="I381" s="14"/>
      <c r="J381" s="14"/>
      <c r="K381" s="14"/>
      <c r="L381" s="14"/>
      <c r="M381" s="14"/>
      <c r="N381" s="14"/>
      <c r="O381" s="14"/>
      <c r="P381" s="14"/>
      <c r="Q381" s="14"/>
    </row>
    <row r="382" spans="9:17" ht="14.25" customHeight="1">
      <c r="I382" s="14"/>
      <c r="J382" s="14"/>
      <c r="K382" s="14"/>
      <c r="L382" s="14"/>
      <c r="M382" s="14"/>
      <c r="N382" s="14"/>
      <c r="O382" s="14"/>
      <c r="P382" s="14"/>
      <c r="Q382" s="14"/>
    </row>
    <row r="383" spans="9:17" ht="14.25" customHeight="1">
      <c r="I383" s="14"/>
      <c r="J383" s="14"/>
      <c r="K383" s="14"/>
      <c r="L383" s="14"/>
      <c r="M383" s="14"/>
      <c r="N383" s="14"/>
      <c r="O383" s="14"/>
      <c r="P383" s="14"/>
      <c r="Q383" s="14"/>
    </row>
    <row r="384" spans="9:17" ht="14.25" customHeight="1">
      <c r="I384" s="14"/>
      <c r="J384" s="14"/>
      <c r="K384" s="14"/>
      <c r="L384" s="14"/>
      <c r="M384" s="14"/>
      <c r="N384" s="14"/>
      <c r="O384" s="14"/>
      <c r="P384" s="14"/>
      <c r="Q384" s="14"/>
    </row>
    <row r="385" spans="9:17" ht="14.25" customHeight="1">
      <c r="I385" s="14"/>
      <c r="J385" s="14"/>
      <c r="K385" s="14"/>
      <c r="L385" s="14"/>
      <c r="M385" s="14"/>
      <c r="N385" s="14"/>
      <c r="O385" s="14"/>
      <c r="P385" s="14"/>
      <c r="Q385" s="14"/>
    </row>
    <row r="386" spans="9:17" ht="14.25" customHeight="1">
      <c r="I386" s="14"/>
      <c r="J386" s="14"/>
      <c r="K386" s="14"/>
      <c r="L386" s="14"/>
      <c r="M386" s="14"/>
      <c r="N386" s="14"/>
      <c r="O386" s="14"/>
      <c r="P386" s="14"/>
      <c r="Q386" s="14"/>
    </row>
    <row r="387" spans="9:17" ht="14.25" customHeight="1">
      <c r="I387" s="14"/>
      <c r="J387" s="14"/>
      <c r="K387" s="14"/>
      <c r="L387" s="14"/>
      <c r="M387" s="14"/>
      <c r="N387" s="14"/>
      <c r="O387" s="14"/>
      <c r="P387" s="14"/>
      <c r="Q387" s="14"/>
    </row>
    <row r="388" spans="9:17" ht="14.25" customHeight="1">
      <c r="I388" s="14"/>
      <c r="J388" s="14"/>
      <c r="K388" s="14"/>
      <c r="L388" s="14"/>
      <c r="M388" s="14"/>
      <c r="N388" s="14"/>
      <c r="O388" s="14"/>
      <c r="P388" s="14"/>
      <c r="Q388" s="14"/>
    </row>
    <row r="389" spans="9:17" ht="14.25" customHeight="1">
      <c r="I389" s="14"/>
      <c r="J389" s="14"/>
      <c r="K389" s="14"/>
      <c r="L389" s="14"/>
      <c r="M389" s="14"/>
      <c r="N389" s="14"/>
      <c r="O389" s="14"/>
      <c r="P389" s="14"/>
      <c r="Q389" s="14"/>
    </row>
    <row r="390" spans="9:17" ht="14.25" customHeight="1">
      <c r="I390" s="14"/>
      <c r="J390" s="14"/>
      <c r="K390" s="14"/>
      <c r="L390" s="14"/>
      <c r="M390" s="14"/>
      <c r="N390" s="14"/>
      <c r="O390" s="14"/>
      <c r="P390" s="14"/>
      <c r="Q390" s="14"/>
    </row>
    <row r="391" spans="9:17" ht="14.25" customHeight="1">
      <c r="I391" s="14"/>
      <c r="J391" s="14"/>
      <c r="K391" s="14"/>
      <c r="L391" s="14"/>
      <c r="M391" s="14"/>
      <c r="N391" s="14"/>
      <c r="O391" s="14"/>
      <c r="P391" s="14"/>
      <c r="Q391" s="14"/>
    </row>
    <row r="392" spans="9:17" ht="14.25" customHeight="1">
      <c r="I392" s="14"/>
      <c r="J392" s="14"/>
      <c r="K392" s="14"/>
      <c r="L392" s="14"/>
      <c r="M392" s="14"/>
      <c r="N392" s="14"/>
      <c r="O392" s="14"/>
      <c r="P392" s="14"/>
      <c r="Q392" s="14"/>
    </row>
    <row r="393" spans="9:17" ht="14.25" customHeight="1">
      <c r="I393" s="14"/>
      <c r="J393" s="14"/>
      <c r="K393" s="14"/>
      <c r="L393" s="14"/>
      <c r="M393" s="14"/>
      <c r="N393" s="14"/>
      <c r="O393" s="14"/>
      <c r="P393" s="14"/>
      <c r="Q393" s="14"/>
    </row>
    <row r="394" spans="9:17" ht="14.25" customHeight="1">
      <c r="I394" s="14"/>
      <c r="J394" s="14"/>
      <c r="K394" s="14"/>
      <c r="L394" s="14"/>
      <c r="M394" s="14"/>
      <c r="N394" s="14"/>
      <c r="O394" s="14"/>
      <c r="P394" s="14"/>
      <c r="Q394" s="14"/>
    </row>
    <row r="395" spans="9:17" ht="14.25" customHeight="1">
      <c r="I395" s="14"/>
      <c r="J395" s="14"/>
      <c r="K395" s="14"/>
      <c r="L395" s="14"/>
      <c r="M395" s="14"/>
      <c r="N395" s="14"/>
      <c r="O395" s="14"/>
      <c r="P395" s="14"/>
      <c r="Q395" s="14"/>
    </row>
    <row r="396" spans="9:17" ht="14.25" customHeight="1">
      <c r="I396" s="14"/>
      <c r="J396" s="14"/>
      <c r="K396" s="14"/>
      <c r="L396" s="14"/>
      <c r="M396" s="14"/>
      <c r="N396" s="14"/>
      <c r="O396" s="14"/>
      <c r="P396" s="14"/>
      <c r="Q396" s="14"/>
    </row>
    <row r="397" spans="9:17" ht="14.25" customHeight="1">
      <c r="I397" s="14"/>
      <c r="J397" s="14"/>
      <c r="K397" s="14"/>
      <c r="L397" s="14"/>
      <c r="M397" s="14"/>
      <c r="N397" s="14"/>
      <c r="O397" s="14"/>
      <c r="P397" s="14"/>
      <c r="Q397" s="14"/>
    </row>
    <row r="398" spans="9:17" ht="14.25" customHeight="1">
      <c r="I398" s="14"/>
      <c r="J398" s="14"/>
      <c r="K398" s="14"/>
      <c r="L398" s="14"/>
      <c r="M398" s="14"/>
      <c r="N398" s="14"/>
      <c r="O398" s="14"/>
      <c r="P398" s="14"/>
      <c r="Q398" s="14"/>
    </row>
    <row r="399" spans="9:17" ht="14.25" customHeight="1">
      <c r="I399" s="14"/>
      <c r="J399" s="14"/>
      <c r="K399" s="14"/>
      <c r="L399" s="14"/>
      <c r="M399" s="14"/>
      <c r="N399" s="14"/>
      <c r="O399" s="14"/>
      <c r="P399" s="14"/>
      <c r="Q399" s="14"/>
    </row>
    <row r="400" spans="9:17" ht="14.25" customHeight="1">
      <c r="I400" s="14"/>
      <c r="J400" s="14"/>
      <c r="K400" s="14"/>
      <c r="L400" s="14"/>
      <c r="M400" s="14"/>
      <c r="N400" s="14"/>
      <c r="O400" s="14"/>
      <c r="P400" s="14"/>
      <c r="Q400" s="14"/>
    </row>
    <row r="401" spans="9:17" ht="14.25" customHeight="1">
      <c r="I401" s="14"/>
      <c r="J401" s="14"/>
      <c r="K401" s="14"/>
      <c r="L401" s="14"/>
      <c r="M401" s="14"/>
      <c r="N401" s="14"/>
      <c r="O401" s="14"/>
      <c r="P401" s="14"/>
      <c r="Q401" s="14"/>
    </row>
    <row r="402" spans="9:17" ht="14.25" customHeight="1">
      <c r="I402" s="14"/>
      <c r="J402" s="14"/>
      <c r="K402" s="14"/>
      <c r="L402" s="14"/>
      <c r="M402" s="14"/>
      <c r="N402" s="14"/>
      <c r="O402" s="14"/>
      <c r="P402" s="14"/>
      <c r="Q402" s="14"/>
    </row>
    <row r="403" spans="9:17" ht="14.25" customHeight="1">
      <c r="I403" s="14"/>
      <c r="J403" s="14"/>
      <c r="K403" s="14"/>
      <c r="L403" s="14"/>
      <c r="M403" s="14"/>
      <c r="N403" s="14"/>
      <c r="O403" s="14"/>
      <c r="P403" s="14"/>
      <c r="Q403" s="14"/>
    </row>
    <row r="404" spans="9:17" ht="14.25" customHeight="1">
      <c r="I404" s="14"/>
      <c r="J404" s="14"/>
      <c r="K404" s="14"/>
      <c r="L404" s="14"/>
      <c r="M404" s="14"/>
      <c r="N404" s="14"/>
      <c r="O404" s="14"/>
      <c r="P404" s="14"/>
      <c r="Q404" s="14"/>
    </row>
    <row r="405" spans="9:17" ht="14.25" customHeight="1">
      <c r="I405" s="14"/>
      <c r="J405" s="14"/>
      <c r="K405" s="14"/>
      <c r="L405" s="14"/>
      <c r="M405" s="14"/>
      <c r="N405" s="14"/>
      <c r="O405" s="14"/>
      <c r="P405" s="14"/>
      <c r="Q405" s="14"/>
    </row>
    <row r="406" spans="9:17" ht="14.25" customHeight="1">
      <c r="I406" s="14"/>
      <c r="J406" s="14"/>
      <c r="K406" s="14"/>
      <c r="L406" s="14"/>
      <c r="M406" s="14"/>
      <c r="N406" s="14"/>
      <c r="O406" s="14"/>
      <c r="P406" s="14"/>
      <c r="Q406" s="14"/>
    </row>
    <row r="407" spans="9:17" ht="14.25" customHeight="1">
      <c r="I407" s="14"/>
      <c r="J407" s="14"/>
      <c r="K407" s="14"/>
      <c r="L407" s="14"/>
      <c r="M407" s="14"/>
      <c r="N407" s="14"/>
      <c r="O407" s="14"/>
      <c r="P407" s="14"/>
      <c r="Q407" s="14"/>
    </row>
    <row r="408" spans="9:17" ht="14.25" customHeight="1">
      <c r="I408" s="14"/>
      <c r="J408" s="14"/>
      <c r="K408" s="14"/>
      <c r="L408" s="14"/>
      <c r="M408" s="14"/>
      <c r="N408" s="14"/>
      <c r="O408" s="14"/>
      <c r="P408" s="14"/>
      <c r="Q408" s="14"/>
    </row>
    <row r="409" spans="9:17" ht="14.25" customHeight="1">
      <c r="I409" s="14"/>
      <c r="J409" s="14"/>
      <c r="K409" s="14"/>
      <c r="L409" s="14"/>
      <c r="M409" s="14"/>
      <c r="N409" s="14"/>
      <c r="O409" s="14"/>
      <c r="P409" s="14"/>
      <c r="Q409" s="14"/>
    </row>
    <row r="410" spans="9:17" ht="14.25" customHeight="1">
      <c r="I410" s="14"/>
      <c r="J410" s="14"/>
      <c r="K410" s="14"/>
      <c r="L410" s="14"/>
      <c r="M410" s="14"/>
      <c r="N410" s="14"/>
      <c r="O410" s="14"/>
      <c r="P410" s="14"/>
      <c r="Q410" s="14"/>
    </row>
    <row r="411" spans="9:17" ht="14.25" customHeight="1">
      <c r="I411" s="14"/>
      <c r="J411" s="14"/>
      <c r="K411" s="14"/>
      <c r="L411" s="14"/>
      <c r="M411" s="14"/>
      <c r="N411" s="14"/>
      <c r="O411" s="14"/>
      <c r="P411" s="14"/>
      <c r="Q411" s="14"/>
    </row>
    <row r="412" spans="9:17" ht="14.25" customHeight="1">
      <c r="I412" s="14"/>
      <c r="J412" s="14"/>
      <c r="K412" s="14"/>
      <c r="L412" s="14"/>
      <c r="M412" s="14"/>
      <c r="N412" s="14"/>
      <c r="O412" s="14"/>
      <c r="P412" s="14"/>
      <c r="Q412" s="14"/>
    </row>
    <row r="413" spans="9:17" ht="14.25" customHeight="1">
      <c r="I413" s="14"/>
      <c r="J413" s="14"/>
      <c r="K413" s="14"/>
      <c r="L413" s="14"/>
      <c r="M413" s="14"/>
      <c r="N413" s="14"/>
      <c r="O413" s="14"/>
      <c r="P413" s="14"/>
      <c r="Q413" s="14"/>
    </row>
    <row r="414" spans="9:17" ht="14.25" customHeight="1">
      <c r="I414" s="14"/>
      <c r="J414" s="14"/>
      <c r="K414" s="14"/>
      <c r="L414" s="14"/>
      <c r="M414" s="14"/>
      <c r="N414" s="14"/>
      <c r="O414" s="14"/>
      <c r="P414" s="14"/>
      <c r="Q414" s="14"/>
    </row>
    <row r="415" spans="9:17" ht="14.25" customHeight="1">
      <c r="I415" s="14"/>
      <c r="J415" s="14"/>
      <c r="K415" s="14"/>
      <c r="L415" s="14"/>
      <c r="M415" s="14"/>
      <c r="N415" s="14"/>
      <c r="O415" s="14"/>
      <c r="P415" s="14"/>
      <c r="Q415" s="14"/>
    </row>
    <row r="416" spans="9:17" ht="14.25" customHeight="1">
      <c r="I416" s="14"/>
      <c r="J416" s="14"/>
      <c r="K416" s="14"/>
      <c r="L416" s="14"/>
      <c r="M416" s="14"/>
      <c r="N416" s="14"/>
      <c r="O416" s="14"/>
      <c r="P416" s="14"/>
      <c r="Q416" s="14"/>
    </row>
    <row r="417" spans="9:17" ht="14.25" customHeight="1">
      <c r="I417" s="14"/>
      <c r="J417" s="14"/>
      <c r="K417" s="14"/>
      <c r="L417" s="14"/>
      <c r="M417" s="14"/>
      <c r="N417" s="14"/>
      <c r="O417" s="14"/>
      <c r="P417" s="14"/>
      <c r="Q417" s="14"/>
    </row>
    <row r="418" spans="9:17" ht="14.25" customHeight="1">
      <c r="I418" s="14"/>
      <c r="J418" s="14"/>
      <c r="K418" s="14"/>
      <c r="L418" s="14"/>
      <c r="M418" s="14"/>
      <c r="N418" s="14"/>
      <c r="O418" s="14"/>
      <c r="P418" s="14"/>
      <c r="Q418" s="14"/>
    </row>
    <row r="419" spans="9:17" ht="14.25" customHeight="1">
      <c r="I419" s="14"/>
      <c r="J419" s="14"/>
      <c r="K419" s="14"/>
      <c r="L419" s="14"/>
      <c r="M419" s="14"/>
      <c r="N419" s="14"/>
      <c r="O419" s="14"/>
      <c r="P419" s="14"/>
      <c r="Q419" s="14"/>
    </row>
    <row r="420" spans="9:17" ht="14.25" customHeight="1">
      <c r="I420" s="14"/>
      <c r="J420" s="14"/>
      <c r="K420" s="14"/>
      <c r="L420" s="14"/>
      <c r="M420" s="14"/>
      <c r="N420" s="14"/>
      <c r="O420" s="14"/>
      <c r="P420" s="14"/>
      <c r="Q420" s="14"/>
    </row>
    <row r="421" spans="9:17" ht="14.25" customHeight="1">
      <c r="I421" s="14"/>
      <c r="J421" s="14"/>
      <c r="K421" s="14"/>
      <c r="L421" s="14"/>
      <c r="M421" s="14"/>
      <c r="N421" s="14"/>
      <c r="O421" s="14"/>
      <c r="P421" s="14"/>
      <c r="Q421" s="14"/>
    </row>
    <row r="422" spans="9:17" ht="14.25" customHeight="1">
      <c r="I422" s="14"/>
      <c r="J422" s="14"/>
      <c r="K422" s="14"/>
      <c r="L422" s="14"/>
      <c r="M422" s="14"/>
      <c r="N422" s="14"/>
      <c r="O422" s="14"/>
      <c r="P422" s="14"/>
      <c r="Q422" s="14"/>
    </row>
    <row r="423" spans="9:17" ht="14.25" customHeight="1">
      <c r="I423" s="14"/>
      <c r="J423" s="14"/>
      <c r="K423" s="14"/>
      <c r="L423" s="14"/>
      <c r="M423" s="14"/>
      <c r="N423" s="14"/>
      <c r="O423" s="14"/>
      <c r="P423" s="14"/>
      <c r="Q423" s="14"/>
    </row>
    <row r="424" spans="9:17" ht="14.25" customHeight="1">
      <c r="I424" s="14"/>
      <c r="J424" s="14"/>
      <c r="K424" s="14"/>
      <c r="L424" s="14"/>
      <c r="M424" s="14"/>
      <c r="N424" s="14"/>
      <c r="O424" s="14"/>
      <c r="P424" s="14"/>
      <c r="Q424" s="14"/>
    </row>
    <row r="425" spans="9:17" ht="14.25" customHeight="1">
      <c r="I425" s="14"/>
      <c r="J425" s="14"/>
      <c r="K425" s="14"/>
      <c r="L425" s="14"/>
      <c r="M425" s="14"/>
      <c r="N425" s="14"/>
      <c r="O425" s="14"/>
      <c r="P425" s="14"/>
      <c r="Q425" s="14"/>
    </row>
    <row r="426" spans="9:17" ht="14.25" customHeight="1">
      <c r="I426" s="14"/>
      <c r="J426" s="14"/>
      <c r="K426" s="14"/>
      <c r="L426" s="14"/>
      <c r="M426" s="14"/>
      <c r="N426" s="14"/>
      <c r="O426" s="14"/>
      <c r="P426" s="14"/>
      <c r="Q426" s="14"/>
    </row>
    <row r="427" spans="9:17" ht="14.25" customHeight="1">
      <c r="I427" s="14"/>
      <c r="J427" s="14"/>
      <c r="K427" s="14"/>
      <c r="L427" s="14"/>
      <c r="M427" s="14"/>
      <c r="N427" s="14"/>
      <c r="O427" s="14"/>
      <c r="P427" s="14"/>
      <c r="Q427" s="14"/>
    </row>
    <row r="428" spans="9:17" ht="14.25" customHeight="1">
      <c r="I428" s="14"/>
      <c r="J428" s="14"/>
      <c r="K428" s="14"/>
      <c r="L428" s="14"/>
      <c r="M428" s="14"/>
      <c r="N428" s="14"/>
      <c r="O428" s="14"/>
      <c r="P428" s="14"/>
      <c r="Q428" s="14"/>
    </row>
    <row r="429" spans="9:17" ht="14.25" customHeight="1">
      <c r="I429" s="14"/>
      <c r="J429" s="14"/>
      <c r="K429" s="14"/>
      <c r="L429" s="14"/>
      <c r="M429" s="14"/>
      <c r="N429" s="14"/>
      <c r="O429" s="14"/>
      <c r="P429" s="14"/>
      <c r="Q429" s="14"/>
    </row>
    <row r="430" spans="9:17" ht="14.25" customHeight="1">
      <c r="I430" s="14"/>
      <c r="J430" s="14"/>
      <c r="K430" s="14"/>
      <c r="L430" s="14"/>
      <c r="M430" s="14"/>
      <c r="N430" s="14"/>
      <c r="O430" s="14"/>
      <c r="P430" s="14"/>
      <c r="Q430" s="14"/>
    </row>
    <row r="431" spans="9:17" ht="14.25" customHeight="1">
      <c r="I431" s="14"/>
      <c r="J431" s="14"/>
      <c r="K431" s="14"/>
      <c r="L431" s="14"/>
      <c r="M431" s="14"/>
      <c r="N431" s="14"/>
      <c r="O431" s="14"/>
      <c r="P431" s="14"/>
      <c r="Q431" s="14"/>
    </row>
    <row r="432" spans="9:17" ht="14.25" customHeight="1">
      <c r="I432" s="14"/>
      <c r="J432" s="14"/>
      <c r="K432" s="14"/>
      <c r="L432" s="14"/>
      <c r="M432" s="14"/>
      <c r="N432" s="14"/>
      <c r="O432" s="14"/>
      <c r="P432" s="14"/>
      <c r="Q432" s="14"/>
    </row>
    <row r="433" spans="9:17" ht="14.25" customHeight="1">
      <c r="I433" s="14"/>
      <c r="J433" s="14"/>
      <c r="K433" s="14"/>
      <c r="L433" s="14"/>
      <c r="M433" s="14"/>
      <c r="N433" s="14"/>
      <c r="O433" s="14"/>
      <c r="P433" s="14"/>
      <c r="Q433" s="14"/>
    </row>
    <row r="434" spans="9:17" ht="14.25" customHeight="1">
      <c r="I434" s="14"/>
      <c r="J434" s="14"/>
      <c r="K434" s="14"/>
      <c r="L434" s="14"/>
      <c r="M434" s="14"/>
      <c r="N434" s="14"/>
      <c r="O434" s="14"/>
      <c r="P434" s="14"/>
      <c r="Q434" s="14"/>
    </row>
    <row r="435" spans="9:17" ht="14.25" customHeight="1">
      <c r="I435" s="14"/>
      <c r="J435" s="14"/>
      <c r="K435" s="14"/>
      <c r="L435" s="14"/>
      <c r="M435" s="14"/>
      <c r="N435" s="14"/>
      <c r="O435" s="14"/>
      <c r="P435" s="14"/>
      <c r="Q435" s="14"/>
    </row>
    <row r="436" spans="9:17" ht="14.25" customHeight="1">
      <c r="I436" s="14"/>
      <c r="J436" s="14"/>
      <c r="K436" s="14"/>
      <c r="L436" s="14"/>
      <c r="M436" s="14"/>
      <c r="N436" s="14"/>
      <c r="O436" s="14"/>
      <c r="P436" s="14"/>
      <c r="Q436" s="14"/>
    </row>
    <row r="437" spans="9:17" ht="14.25" customHeight="1">
      <c r="I437" s="14"/>
      <c r="J437" s="14"/>
      <c r="K437" s="14"/>
      <c r="L437" s="14"/>
      <c r="M437" s="14"/>
      <c r="N437" s="14"/>
      <c r="O437" s="14"/>
      <c r="P437" s="14"/>
      <c r="Q437" s="14"/>
    </row>
    <row r="438" spans="9:17" ht="14.25" customHeight="1">
      <c r="I438" s="14"/>
      <c r="J438" s="14"/>
      <c r="K438" s="14"/>
      <c r="L438" s="14"/>
      <c r="M438" s="14"/>
      <c r="N438" s="14"/>
      <c r="O438" s="14"/>
      <c r="P438" s="14"/>
      <c r="Q438" s="14"/>
    </row>
    <row r="439" spans="9:17" ht="14.25" customHeight="1">
      <c r="I439" s="14"/>
      <c r="J439" s="14"/>
      <c r="K439" s="14"/>
      <c r="L439" s="14"/>
      <c r="M439" s="14"/>
      <c r="N439" s="14"/>
      <c r="O439" s="14"/>
      <c r="P439" s="14"/>
      <c r="Q439" s="14"/>
    </row>
    <row r="440" spans="9:17" ht="14.25" customHeight="1">
      <c r="I440" s="14"/>
      <c r="J440" s="14"/>
      <c r="K440" s="14"/>
      <c r="L440" s="14"/>
      <c r="M440" s="14"/>
      <c r="N440" s="14"/>
      <c r="O440" s="14"/>
      <c r="P440" s="14"/>
      <c r="Q440" s="14"/>
    </row>
    <row r="441" spans="9:17" ht="14.25" customHeight="1">
      <c r="I441" s="14"/>
      <c r="J441" s="14"/>
      <c r="K441" s="14"/>
      <c r="L441" s="14"/>
      <c r="M441" s="14"/>
      <c r="N441" s="14"/>
      <c r="O441" s="14"/>
      <c r="P441" s="14"/>
      <c r="Q441" s="14"/>
    </row>
    <row r="442" spans="9:17" ht="14.25" customHeight="1">
      <c r="I442" s="14"/>
      <c r="J442" s="14"/>
      <c r="K442" s="14"/>
      <c r="L442" s="14"/>
      <c r="M442" s="14"/>
      <c r="N442" s="14"/>
      <c r="O442" s="14"/>
      <c r="P442" s="14"/>
      <c r="Q442" s="14"/>
    </row>
    <row r="443" spans="9:17" ht="14.25" customHeight="1">
      <c r="I443" s="14"/>
      <c r="J443" s="14"/>
      <c r="K443" s="14"/>
      <c r="L443" s="14"/>
      <c r="M443" s="14"/>
      <c r="N443" s="14"/>
      <c r="O443" s="14"/>
      <c r="P443" s="14"/>
      <c r="Q443" s="14"/>
    </row>
    <row r="444" spans="9:17" ht="14.25" customHeight="1">
      <c r="I444" s="14"/>
      <c r="J444" s="14"/>
      <c r="K444" s="14"/>
      <c r="L444" s="14"/>
      <c r="M444" s="14"/>
      <c r="N444" s="14"/>
      <c r="O444" s="14"/>
      <c r="P444" s="14"/>
      <c r="Q444" s="14"/>
    </row>
    <row r="445" spans="9:17" ht="14.25" customHeight="1">
      <c r="I445" s="14"/>
      <c r="J445" s="14"/>
      <c r="K445" s="14"/>
      <c r="L445" s="14"/>
      <c r="M445" s="14"/>
      <c r="N445" s="14"/>
      <c r="O445" s="14"/>
      <c r="P445" s="14"/>
      <c r="Q445" s="14"/>
    </row>
    <row r="446" spans="9:17" ht="14.25" customHeight="1">
      <c r="I446" s="14"/>
      <c r="J446" s="14"/>
      <c r="K446" s="14"/>
      <c r="L446" s="14"/>
      <c r="M446" s="14"/>
      <c r="N446" s="14"/>
      <c r="O446" s="14"/>
      <c r="P446" s="14"/>
      <c r="Q446" s="14"/>
    </row>
    <row r="447" spans="9:17" ht="14.25" customHeight="1">
      <c r="I447" s="14"/>
      <c r="J447" s="14"/>
      <c r="K447" s="14"/>
      <c r="L447" s="14"/>
      <c r="M447" s="14"/>
      <c r="N447" s="14"/>
      <c r="O447" s="14"/>
      <c r="P447" s="14"/>
      <c r="Q447" s="14"/>
    </row>
    <row r="448" spans="9:17" ht="14.25" customHeight="1">
      <c r="I448" s="14"/>
      <c r="J448" s="14"/>
      <c r="K448" s="14"/>
      <c r="L448" s="14"/>
      <c r="M448" s="14"/>
      <c r="N448" s="14"/>
      <c r="O448" s="14"/>
      <c r="P448" s="14"/>
      <c r="Q448" s="14"/>
    </row>
    <row r="449" spans="9:17" ht="14.25" customHeight="1">
      <c r="I449" s="14"/>
      <c r="J449" s="14"/>
      <c r="K449" s="14"/>
      <c r="L449" s="14"/>
      <c r="M449" s="14"/>
      <c r="N449" s="14"/>
      <c r="O449" s="14"/>
      <c r="P449" s="14"/>
      <c r="Q449" s="14"/>
    </row>
    <row r="450" spans="9:17" ht="14.25" customHeight="1">
      <c r="I450" s="14"/>
      <c r="J450" s="14"/>
      <c r="K450" s="14"/>
      <c r="L450" s="14"/>
      <c r="M450" s="14"/>
      <c r="N450" s="14"/>
      <c r="O450" s="14"/>
      <c r="P450" s="14"/>
      <c r="Q450" s="14"/>
    </row>
    <row r="451" spans="9:17" ht="14.25" customHeight="1">
      <c r="I451" s="14"/>
      <c r="J451" s="14"/>
      <c r="K451" s="14"/>
      <c r="L451" s="14"/>
      <c r="M451" s="14"/>
      <c r="N451" s="14"/>
      <c r="O451" s="14"/>
      <c r="P451" s="14"/>
      <c r="Q451" s="14"/>
    </row>
    <row r="452" spans="9:17" ht="14.25" customHeight="1">
      <c r="I452" s="14"/>
      <c r="J452" s="14"/>
      <c r="K452" s="14"/>
      <c r="L452" s="14"/>
      <c r="M452" s="14"/>
      <c r="N452" s="14"/>
      <c r="O452" s="14"/>
      <c r="P452" s="14"/>
      <c r="Q452" s="14"/>
    </row>
    <row r="453" spans="9:17" ht="14.25" customHeight="1">
      <c r="I453" s="14"/>
      <c r="J453" s="14"/>
      <c r="K453" s="14"/>
      <c r="L453" s="14"/>
      <c r="M453" s="14"/>
      <c r="N453" s="14"/>
      <c r="O453" s="14"/>
      <c r="P453" s="14"/>
      <c r="Q453" s="14"/>
    </row>
    <row r="454" spans="9:17" ht="14.25" customHeight="1">
      <c r="I454" s="14"/>
      <c r="J454" s="14"/>
      <c r="K454" s="14"/>
      <c r="L454" s="14"/>
      <c r="M454" s="14"/>
      <c r="N454" s="14"/>
      <c r="O454" s="14"/>
      <c r="P454" s="14"/>
      <c r="Q454" s="14"/>
    </row>
    <row r="455" spans="9:17" ht="14.25" customHeight="1">
      <c r="I455" s="14"/>
      <c r="J455" s="14"/>
      <c r="K455" s="14"/>
      <c r="L455" s="14"/>
      <c r="M455" s="14"/>
      <c r="N455" s="14"/>
      <c r="O455" s="14"/>
      <c r="P455" s="14"/>
      <c r="Q455" s="14"/>
    </row>
    <row r="456" spans="9:17" ht="14.25" customHeight="1">
      <c r="I456" s="14"/>
      <c r="J456" s="14"/>
      <c r="K456" s="14"/>
      <c r="L456" s="14"/>
      <c r="M456" s="14"/>
      <c r="N456" s="14"/>
      <c r="O456" s="14"/>
      <c r="P456" s="14"/>
      <c r="Q456" s="14"/>
    </row>
    <row r="457" spans="9:17" ht="14.25" customHeight="1">
      <c r="I457" s="14"/>
      <c r="J457" s="14"/>
      <c r="K457" s="14"/>
      <c r="L457" s="14"/>
      <c r="M457" s="14"/>
      <c r="N457" s="14"/>
      <c r="O457" s="14"/>
      <c r="P457" s="14"/>
      <c r="Q457" s="14"/>
    </row>
    <row r="458" spans="9:17" ht="14.25" customHeight="1">
      <c r="I458" s="14"/>
      <c r="J458" s="14"/>
      <c r="K458" s="14"/>
      <c r="L458" s="14"/>
      <c r="M458" s="14"/>
      <c r="N458" s="14"/>
      <c r="O458" s="14"/>
      <c r="P458" s="14"/>
      <c r="Q458" s="14"/>
    </row>
    <row r="459" spans="9:17" ht="14.25" customHeight="1">
      <c r="I459" s="14"/>
      <c r="J459" s="14"/>
      <c r="K459" s="14"/>
      <c r="L459" s="14"/>
      <c r="M459" s="14"/>
      <c r="N459" s="14"/>
      <c r="O459" s="14"/>
      <c r="P459" s="14"/>
      <c r="Q459" s="14"/>
    </row>
    <row r="460" spans="9:17" ht="14.25" customHeight="1">
      <c r="I460" s="14"/>
      <c r="J460" s="14"/>
      <c r="K460" s="14"/>
      <c r="L460" s="14"/>
      <c r="M460" s="14"/>
      <c r="N460" s="14"/>
      <c r="O460" s="14"/>
      <c r="P460" s="14"/>
      <c r="Q460" s="14"/>
    </row>
    <row r="461" spans="9:17" ht="14.25" customHeight="1">
      <c r="I461" s="14"/>
      <c r="J461" s="14"/>
      <c r="K461" s="14"/>
      <c r="L461" s="14"/>
      <c r="M461" s="14"/>
      <c r="N461" s="14"/>
      <c r="O461" s="14"/>
      <c r="P461" s="14"/>
      <c r="Q461" s="14"/>
    </row>
    <row r="462" spans="9:17" ht="14.25" customHeight="1">
      <c r="I462" s="14"/>
      <c r="J462" s="14"/>
      <c r="K462" s="14"/>
      <c r="L462" s="14"/>
      <c r="M462" s="14"/>
      <c r="N462" s="14"/>
      <c r="O462" s="14"/>
      <c r="P462" s="14"/>
      <c r="Q462" s="14"/>
    </row>
    <row r="463" spans="9:17" ht="14.25" customHeight="1">
      <c r="I463" s="14"/>
      <c r="J463" s="14"/>
      <c r="K463" s="14"/>
      <c r="L463" s="14"/>
      <c r="M463" s="14"/>
      <c r="N463" s="14"/>
      <c r="O463" s="14"/>
      <c r="P463" s="14"/>
      <c r="Q463" s="14"/>
    </row>
    <row r="464" spans="9:17" ht="14.25" customHeight="1">
      <c r="I464" s="14"/>
      <c r="J464" s="14"/>
      <c r="K464" s="14"/>
      <c r="L464" s="14"/>
      <c r="M464" s="14"/>
      <c r="N464" s="14"/>
      <c r="O464" s="14"/>
      <c r="P464" s="14"/>
      <c r="Q464" s="14"/>
    </row>
    <row r="465" spans="9:17" ht="14.25" customHeight="1">
      <c r="I465" s="14"/>
      <c r="J465" s="14"/>
      <c r="K465" s="14"/>
      <c r="L465" s="14"/>
      <c r="M465" s="14"/>
      <c r="N465" s="14"/>
      <c r="O465" s="14"/>
      <c r="P465" s="14"/>
      <c r="Q465" s="14"/>
    </row>
    <row r="466" spans="9:17" ht="14.25" customHeight="1">
      <c r="I466" s="14"/>
      <c r="J466" s="14"/>
      <c r="K466" s="14"/>
      <c r="L466" s="14"/>
      <c r="M466" s="14"/>
      <c r="N466" s="14"/>
      <c r="O466" s="14"/>
      <c r="P466" s="14"/>
      <c r="Q466" s="14"/>
    </row>
    <row r="467" spans="9:17" ht="14.25" customHeight="1">
      <c r="I467" s="14"/>
      <c r="J467" s="14"/>
      <c r="K467" s="14"/>
      <c r="L467" s="14"/>
      <c r="M467" s="14"/>
      <c r="N467" s="14"/>
      <c r="O467" s="14"/>
      <c r="P467" s="14"/>
      <c r="Q467" s="14"/>
    </row>
    <row r="468" spans="9:17" ht="14.25" customHeight="1">
      <c r="I468" s="14"/>
      <c r="J468" s="14"/>
      <c r="K468" s="14"/>
      <c r="L468" s="14"/>
      <c r="M468" s="14"/>
      <c r="N468" s="14"/>
      <c r="O468" s="14"/>
      <c r="P468" s="14"/>
      <c r="Q468" s="14"/>
    </row>
    <row r="469" spans="9:17" ht="14.25" customHeight="1">
      <c r="I469" s="14"/>
      <c r="J469" s="14"/>
      <c r="K469" s="14"/>
      <c r="L469" s="14"/>
      <c r="M469" s="14"/>
      <c r="N469" s="14"/>
      <c r="O469" s="14"/>
      <c r="P469" s="14"/>
      <c r="Q469" s="14"/>
    </row>
    <row r="470" spans="9:17" ht="14.25" customHeight="1">
      <c r="I470" s="14"/>
      <c r="J470" s="14"/>
      <c r="K470" s="14"/>
      <c r="L470" s="14"/>
      <c r="M470" s="14"/>
      <c r="N470" s="14"/>
      <c r="O470" s="14"/>
      <c r="P470" s="14"/>
      <c r="Q470" s="14"/>
    </row>
    <row r="471" spans="9:17" ht="14.25" customHeight="1">
      <c r="I471" s="14"/>
      <c r="J471" s="14"/>
      <c r="K471" s="14"/>
      <c r="L471" s="14"/>
      <c r="M471" s="14"/>
      <c r="N471" s="14"/>
      <c r="O471" s="14"/>
      <c r="P471" s="14"/>
      <c r="Q471" s="14"/>
    </row>
    <row r="472" spans="9:17" ht="14.25" customHeight="1">
      <c r="I472" s="14"/>
      <c r="J472" s="14"/>
      <c r="K472" s="14"/>
      <c r="L472" s="14"/>
      <c r="M472" s="14"/>
      <c r="N472" s="14"/>
      <c r="O472" s="14"/>
      <c r="P472" s="14"/>
      <c r="Q472" s="14"/>
    </row>
    <row r="473" spans="9:17" ht="14.25" customHeight="1">
      <c r="I473" s="14"/>
      <c r="J473" s="14"/>
      <c r="K473" s="14"/>
      <c r="L473" s="14"/>
      <c r="M473" s="14"/>
      <c r="N473" s="14"/>
      <c r="O473" s="14"/>
      <c r="P473" s="14"/>
      <c r="Q473" s="14"/>
    </row>
    <row r="474" spans="9:17" ht="14.25" customHeight="1">
      <c r="I474" s="14"/>
      <c r="J474" s="14"/>
      <c r="K474" s="14"/>
      <c r="L474" s="14"/>
      <c r="M474" s="14"/>
      <c r="N474" s="14"/>
      <c r="O474" s="14"/>
      <c r="P474" s="14"/>
      <c r="Q474" s="14"/>
    </row>
    <row r="475" spans="9:17" ht="14.25" customHeight="1">
      <c r="I475" s="14"/>
      <c r="J475" s="14"/>
      <c r="K475" s="14"/>
      <c r="L475" s="14"/>
      <c r="M475" s="14"/>
      <c r="N475" s="14"/>
      <c r="O475" s="14"/>
      <c r="P475" s="14"/>
      <c r="Q475" s="14"/>
    </row>
    <row r="476" spans="9:17" ht="14.25" customHeight="1">
      <c r="I476" s="14"/>
      <c r="J476" s="14"/>
      <c r="K476" s="14"/>
      <c r="L476" s="14"/>
      <c r="M476" s="14"/>
      <c r="N476" s="14"/>
      <c r="O476" s="14"/>
      <c r="P476" s="14"/>
      <c r="Q476" s="14"/>
    </row>
    <row r="477" spans="9:17" ht="14.25" customHeight="1">
      <c r="I477" s="14"/>
      <c r="J477" s="14"/>
      <c r="K477" s="14"/>
      <c r="L477" s="14"/>
      <c r="M477" s="14"/>
      <c r="N477" s="14"/>
      <c r="O477" s="14"/>
      <c r="P477" s="14"/>
      <c r="Q477" s="14"/>
    </row>
    <row r="478" spans="9:17" ht="14.25" customHeight="1">
      <c r="I478" s="14"/>
      <c r="J478" s="14"/>
      <c r="K478" s="14"/>
      <c r="L478" s="14"/>
      <c r="M478" s="14"/>
      <c r="N478" s="14"/>
      <c r="O478" s="14"/>
      <c r="P478" s="14"/>
      <c r="Q478" s="14"/>
    </row>
    <row r="479" spans="9:17" ht="14.25" customHeight="1">
      <c r="I479" s="14"/>
      <c r="J479" s="14"/>
      <c r="K479" s="14"/>
      <c r="L479" s="14"/>
      <c r="M479" s="14"/>
      <c r="N479" s="14"/>
      <c r="O479" s="14"/>
      <c r="P479" s="14"/>
      <c r="Q479" s="14"/>
    </row>
    <row r="480" spans="9:17" ht="14.25" customHeight="1">
      <c r="I480" s="14"/>
      <c r="J480" s="14"/>
      <c r="K480" s="14"/>
      <c r="L480" s="14"/>
      <c r="M480" s="14"/>
      <c r="N480" s="14"/>
      <c r="O480" s="14"/>
      <c r="P480" s="14"/>
      <c r="Q480" s="14"/>
    </row>
    <row r="481" spans="9:17" ht="14.25" customHeight="1">
      <c r="I481" s="14"/>
      <c r="J481" s="14"/>
      <c r="K481" s="14"/>
      <c r="L481" s="14"/>
      <c r="M481" s="14"/>
      <c r="N481" s="14"/>
      <c r="O481" s="14"/>
      <c r="P481" s="14"/>
      <c r="Q481" s="14"/>
    </row>
    <row r="482" spans="9:17" ht="14.25" customHeight="1">
      <c r="I482" s="14"/>
      <c r="J482" s="14"/>
      <c r="K482" s="14"/>
      <c r="L482" s="14"/>
      <c r="M482" s="14"/>
      <c r="N482" s="14"/>
      <c r="O482" s="14"/>
      <c r="P482" s="14"/>
      <c r="Q482" s="14"/>
    </row>
    <row r="483" spans="9:17" ht="14.25" customHeight="1">
      <c r="I483" s="14"/>
      <c r="J483" s="14"/>
      <c r="K483" s="14"/>
      <c r="L483" s="14"/>
      <c r="M483" s="14"/>
      <c r="N483" s="14"/>
      <c r="O483" s="14"/>
      <c r="P483" s="14"/>
      <c r="Q483" s="14"/>
    </row>
    <row r="484" spans="9:17" ht="14.25" customHeight="1">
      <c r="I484" s="14"/>
      <c r="J484" s="14"/>
      <c r="K484" s="14"/>
      <c r="L484" s="14"/>
      <c r="M484" s="14"/>
      <c r="N484" s="14"/>
      <c r="O484" s="14"/>
      <c r="P484" s="14"/>
      <c r="Q484" s="14"/>
    </row>
    <row r="485" spans="9:17" ht="14.25" customHeight="1">
      <c r="I485" s="14"/>
      <c r="J485" s="14"/>
      <c r="K485" s="14"/>
      <c r="L485" s="14"/>
      <c r="M485" s="14"/>
      <c r="N485" s="14"/>
      <c r="O485" s="14"/>
      <c r="P485" s="14"/>
      <c r="Q485" s="14"/>
    </row>
    <row r="486" spans="9:17" ht="14.25" customHeight="1">
      <c r="I486" s="14"/>
      <c r="J486" s="14"/>
      <c r="K486" s="14"/>
      <c r="L486" s="14"/>
      <c r="M486" s="14"/>
      <c r="N486" s="14"/>
      <c r="O486" s="14"/>
      <c r="P486" s="14"/>
      <c r="Q486" s="14"/>
    </row>
    <row r="487" spans="9:17" ht="14.25" customHeight="1">
      <c r="I487" s="14"/>
      <c r="J487" s="14"/>
      <c r="K487" s="14"/>
      <c r="L487" s="14"/>
      <c r="M487" s="14"/>
      <c r="N487" s="14"/>
      <c r="O487" s="14"/>
      <c r="P487" s="14"/>
      <c r="Q487" s="14"/>
    </row>
    <row r="488" spans="9:17" ht="14.25" customHeight="1">
      <c r="I488" s="14"/>
      <c r="J488" s="14"/>
      <c r="K488" s="14"/>
      <c r="L488" s="14"/>
      <c r="M488" s="14"/>
      <c r="N488" s="14"/>
      <c r="O488" s="14"/>
      <c r="P488" s="14"/>
      <c r="Q488" s="14"/>
    </row>
    <row r="489" spans="9:17" ht="14.25" customHeight="1">
      <c r="I489" s="14"/>
      <c r="J489" s="14"/>
      <c r="K489" s="14"/>
      <c r="L489" s="14"/>
      <c r="M489" s="14"/>
      <c r="N489" s="14"/>
      <c r="O489" s="14"/>
      <c r="P489" s="14"/>
      <c r="Q489" s="14"/>
    </row>
    <row r="490" spans="9:17" ht="14.25" customHeight="1">
      <c r="I490" s="14"/>
      <c r="J490" s="14"/>
      <c r="K490" s="14"/>
      <c r="L490" s="14"/>
      <c r="M490" s="14"/>
      <c r="N490" s="14"/>
      <c r="O490" s="14"/>
      <c r="P490" s="14"/>
      <c r="Q490" s="14"/>
    </row>
    <row r="491" spans="9:17" ht="14.25" customHeight="1">
      <c r="I491" s="14"/>
      <c r="J491" s="14"/>
      <c r="K491" s="14"/>
      <c r="L491" s="14"/>
      <c r="M491" s="14"/>
      <c r="N491" s="14"/>
      <c r="O491" s="14"/>
      <c r="P491" s="14"/>
      <c r="Q491" s="14"/>
    </row>
    <row r="492" spans="9:17" ht="14.25" customHeight="1">
      <c r="I492" s="14"/>
      <c r="J492" s="14"/>
      <c r="K492" s="14"/>
      <c r="L492" s="14"/>
      <c r="M492" s="14"/>
      <c r="N492" s="14"/>
      <c r="O492" s="14"/>
      <c r="P492" s="14"/>
      <c r="Q492" s="14"/>
    </row>
    <row r="493" spans="9:17" ht="14.25" customHeight="1">
      <c r="I493" s="14"/>
      <c r="J493" s="14"/>
      <c r="K493" s="14"/>
      <c r="L493" s="14"/>
      <c r="M493" s="14"/>
      <c r="N493" s="14"/>
      <c r="O493" s="14"/>
      <c r="P493" s="14"/>
      <c r="Q493" s="14"/>
    </row>
    <row r="494" spans="9:17" ht="14.25" customHeight="1">
      <c r="I494" s="14"/>
      <c r="J494" s="14"/>
      <c r="K494" s="14"/>
      <c r="L494" s="14"/>
      <c r="M494" s="14"/>
      <c r="N494" s="14"/>
      <c r="O494" s="14"/>
      <c r="P494" s="14"/>
      <c r="Q494" s="14"/>
    </row>
    <row r="495" spans="9:17" ht="14.25" customHeight="1">
      <c r="I495" s="14"/>
      <c r="J495" s="14"/>
      <c r="K495" s="14"/>
      <c r="L495" s="14"/>
      <c r="M495" s="14"/>
      <c r="N495" s="14"/>
      <c r="O495" s="14"/>
      <c r="P495" s="14"/>
      <c r="Q495" s="14"/>
    </row>
    <row r="496" spans="9:17" ht="14.25" customHeight="1">
      <c r="I496" s="14"/>
      <c r="J496" s="14"/>
      <c r="K496" s="14"/>
      <c r="L496" s="14"/>
      <c r="M496" s="14"/>
      <c r="N496" s="14"/>
      <c r="O496" s="14"/>
      <c r="P496" s="14"/>
      <c r="Q496" s="14"/>
    </row>
    <row r="497" spans="9:17" ht="14.25" customHeight="1">
      <c r="I497" s="14"/>
      <c r="J497" s="14"/>
      <c r="K497" s="14"/>
      <c r="L497" s="14"/>
      <c r="M497" s="14"/>
      <c r="N497" s="14"/>
      <c r="O497" s="14"/>
      <c r="P497" s="14"/>
      <c r="Q497" s="14"/>
    </row>
    <row r="498" spans="9:17" ht="14.25" customHeight="1">
      <c r="I498" s="14"/>
      <c r="J498" s="14"/>
      <c r="K498" s="14"/>
      <c r="L498" s="14"/>
      <c r="M498" s="14"/>
      <c r="N498" s="14"/>
      <c r="O498" s="14"/>
      <c r="P498" s="14"/>
      <c r="Q498" s="14"/>
    </row>
    <row r="499" spans="9:17" ht="14.25" customHeight="1">
      <c r="I499" s="14"/>
      <c r="J499" s="14"/>
      <c r="K499" s="14"/>
      <c r="L499" s="14"/>
      <c r="M499" s="14"/>
      <c r="N499" s="14"/>
      <c r="O499" s="14"/>
      <c r="P499" s="14"/>
      <c r="Q499" s="14"/>
    </row>
    <row r="500" spans="9:17" ht="14.25" customHeight="1">
      <c r="I500" s="14"/>
      <c r="J500" s="14"/>
      <c r="K500" s="14"/>
      <c r="L500" s="14"/>
      <c r="M500" s="14"/>
      <c r="N500" s="14"/>
      <c r="O500" s="14"/>
      <c r="P500" s="14"/>
      <c r="Q500" s="14"/>
    </row>
    <row r="501" spans="9:17" ht="14.25" customHeight="1">
      <c r="I501" s="14"/>
      <c r="J501" s="14"/>
      <c r="K501" s="14"/>
      <c r="L501" s="14"/>
      <c r="M501" s="14"/>
      <c r="N501" s="14"/>
      <c r="O501" s="14"/>
      <c r="P501" s="14"/>
      <c r="Q501" s="14"/>
    </row>
    <row r="502" spans="9:17" ht="14.25" customHeight="1">
      <c r="I502" s="14"/>
      <c r="J502" s="14"/>
      <c r="K502" s="14"/>
      <c r="L502" s="14"/>
      <c r="M502" s="14"/>
      <c r="N502" s="14"/>
      <c r="O502" s="14"/>
      <c r="P502" s="14"/>
      <c r="Q502" s="14"/>
    </row>
    <row r="503" spans="9:17" ht="14.25" customHeight="1">
      <c r="I503" s="14"/>
      <c r="J503" s="14"/>
      <c r="K503" s="14"/>
      <c r="L503" s="14"/>
      <c r="M503" s="14"/>
      <c r="N503" s="14"/>
      <c r="O503" s="14"/>
      <c r="P503" s="14"/>
      <c r="Q503" s="14"/>
    </row>
    <row r="504" spans="9:17" ht="14.25" customHeight="1">
      <c r="I504" s="14"/>
      <c r="J504" s="14"/>
      <c r="K504" s="14"/>
      <c r="L504" s="14"/>
      <c r="M504" s="14"/>
      <c r="N504" s="14"/>
      <c r="O504" s="14"/>
      <c r="P504" s="14"/>
      <c r="Q504" s="14"/>
    </row>
    <row r="505" spans="9:17" ht="14.25" customHeight="1">
      <c r="I505" s="14"/>
      <c r="J505" s="14"/>
      <c r="K505" s="14"/>
      <c r="L505" s="14"/>
      <c r="M505" s="14"/>
      <c r="N505" s="14"/>
      <c r="O505" s="14"/>
      <c r="P505" s="14"/>
      <c r="Q505" s="14"/>
    </row>
    <row r="506" spans="9:17" ht="14.25" customHeight="1">
      <c r="I506" s="14"/>
      <c r="J506" s="14"/>
      <c r="K506" s="14"/>
      <c r="L506" s="14"/>
      <c r="M506" s="14"/>
      <c r="N506" s="14"/>
      <c r="O506" s="14"/>
      <c r="P506" s="14"/>
      <c r="Q506" s="14"/>
    </row>
    <row r="507" spans="9:17" ht="14.25" customHeight="1">
      <c r="I507" s="14"/>
      <c r="J507" s="14"/>
      <c r="K507" s="14"/>
      <c r="L507" s="14"/>
      <c r="M507" s="14"/>
      <c r="N507" s="14"/>
      <c r="O507" s="14"/>
      <c r="P507" s="14"/>
      <c r="Q507" s="14"/>
    </row>
    <row r="508" spans="9:17" ht="14.25" customHeight="1">
      <c r="I508" s="14"/>
      <c r="J508" s="14"/>
      <c r="K508" s="14"/>
      <c r="L508" s="14"/>
      <c r="M508" s="14"/>
      <c r="N508" s="14"/>
      <c r="O508" s="14"/>
      <c r="P508" s="14"/>
      <c r="Q508" s="14"/>
    </row>
    <row r="509" spans="9:17" ht="14.25" customHeight="1">
      <c r="I509" s="14"/>
      <c r="J509" s="14"/>
      <c r="K509" s="14"/>
      <c r="L509" s="14"/>
      <c r="M509" s="14"/>
      <c r="N509" s="14"/>
      <c r="O509" s="14"/>
      <c r="P509" s="14"/>
      <c r="Q509" s="14"/>
    </row>
    <row r="510" spans="9:17" ht="14.25" customHeight="1">
      <c r="I510" s="14"/>
      <c r="J510" s="14"/>
      <c r="K510" s="14"/>
      <c r="L510" s="14"/>
      <c r="M510" s="14"/>
      <c r="N510" s="14"/>
      <c r="O510" s="14"/>
      <c r="P510" s="14"/>
      <c r="Q510" s="14"/>
    </row>
    <row r="511" spans="9:17" ht="14.25" customHeight="1">
      <c r="I511" s="14"/>
      <c r="J511" s="14"/>
      <c r="K511" s="14"/>
      <c r="L511" s="14"/>
      <c r="M511" s="14"/>
      <c r="N511" s="14"/>
      <c r="O511" s="14"/>
      <c r="P511" s="14"/>
      <c r="Q511" s="14"/>
    </row>
    <row r="512" spans="9:17" ht="14.25" customHeight="1">
      <c r="I512" s="14"/>
      <c r="J512" s="14"/>
      <c r="K512" s="14"/>
      <c r="L512" s="14"/>
      <c r="M512" s="14"/>
      <c r="N512" s="14"/>
      <c r="O512" s="14"/>
      <c r="P512" s="14"/>
      <c r="Q512" s="14"/>
    </row>
    <row r="513" spans="9:17" ht="14.25" customHeight="1">
      <c r="I513" s="14"/>
      <c r="J513" s="14"/>
      <c r="K513" s="14"/>
      <c r="L513" s="14"/>
      <c r="M513" s="14"/>
      <c r="N513" s="14"/>
      <c r="O513" s="14"/>
      <c r="P513" s="14"/>
      <c r="Q513" s="14"/>
    </row>
    <row r="514" spans="9:17" ht="14.25" customHeight="1">
      <c r="I514" s="14"/>
      <c r="J514" s="14"/>
      <c r="K514" s="14"/>
      <c r="L514" s="14"/>
      <c r="M514" s="14"/>
      <c r="N514" s="14"/>
      <c r="O514" s="14"/>
      <c r="P514" s="14"/>
      <c r="Q514" s="14"/>
    </row>
    <row r="515" spans="9:17" ht="14.25" customHeight="1">
      <c r="I515" s="14"/>
      <c r="J515" s="14"/>
      <c r="K515" s="14"/>
      <c r="L515" s="14"/>
      <c r="M515" s="14"/>
      <c r="N515" s="14"/>
      <c r="O515" s="14"/>
      <c r="P515" s="14"/>
      <c r="Q515" s="14"/>
    </row>
    <row r="516" spans="9:17" ht="14.25" customHeight="1">
      <c r="I516" s="14"/>
      <c r="J516" s="14"/>
      <c r="K516" s="14"/>
      <c r="L516" s="14"/>
      <c r="M516" s="14"/>
      <c r="N516" s="14"/>
      <c r="O516" s="14"/>
      <c r="P516" s="14"/>
      <c r="Q516" s="14"/>
    </row>
    <row r="517" spans="9:17" ht="14.25" customHeight="1">
      <c r="I517" s="14"/>
      <c r="J517" s="14"/>
      <c r="K517" s="14"/>
      <c r="L517" s="14"/>
      <c r="M517" s="14"/>
      <c r="N517" s="14"/>
      <c r="O517" s="14"/>
      <c r="P517" s="14"/>
      <c r="Q517" s="14"/>
    </row>
    <row r="518" spans="9:17" ht="14.25" customHeight="1">
      <c r="I518" s="14"/>
      <c r="J518" s="14"/>
      <c r="K518" s="14"/>
      <c r="L518" s="14"/>
      <c r="M518" s="14"/>
      <c r="N518" s="14"/>
      <c r="O518" s="14"/>
      <c r="P518" s="14"/>
      <c r="Q518" s="14"/>
    </row>
    <row r="519" spans="9:17" ht="14.25" customHeight="1">
      <c r="I519" s="14"/>
      <c r="J519" s="14"/>
      <c r="K519" s="14"/>
      <c r="L519" s="14"/>
      <c r="M519" s="14"/>
      <c r="N519" s="14"/>
      <c r="O519" s="14"/>
      <c r="P519" s="14"/>
      <c r="Q519" s="14"/>
    </row>
    <row r="520" spans="9:17" ht="14.25" customHeight="1">
      <c r="I520" s="14"/>
      <c r="J520" s="14"/>
      <c r="K520" s="14"/>
      <c r="L520" s="14"/>
      <c r="M520" s="14"/>
      <c r="N520" s="14"/>
      <c r="O520" s="14"/>
      <c r="P520" s="14"/>
      <c r="Q520" s="14"/>
    </row>
    <row r="521" spans="9:17" ht="14.25" customHeight="1">
      <c r="I521" s="14"/>
      <c r="J521" s="14"/>
      <c r="K521" s="14"/>
      <c r="L521" s="14"/>
      <c r="M521" s="14"/>
      <c r="N521" s="14"/>
      <c r="O521" s="14"/>
      <c r="P521" s="14"/>
      <c r="Q521" s="14"/>
    </row>
    <row r="522" spans="9:17" ht="14.25" customHeight="1">
      <c r="I522" s="14"/>
      <c r="J522" s="14"/>
      <c r="K522" s="14"/>
      <c r="L522" s="14"/>
      <c r="M522" s="14"/>
      <c r="N522" s="14"/>
      <c r="O522" s="14"/>
      <c r="P522" s="14"/>
      <c r="Q522" s="14"/>
    </row>
    <row r="523" spans="9:17" ht="14.25" customHeight="1">
      <c r="I523" s="14"/>
      <c r="J523" s="14"/>
      <c r="K523" s="14"/>
      <c r="L523" s="14"/>
      <c r="M523" s="14"/>
      <c r="N523" s="14"/>
      <c r="O523" s="14"/>
      <c r="P523" s="14"/>
      <c r="Q523" s="14"/>
    </row>
    <row r="524" spans="9:17" ht="14.25" customHeight="1">
      <c r="I524" s="14"/>
      <c r="J524" s="14"/>
      <c r="K524" s="14"/>
      <c r="L524" s="14"/>
      <c r="M524" s="14"/>
      <c r="N524" s="14"/>
      <c r="O524" s="14"/>
      <c r="P524" s="14"/>
      <c r="Q524" s="14"/>
    </row>
    <row r="525" spans="9:17" ht="14.25" customHeight="1">
      <c r="I525" s="14"/>
      <c r="J525" s="14"/>
      <c r="K525" s="14"/>
      <c r="L525" s="14"/>
      <c r="M525" s="14"/>
      <c r="N525" s="14"/>
      <c r="O525" s="14"/>
      <c r="P525" s="14"/>
      <c r="Q525" s="14"/>
    </row>
    <row r="526" spans="9:17" ht="14.25" customHeight="1">
      <c r="I526" s="14"/>
      <c r="J526" s="14"/>
      <c r="K526" s="14"/>
      <c r="L526" s="14"/>
      <c r="M526" s="14"/>
      <c r="N526" s="14"/>
      <c r="O526" s="14"/>
      <c r="P526" s="14"/>
      <c r="Q526" s="14"/>
    </row>
    <row r="527" spans="9:17" ht="14.25" customHeight="1">
      <c r="I527" s="14"/>
      <c r="J527" s="14"/>
      <c r="K527" s="14"/>
      <c r="L527" s="14"/>
      <c r="M527" s="14"/>
      <c r="N527" s="14"/>
      <c r="O527" s="14"/>
      <c r="P527" s="14"/>
      <c r="Q527" s="14"/>
    </row>
    <row r="528" spans="9:17" ht="14.25" customHeight="1">
      <c r="I528" s="14"/>
      <c r="J528" s="14"/>
      <c r="K528" s="14"/>
      <c r="L528" s="14"/>
      <c r="M528" s="14"/>
      <c r="N528" s="14"/>
      <c r="O528" s="14"/>
      <c r="P528" s="14"/>
      <c r="Q528" s="14"/>
    </row>
    <row r="529" spans="9:17" ht="14.25" customHeight="1">
      <c r="I529" s="14"/>
      <c r="J529" s="14"/>
      <c r="K529" s="14"/>
      <c r="L529" s="14"/>
      <c r="M529" s="14"/>
      <c r="N529" s="14"/>
      <c r="O529" s="14"/>
      <c r="P529" s="14"/>
      <c r="Q529" s="14"/>
    </row>
    <row r="530" spans="9:17" ht="14.25" customHeight="1">
      <c r="I530" s="14"/>
      <c r="J530" s="14"/>
      <c r="K530" s="14"/>
      <c r="L530" s="14"/>
      <c r="M530" s="14"/>
      <c r="N530" s="14"/>
      <c r="O530" s="14"/>
      <c r="P530" s="14"/>
      <c r="Q530" s="14"/>
    </row>
    <row r="531" spans="9:17" ht="14.25" customHeight="1">
      <c r="I531" s="14"/>
      <c r="J531" s="14"/>
      <c r="K531" s="14"/>
      <c r="L531" s="14"/>
      <c r="M531" s="14"/>
      <c r="N531" s="14"/>
      <c r="O531" s="14"/>
      <c r="P531" s="14"/>
      <c r="Q531" s="14"/>
    </row>
    <row r="532" spans="9:17" ht="14.25" customHeight="1">
      <c r="I532" s="14"/>
      <c r="J532" s="14"/>
      <c r="K532" s="14"/>
      <c r="L532" s="14"/>
      <c r="M532" s="14"/>
      <c r="N532" s="14"/>
      <c r="O532" s="14"/>
      <c r="P532" s="14"/>
      <c r="Q532" s="14"/>
    </row>
    <row r="533" spans="9:17" ht="14.25" customHeight="1">
      <c r="I533" s="14"/>
      <c r="J533" s="14"/>
      <c r="K533" s="14"/>
      <c r="L533" s="14"/>
      <c r="M533" s="14"/>
      <c r="N533" s="14"/>
      <c r="O533" s="14"/>
      <c r="P533" s="14"/>
      <c r="Q533" s="14"/>
    </row>
    <row r="534" spans="9:17" ht="14.25" customHeight="1">
      <c r="I534" s="14"/>
      <c r="J534" s="14"/>
      <c r="K534" s="14"/>
      <c r="L534" s="14"/>
      <c r="M534" s="14"/>
      <c r="N534" s="14"/>
      <c r="O534" s="14"/>
      <c r="P534" s="14"/>
      <c r="Q534" s="14"/>
    </row>
    <row r="535" spans="9:17" ht="14.25" customHeight="1">
      <c r="I535" s="14"/>
      <c r="J535" s="14"/>
      <c r="K535" s="14"/>
      <c r="L535" s="14"/>
      <c r="M535" s="14"/>
      <c r="N535" s="14"/>
      <c r="O535" s="14"/>
      <c r="P535" s="14"/>
      <c r="Q535" s="14"/>
    </row>
    <row r="536" spans="9:17" ht="14.25" customHeight="1">
      <c r="I536" s="14"/>
      <c r="J536" s="14"/>
      <c r="K536" s="14"/>
      <c r="L536" s="14"/>
      <c r="M536" s="14"/>
      <c r="N536" s="14"/>
      <c r="O536" s="14"/>
      <c r="P536" s="14"/>
      <c r="Q536" s="14"/>
    </row>
    <row r="537" spans="9:17" ht="14.25" customHeight="1">
      <c r="I537" s="14"/>
      <c r="J537" s="14"/>
      <c r="K537" s="14"/>
      <c r="L537" s="14"/>
      <c r="M537" s="14"/>
      <c r="N537" s="14"/>
      <c r="O537" s="14"/>
      <c r="P537" s="14"/>
      <c r="Q537" s="14"/>
    </row>
    <row r="538" spans="9:17" ht="14.25" customHeight="1">
      <c r="I538" s="14"/>
      <c r="J538" s="14"/>
      <c r="K538" s="14"/>
      <c r="L538" s="14"/>
      <c r="M538" s="14"/>
      <c r="N538" s="14"/>
      <c r="O538" s="14"/>
      <c r="P538" s="14"/>
      <c r="Q538" s="14"/>
    </row>
    <row r="539" spans="9:17" ht="14.25" customHeight="1">
      <c r="I539" s="14"/>
      <c r="J539" s="14"/>
      <c r="K539" s="14"/>
      <c r="L539" s="14"/>
      <c r="M539" s="14"/>
      <c r="N539" s="14"/>
      <c r="O539" s="14"/>
      <c r="P539" s="14"/>
      <c r="Q539" s="14"/>
    </row>
    <row r="540" spans="9:17" ht="14.25" customHeight="1">
      <c r="I540" s="14"/>
      <c r="J540" s="14"/>
      <c r="K540" s="14"/>
      <c r="L540" s="14"/>
      <c r="M540" s="14"/>
      <c r="N540" s="14"/>
      <c r="O540" s="14"/>
      <c r="P540" s="14"/>
      <c r="Q540" s="14"/>
    </row>
    <row r="541" spans="9:17" ht="14.25" customHeight="1">
      <c r="I541" s="14"/>
      <c r="J541" s="14"/>
      <c r="K541" s="14"/>
      <c r="L541" s="14"/>
      <c r="M541" s="14"/>
      <c r="N541" s="14"/>
      <c r="O541" s="14"/>
      <c r="P541" s="14"/>
      <c r="Q541" s="14"/>
    </row>
    <row r="542" spans="9:17" ht="14.25" customHeight="1">
      <c r="I542" s="14"/>
      <c r="J542" s="14"/>
      <c r="K542" s="14"/>
      <c r="L542" s="14"/>
      <c r="M542" s="14"/>
      <c r="N542" s="14"/>
      <c r="O542" s="14"/>
      <c r="P542" s="14"/>
      <c r="Q542" s="14"/>
    </row>
    <row r="543" spans="9:17" ht="14.25" customHeight="1">
      <c r="I543" s="14"/>
      <c r="J543" s="14"/>
      <c r="K543" s="14"/>
      <c r="L543" s="14"/>
      <c r="M543" s="14"/>
      <c r="N543" s="14"/>
      <c r="O543" s="14"/>
      <c r="P543" s="14"/>
      <c r="Q543" s="14"/>
    </row>
    <row r="544" spans="9:17" ht="14.25" customHeight="1">
      <c r="I544" s="14"/>
      <c r="J544" s="14"/>
      <c r="K544" s="14"/>
      <c r="L544" s="14"/>
      <c r="M544" s="14"/>
      <c r="N544" s="14"/>
      <c r="O544" s="14"/>
      <c r="P544" s="14"/>
      <c r="Q544" s="14"/>
    </row>
    <row r="545" spans="9:17" ht="14.25" customHeight="1">
      <c r="I545" s="14"/>
      <c r="J545" s="14"/>
      <c r="K545" s="14"/>
      <c r="L545" s="14"/>
      <c r="M545" s="14"/>
      <c r="N545" s="14"/>
      <c r="O545" s="14"/>
      <c r="P545" s="14"/>
      <c r="Q545" s="14"/>
    </row>
    <row r="546" spans="9:17" ht="14.25" customHeight="1">
      <c r="I546" s="14"/>
      <c r="J546" s="14"/>
      <c r="K546" s="14"/>
      <c r="L546" s="14"/>
      <c r="M546" s="14"/>
      <c r="N546" s="14"/>
      <c r="O546" s="14"/>
      <c r="P546" s="14"/>
      <c r="Q546" s="14"/>
    </row>
    <row r="547" spans="9:17" ht="14.25" customHeight="1">
      <c r="I547" s="14"/>
      <c r="J547" s="14"/>
      <c r="K547" s="14"/>
      <c r="L547" s="14"/>
      <c r="M547" s="14"/>
      <c r="N547" s="14"/>
      <c r="O547" s="14"/>
      <c r="P547" s="14"/>
      <c r="Q547" s="14"/>
    </row>
    <row r="548" spans="9:17" ht="14.25" customHeight="1">
      <c r="I548" s="14"/>
      <c r="J548" s="14"/>
      <c r="K548" s="14"/>
      <c r="L548" s="14"/>
      <c r="M548" s="14"/>
      <c r="N548" s="14"/>
      <c r="O548" s="14"/>
      <c r="P548" s="14"/>
      <c r="Q548" s="14"/>
    </row>
    <row r="549" spans="9:17" ht="14.25" customHeight="1">
      <c r="I549" s="14"/>
      <c r="J549" s="14"/>
      <c r="K549" s="14"/>
      <c r="L549" s="14"/>
      <c r="M549" s="14"/>
      <c r="N549" s="14"/>
      <c r="O549" s="14"/>
      <c r="P549" s="14"/>
      <c r="Q549" s="14"/>
    </row>
    <row r="550" spans="9:17" ht="14.25" customHeight="1">
      <c r="I550" s="14"/>
      <c r="J550" s="14"/>
      <c r="K550" s="14"/>
      <c r="L550" s="14"/>
      <c r="M550" s="14"/>
      <c r="N550" s="14"/>
      <c r="O550" s="14"/>
      <c r="P550" s="14"/>
      <c r="Q550" s="14"/>
    </row>
    <row r="551" spans="9:17" ht="14.25" customHeight="1">
      <c r="I551" s="14"/>
      <c r="J551" s="14"/>
      <c r="K551" s="14"/>
      <c r="L551" s="14"/>
      <c r="M551" s="14"/>
      <c r="N551" s="14"/>
      <c r="O551" s="14"/>
      <c r="P551" s="14"/>
      <c r="Q551" s="14"/>
    </row>
    <row r="552" spans="9:17" ht="14.25" customHeight="1">
      <c r="I552" s="14"/>
      <c r="J552" s="14"/>
      <c r="K552" s="14"/>
      <c r="L552" s="14"/>
      <c r="M552" s="14"/>
      <c r="N552" s="14"/>
      <c r="O552" s="14"/>
      <c r="P552" s="14"/>
      <c r="Q552" s="14"/>
    </row>
    <row r="553" spans="9:17" ht="14.25" customHeight="1">
      <c r="I553" s="14"/>
      <c r="J553" s="14"/>
      <c r="K553" s="14"/>
      <c r="L553" s="14"/>
      <c r="M553" s="14"/>
      <c r="N553" s="14"/>
      <c r="O553" s="14"/>
      <c r="P553" s="14"/>
      <c r="Q553" s="14"/>
    </row>
    <row r="554" spans="9:17" ht="14.25" customHeight="1">
      <c r="I554" s="14"/>
      <c r="J554" s="14"/>
      <c r="K554" s="14"/>
      <c r="L554" s="14"/>
      <c r="M554" s="14"/>
      <c r="N554" s="14"/>
      <c r="O554" s="14"/>
      <c r="P554" s="14"/>
      <c r="Q554" s="14"/>
    </row>
    <row r="555" spans="9:17" ht="14.25" customHeight="1">
      <c r="I555" s="14"/>
      <c r="J555" s="14"/>
      <c r="K555" s="14"/>
      <c r="L555" s="14"/>
      <c r="M555" s="14"/>
      <c r="N555" s="14"/>
      <c r="O555" s="14"/>
      <c r="P555" s="14"/>
      <c r="Q555" s="14"/>
    </row>
    <row r="556" spans="9:17" ht="14.25" customHeight="1">
      <c r="I556" s="14"/>
      <c r="J556" s="14"/>
      <c r="K556" s="14"/>
      <c r="L556" s="14"/>
      <c r="M556" s="14"/>
      <c r="N556" s="14"/>
      <c r="O556" s="14"/>
      <c r="P556" s="14"/>
      <c r="Q556" s="14"/>
    </row>
    <row r="557" spans="9:17" ht="14.25" customHeight="1">
      <c r="I557" s="14"/>
      <c r="J557" s="14"/>
      <c r="K557" s="14"/>
      <c r="L557" s="14"/>
      <c r="M557" s="14"/>
      <c r="N557" s="14"/>
      <c r="O557" s="14"/>
      <c r="P557" s="14"/>
      <c r="Q557" s="14"/>
    </row>
    <row r="558" spans="9:17" ht="14.25" customHeight="1">
      <c r="I558" s="14"/>
      <c r="J558" s="14"/>
      <c r="K558" s="14"/>
      <c r="L558" s="14"/>
      <c r="M558" s="14"/>
      <c r="N558" s="14"/>
      <c r="O558" s="14"/>
      <c r="P558" s="14"/>
      <c r="Q558" s="14"/>
    </row>
    <row r="559" spans="9:17" ht="14.25" customHeight="1">
      <c r="I559" s="14"/>
      <c r="J559" s="14"/>
      <c r="K559" s="14"/>
      <c r="L559" s="14"/>
      <c r="M559" s="14"/>
      <c r="N559" s="14"/>
      <c r="O559" s="14"/>
      <c r="P559" s="14"/>
      <c r="Q559" s="14"/>
    </row>
    <row r="560" spans="9:17" ht="14.25" customHeight="1">
      <c r="I560" s="14"/>
      <c r="J560" s="14"/>
      <c r="K560" s="14"/>
      <c r="L560" s="14"/>
      <c r="M560" s="14"/>
      <c r="N560" s="14"/>
      <c r="O560" s="14"/>
      <c r="P560" s="14"/>
      <c r="Q560" s="14"/>
    </row>
    <row r="561" spans="9:17" ht="14.25" customHeight="1">
      <c r="I561" s="14"/>
      <c r="J561" s="14"/>
      <c r="K561" s="14"/>
      <c r="L561" s="14"/>
      <c r="M561" s="14"/>
      <c r="N561" s="14"/>
      <c r="O561" s="14"/>
      <c r="P561" s="14"/>
      <c r="Q561" s="14"/>
    </row>
    <row r="562" spans="9:17" ht="14.25" customHeight="1">
      <c r="I562" s="14"/>
      <c r="J562" s="14"/>
      <c r="K562" s="14"/>
      <c r="L562" s="14"/>
      <c r="M562" s="14"/>
      <c r="N562" s="14"/>
      <c r="O562" s="14"/>
      <c r="P562" s="14"/>
      <c r="Q562" s="14"/>
    </row>
    <row r="563" spans="9:17" ht="14.25" customHeight="1">
      <c r="I563" s="14"/>
      <c r="J563" s="14"/>
      <c r="K563" s="14"/>
      <c r="L563" s="14"/>
      <c r="M563" s="14"/>
      <c r="N563" s="14"/>
      <c r="O563" s="14"/>
      <c r="P563" s="14"/>
      <c r="Q563" s="14"/>
    </row>
    <row r="564" spans="9:17" ht="14.25" customHeight="1">
      <c r="I564" s="14"/>
      <c r="J564" s="14"/>
      <c r="K564" s="14"/>
      <c r="L564" s="14"/>
      <c r="M564" s="14"/>
      <c r="N564" s="14"/>
      <c r="O564" s="14"/>
      <c r="P564" s="14"/>
      <c r="Q564" s="14"/>
    </row>
    <row r="565" spans="9:17" ht="14.25" customHeight="1">
      <c r="I565" s="14"/>
      <c r="J565" s="14"/>
      <c r="K565" s="14"/>
      <c r="L565" s="14"/>
      <c r="M565" s="14"/>
      <c r="N565" s="14"/>
      <c r="O565" s="14"/>
      <c r="P565" s="14"/>
      <c r="Q565" s="14"/>
    </row>
    <row r="566" spans="9:17" ht="14.25" customHeight="1">
      <c r="I566" s="14"/>
      <c r="J566" s="14"/>
      <c r="K566" s="14"/>
      <c r="L566" s="14"/>
      <c r="M566" s="14"/>
      <c r="N566" s="14"/>
      <c r="O566" s="14"/>
      <c r="P566" s="14"/>
      <c r="Q566" s="14"/>
    </row>
    <row r="567" spans="9:17" ht="14.25" customHeight="1">
      <c r="I567" s="14"/>
      <c r="J567" s="14"/>
      <c r="K567" s="14"/>
      <c r="L567" s="14"/>
      <c r="M567" s="14"/>
      <c r="N567" s="14"/>
      <c r="O567" s="14"/>
      <c r="P567" s="14"/>
      <c r="Q567" s="14"/>
    </row>
    <row r="568" spans="9:17" ht="14.25" customHeight="1">
      <c r="I568" s="14"/>
      <c r="J568" s="14"/>
      <c r="K568" s="14"/>
      <c r="L568" s="14"/>
      <c r="M568" s="14"/>
      <c r="N568" s="14"/>
      <c r="O568" s="14"/>
      <c r="P568" s="14"/>
      <c r="Q568" s="14"/>
    </row>
    <row r="569" spans="9:17" ht="14.25" customHeight="1">
      <c r="I569" s="14"/>
      <c r="J569" s="14"/>
      <c r="K569" s="14"/>
      <c r="L569" s="14"/>
      <c r="M569" s="14"/>
      <c r="N569" s="14"/>
      <c r="O569" s="14"/>
      <c r="P569" s="14"/>
      <c r="Q569" s="14"/>
    </row>
    <row r="570" spans="9:17" ht="14.25" customHeight="1">
      <c r="I570" s="14"/>
      <c r="J570" s="14"/>
      <c r="K570" s="14"/>
      <c r="L570" s="14"/>
      <c r="M570" s="14"/>
      <c r="N570" s="14"/>
      <c r="O570" s="14"/>
      <c r="P570" s="14"/>
      <c r="Q570" s="14"/>
    </row>
    <row r="571" spans="9:17" ht="14.25" customHeight="1">
      <c r="I571" s="14"/>
      <c r="J571" s="14"/>
      <c r="K571" s="14"/>
      <c r="L571" s="14"/>
      <c r="M571" s="14"/>
      <c r="N571" s="14"/>
      <c r="O571" s="14"/>
      <c r="P571" s="14"/>
      <c r="Q571" s="14"/>
    </row>
    <row r="572" spans="9:17" ht="14.25" customHeight="1">
      <c r="I572" s="14"/>
      <c r="J572" s="14"/>
      <c r="K572" s="14"/>
      <c r="L572" s="14"/>
      <c r="M572" s="14"/>
      <c r="N572" s="14"/>
      <c r="O572" s="14"/>
      <c r="P572" s="14"/>
      <c r="Q572" s="14"/>
    </row>
    <row r="573" spans="9:17" ht="14.25" customHeight="1">
      <c r="I573" s="14"/>
      <c r="J573" s="14"/>
      <c r="K573" s="14"/>
      <c r="L573" s="14"/>
      <c r="M573" s="14"/>
      <c r="N573" s="14"/>
      <c r="O573" s="14"/>
      <c r="P573" s="14"/>
      <c r="Q573" s="14"/>
    </row>
    <row r="574" spans="9:17" ht="14.25" customHeight="1">
      <c r="I574" s="14"/>
      <c r="J574" s="14"/>
      <c r="K574" s="14"/>
      <c r="L574" s="14"/>
      <c r="M574" s="14"/>
      <c r="N574" s="14"/>
      <c r="O574" s="14"/>
      <c r="P574" s="14"/>
      <c r="Q574" s="14"/>
    </row>
    <row r="575" spans="9:17" ht="14.25" customHeight="1">
      <c r="I575" s="14"/>
      <c r="J575" s="14"/>
      <c r="K575" s="14"/>
      <c r="L575" s="14"/>
      <c r="M575" s="14"/>
      <c r="N575" s="14"/>
      <c r="O575" s="14"/>
      <c r="P575" s="14"/>
      <c r="Q575" s="14"/>
    </row>
    <row r="576" spans="9:17" ht="14.25" customHeight="1">
      <c r="I576" s="14"/>
      <c r="J576" s="14"/>
      <c r="K576" s="14"/>
      <c r="L576" s="14"/>
      <c r="M576" s="14"/>
      <c r="N576" s="14"/>
      <c r="O576" s="14"/>
      <c r="P576" s="14"/>
      <c r="Q576" s="14"/>
    </row>
    <row r="577" spans="9:17" ht="14.25" customHeight="1">
      <c r="I577" s="14"/>
      <c r="J577" s="14"/>
      <c r="K577" s="14"/>
      <c r="L577" s="14"/>
      <c r="M577" s="14"/>
      <c r="N577" s="14"/>
      <c r="O577" s="14"/>
      <c r="P577" s="14"/>
      <c r="Q577" s="14"/>
    </row>
    <row r="578" spans="9:17" ht="14.25" customHeight="1">
      <c r="I578" s="14"/>
      <c r="J578" s="14"/>
      <c r="K578" s="14"/>
      <c r="L578" s="14"/>
      <c r="M578" s="14"/>
      <c r="N578" s="14"/>
      <c r="O578" s="14"/>
      <c r="P578" s="14"/>
      <c r="Q578" s="14"/>
    </row>
    <row r="579" spans="9:17" ht="14.25" customHeight="1">
      <c r="I579" s="14"/>
      <c r="J579" s="14"/>
      <c r="K579" s="14"/>
      <c r="L579" s="14"/>
      <c r="M579" s="14"/>
      <c r="N579" s="14"/>
      <c r="O579" s="14"/>
      <c r="P579" s="14"/>
      <c r="Q579" s="14"/>
    </row>
    <row r="580" spans="9:17" ht="14.25" customHeight="1">
      <c r="I580" s="14"/>
      <c r="J580" s="14"/>
      <c r="K580" s="14"/>
      <c r="L580" s="14"/>
      <c r="M580" s="14"/>
      <c r="N580" s="14"/>
      <c r="O580" s="14"/>
      <c r="P580" s="14"/>
      <c r="Q580" s="14"/>
    </row>
    <row r="581" spans="9:17" ht="14.25" customHeight="1">
      <c r="I581" s="14"/>
      <c r="J581" s="14"/>
      <c r="K581" s="14"/>
      <c r="L581" s="14"/>
      <c r="M581" s="14"/>
      <c r="N581" s="14"/>
      <c r="O581" s="14"/>
      <c r="P581" s="14"/>
      <c r="Q581" s="14"/>
    </row>
    <row r="582" spans="9:17" ht="14.25" customHeight="1">
      <c r="I582" s="14"/>
      <c r="J582" s="14"/>
      <c r="K582" s="14"/>
      <c r="L582" s="14"/>
      <c r="M582" s="14"/>
      <c r="N582" s="14"/>
      <c r="O582" s="14"/>
      <c r="P582" s="14"/>
      <c r="Q582" s="14"/>
    </row>
    <row r="583" spans="9:17" ht="14.25" customHeight="1">
      <c r="I583" s="14"/>
      <c r="J583" s="14"/>
      <c r="K583" s="14"/>
      <c r="L583" s="14"/>
      <c r="M583" s="14"/>
      <c r="N583" s="14"/>
      <c r="O583" s="14"/>
      <c r="P583" s="14"/>
      <c r="Q583" s="14"/>
    </row>
    <row r="584" spans="9:17" ht="14.25" customHeight="1">
      <c r="I584" s="14"/>
      <c r="J584" s="14"/>
      <c r="K584" s="14"/>
      <c r="L584" s="14"/>
      <c r="M584" s="14"/>
      <c r="N584" s="14"/>
      <c r="O584" s="14"/>
      <c r="P584" s="14"/>
      <c r="Q584" s="14"/>
    </row>
    <row r="585" spans="9:17" ht="14.25" customHeight="1">
      <c r="I585" s="14"/>
      <c r="J585" s="14"/>
      <c r="K585" s="14"/>
      <c r="L585" s="14"/>
      <c r="M585" s="14"/>
      <c r="N585" s="14"/>
      <c r="O585" s="14"/>
      <c r="P585" s="14"/>
      <c r="Q585" s="14"/>
    </row>
    <row r="586" spans="9:17" ht="14.25" customHeight="1">
      <c r="I586" s="14"/>
      <c r="J586" s="14"/>
      <c r="K586" s="14"/>
      <c r="L586" s="14"/>
      <c r="M586" s="14"/>
      <c r="N586" s="14"/>
      <c r="O586" s="14"/>
      <c r="P586" s="14"/>
      <c r="Q586" s="14"/>
    </row>
    <row r="587" spans="9:17" ht="14.25" customHeight="1">
      <c r="I587" s="14"/>
      <c r="J587" s="14"/>
      <c r="K587" s="14"/>
      <c r="L587" s="14"/>
      <c r="M587" s="14"/>
      <c r="N587" s="14"/>
      <c r="O587" s="14"/>
      <c r="P587" s="14"/>
      <c r="Q587" s="14"/>
    </row>
    <row r="588" spans="9:17" ht="14.25" customHeight="1">
      <c r="I588" s="14"/>
      <c r="J588" s="14"/>
      <c r="K588" s="14"/>
      <c r="L588" s="14"/>
      <c r="M588" s="14"/>
      <c r="N588" s="14"/>
      <c r="O588" s="14"/>
      <c r="P588" s="14"/>
      <c r="Q588" s="14"/>
    </row>
    <row r="589" spans="9:17" ht="14.25" customHeight="1">
      <c r="I589" s="14"/>
      <c r="J589" s="14"/>
      <c r="K589" s="14"/>
      <c r="L589" s="14"/>
      <c r="M589" s="14"/>
      <c r="N589" s="14"/>
      <c r="O589" s="14"/>
      <c r="P589" s="14"/>
      <c r="Q589" s="14"/>
    </row>
    <row r="590" spans="9:17" ht="14.25" customHeight="1">
      <c r="I590" s="14"/>
      <c r="J590" s="14"/>
      <c r="K590" s="14"/>
      <c r="L590" s="14"/>
      <c r="M590" s="14"/>
      <c r="N590" s="14"/>
      <c r="O590" s="14"/>
      <c r="P590" s="14"/>
      <c r="Q590" s="14"/>
    </row>
    <row r="591" spans="9:17" ht="14.25" customHeight="1">
      <c r="I591" s="14"/>
      <c r="J591" s="14"/>
      <c r="K591" s="14"/>
      <c r="L591" s="14"/>
      <c r="M591" s="14"/>
      <c r="N591" s="14"/>
      <c r="O591" s="14"/>
      <c r="P591" s="14"/>
      <c r="Q591" s="14"/>
    </row>
    <row r="592" spans="9:17" ht="14.25" customHeight="1">
      <c r="I592" s="14"/>
      <c r="J592" s="14"/>
      <c r="K592" s="14"/>
      <c r="L592" s="14"/>
      <c r="M592" s="14"/>
      <c r="N592" s="14"/>
      <c r="O592" s="14"/>
      <c r="P592" s="14"/>
      <c r="Q592" s="14"/>
    </row>
    <row r="593" spans="9:17" ht="14.25" customHeight="1">
      <c r="I593" s="14"/>
      <c r="J593" s="14"/>
      <c r="K593" s="14"/>
      <c r="L593" s="14"/>
      <c r="M593" s="14"/>
      <c r="N593" s="14"/>
      <c r="O593" s="14"/>
      <c r="P593" s="14"/>
      <c r="Q593" s="14"/>
    </row>
    <row r="594" spans="9:17" ht="14.25" customHeight="1">
      <c r="I594" s="14"/>
      <c r="J594" s="14"/>
      <c r="K594" s="14"/>
      <c r="L594" s="14"/>
      <c r="M594" s="14"/>
      <c r="N594" s="14"/>
      <c r="O594" s="14"/>
      <c r="P594" s="14"/>
      <c r="Q594" s="14"/>
    </row>
    <row r="595" spans="9:17" ht="14.25" customHeight="1">
      <c r="I595" s="14"/>
      <c r="J595" s="14"/>
      <c r="K595" s="14"/>
      <c r="L595" s="14"/>
      <c r="M595" s="14"/>
      <c r="N595" s="14"/>
      <c r="O595" s="14"/>
      <c r="P595" s="14"/>
      <c r="Q595" s="14"/>
    </row>
    <row r="596" spans="9:17" ht="14.25" customHeight="1">
      <c r="I596" s="14"/>
      <c r="J596" s="14"/>
      <c r="K596" s="14"/>
      <c r="L596" s="14"/>
      <c r="M596" s="14"/>
      <c r="N596" s="14"/>
      <c r="O596" s="14"/>
      <c r="P596" s="14"/>
      <c r="Q596" s="14"/>
    </row>
    <row r="597" spans="9:17" ht="14.25" customHeight="1">
      <c r="I597" s="14"/>
      <c r="J597" s="14"/>
      <c r="K597" s="14"/>
      <c r="L597" s="14"/>
      <c r="M597" s="14"/>
      <c r="N597" s="14"/>
      <c r="O597" s="14"/>
      <c r="P597" s="14"/>
      <c r="Q597" s="14"/>
    </row>
    <row r="598" spans="9:17" ht="14.25" customHeight="1">
      <c r="I598" s="14"/>
      <c r="J598" s="14"/>
      <c r="K598" s="14"/>
      <c r="L598" s="14"/>
      <c r="M598" s="14"/>
      <c r="N598" s="14"/>
      <c r="O598" s="14"/>
      <c r="P598" s="14"/>
      <c r="Q598" s="14"/>
    </row>
    <row r="599" spans="9:17" ht="14.25" customHeight="1">
      <c r="I599" s="14"/>
      <c r="J599" s="14"/>
      <c r="K599" s="14"/>
      <c r="L599" s="14"/>
      <c r="M599" s="14"/>
      <c r="N599" s="14"/>
      <c r="O599" s="14"/>
      <c r="P599" s="14"/>
      <c r="Q599" s="14"/>
    </row>
    <row r="600" spans="9:17" ht="14.25" customHeight="1">
      <c r="I600" s="14"/>
      <c r="J600" s="14"/>
      <c r="K600" s="14"/>
      <c r="L600" s="14"/>
      <c r="M600" s="14"/>
      <c r="N600" s="14"/>
      <c r="O600" s="14"/>
      <c r="P600" s="14"/>
      <c r="Q600" s="14"/>
    </row>
    <row r="601" spans="9:17" ht="14.25" customHeight="1">
      <c r="I601" s="14"/>
      <c r="J601" s="14"/>
      <c r="K601" s="14"/>
      <c r="L601" s="14"/>
      <c r="M601" s="14"/>
      <c r="N601" s="14"/>
      <c r="O601" s="14"/>
      <c r="P601" s="14"/>
      <c r="Q601" s="14"/>
    </row>
    <row r="602" spans="9:17" ht="14.25" customHeight="1">
      <c r="I602" s="14"/>
      <c r="J602" s="14"/>
      <c r="K602" s="14"/>
      <c r="L602" s="14"/>
      <c r="M602" s="14"/>
      <c r="N602" s="14"/>
      <c r="O602" s="14"/>
      <c r="P602" s="14"/>
      <c r="Q602" s="14"/>
    </row>
    <row r="603" spans="9:17" ht="14.25" customHeight="1">
      <c r="I603" s="14"/>
      <c r="J603" s="14"/>
      <c r="K603" s="14"/>
      <c r="L603" s="14"/>
      <c r="M603" s="14"/>
      <c r="N603" s="14"/>
      <c r="O603" s="14"/>
      <c r="P603" s="14"/>
      <c r="Q603" s="14"/>
    </row>
    <row r="604" spans="9:17" ht="14.25" customHeight="1">
      <c r="I604" s="14"/>
      <c r="J604" s="14"/>
      <c r="K604" s="14"/>
      <c r="L604" s="14"/>
      <c r="M604" s="14"/>
      <c r="N604" s="14"/>
      <c r="O604" s="14"/>
      <c r="P604" s="14"/>
      <c r="Q604" s="14"/>
    </row>
    <row r="605" spans="9:17" ht="14.25" customHeight="1">
      <c r="I605" s="14"/>
      <c r="J605" s="14"/>
      <c r="K605" s="14"/>
      <c r="L605" s="14"/>
      <c r="M605" s="14"/>
      <c r="N605" s="14"/>
      <c r="O605" s="14"/>
      <c r="P605" s="14"/>
      <c r="Q605" s="14"/>
    </row>
    <row r="606" spans="9:17" ht="14.25" customHeight="1">
      <c r="I606" s="14"/>
      <c r="J606" s="14"/>
      <c r="K606" s="14"/>
      <c r="L606" s="14"/>
      <c r="M606" s="14"/>
      <c r="N606" s="14"/>
      <c r="O606" s="14"/>
      <c r="P606" s="14"/>
      <c r="Q606" s="14"/>
    </row>
    <row r="607" spans="9:17" ht="14.25" customHeight="1">
      <c r="I607" s="14"/>
      <c r="J607" s="14"/>
      <c r="K607" s="14"/>
      <c r="L607" s="14"/>
      <c r="M607" s="14"/>
      <c r="N607" s="14"/>
      <c r="O607" s="14"/>
      <c r="P607" s="14"/>
      <c r="Q607" s="14"/>
    </row>
    <row r="608" spans="9:17" ht="14.25" customHeight="1">
      <c r="I608" s="14"/>
      <c r="J608" s="14"/>
      <c r="K608" s="14"/>
      <c r="L608" s="14"/>
      <c r="M608" s="14"/>
      <c r="N608" s="14"/>
      <c r="O608" s="14"/>
      <c r="P608" s="14"/>
      <c r="Q608" s="14"/>
    </row>
    <row r="609" spans="9:17" ht="14.25" customHeight="1">
      <c r="I609" s="14"/>
      <c r="J609" s="14"/>
      <c r="K609" s="14"/>
      <c r="L609" s="14"/>
      <c r="M609" s="14"/>
      <c r="N609" s="14"/>
      <c r="O609" s="14"/>
      <c r="P609" s="14"/>
      <c r="Q609" s="14"/>
    </row>
    <row r="610" spans="9:17" ht="14.25" customHeight="1">
      <c r="I610" s="14"/>
      <c r="J610" s="14"/>
      <c r="K610" s="14"/>
      <c r="L610" s="14"/>
      <c r="M610" s="14"/>
      <c r="N610" s="14"/>
      <c r="O610" s="14"/>
      <c r="P610" s="14"/>
      <c r="Q610" s="14"/>
    </row>
    <row r="611" spans="9:17" ht="14.25" customHeight="1">
      <c r="I611" s="14"/>
      <c r="J611" s="14"/>
      <c r="K611" s="14"/>
      <c r="L611" s="14"/>
      <c r="M611" s="14"/>
      <c r="N611" s="14"/>
      <c r="O611" s="14"/>
      <c r="P611" s="14"/>
      <c r="Q611" s="14"/>
    </row>
    <row r="612" spans="9:17" ht="14.25" customHeight="1">
      <c r="I612" s="14"/>
      <c r="J612" s="14"/>
      <c r="K612" s="14"/>
      <c r="L612" s="14"/>
      <c r="M612" s="14"/>
      <c r="N612" s="14"/>
      <c r="O612" s="14"/>
      <c r="P612" s="14"/>
      <c r="Q612" s="14"/>
    </row>
    <row r="613" spans="9:17" ht="14.25" customHeight="1">
      <c r="I613" s="14"/>
      <c r="J613" s="14"/>
      <c r="K613" s="14"/>
      <c r="L613" s="14"/>
      <c r="M613" s="14"/>
      <c r="N613" s="14"/>
      <c r="O613" s="14"/>
      <c r="P613" s="14"/>
      <c r="Q613" s="14"/>
    </row>
    <row r="614" spans="9:17" ht="14.25" customHeight="1">
      <c r="I614" s="14"/>
      <c r="J614" s="14"/>
      <c r="K614" s="14"/>
      <c r="L614" s="14"/>
      <c r="M614" s="14"/>
      <c r="N614" s="14"/>
      <c r="O614" s="14"/>
      <c r="P614" s="14"/>
      <c r="Q614" s="14"/>
    </row>
    <row r="615" spans="9:17" ht="14.25" customHeight="1">
      <c r="I615" s="14"/>
      <c r="J615" s="14"/>
      <c r="K615" s="14"/>
      <c r="L615" s="14"/>
      <c r="M615" s="14"/>
      <c r="N615" s="14"/>
      <c r="O615" s="14"/>
      <c r="P615" s="14"/>
      <c r="Q615" s="14"/>
    </row>
    <row r="616" spans="9:17" ht="14.25" customHeight="1">
      <c r="I616" s="14"/>
      <c r="J616" s="14"/>
      <c r="K616" s="14"/>
      <c r="L616" s="14"/>
      <c r="M616" s="14"/>
      <c r="N616" s="14"/>
      <c r="O616" s="14"/>
      <c r="P616" s="14"/>
      <c r="Q616" s="14"/>
    </row>
    <row r="617" spans="9:17" ht="14.25" customHeight="1">
      <c r="I617" s="14"/>
      <c r="J617" s="14"/>
      <c r="K617" s="14"/>
      <c r="L617" s="14"/>
      <c r="M617" s="14"/>
      <c r="N617" s="14"/>
      <c r="O617" s="14"/>
      <c r="P617" s="14"/>
      <c r="Q617" s="14"/>
    </row>
    <row r="618" spans="9:17" ht="14.25" customHeight="1">
      <c r="I618" s="14"/>
      <c r="J618" s="14"/>
      <c r="K618" s="14"/>
      <c r="L618" s="14"/>
      <c r="M618" s="14"/>
      <c r="N618" s="14"/>
      <c r="O618" s="14"/>
      <c r="P618" s="14"/>
      <c r="Q618" s="14"/>
    </row>
    <row r="619" spans="9:17" ht="14.25" customHeight="1">
      <c r="I619" s="14"/>
      <c r="J619" s="14"/>
      <c r="K619" s="14"/>
      <c r="L619" s="14"/>
      <c r="M619" s="14"/>
      <c r="N619" s="14"/>
      <c r="O619" s="14"/>
      <c r="P619" s="14"/>
      <c r="Q619" s="14"/>
    </row>
    <row r="620" spans="9:17" ht="14.25" customHeight="1">
      <c r="I620" s="14"/>
      <c r="J620" s="14"/>
      <c r="K620" s="14"/>
      <c r="L620" s="14"/>
      <c r="M620" s="14"/>
      <c r="N620" s="14"/>
      <c r="O620" s="14"/>
      <c r="P620" s="14"/>
      <c r="Q620" s="14"/>
    </row>
    <row r="621" spans="9:17" ht="14.25" customHeight="1">
      <c r="I621" s="14"/>
      <c r="J621" s="14"/>
      <c r="K621" s="14"/>
      <c r="L621" s="14"/>
      <c r="M621" s="14"/>
      <c r="N621" s="14"/>
      <c r="O621" s="14"/>
      <c r="P621" s="14"/>
      <c r="Q621" s="14"/>
    </row>
    <row r="622" spans="9:17" ht="14.25" customHeight="1">
      <c r="I622" s="14"/>
      <c r="J622" s="14"/>
      <c r="K622" s="14"/>
      <c r="L622" s="14"/>
      <c r="M622" s="14"/>
      <c r="N622" s="14"/>
      <c r="O622" s="14"/>
      <c r="P622" s="14"/>
      <c r="Q622" s="14"/>
    </row>
    <row r="623" spans="9:17" ht="14.25" customHeight="1">
      <c r="I623" s="14"/>
      <c r="J623" s="14"/>
      <c r="K623" s="14"/>
      <c r="L623" s="14"/>
      <c r="M623" s="14"/>
      <c r="N623" s="14"/>
      <c r="O623" s="14"/>
      <c r="P623" s="14"/>
      <c r="Q623" s="14"/>
    </row>
    <row r="624" spans="9:17" ht="14.25" customHeight="1">
      <c r="I624" s="14"/>
      <c r="J624" s="14"/>
      <c r="K624" s="14"/>
      <c r="L624" s="14"/>
      <c r="M624" s="14"/>
      <c r="N624" s="14"/>
      <c r="O624" s="14"/>
      <c r="P624" s="14"/>
      <c r="Q624" s="14"/>
    </row>
    <row r="625" spans="9:17" ht="14.25" customHeight="1">
      <c r="I625" s="14"/>
      <c r="J625" s="14"/>
      <c r="K625" s="14"/>
      <c r="L625" s="14"/>
      <c r="M625" s="14"/>
      <c r="N625" s="14"/>
      <c r="O625" s="14"/>
      <c r="P625" s="14"/>
      <c r="Q625" s="14"/>
    </row>
    <row r="626" spans="9:17" ht="14.25" customHeight="1">
      <c r="I626" s="14"/>
      <c r="J626" s="14"/>
      <c r="K626" s="14"/>
      <c r="L626" s="14"/>
      <c r="M626" s="14"/>
      <c r="N626" s="14"/>
      <c r="O626" s="14"/>
      <c r="P626" s="14"/>
      <c r="Q626" s="14"/>
    </row>
    <row r="627" spans="9:17" ht="14.25" customHeight="1">
      <c r="I627" s="14"/>
      <c r="J627" s="14"/>
      <c r="K627" s="14"/>
      <c r="L627" s="14"/>
      <c r="M627" s="14"/>
      <c r="N627" s="14"/>
      <c r="O627" s="14"/>
      <c r="P627" s="14"/>
      <c r="Q627" s="14"/>
    </row>
    <row r="628" spans="9:17" ht="14.25" customHeight="1">
      <c r="I628" s="14"/>
      <c r="J628" s="14"/>
      <c r="K628" s="14"/>
      <c r="L628" s="14"/>
      <c r="M628" s="14"/>
      <c r="N628" s="14"/>
      <c r="O628" s="14"/>
      <c r="P628" s="14"/>
      <c r="Q628" s="14"/>
    </row>
    <row r="629" spans="9:17" ht="14.25" customHeight="1">
      <c r="I629" s="14"/>
      <c r="J629" s="14"/>
      <c r="K629" s="14"/>
      <c r="L629" s="14"/>
      <c r="M629" s="14"/>
      <c r="N629" s="14"/>
      <c r="O629" s="14"/>
      <c r="P629" s="14"/>
      <c r="Q629" s="14"/>
    </row>
    <row r="630" spans="9:17" ht="14.25" customHeight="1">
      <c r="I630" s="14"/>
      <c r="J630" s="14"/>
      <c r="K630" s="14"/>
      <c r="L630" s="14"/>
      <c r="M630" s="14"/>
      <c r="N630" s="14"/>
      <c r="O630" s="14"/>
      <c r="P630" s="14"/>
      <c r="Q630" s="14"/>
    </row>
    <row r="631" spans="9:17" ht="14.25" customHeight="1">
      <c r="I631" s="14"/>
      <c r="J631" s="14"/>
      <c r="K631" s="14"/>
      <c r="L631" s="14"/>
      <c r="M631" s="14"/>
      <c r="N631" s="14"/>
      <c r="O631" s="14"/>
      <c r="P631" s="14"/>
      <c r="Q631" s="14"/>
    </row>
    <row r="632" spans="9:17" ht="14.25" customHeight="1">
      <c r="I632" s="14"/>
      <c r="J632" s="14"/>
      <c r="K632" s="14"/>
      <c r="L632" s="14"/>
      <c r="M632" s="14"/>
      <c r="N632" s="14"/>
      <c r="O632" s="14"/>
      <c r="P632" s="14"/>
      <c r="Q632" s="14"/>
    </row>
    <row r="633" spans="9:17" ht="14.25" customHeight="1">
      <c r="I633" s="14"/>
      <c r="J633" s="14"/>
      <c r="K633" s="14"/>
      <c r="L633" s="14"/>
      <c r="M633" s="14"/>
      <c r="N633" s="14"/>
      <c r="O633" s="14"/>
      <c r="P633" s="14"/>
      <c r="Q633" s="14"/>
    </row>
    <row r="634" spans="9:17" ht="14.25" customHeight="1">
      <c r="I634" s="14"/>
      <c r="J634" s="14"/>
      <c r="K634" s="14"/>
      <c r="L634" s="14"/>
      <c r="M634" s="14"/>
      <c r="N634" s="14"/>
      <c r="O634" s="14"/>
      <c r="P634" s="14"/>
      <c r="Q634" s="14"/>
    </row>
    <row r="635" spans="9:17" ht="14.25" customHeight="1">
      <c r="I635" s="14"/>
      <c r="J635" s="14"/>
      <c r="K635" s="14"/>
      <c r="L635" s="14"/>
      <c r="M635" s="14"/>
      <c r="N635" s="14"/>
      <c r="O635" s="14"/>
      <c r="P635" s="14"/>
      <c r="Q635" s="14"/>
    </row>
    <row r="636" spans="9:17" ht="14.25" customHeight="1">
      <c r="I636" s="14"/>
      <c r="J636" s="14"/>
      <c r="K636" s="14"/>
      <c r="L636" s="14"/>
      <c r="M636" s="14"/>
      <c r="N636" s="14"/>
      <c r="O636" s="14"/>
      <c r="P636" s="14"/>
      <c r="Q636" s="14"/>
    </row>
    <row r="637" spans="9:17" ht="14.25" customHeight="1">
      <c r="I637" s="14"/>
      <c r="J637" s="14"/>
      <c r="K637" s="14"/>
      <c r="L637" s="14"/>
      <c r="M637" s="14"/>
      <c r="N637" s="14"/>
      <c r="O637" s="14"/>
      <c r="P637" s="14"/>
      <c r="Q637" s="14"/>
    </row>
    <row r="638" spans="9:17" ht="14.25" customHeight="1">
      <c r="I638" s="14"/>
      <c r="J638" s="14"/>
      <c r="K638" s="14"/>
      <c r="L638" s="14"/>
      <c r="M638" s="14"/>
      <c r="N638" s="14"/>
      <c r="O638" s="14"/>
      <c r="P638" s="14"/>
      <c r="Q638" s="14"/>
    </row>
    <row r="639" spans="9:17" ht="14.25" customHeight="1">
      <c r="I639" s="14"/>
      <c r="J639" s="14"/>
      <c r="K639" s="14"/>
      <c r="L639" s="14"/>
      <c r="M639" s="14"/>
      <c r="N639" s="14"/>
      <c r="O639" s="14"/>
      <c r="P639" s="14"/>
      <c r="Q639" s="14"/>
    </row>
    <row r="640" spans="9:17" ht="14.25" customHeight="1">
      <c r="I640" s="14"/>
      <c r="J640" s="14"/>
      <c r="K640" s="14"/>
      <c r="L640" s="14"/>
      <c r="M640" s="14"/>
      <c r="N640" s="14"/>
      <c r="O640" s="14"/>
      <c r="P640" s="14"/>
      <c r="Q640" s="14"/>
    </row>
    <row r="641" spans="9:17" ht="14.25" customHeight="1">
      <c r="I641" s="14"/>
      <c r="J641" s="14"/>
      <c r="K641" s="14"/>
      <c r="L641" s="14"/>
      <c r="M641" s="14"/>
      <c r="N641" s="14"/>
      <c r="O641" s="14"/>
      <c r="P641" s="14"/>
      <c r="Q641" s="14"/>
    </row>
    <row r="642" spans="9:17" ht="14.25" customHeight="1">
      <c r="I642" s="14"/>
      <c r="J642" s="14"/>
      <c r="K642" s="14"/>
      <c r="L642" s="14"/>
      <c r="M642" s="14"/>
      <c r="N642" s="14"/>
      <c r="O642" s="14"/>
      <c r="P642" s="14"/>
      <c r="Q642" s="14"/>
    </row>
    <row r="643" spans="9:17" ht="14.25" customHeight="1">
      <c r="I643" s="14"/>
      <c r="J643" s="14"/>
      <c r="K643" s="14"/>
      <c r="L643" s="14"/>
      <c r="M643" s="14"/>
      <c r="N643" s="14"/>
      <c r="O643" s="14"/>
      <c r="P643" s="14"/>
      <c r="Q643" s="14"/>
    </row>
    <row r="644" spans="9:17" ht="14.25" customHeight="1">
      <c r="I644" s="14"/>
      <c r="J644" s="14"/>
      <c r="K644" s="14"/>
      <c r="L644" s="14"/>
      <c r="M644" s="14"/>
      <c r="N644" s="14"/>
      <c r="O644" s="14"/>
      <c r="P644" s="14"/>
      <c r="Q644" s="14"/>
    </row>
    <row r="645" spans="9:17" ht="14.25" customHeight="1">
      <c r="I645" s="14"/>
      <c r="J645" s="14"/>
      <c r="K645" s="14"/>
      <c r="L645" s="14"/>
      <c r="M645" s="14"/>
      <c r="N645" s="14"/>
      <c r="O645" s="14"/>
      <c r="P645" s="14"/>
      <c r="Q645" s="14"/>
    </row>
    <row r="646" spans="9:17" ht="14.25" customHeight="1">
      <c r="I646" s="14"/>
      <c r="J646" s="14"/>
      <c r="K646" s="14"/>
      <c r="L646" s="14"/>
      <c r="M646" s="14"/>
      <c r="N646" s="14"/>
      <c r="O646" s="14"/>
      <c r="P646" s="14"/>
      <c r="Q646" s="14"/>
    </row>
    <row r="647" spans="9:17" ht="14.25" customHeight="1">
      <c r="I647" s="14"/>
      <c r="J647" s="14"/>
      <c r="K647" s="14"/>
      <c r="L647" s="14"/>
      <c r="M647" s="14"/>
      <c r="N647" s="14"/>
      <c r="O647" s="14"/>
      <c r="P647" s="14"/>
      <c r="Q647" s="14"/>
    </row>
    <row r="648" spans="9:17" ht="14.25" customHeight="1">
      <c r="I648" s="14"/>
      <c r="J648" s="14"/>
      <c r="K648" s="14"/>
      <c r="L648" s="14"/>
      <c r="M648" s="14"/>
      <c r="N648" s="14"/>
      <c r="O648" s="14"/>
      <c r="P648" s="14"/>
      <c r="Q648" s="14"/>
    </row>
    <row r="649" spans="9:17" ht="14.25" customHeight="1">
      <c r="I649" s="14"/>
      <c r="J649" s="14"/>
      <c r="K649" s="14"/>
      <c r="L649" s="14"/>
      <c r="M649" s="14"/>
      <c r="N649" s="14"/>
      <c r="O649" s="14"/>
      <c r="P649" s="14"/>
      <c r="Q649" s="14"/>
    </row>
    <row r="650" spans="9:17" ht="14.25" customHeight="1">
      <c r="I650" s="14"/>
      <c r="J650" s="14"/>
      <c r="K650" s="14"/>
      <c r="L650" s="14"/>
      <c r="M650" s="14"/>
      <c r="N650" s="14"/>
      <c r="O650" s="14"/>
      <c r="P650" s="14"/>
      <c r="Q650" s="14"/>
    </row>
    <row r="651" spans="9:17" ht="14.25" customHeight="1">
      <c r="I651" s="14"/>
      <c r="J651" s="14"/>
      <c r="K651" s="14"/>
      <c r="L651" s="14"/>
      <c r="M651" s="14"/>
      <c r="N651" s="14"/>
      <c r="O651" s="14"/>
      <c r="P651" s="14"/>
      <c r="Q651" s="14"/>
    </row>
    <row r="652" spans="9:17" ht="14.25" customHeight="1">
      <c r="I652" s="14"/>
      <c r="J652" s="14"/>
      <c r="K652" s="14"/>
      <c r="L652" s="14"/>
      <c r="M652" s="14"/>
      <c r="N652" s="14"/>
      <c r="O652" s="14"/>
      <c r="P652" s="14"/>
      <c r="Q652" s="14"/>
    </row>
    <row r="653" spans="9:17" ht="14.25" customHeight="1">
      <c r="I653" s="14"/>
      <c r="J653" s="14"/>
      <c r="K653" s="14"/>
      <c r="L653" s="14"/>
      <c r="M653" s="14"/>
      <c r="N653" s="14"/>
      <c r="O653" s="14"/>
      <c r="P653" s="14"/>
      <c r="Q653" s="14"/>
    </row>
    <row r="654" spans="9:17" ht="14.25" customHeight="1">
      <c r="I654" s="14"/>
      <c r="J654" s="14"/>
      <c r="K654" s="14"/>
      <c r="L654" s="14"/>
      <c r="M654" s="14"/>
      <c r="N654" s="14"/>
      <c r="O654" s="14"/>
      <c r="P654" s="14"/>
      <c r="Q654" s="14"/>
    </row>
    <row r="655" spans="9:17" ht="14.25" customHeight="1">
      <c r="I655" s="14"/>
      <c r="J655" s="14"/>
      <c r="K655" s="14"/>
      <c r="L655" s="14"/>
      <c r="M655" s="14"/>
      <c r="N655" s="14"/>
      <c r="O655" s="14"/>
      <c r="P655" s="14"/>
      <c r="Q655" s="14"/>
    </row>
    <row r="656" spans="9:17" ht="14.25" customHeight="1">
      <c r="I656" s="14"/>
      <c r="J656" s="14"/>
      <c r="K656" s="14"/>
      <c r="L656" s="14"/>
      <c r="M656" s="14"/>
      <c r="N656" s="14"/>
      <c r="O656" s="14"/>
      <c r="P656" s="14"/>
      <c r="Q656" s="14"/>
    </row>
    <row r="657" spans="9:17" ht="14.25" customHeight="1">
      <c r="I657" s="14"/>
      <c r="J657" s="14"/>
      <c r="K657" s="14"/>
      <c r="L657" s="14"/>
      <c r="M657" s="14"/>
      <c r="N657" s="14"/>
      <c r="O657" s="14"/>
      <c r="P657" s="14"/>
      <c r="Q657" s="14"/>
    </row>
    <row r="658" spans="9:17" ht="14.25" customHeight="1">
      <c r="I658" s="14"/>
      <c r="J658" s="14"/>
      <c r="K658" s="14"/>
      <c r="L658" s="14"/>
      <c r="M658" s="14"/>
      <c r="N658" s="14"/>
      <c r="O658" s="14"/>
      <c r="P658" s="14"/>
      <c r="Q658" s="14"/>
    </row>
    <row r="659" spans="9:17" ht="14.25" customHeight="1">
      <c r="I659" s="14"/>
      <c r="J659" s="14"/>
      <c r="K659" s="14"/>
      <c r="L659" s="14"/>
      <c r="M659" s="14"/>
      <c r="N659" s="14"/>
      <c r="O659" s="14"/>
      <c r="P659" s="14"/>
      <c r="Q659" s="14"/>
    </row>
    <row r="660" spans="9:17" ht="14.25" customHeight="1">
      <c r="I660" s="14"/>
      <c r="J660" s="14"/>
      <c r="K660" s="14"/>
      <c r="L660" s="14"/>
      <c r="M660" s="14"/>
      <c r="N660" s="14"/>
      <c r="O660" s="14"/>
      <c r="P660" s="14"/>
      <c r="Q660" s="14"/>
    </row>
    <row r="661" spans="9:17" ht="14.25" customHeight="1">
      <c r="I661" s="14"/>
      <c r="J661" s="14"/>
      <c r="K661" s="14"/>
      <c r="L661" s="14"/>
      <c r="M661" s="14"/>
      <c r="N661" s="14"/>
      <c r="O661" s="14"/>
      <c r="P661" s="14"/>
      <c r="Q661" s="14"/>
    </row>
    <row r="662" spans="9:17" ht="14.25" customHeight="1">
      <c r="I662" s="14"/>
      <c r="J662" s="14"/>
      <c r="K662" s="14"/>
      <c r="L662" s="14"/>
      <c r="M662" s="14"/>
      <c r="N662" s="14"/>
      <c r="O662" s="14"/>
      <c r="P662" s="14"/>
      <c r="Q662" s="14"/>
    </row>
    <row r="663" spans="9:17" ht="14.25" customHeight="1">
      <c r="I663" s="14"/>
      <c r="J663" s="14"/>
      <c r="K663" s="14"/>
      <c r="L663" s="14"/>
      <c r="M663" s="14"/>
      <c r="N663" s="14"/>
      <c r="O663" s="14"/>
      <c r="P663" s="14"/>
      <c r="Q663" s="14"/>
    </row>
    <row r="664" spans="9:17" ht="14.25" customHeight="1">
      <c r="I664" s="14"/>
      <c r="J664" s="14"/>
      <c r="K664" s="14"/>
      <c r="L664" s="14"/>
      <c r="M664" s="14"/>
      <c r="N664" s="14"/>
      <c r="O664" s="14"/>
      <c r="P664" s="14"/>
      <c r="Q664" s="14"/>
    </row>
    <row r="665" spans="9:17" ht="14.25" customHeight="1">
      <c r="I665" s="14"/>
      <c r="J665" s="14"/>
      <c r="K665" s="14"/>
      <c r="L665" s="14"/>
      <c r="M665" s="14"/>
      <c r="N665" s="14"/>
      <c r="O665" s="14"/>
      <c r="P665" s="14"/>
      <c r="Q665" s="14"/>
    </row>
    <row r="666" spans="9:17" ht="14.25" customHeight="1">
      <c r="I666" s="14"/>
      <c r="J666" s="14"/>
      <c r="K666" s="14"/>
      <c r="L666" s="14"/>
      <c r="M666" s="14"/>
      <c r="N666" s="14"/>
      <c r="O666" s="14"/>
      <c r="P666" s="14"/>
      <c r="Q666" s="14"/>
    </row>
    <row r="667" spans="9:17" ht="14.25" customHeight="1">
      <c r="I667" s="14"/>
      <c r="J667" s="14"/>
      <c r="K667" s="14"/>
      <c r="L667" s="14"/>
      <c r="M667" s="14"/>
      <c r="N667" s="14"/>
      <c r="O667" s="14"/>
      <c r="P667" s="14"/>
      <c r="Q667" s="14"/>
    </row>
    <row r="668" spans="9:17" ht="14.25" customHeight="1">
      <c r="I668" s="14"/>
      <c r="J668" s="14"/>
      <c r="K668" s="14"/>
      <c r="L668" s="14"/>
      <c r="M668" s="14"/>
      <c r="N668" s="14"/>
      <c r="O668" s="14"/>
      <c r="P668" s="14"/>
      <c r="Q668" s="14"/>
    </row>
    <row r="669" spans="9:17" ht="14.25" customHeight="1">
      <c r="I669" s="14"/>
      <c r="J669" s="14"/>
      <c r="K669" s="14"/>
      <c r="L669" s="14"/>
      <c r="M669" s="14"/>
      <c r="N669" s="14"/>
      <c r="O669" s="14"/>
      <c r="P669" s="14"/>
      <c r="Q669" s="14"/>
    </row>
    <row r="670" spans="9:17" ht="14.25" customHeight="1">
      <c r="I670" s="14"/>
      <c r="J670" s="14"/>
      <c r="K670" s="14"/>
      <c r="L670" s="14"/>
      <c r="M670" s="14"/>
      <c r="N670" s="14"/>
      <c r="O670" s="14"/>
      <c r="P670" s="14"/>
      <c r="Q670" s="14"/>
    </row>
    <row r="671" spans="9:17" ht="14.25" customHeight="1">
      <c r="I671" s="14"/>
      <c r="J671" s="14"/>
      <c r="K671" s="14"/>
      <c r="L671" s="14"/>
      <c r="M671" s="14"/>
      <c r="N671" s="14"/>
      <c r="O671" s="14"/>
      <c r="P671" s="14"/>
      <c r="Q671" s="14"/>
    </row>
    <row r="672" spans="9:17" ht="14.25" customHeight="1">
      <c r="I672" s="14"/>
      <c r="J672" s="14"/>
      <c r="K672" s="14"/>
      <c r="L672" s="14"/>
      <c r="M672" s="14"/>
      <c r="N672" s="14"/>
      <c r="O672" s="14"/>
      <c r="P672" s="14"/>
      <c r="Q672" s="14"/>
    </row>
    <row r="673" spans="9:17" ht="14.25" customHeight="1">
      <c r="I673" s="14"/>
      <c r="J673" s="14"/>
      <c r="K673" s="14"/>
      <c r="L673" s="14"/>
      <c r="M673" s="14"/>
      <c r="N673" s="14"/>
      <c r="O673" s="14"/>
      <c r="P673" s="14"/>
      <c r="Q673" s="14"/>
    </row>
    <row r="674" spans="9:17" ht="14.25" customHeight="1">
      <c r="I674" s="14"/>
      <c r="J674" s="14"/>
      <c r="K674" s="14"/>
      <c r="L674" s="14"/>
      <c r="M674" s="14"/>
      <c r="N674" s="14"/>
      <c r="O674" s="14"/>
      <c r="P674" s="14"/>
      <c r="Q674" s="14"/>
    </row>
    <row r="675" spans="9:17" ht="14.25" customHeight="1">
      <c r="I675" s="14"/>
      <c r="J675" s="14"/>
      <c r="K675" s="14"/>
      <c r="L675" s="14"/>
      <c r="M675" s="14"/>
      <c r="N675" s="14"/>
      <c r="O675" s="14"/>
      <c r="P675" s="14"/>
      <c r="Q675" s="14"/>
    </row>
    <row r="676" spans="9:17" ht="14.25" customHeight="1">
      <c r="I676" s="14"/>
      <c r="J676" s="14"/>
      <c r="K676" s="14"/>
      <c r="L676" s="14"/>
      <c r="M676" s="14"/>
      <c r="N676" s="14"/>
      <c r="O676" s="14"/>
      <c r="P676" s="14"/>
      <c r="Q676" s="14"/>
    </row>
    <row r="677" spans="9:17" ht="14.25" customHeight="1">
      <c r="I677" s="14"/>
      <c r="J677" s="14"/>
      <c r="K677" s="14"/>
      <c r="L677" s="14"/>
      <c r="M677" s="14"/>
      <c r="N677" s="14"/>
      <c r="O677" s="14"/>
      <c r="P677" s="14"/>
      <c r="Q677" s="14"/>
    </row>
    <row r="678" spans="9:17" ht="14.25" customHeight="1">
      <c r="I678" s="14"/>
      <c r="J678" s="14"/>
      <c r="K678" s="14"/>
      <c r="L678" s="14"/>
      <c r="M678" s="14"/>
      <c r="N678" s="14"/>
      <c r="O678" s="14"/>
      <c r="P678" s="14"/>
      <c r="Q678" s="14"/>
    </row>
    <row r="679" spans="9:17" ht="14.25" customHeight="1">
      <c r="I679" s="14"/>
      <c r="J679" s="14"/>
      <c r="K679" s="14"/>
      <c r="L679" s="14"/>
      <c r="M679" s="14"/>
      <c r="N679" s="14"/>
      <c r="O679" s="14"/>
      <c r="P679" s="14"/>
      <c r="Q679" s="14"/>
    </row>
    <row r="680" spans="9:17" ht="14.25" customHeight="1">
      <c r="I680" s="14"/>
      <c r="J680" s="14"/>
      <c r="K680" s="14"/>
      <c r="L680" s="14"/>
      <c r="M680" s="14"/>
      <c r="N680" s="14"/>
      <c r="O680" s="14"/>
      <c r="P680" s="14"/>
      <c r="Q680" s="14"/>
    </row>
    <row r="681" spans="9:17" ht="14.25" customHeight="1">
      <c r="I681" s="14"/>
      <c r="J681" s="14"/>
      <c r="K681" s="14"/>
      <c r="L681" s="14"/>
      <c r="M681" s="14"/>
      <c r="N681" s="14"/>
      <c r="O681" s="14"/>
      <c r="P681" s="14"/>
      <c r="Q681" s="14"/>
    </row>
    <row r="682" spans="9:17" ht="14.25" customHeight="1">
      <c r="I682" s="14"/>
      <c r="J682" s="14"/>
      <c r="K682" s="14"/>
      <c r="L682" s="14"/>
      <c r="M682" s="14"/>
      <c r="N682" s="14"/>
      <c r="O682" s="14"/>
      <c r="P682" s="14"/>
      <c r="Q682" s="14"/>
    </row>
    <row r="683" spans="9:17" ht="14.25" customHeight="1">
      <c r="I683" s="14"/>
      <c r="J683" s="14"/>
      <c r="K683" s="14"/>
      <c r="L683" s="14"/>
      <c r="M683" s="14"/>
      <c r="N683" s="14"/>
      <c r="O683" s="14"/>
      <c r="P683" s="14"/>
      <c r="Q683" s="14"/>
    </row>
    <row r="684" spans="9:17" ht="14.25" customHeight="1">
      <c r="I684" s="14"/>
      <c r="J684" s="14"/>
      <c r="K684" s="14"/>
      <c r="L684" s="14"/>
      <c r="M684" s="14"/>
      <c r="N684" s="14"/>
      <c r="O684" s="14"/>
      <c r="P684" s="14"/>
      <c r="Q684" s="14"/>
    </row>
    <row r="685" spans="9:17" ht="14.25" customHeight="1">
      <c r="I685" s="14"/>
      <c r="J685" s="14"/>
      <c r="K685" s="14"/>
      <c r="L685" s="14"/>
      <c r="M685" s="14"/>
      <c r="N685" s="14"/>
      <c r="O685" s="14"/>
      <c r="P685" s="14"/>
      <c r="Q685" s="14"/>
    </row>
    <row r="686" spans="9:17" ht="14.25" customHeight="1">
      <c r="I686" s="14"/>
      <c r="J686" s="14"/>
      <c r="K686" s="14"/>
      <c r="L686" s="14"/>
      <c r="M686" s="14"/>
      <c r="N686" s="14"/>
      <c r="O686" s="14"/>
      <c r="P686" s="14"/>
      <c r="Q686" s="14"/>
    </row>
    <row r="687" spans="9:17" ht="14.25" customHeight="1">
      <c r="I687" s="14"/>
      <c r="J687" s="14"/>
      <c r="K687" s="14"/>
      <c r="L687" s="14"/>
      <c r="M687" s="14"/>
      <c r="N687" s="14"/>
      <c r="O687" s="14"/>
      <c r="P687" s="14"/>
      <c r="Q687" s="14"/>
    </row>
    <row r="688" spans="9:17" ht="14.25" customHeight="1">
      <c r="I688" s="14"/>
      <c r="J688" s="14"/>
      <c r="K688" s="14"/>
      <c r="L688" s="14"/>
      <c r="M688" s="14"/>
      <c r="N688" s="14"/>
      <c r="O688" s="14"/>
      <c r="P688" s="14"/>
      <c r="Q688" s="14"/>
    </row>
    <row r="689" spans="9:17" ht="14.25" customHeight="1">
      <c r="I689" s="14"/>
      <c r="J689" s="14"/>
      <c r="K689" s="14"/>
      <c r="L689" s="14"/>
      <c r="M689" s="14"/>
      <c r="N689" s="14"/>
      <c r="O689" s="14"/>
      <c r="P689" s="14"/>
      <c r="Q689" s="14"/>
    </row>
    <row r="690" spans="9:17" ht="14.25" customHeight="1">
      <c r="I690" s="14"/>
      <c r="J690" s="14"/>
      <c r="K690" s="14"/>
      <c r="L690" s="14"/>
      <c r="M690" s="14"/>
      <c r="N690" s="14"/>
      <c r="O690" s="14"/>
      <c r="P690" s="14"/>
      <c r="Q690" s="14"/>
    </row>
    <row r="691" spans="9:17" ht="14.25" customHeight="1">
      <c r="I691" s="14"/>
      <c r="J691" s="14"/>
      <c r="K691" s="14"/>
      <c r="L691" s="14"/>
      <c r="M691" s="14"/>
      <c r="N691" s="14"/>
      <c r="O691" s="14"/>
      <c r="P691" s="14"/>
      <c r="Q691" s="14"/>
    </row>
    <row r="692" spans="9:17" ht="14.25" customHeight="1">
      <c r="I692" s="14"/>
      <c r="J692" s="14"/>
      <c r="K692" s="14"/>
      <c r="L692" s="14"/>
      <c r="M692" s="14"/>
      <c r="N692" s="14"/>
      <c r="O692" s="14"/>
      <c r="P692" s="14"/>
      <c r="Q692" s="14"/>
    </row>
    <row r="693" spans="9:17" ht="14.25" customHeight="1">
      <c r="I693" s="14"/>
      <c r="J693" s="14"/>
      <c r="K693" s="14"/>
      <c r="L693" s="14"/>
      <c r="M693" s="14"/>
      <c r="N693" s="14"/>
      <c r="O693" s="14"/>
      <c r="P693" s="14"/>
      <c r="Q693" s="14"/>
    </row>
    <row r="694" spans="9:17" ht="14.25" customHeight="1">
      <c r="I694" s="14"/>
      <c r="J694" s="14"/>
      <c r="K694" s="14"/>
      <c r="L694" s="14"/>
      <c r="M694" s="14"/>
      <c r="N694" s="14"/>
      <c r="O694" s="14"/>
      <c r="P694" s="14"/>
      <c r="Q694" s="14"/>
    </row>
    <row r="695" spans="9:17" ht="14.25" customHeight="1">
      <c r="I695" s="14"/>
      <c r="J695" s="14"/>
      <c r="K695" s="14"/>
      <c r="L695" s="14"/>
      <c r="M695" s="14"/>
      <c r="N695" s="14"/>
      <c r="O695" s="14"/>
      <c r="P695" s="14"/>
      <c r="Q695" s="14"/>
    </row>
    <row r="696" spans="9:17" ht="14.25" customHeight="1">
      <c r="I696" s="14"/>
      <c r="J696" s="14"/>
      <c r="K696" s="14"/>
      <c r="L696" s="14"/>
      <c r="M696" s="14"/>
      <c r="N696" s="14"/>
      <c r="O696" s="14"/>
      <c r="P696" s="14"/>
      <c r="Q696" s="14"/>
    </row>
    <row r="697" spans="9:17" ht="14.25" customHeight="1">
      <c r="I697" s="14"/>
      <c r="J697" s="14"/>
      <c r="K697" s="14"/>
      <c r="L697" s="14"/>
      <c r="M697" s="14"/>
      <c r="N697" s="14"/>
      <c r="O697" s="14"/>
      <c r="P697" s="14"/>
      <c r="Q697" s="14"/>
    </row>
    <row r="698" spans="9:17" ht="14.25" customHeight="1">
      <c r="I698" s="14"/>
      <c r="J698" s="14"/>
      <c r="K698" s="14"/>
      <c r="L698" s="14"/>
      <c r="M698" s="14"/>
      <c r="N698" s="14"/>
      <c r="O698" s="14"/>
      <c r="P698" s="14"/>
      <c r="Q698" s="14"/>
    </row>
    <row r="699" spans="9:17" ht="14.25" customHeight="1">
      <c r="I699" s="14"/>
      <c r="J699" s="14"/>
      <c r="K699" s="14"/>
      <c r="L699" s="14"/>
      <c r="M699" s="14"/>
      <c r="N699" s="14"/>
      <c r="O699" s="14"/>
      <c r="P699" s="14"/>
      <c r="Q699" s="14"/>
    </row>
    <row r="700" spans="9:17" ht="14.25" customHeight="1">
      <c r="I700" s="14"/>
      <c r="J700" s="14"/>
      <c r="K700" s="14"/>
      <c r="L700" s="14"/>
      <c r="M700" s="14"/>
      <c r="N700" s="14"/>
      <c r="O700" s="14"/>
      <c r="P700" s="14"/>
      <c r="Q700" s="14"/>
    </row>
    <row r="701" spans="9:17" ht="14.25" customHeight="1">
      <c r="I701" s="14"/>
      <c r="J701" s="14"/>
      <c r="K701" s="14"/>
      <c r="L701" s="14"/>
      <c r="M701" s="14"/>
      <c r="N701" s="14"/>
      <c r="O701" s="14"/>
      <c r="P701" s="14"/>
      <c r="Q701" s="14"/>
    </row>
    <row r="702" spans="9:17" ht="14.25" customHeight="1">
      <c r="I702" s="14"/>
      <c r="J702" s="14"/>
      <c r="K702" s="14"/>
      <c r="L702" s="14"/>
      <c r="M702" s="14"/>
      <c r="N702" s="14"/>
      <c r="O702" s="14"/>
      <c r="P702" s="14"/>
      <c r="Q702" s="14"/>
    </row>
    <row r="703" spans="9:17" ht="14.25" customHeight="1">
      <c r="I703" s="14"/>
      <c r="J703" s="14"/>
      <c r="K703" s="14"/>
      <c r="L703" s="14"/>
      <c r="M703" s="14"/>
      <c r="N703" s="14"/>
      <c r="O703" s="14"/>
      <c r="P703" s="14"/>
      <c r="Q703" s="14"/>
    </row>
    <row r="704" spans="9:17" ht="14.25" customHeight="1">
      <c r="I704" s="14"/>
      <c r="J704" s="14"/>
      <c r="K704" s="14"/>
      <c r="L704" s="14"/>
      <c r="M704" s="14"/>
      <c r="N704" s="14"/>
      <c r="O704" s="14"/>
      <c r="P704" s="14"/>
      <c r="Q704" s="14"/>
    </row>
    <row r="705" spans="9:17" ht="14.25" customHeight="1">
      <c r="I705" s="14"/>
      <c r="J705" s="14"/>
      <c r="K705" s="14"/>
      <c r="L705" s="14"/>
      <c r="M705" s="14"/>
      <c r="N705" s="14"/>
      <c r="O705" s="14"/>
      <c r="P705" s="14"/>
      <c r="Q705" s="14"/>
    </row>
    <row r="706" spans="9:17" ht="14.25" customHeight="1">
      <c r="I706" s="14"/>
      <c r="J706" s="14"/>
      <c r="K706" s="14"/>
      <c r="L706" s="14"/>
      <c r="M706" s="14"/>
      <c r="N706" s="14"/>
      <c r="O706" s="14"/>
      <c r="P706" s="14"/>
      <c r="Q706" s="14"/>
    </row>
    <row r="707" spans="9:17" ht="14.25" customHeight="1">
      <c r="I707" s="14"/>
      <c r="J707" s="14"/>
      <c r="K707" s="14"/>
      <c r="L707" s="14"/>
      <c r="M707" s="14"/>
      <c r="N707" s="14"/>
      <c r="O707" s="14"/>
      <c r="P707" s="14"/>
      <c r="Q707" s="14"/>
    </row>
    <row r="708" spans="9:17" ht="14.25" customHeight="1">
      <c r="I708" s="14"/>
      <c r="J708" s="14"/>
      <c r="K708" s="14"/>
      <c r="L708" s="14"/>
      <c r="M708" s="14"/>
      <c r="N708" s="14"/>
      <c r="O708" s="14"/>
      <c r="P708" s="14"/>
      <c r="Q708" s="14"/>
    </row>
    <row r="709" spans="9:17" ht="14.25" customHeight="1">
      <c r="I709" s="14"/>
      <c r="J709" s="14"/>
      <c r="K709" s="14"/>
      <c r="L709" s="14"/>
      <c r="M709" s="14"/>
      <c r="N709" s="14"/>
      <c r="O709" s="14"/>
      <c r="P709" s="14"/>
      <c r="Q709" s="14"/>
    </row>
    <row r="710" spans="9:17" ht="14.25" customHeight="1">
      <c r="I710" s="14"/>
      <c r="J710" s="14"/>
      <c r="K710" s="14"/>
      <c r="L710" s="14"/>
      <c r="M710" s="14"/>
      <c r="N710" s="14"/>
      <c r="O710" s="14"/>
      <c r="P710" s="14"/>
      <c r="Q710" s="14"/>
    </row>
    <row r="711" spans="9:17" ht="14.25" customHeight="1">
      <c r="I711" s="14"/>
      <c r="J711" s="14"/>
      <c r="K711" s="14"/>
      <c r="L711" s="14"/>
      <c r="M711" s="14"/>
      <c r="N711" s="14"/>
      <c r="O711" s="14"/>
      <c r="P711" s="14"/>
      <c r="Q711" s="14"/>
    </row>
    <row r="712" spans="9:17" ht="14.25" customHeight="1">
      <c r="I712" s="14"/>
      <c r="J712" s="14"/>
      <c r="K712" s="14"/>
      <c r="L712" s="14"/>
      <c r="M712" s="14"/>
      <c r="N712" s="14"/>
      <c r="O712" s="14"/>
      <c r="P712" s="14"/>
      <c r="Q712" s="14"/>
    </row>
    <row r="713" spans="9:17" ht="14.25" customHeight="1">
      <c r="I713" s="14"/>
      <c r="J713" s="14"/>
      <c r="K713" s="14"/>
      <c r="L713" s="14"/>
      <c r="M713" s="14"/>
      <c r="N713" s="14"/>
      <c r="O713" s="14"/>
      <c r="P713" s="14"/>
      <c r="Q713" s="14"/>
    </row>
    <row r="714" spans="9:17" ht="14.25" customHeight="1">
      <c r="I714" s="14"/>
      <c r="J714" s="14"/>
      <c r="K714" s="14"/>
      <c r="L714" s="14"/>
      <c r="M714" s="14"/>
      <c r="N714" s="14"/>
      <c r="O714" s="14"/>
      <c r="P714" s="14"/>
      <c r="Q714" s="14"/>
    </row>
    <row r="715" spans="9:17" ht="14.25" customHeight="1">
      <c r="I715" s="14"/>
      <c r="J715" s="14"/>
      <c r="K715" s="14"/>
      <c r="L715" s="14"/>
      <c r="M715" s="14"/>
      <c r="N715" s="14"/>
      <c r="O715" s="14"/>
      <c r="P715" s="14"/>
      <c r="Q715" s="14"/>
    </row>
    <row r="716" spans="9:17" ht="14.25" customHeight="1">
      <c r="I716" s="14"/>
      <c r="J716" s="14"/>
      <c r="K716" s="14"/>
      <c r="L716" s="14"/>
      <c r="M716" s="14"/>
      <c r="N716" s="14"/>
      <c r="O716" s="14"/>
      <c r="P716" s="14"/>
      <c r="Q716" s="14"/>
    </row>
    <row r="717" spans="9:17" ht="14.25" customHeight="1">
      <c r="I717" s="14"/>
      <c r="J717" s="14"/>
      <c r="K717" s="14"/>
      <c r="L717" s="14"/>
      <c r="M717" s="14"/>
      <c r="N717" s="14"/>
      <c r="O717" s="14"/>
      <c r="P717" s="14"/>
      <c r="Q717" s="14"/>
    </row>
    <row r="718" spans="9:17" ht="14.25" customHeight="1">
      <c r="I718" s="14"/>
      <c r="J718" s="14"/>
      <c r="K718" s="14"/>
      <c r="L718" s="14"/>
      <c r="M718" s="14"/>
      <c r="N718" s="14"/>
      <c r="O718" s="14"/>
      <c r="P718" s="14"/>
      <c r="Q718" s="14"/>
    </row>
    <row r="719" spans="9:17" ht="14.25" customHeight="1">
      <c r="I719" s="14"/>
      <c r="J719" s="14"/>
      <c r="K719" s="14"/>
      <c r="L719" s="14"/>
      <c r="M719" s="14"/>
      <c r="N719" s="14"/>
      <c r="O719" s="14"/>
      <c r="P719" s="14"/>
      <c r="Q719" s="14"/>
    </row>
    <row r="720" spans="9:17" ht="14.25" customHeight="1">
      <c r="I720" s="14"/>
      <c r="J720" s="14"/>
      <c r="K720" s="14"/>
      <c r="L720" s="14"/>
      <c r="M720" s="14"/>
      <c r="N720" s="14"/>
      <c r="O720" s="14"/>
      <c r="P720" s="14"/>
      <c r="Q720" s="14"/>
    </row>
    <row r="721" spans="9:17" ht="14.25" customHeight="1">
      <c r="I721" s="14"/>
      <c r="J721" s="14"/>
      <c r="K721" s="14"/>
      <c r="L721" s="14"/>
      <c r="M721" s="14"/>
      <c r="N721" s="14"/>
      <c r="O721" s="14"/>
      <c r="P721" s="14"/>
      <c r="Q721" s="14"/>
    </row>
    <row r="722" spans="9:17" ht="14.25" customHeight="1">
      <c r="I722" s="14"/>
      <c r="J722" s="14"/>
      <c r="K722" s="14"/>
      <c r="L722" s="14"/>
      <c r="M722" s="14"/>
      <c r="N722" s="14"/>
      <c r="O722" s="14"/>
      <c r="P722" s="14"/>
      <c r="Q722" s="14"/>
    </row>
    <row r="723" spans="9:17" ht="14.25" customHeight="1">
      <c r="I723" s="14"/>
      <c r="J723" s="14"/>
      <c r="K723" s="14"/>
      <c r="L723" s="14"/>
      <c r="M723" s="14"/>
      <c r="N723" s="14"/>
      <c r="O723" s="14"/>
      <c r="P723" s="14"/>
      <c r="Q723" s="14"/>
    </row>
    <row r="724" spans="9:17" ht="14.25" customHeight="1">
      <c r="I724" s="14"/>
      <c r="J724" s="14"/>
      <c r="K724" s="14"/>
      <c r="L724" s="14"/>
      <c r="M724" s="14"/>
      <c r="N724" s="14"/>
      <c r="O724" s="14"/>
      <c r="P724" s="14"/>
      <c r="Q724" s="14"/>
    </row>
    <row r="725" spans="9:17" ht="14.25" customHeight="1">
      <c r="I725" s="14"/>
      <c r="J725" s="14"/>
      <c r="K725" s="14"/>
      <c r="L725" s="14"/>
      <c r="M725" s="14"/>
      <c r="N725" s="14"/>
      <c r="O725" s="14"/>
      <c r="P725" s="14"/>
      <c r="Q725" s="14"/>
    </row>
    <row r="726" spans="9:17" ht="14.25" customHeight="1">
      <c r="I726" s="14"/>
      <c r="J726" s="14"/>
      <c r="K726" s="14"/>
      <c r="L726" s="14"/>
      <c r="M726" s="14"/>
      <c r="N726" s="14"/>
      <c r="O726" s="14"/>
      <c r="P726" s="14"/>
      <c r="Q726" s="14"/>
    </row>
    <row r="727" spans="9:17" ht="14.25" customHeight="1">
      <c r="I727" s="14"/>
      <c r="J727" s="14"/>
      <c r="K727" s="14"/>
      <c r="L727" s="14"/>
      <c r="M727" s="14"/>
      <c r="N727" s="14"/>
      <c r="O727" s="14"/>
      <c r="P727" s="14"/>
      <c r="Q727" s="14"/>
    </row>
    <row r="728" spans="9:17" ht="14.25" customHeight="1">
      <c r="I728" s="14"/>
      <c r="J728" s="14"/>
      <c r="K728" s="14"/>
      <c r="L728" s="14"/>
      <c r="M728" s="14"/>
      <c r="N728" s="14"/>
      <c r="O728" s="14"/>
      <c r="P728" s="14"/>
      <c r="Q728" s="14"/>
    </row>
    <row r="729" spans="9:17" ht="14.25" customHeight="1">
      <c r="I729" s="14"/>
      <c r="J729" s="14"/>
      <c r="K729" s="14"/>
      <c r="L729" s="14"/>
      <c r="M729" s="14"/>
      <c r="N729" s="14"/>
      <c r="O729" s="14"/>
      <c r="P729" s="14"/>
      <c r="Q729" s="14"/>
    </row>
    <row r="730" spans="9:17" ht="14.25" customHeight="1">
      <c r="I730" s="14"/>
      <c r="J730" s="14"/>
      <c r="K730" s="14"/>
      <c r="L730" s="14"/>
      <c r="M730" s="14"/>
      <c r="N730" s="14"/>
      <c r="O730" s="14"/>
      <c r="P730" s="14"/>
      <c r="Q730" s="14"/>
    </row>
    <row r="731" spans="9:17" ht="14.25" customHeight="1">
      <c r="I731" s="14"/>
      <c r="J731" s="14"/>
      <c r="K731" s="14"/>
      <c r="L731" s="14"/>
      <c r="M731" s="14"/>
      <c r="N731" s="14"/>
      <c r="O731" s="14"/>
      <c r="P731" s="14"/>
      <c r="Q731" s="14"/>
    </row>
    <row r="732" spans="9:17" ht="14.25" customHeight="1">
      <c r="I732" s="14"/>
      <c r="J732" s="14"/>
      <c r="K732" s="14"/>
      <c r="L732" s="14"/>
      <c r="M732" s="14"/>
      <c r="N732" s="14"/>
      <c r="O732" s="14"/>
      <c r="P732" s="14"/>
      <c r="Q732" s="14"/>
    </row>
    <row r="733" spans="9:17" ht="14.25" customHeight="1">
      <c r="I733" s="14"/>
      <c r="J733" s="14"/>
      <c r="K733" s="14"/>
      <c r="L733" s="14"/>
      <c r="M733" s="14"/>
      <c r="N733" s="14"/>
      <c r="O733" s="14"/>
      <c r="P733" s="14"/>
      <c r="Q733" s="14"/>
    </row>
    <row r="734" spans="9:17" ht="14.25" customHeight="1">
      <c r="I734" s="14"/>
      <c r="J734" s="14"/>
      <c r="K734" s="14"/>
      <c r="L734" s="14"/>
      <c r="M734" s="14"/>
      <c r="N734" s="14"/>
      <c r="O734" s="14"/>
      <c r="P734" s="14"/>
      <c r="Q734" s="14"/>
    </row>
    <row r="735" spans="9:17" ht="14.25" customHeight="1">
      <c r="I735" s="14"/>
      <c r="J735" s="14"/>
      <c r="K735" s="14"/>
      <c r="L735" s="14"/>
      <c r="M735" s="14"/>
      <c r="N735" s="14"/>
      <c r="O735" s="14"/>
      <c r="P735" s="14"/>
      <c r="Q735" s="14"/>
    </row>
    <row r="736" spans="9:17" ht="14.25" customHeight="1">
      <c r="I736" s="14"/>
      <c r="J736" s="14"/>
      <c r="K736" s="14"/>
      <c r="L736" s="14"/>
      <c r="M736" s="14"/>
      <c r="N736" s="14"/>
      <c r="O736" s="14"/>
      <c r="P736" s="14"/>
      <c r="Q736" s="14"/>
    </row>
    <row r="737" spans="9:17" ht="14.25" customHeight="1">
      <c r="I737" s="14"/>
      <c r="J737" s="14"/>
      <c r="K737" s="14"/>
      <c r="L737" s="14"/>
      <c r="M737" s="14"/>
      <c r="N737" s="14"/>
      <c r="O737" s="14"/>
      <c r="P737" s="14"/>
      <c r="Q737" s="14"/>
    </row>
    <row r="738" spans="9:17" ht="14.25" customHeight="1">
      <c r="I738" s="14"/>
      <c r="J738" s="14"/>
      <c r="K738" s="14"/>
      <c r="L738" s="14"/>
      <c r="M738" s="14"/>
      <c r="N738" s="14"/>
      <c r="O738" s="14"/>
      <c r="P738" s="14"/>
      <c r="Q738" s="14"/>
    </row>
    <row r="739" spans="9:17" ht="14.25" customHeight="1">
      <c r="I739" s="14"/>
      <c r="J739" s="14"/>
      <c r="K739" s="14"/>
      <c r="L739" s="14"/>
      <c r="M739" s="14"/>
      <c r="N739" s="14"/>
      <c r="O739" s="14"/>
      <c r="P739" s="14"/>
      <c r="Q739" s="14"/>
    </row>
    <row r="740" spans="9:17" ht="14.25" customHeight="1">
      <c r="I740" s="14"/>
      <c r="J740" s="14"/>
      <c r="K740" s="14"/>
      <c r="L740" s="14"/>
      <c r="M740" s="14"/>
      <c r="N740" s="14"/>
      <c r="O740" s="14"/>
      <c r="P740" s="14"/>
      <c r="Q740" s="14"/>
    </row>
    <row r="741" spans="9:17" ht="14.25" customHeight="1">
      <c r="I741" s="14"/>
      <c r="J741" s="14"/>
      <c r="K741" s="14"/>
      <c r="L741" s="14"/>
      <c r="M741" s="14"/>
      <c r="N741" s="14"/>
      <c r="O741" s="14"/>
      <c r="P741" s="14"/>
      <c r="Q741" s="14"/>
    </row>
    <row r="742" spans="9:17" ht="14.25" customHeight="1">
      <c r="I742" s="14"/>
      <c r="J742" s="14"/>
      <c r="K742" s="14"/>
      <c r="L742" s="14"/>
      <c r="M742" s="14"/>
      <c r="N742" s="14"/>
      <c r="O742" s="14"/>
      <c r="P742" s="14"/>
      <c r="Q742" s="14"/>
    </row>
    <row r="743" spans="9:17" ht="14.25" customHeight="1">
      <c r="I743" s="14"/>
      <c r="J743" s="14"/>
      <c r="K743" s="14"/>
      <c r="L743" s="14"/>
      <c r="M743" s="14"/>
      <c r="N743" s="14"/>
      <c r="O743" s="14"/>
      <c r="P743" s="14"/>
      <c r="Q743" s="14"/>
    </row>
    <row r="744" spans="9:17" ht="14.25" customHeight="1">
      <c r="I744" s="14"/>
      <c r="J744" s="14"/>
      <c r="K744" s="14"/>
      <c r="L744" s="14"/>
      <c r="M744" s="14"/>
      <c r="N744" s="14"/>
      <c r="O744" s="14"/>
      <c r="P744" s="14"/>
      <c r="Q744" s="14"/>
    </row>
    <row r="745" spans="9:17" ht="14.25" customHeight="1">
      <c r="I745" s="14"/>
      <c r="J745" s="14"/>
      <c r="K745" s="14"/>
      <c r="L745" s="14"/>
      <c r="M745" s="14"/>
      <c r="N745" s="14"/>
      <c r="O745" s="14"/>
      <c r="P745" s="14"/>
      <c r="Q745" s="14"/>
    </row>
    <row r="746" spans="9:17" ht="14.25" customHeight="1">
      <c r="I746" s="14"/>
      <c r="J746" s="14"/>
      <c r="K746" s="14"/>
      <c r="L746" s="14"/>
      <c r="M746" s="14"/>
      <c r="N746" s="14"/>
      <c r="O746" s="14"/>
      <c r="P746" s="14"/>
      <c r="Q746" s="14"/>
    </row>
    <row r="747" spans="9:17" ht="14.25" customHeight="1">
      <c r="I747" s="14"/>
      <c r="J747" s="14"/>
      <c r="K747" s="14"/>
      <c r="L747" s="14"/>
      <c r="M747" s="14"/>
      <c r="N747" s="14"/>
      <c r="O747" s="14"/>
      <c r="P747" s="14"/>
      <c r="Q747" s="14"/>
    </row>
    <row r="748" spans="9:17" ht="14.25" customHeight="1">
      <c r="I748" s="14"/>
      <c r="J748" s="14"/>
      <c r="K748" s="14"/>
      <c r="L748" s="14"/>
      <c r="M748" s="14"/>
      <c r="N748" s="14"/>
      <c r="O748" s="14"/>
      <c r="P748" s="14"/>
      <c r="Q748" s="14"/>
    </row>
    <row r="749" spans="9:17" ht="14.25" customHeight="1">
      <c r="I749" s="14"/>
      <c r="J749" s="14"/>
      <c r="K749" s="14"/>
      <c r="L749" s="14"/>
      <c r="M749" s="14"/>
      <c r="N749" s="14"/>
      <c r="O749" s="14"/>
      <c r="P749" s="14"/>
      <c r="Q749" s="14"/>
    </row>
    <row r="750" spans="9:17" ht="14.25" customHeight="1">
      <c r="I750" s="14"/>
      <c r="J750" s="14"/>
      <c r="K750" s="14"/>
      <c r="L750" s="14"/>
      <c r="M750" s="14"/>
      <c r="N750" s="14"/>
      <c r="O750" s="14"/>
      <c r="P750" s="14"/>
      <c r="Q750" s="14"/>
    </row>
    <row r="751" spans="9:17" ht="14.25" customHeight="1">
      <c r="I751" s="14"/>
      <c r="J751" s="14"/>
      <c r="K751" s="14"/>
      <c r="L751" s="14"/>
      <c r="M751" s="14"/>
      <c r="N751" s="14"/>
      <c r="O751" s="14"/>
      <c r="P751" s="14"/>
      <c r="Q751" s="14"/>
    </row>
    <row r="752" spans="9:17" ht="14.25" customHeight="1">
      <c r="I752" s="14"/>
      <c r="J752" s="14"/>
      <c r="K752" s="14"/>
      <c r="L752" s="14"/>
      <c r="M752" s="14"/>
      <c r="N752" s="14"/>
      <c r="O752" s="14"/>
      <c r="P752" s="14"/>
      <c r="Q752" s="14"/>
    </row>
    <row r="753" spans="9:17" ht="14.25" customHeight="1">
      <c r="I753" s="14"/>
      <c r="J753" s="14"/>
      <c r="K753" s="14"/>
      <c r="L753" s="14"/>
      <c r="M753" s="14"/>
      <c r="N753" s="14"/>
      <c r="O753" s="14"/>
      <c r="P753" s="14"/>
      <c r="Q753" s="14"/>
    </row>
    <row r="754" spans="9:17" ht="14.25" customHeight="1">
      <c r="I754" s="14"/>
      <c r="J754" s="14"/>
      <c r="K754" s="14"/>
      <c r="L754" s="14"/>
      <c r="M754" s="14"/>
      <c r="N754" s="14"/>
      <c r="O754" s="14"/>
      <c r="P754" s="14"/>
      <c r="Q754" s="14"/>
    </row>
    <row r="755" spans="9:17" ht="14.25" customHeight="1">
      <c r="I755" s="14"/>
      <c r="J755" s="14"/>
      <c r="K755" s="14"/>
      <c r="L755" s="14"/>
      <c r="M755" s="14"/>
      <c r="N755" s="14"/>
      <c r="O755" s="14"/>
      <c r="P755" s="14"/>
      <c r="Q755" s="14"/>
    </row>
    <row r="756" spans="9:17" ht="14.25" customHeight="1">
      <c r="I756" s="14"/>
      <c r="J756" s="14"/>
      <c r="K756" s="14"/>
      <c r="L756" s="14"/>
      <c r="M756" s="14"/>
      <c r="N756" s="14"/>
      <c r="O756" s="14"/>
      <c r="P756" s="14"/>
      <c r="Q756" s="14"/>
    </row>
    <row r="757" spans="9:17" ht="14.25" customHeight="1">
      <c r="I757" s="14"/>
      <c r="J757" s="14"/>
      <c r="K757" s="14"/>
      <c r="L757" s="14"/>
      <c r="M757" s="14"/>
      <c r="N757" s="14"/>
      <c r="O757" s="14"/>
      <c r="P757" s="14"/>
      <c r="Q757" s="14"/>
    </row>
    <row r="758" spans="9:17" ht="14.25" customHeight="1">
      <c r="I758" s="14"/>
      <c r="J758" s="14"/>
      <c r="K758" s="14"/>
      <c r="L758" s="14"/>
      <c r="M758" s="14"/>
      <c r="N758" s="14"/>
      <c r="O758" s="14"/>
      <c r="P758" s="14"/>
      <c r="Q758" s="14"/>
    </row>
    <row r="759" spans="9:17" ht="14.25" customHeight="1">
      <c r="I759" s="14"/>
      <c r="J759" s="14"/>
      <c r="K759" s="14"/>
      <c r="L759" s="14"/>
      <c r="M759" s="14"/>
      <c r="N759" s="14"/>
      <c r="O759" s="14"/>
      <c r="P759" s="14"/>
      <c r="Q759" s="14"/>
    </row>
    <row r="760" spans="9:17" ht="14.25" customHeight="1">
      <c r="I760" s="14"/>
      <c r="J760" s="14"/>
      <c r="K760" s="14"/>
      <c r="L760" s="14"/>
      <c r="M760" s="14"/>
      <c r="N760" s="14"/>
      <c r="O760" s="14"/>
      <c r="P760" s="14"/>
      <c r="Q760" s="14"/>
    </row>
    <row r="761" spans="9:17" ht="14.25" customHeight="1">
      <c r="I761" s="14"/>
      <c r="J761" s="14"/>
      <c r="K761" s="14"/>
      <c r="L761" s="14"/>
      <c r="M761" s="14"/>
      <c r="N761" s="14"/>
      <c r="O761" s="14"/>
      <c r="P761" s="14"/>
      <c r="Q761" s="14"/>
    </row>
    <row r="762" spans="9:17" ht="14.25" customHeight="1">
      <c r="I762" s="14"/>
      <c r="J762" s="14"/>
      <c r="K762" s="14"/>
      <c r="L762" s="14"/>
      <c r="M762" s="14"/>
      <c r="N762" s="14"/>
      <c r="O762" s="14"/>
      <c r="P762" s="14"/>
      <c r="Q762" s="14"/>
    </row>
    <row r="763" spans="9:17" ht="14.25" customHeight="1">
      <c r="I763" s="14"/>
      <c r="J763" s="14"/>
      <c r="K763" s="14"/>
      <c r="L763" s="14"/>
      <c r="M763" s="14"/>
      <c r="N763" s="14"/>
      <c r="O763" s="14"/>
      <c r="P763" s="14"/>
      <c r="Q763" s="14"/>
    </row>
    <row r="764" spans="9:17" ht="14.25" customHeight="1">
      <c r="I764" s="14"/>
      <c r="J764" s="14"/>
      <c r="K764" s="14"/>
      <c r="L764" s="14"/>
      <c r="M764" s="14"/>
      <c r="N764" s="14"/>
      <c r="O764" s="14"/>
      <c r="P764" s="14"/>
      <c r="Q764" s="14"/>
    </row>
    <row r="765" spans="9:17" ht="14.25" customHeight="1">
      <c r="I765" s="14"/>
      <c r="J765" s="14"/>
      <c r="K765" s="14"/>
      <c r="L765" s="14"/>
      <c r="M765" s="14"/>
      <c r="N765" s="14"/>
      <c r="O765" s="14"/>
      <c r="P765" s="14"/>
      <c r="Q765" s="14"/>
    </row>
    <row r="766" spans="9:17" ht="14.25" customHeight="1">
      <c r="I766" s="14"/>
      <c r="J766" s="14"/>
      <c r="K766" s="14"/>
      <c r="L766" s="14"/>
      <c r="M766" s="14"/>
      <c r="N766" s="14"/>
      <c r="O766" s="14"/>
      <c r="P766" s="14"/>
      <c r="Q766" s="14"/>
    </row>
    <row r="767" spans="9:17" ht="14.25" customHeight="1">
      <c r="I767" s="14"/>
      <c r="J767" s="14"/>
      <c r="K767" s="14"/>
      <c r="L767" s="14"/>
      <c r="M767" s="14"/>
      <c r="N767" s="14"/>
      <c r="O767" s="14"/>
      <c r="P767" s="14"/>
      <c r="Q767" s="14"/>
    </row>
    <row r="768" spans="9:17" ht="14.25" customHeight="1">
      <c r="I768" s="14"/>
      <c r="J768" s="14"/>
      <c r="K768" s="14"/>
      <c r="L768" s="14"/>
      <c r="M768" s="14"/>
      <c r="N768" s="14"/>
      <c r="O768" s="14"/>
      <c r="P768" s="14"/>
      <c r="Q768" s="14"/>
    </row>
    <row r="769" spans="9:17" ht="14.25" customHeight="1">
      <c r="I769" s="14"/>
      <c r="J769" s="14"/>
      <c r="K769" s="14"/>
      <c r="L769" s="14"/>
      <c r="M769" s="14"/>
      <c r="N769" s="14"/>
      <c r="O769" s="14"/>
      <c r="P769" s="14"/>
      <c r="Q769" s="14"/>
    </row>
    <row r="770" spans="9:17" ht="14.25" customHeight="1">
      <c r="I770" s="14"/>
      <c r="J770" s="14"/>
      <c r="K770" s="14"/>
      <c r="L770" s="14"/>
      <c r="M770" s="14"/>
      <c r="N770" s="14"/>
      <c r="O770" s="14"/>
      <c r="P770" s="14"/>
      <c r="Q770" s="14"/>
    </row>
    <row r="771" spans="9:17" ht="14.25" customHeight="1">
      <c r="I771" s="14"/>
      <c r="J771" s="14"/>
      <c r="K771" s="14"/>
      <c r="L771" s="14"/>
      <c r="M771" s="14"/>
      <c r="N771" s="14"/>
      <c r="O771" s="14"/>
      <c r="P771" s="14"/>
      <c r="Q771" s="14"/>
    </row>
    <row r="772" spans="9:17" ht="14.25" customHeight="1">
      <c r="I772" s="14"/>
      <c r="J772" s="14"/>
      <c r="K772" s="14"/>
      <c r="L772" s="14"/>
      <c r="M772" s="14"/>
      <c r="N772" s="14"/>
      <c r="O772" s="14"/>
      <c r="P772" s="14"/>
      <c r="Q772" s="14"/>
    </row>
    <row r="773" spans="9:17" ht="14.25" customHeight="1">
      <c r="I773" s="14"/>
      <c r="J773" s="14"/>
      <c r="K773" s="14"/>
      <c r="L773" s="14"/>
      <c r="M773" s="14"/>
      <c r="N773" s="14"/>
      <c r="O773" s="14"/>
      <c r="P773" s="14"/>
      <c r="Q773" s="14"/>
    </row>
    <row r="774" spans="9:17" ht="14.25" customHeight="1">
      <c r="I774" s="14"/>
      <c r="J774" s="14"/>
      <c r="K774" s="14"/>
      <c r="L774" s="14"/>
      <c r="M774" s="14"/>
      <c r="N774" s="14"/>
      <c r="O774" s="14"/>
      <c r="P774" s="14"/>
      <c r="Q774" s="14"/>
    </row>
    <row r="775" spans="9:17" ht="14.25" customHeight="1">
      <c r="I775" s="14"/>
      <c r="J775" s="14"/>
      <c r="K775" s="14"/>
      <c r="L775" s="14"/>
      <c r="M775" s="14"/>
      <c r="N775" s="14"/>
      <c r="O775" s="14"/>
      <c r="P775" s="14"/>
      <c r="Q775" s="14"/>
    </row>
    <row r="776" spans="9:17" ht="14.25" customHeight="1">
      <c r="I776" s="14"/>
      <c r="J776" s="14"/>
      <c r="K776" s="14"/>
      <c r="L776" s="14"/>
      <c r="M776" s="14"/>
      <c r="N776" s="14"/>
      <c r="O776" s="14"/>
      <c r="P776" s="14"/>
      <c r="Q776" s="14"/>
    </row>
    <row r="777" spans="9:17" ht="14.25" customHeight="1">
      <c r="I777" s="14"/>
      <c r="J777" s="14"/>
      <c r="K777" s="14"/>
      <c r="L777" s="14"/>
      <c r="M777" s="14"/>
      <c r="N777" s="14"/>
      <c r="O777" s="14"/>
      <c r="P777" s="14"/>
      <c r="Q777" s="14"/>
    </row>
    <row r="778" spans="9:17" ht="14.25" customHeight="1">
      <c r="I778" s="14"/>
      <c r="J778" s="14"/>
      <c r="K778" s="14"/>
      <c r="L778" s="14"/>
      <c r="M778" s="14"/>
      <c r="N778" s="14"/>
      <c r="O778" s="14"/>
      <c r="P778" s="14"/>
      <c r="Q778" s="14"/>
    </row>
    <row r="779" spans="9:17" ht="14.25" customHeight="1">
      <c r="I779" s="14"/>
      <c r="J779" s="14"/>
      <c r="K779" s="14"/>
      <c r="L779" s="14"/>
      <c r="M779" s="14"/>
      <c r="N779" s="14"/>
      <c r="O779" s="14"/>
      <c r="P779" s="14"/>
      <c r="Q779" s="14"/>
    </row>
    <row r="780" spans="9:17" ht="14.25" customHeight="1">
      <c r="I780" s="14"/>
      <c r="J780" s="14"/>
      <c r="K780" s="14"/>
      <c r="L780" s="14"/>
      <c r="M780" s="14"/>
      <c r="N780" s="14"/>
      <c r="O780" s="14"/>
      <c r="P780" s="14"/>
      <c r="Q780" s="14"/>
    </row>
    <row r="781" spans="9:17" ht="14.25" customHeight="1">
      <c r="I781" s="14"/>
      <c r="J781" s="14"/>
      <c r="K781" s="14"/>
      <c r="L781" s="14"/>
      <c r="M781" s="14"/>
      <c r="N781" s="14"/>
      <c r="O781" s="14"/>
      <c r="P781" s="14"/>
      <c r="Q781" s="14"/>
    </row>
    <row r="782" spans="9:17" ht="14.25" customHeight="1">
      <c r="I782" s="14"/>
      <c r="J782" s="14"/>
      <c r="K782" s="14"/>
      <c r="L782" s="14"/>
      <c r="M782" s="14"/>
      <c r="N782" s="14"/>
      <c r="O782" s="14"/>
      <c r="P782" s="14"/>
      <c r="Q782" s="14"/>
    </row>
    <row r="783" spans="9:17" ht="14.25" customHeight="1">
      <c r="I783" s="14"/>
      <c r="J783" s="14"/>
      <c r="K783" s="14"/>
      <c r="L783" s="14"/>
      <c r="M783" s="14"/>
      <c r="N783" s="14"/>
      <c r="O783" s="14"/>
      <c r="P783" s="14"/>
      <c r="Q783" s="14"/>
    </row>
    <row r="784" spans="9:17" ht="14.25" customHeight="1">
      <c r="I784" s="14"/>
      <c r="J784" s="14"/>
      <c r="K784" s="14"/>
      <c r="L784" s="14"/>
      <c r="M784" s="14"/>
      <c r="N784" s="14"/>
      <c r="O784" s="14"/>
      <c r="P784" s="14"/>
      <c r="Q784" s="14"/>
    </row>
    <row r="785" spans="9:17" ht="14.25" customHeight="1">
      <c r="I785" s="14"/>
      <c r="J785" s="14"/>
      <c r="K785" s="14"/>
      <c r="L785" s="14"/>
      <c r="M785" s="14"/>
      <c r="N785" s="14"/>
      <c r="O785" s="14"/>
      <c r="P785" s="14"/>
      <c r="Q785" s="14"/>
    </row>
    <row r="786" spans="9:17" ht="14.25" customHeight="1">
      <c r="I786" s="14"/>
      <c r="J786" s="14"/>
      <c r="K786" s="14"/>
      <c r="L786" s="14"/>
      <c r="M786" s="14"/>
      <c r="N786" s="14"/>
      <c r="O786" s="14"/>
      <c r="P786" s="14"/>
      <c r="Q786" s="14"/>
    </row>
    <row r="787" spans="9:17" ht="14.25" customHeight="1">
      <c r="I787" s="14"/>
      <c r="J787" s="14"/>
      <c r="K787" s="14"/>
      <c r="L787" s="14"/>
      <c r="M787" s="14"/>
      <c r="N787" s="14"/>
      <c r="O787" s="14"/>
      <c r="P787" s="14"/>
      <c r="Q787" s="14"/>
    </row>
    <row r="788" spans="9:17" ht="14.25" customHeight="1">
      <c r="I788" s="14"/>
      <c r="J788" s="14"/>
      <c r="K788" s="14"/>
      <c r="L788" s="14"/>
      <c r="M788" s="14"/>
      <c r="N788" s="14"/>
      <c r="O788" s="14"/>
      <c r="P788" s="14"/>
      <c r="Q788" s="14"/>
    </row>
    <row r="789" spans="9:17" ht="14.25" customHeight="1">
      <c r="I789" s="14"/>
      <c r="J789" s="14"/>
      <c r="K789" s="14"/>
      <c r="L789" s="14"/>
      <c r="M789" s="14"/>
      <c r="N789" s="14"/>
      <c r="O789" s="14"/>
      <c r="P789" s="14"/>
      <c r="Q789" s="14"/>
    </row>
    <row r="790" spans="9:17" ht="14.25" customHeight="1">
      <c r="I790" s="14"/>
      <c r="J790" s="14"/>
      <c r="K790" s="14"/>
      <c r="L790" s="14"/>
      <c r="M790" s="14"/>
      <c r="N790" s="14"/>
      <c r="O790" s="14"/>
      <c r="P790" s="14"/>
      <c r="Q790" s="14"/>
    </row>
    <row r="791" spans="9:17" ht="14.25" customHeight="1">
      <c r="I791" s="14"/>
      <c r="J791" s="14"/>
      <c r="K791" s="14"/>
      <c r="L791" s="14"/>
      <c r="M791" s="14"/>
      <c r="N791" s="14"/>
      <c r="O791" s="14"/>
      <c r="P791" s="14"/>
      <c r="Q791" s="14"/>
    </row>
    <row r="792" spans="9:17" ht="14.25" customHeight="1">
      <c r="I792" s="14"/>
      <c r="J792" s="14"/>
      <c r="K792" s="14"/>
      <c r="L792" s="14"/>
      <c r="M792" s="14"/>
      <c r="N792" s="14"/>
      <c r="O792" s="14"/>
      <c r="P792" s="14"/>
      <c r="Q792" s="14"/>
    </row>
    <row r="793" spans="9:17" ht="14.25" customHeight="1">
      <c r="I793" s="14"/>
      <c r="J793" s="14"/>
      <c r="K793" s="14"/>
      <c r="L793" s="14"/>
      <c r="M793" s="14"/>
      <c r="N793" s="14"/>
      <c r="O793" s="14"/>
      <c r="P793" s="14"/>
      <c r="Q793" s="14"/>
    </row>
    <row r="794" spans="9:17" ht="14.25" customHeight="1">
      <c r="I794" s="14"/>
      <c r="J794" s="14"/>
      <c r="K794" s="14"/>
      <c r="L794" s="14"/>
      <c r="M794" s="14"/>
      <c r="N794" s="14"/>
      <c r="O794" s="14"/>
      <c r="P794" s="14"/>
      <c r="Q794" s="14"/>
    </row>
    <row r="795" spans="9:17" ht="14.25" customHeight="1">
      <c r="I795" s="14"/>
      <c r="J795" s="14"/>
      <c r="K795" s="14"/>
      <c r="L795" s="14"/>
      <c r="M795" s="14"/>
      <c r="N795" s="14"/>
      <c r="O795" s="14"/>
      <c r="P795" s="14"/>
      <c r="Q795" s="14"/>
    </row>
    <row r="796" spans="9:17" ht="14.25" customHeight="1">
      <c r="I796" s="14"/>
      <c r="J796" s="14"/>
      <c r="K796" s="14"/>
      <c r="L796" s="14"/>
      <c r="M796" s="14"/>
      <c r="N796" s="14"/>
      <c r="O796" s="14"/>
      <c r="P796" s="14"/>
      <c r="Q796" s="14"/>
    </row>
    <row r="797" spans="9:17" ht="14.25" customHeight="1">
      <c r="I797" s="14"/>
      <c r="J797" s="14"/>
      <c r="K797" s="14"/>
      <c r="L797" s="14"/>
      <c r="M797" s="14"/>
      <c r="N797" s="14"/>
      <c r="O797" s="14"/>
      <c r="P797" s="14"/>
      <c r="Q797" s="14"/>
    </row>
    <row r="798" spans="9:17" ht="14.25" customHeight="1">
      <c r="I798" s="14"/>
      <c r="J798" s="14"/>
      <c r="K798" s="14"/>
      <c r="L798" s="14"/>
      <c r="M798" s="14"/>
      <c r="N798" s="14"/>
      <c r="O798" s="14"/>
      <c r="P798" s="14"/>
      <c r="Q798" s="14"/>
    </row>
    <row r="799" spans="9:17" ht="14.25" customHeight="1">
      <c r="I799" s="14"/>
      <c r="J799" s="14"/>
      <c r="K799" s="14"/>
      <c r="L799" s="14"/>
      <c r="M799" s="14"/>
      <c r="N799" s="14"/>
      <c r="O799" s="14"/>
      <c r="P799" s="14"/>
      <c r="Q799" s="14"/>
    </row>
    <row r="800" spans="9:17" ht="14.25" customHeight="1">
      <c r="I800" s="14"/>
      <c r="J800" s="14"/>
      <c r="K800" s="14"/>
      <c r="L800" s="14"/>
      <c r="M800" s="14"/>
      <c r="N800" s="14"/>
      <c r="O800" s="14"/>
      <c r="P800" s="14"/>
      <c r="Q800" s="14"/>
    </row>
    <row r="801" spans="9:17" ht="14.25" customHeight="1">
      <c r="I801" s="14"/>
      <c r="J801" s="14"/>
      <c r="K801" s="14"/>
      <c r="L801" s="14"/>
      <c r="M801" s="14"/>
      <c r="N801" s="14"/>
      <c r="O801" s="14"/>
      <c r="P801" s="14"/>
      <c r="Q801" s="14"/>
    </row>
    <row r="802" spans="9:17" ht="14.25" customHeight="1">
      <c r="I802" s="14"/>
      <c r="J802" s="14"/>
      <c r="K802" s="14"/>
      <c r="L802" s="14"/>
      <c r="M802" s="14"/>
      <c r="N802" s="14"/>
      <c r="O802" s="14"/>
      <c r="P802" s="14"/>
      <c r="Q802" s="14"/>
    </row>
    <row r="803" spans="9:17" ht="14.25" customHeight="1">
      <c r="I803" s="14"/>
      <c r="J803" s="14"/>
      <c r="K803" s="14"/>
      <c r="L803" s="14"/>
      <c r="M803" s="14"/>
      <c r="N803" s="14"/>
      <c r="O803" s="14"/>
      <c r="P803" s="14"/>
      <c r="Q803" s="14"/>
    </row>
    <row r="804" spans="9:17" ht="14.25" customHeight="1">
      <c r="I804" s="14"/>
      <c r="J804" s="14"/>
      <c r="K804" s="14"/>
      <c r="L804" s="14"/>
      <c r="M804" s="14"/>
      <c r="N804" s="14"/>
      <c r="O804" s="14"/>
      <c r="P804" s="14"/>
      <c r="Q804" s="14"/>
    </row>
    <row r="805" spans="9:17" ht="14.25" customHeight="1">
      <c r="I805" s="14"/>
      <c r="J805" s="14"/>
      <c r="K805" s="14"/>
      <c r="L805" s="14"/>
      <c r="M805" s="14"/>
      <c r="N805" s="14"/>
      <c r="O805" s="14"/>
      <c r="P805" s="14"/>
      <c r="Q805" s="14"/>
    </row>
    <row r="806" spans="9:17" ht="14.25" customHeight="1">
      <c r="I806" s="14"/>
      <c r="J806" s="14"/>
      <c r="K806" s="14"/>
      <c r="L806" s="14"/>
      <c r="M806" s="14"/>
      <c r="N806" s="14"/>
      <c r="O806" s="14"/>
      <c r="P806" s="14"/>
      <c r="Q806" s="14"/>
    </row>
    <row r="807" spans="9:17" ht="14.25" customHeight="1">
      <c r="I807" s="14"/>
      <c r="J807" s="14"/>
      <c r="K807" s="14"/>
      <c r="L807" s="14"/>
      <c r="M807" s="14"/>
      <c r="N807" s="14"/>
      <c r="O807" s="14"/>
      <c r="P807" s="14"/>
      <c r="Q807" s="14"/>
    </row>
    <row r="808" spans="9:17" ht="14.25" customHeight="1">
      <c r="I808" s="14"/>
      <c r="J808" s="14"/>
      <c r="K808" s="14"/>
      <c r="L808" s="14"/>
      <c r="M808" s="14"/>
      <c r="N808" s="14"/>
      <c r="O808" s="14"/>
      <c r="P808" s="14"/>
      <c r="Q808" s="14"/>
    </row>
    <row r="809" spans="9:17" ht="14.25" customHeight="1">
      <c r="I809" s="14"/>
      <c r="J809" s="14"/>
      <c r="K809" s="14"/>
      <c r="L809" s="14"/>
      <c r="M809" s="14"/>
      <c r="N809" s="14"/>
      <c r="O809" s="14"/>
      <c r="P809" s="14"/>
      <c r="Q809" s="14"/>
    </row>
    <row r="810" spans="9:17" ht="14.25" customHeight="1">
      <c r="I810" s="14"/>
      <c r="J810" s="14"/>
      <c r="K810" s="14"/>
      <c r="L810" s="14"/>
      <c r="M810" s="14"/>
      <c r="N810" s="14"/>
      <c r="O810" s="14"/>
      <c r="P810" s="14"/>
      <c r="Q810" s="14"/>
    </row>
    <row r="811" spans="9:17" ht="14.25" customHeight="1">
      <c r="I811" s="14"/>
      <c r="J811" s="14"/>
      <c r="K811" s="14"/>
      <c r="L811" s="14"/>
      <c r="M811" s="14"/>
      <c r="N811" s="14"/>
      <c r="O811" s="14"/>
      <c r="P811" s="14"/>
      <c r="Q811" s="14"/>
    </row>
    <row r="812" spans="9:17" ht="14.25" customHeight="1">
      <c r="I812" s="14"/>
      <c r="J812" s="14"/>
      <c r="K812" s="14"/>
      <c r="L812" s="14"/>
      <c r="M812" s="14"/>
      <c r="N812" s="14"/>
      <c r="O812" s="14"/>
      <c r="P812" s="14"/>
      <c r="Q812" s="14"/>
    </row>
    <row r="813" spans="9:17" ht="14.25" customHeight="1">
      <c r="I813" s="14"/>
      <c r="J813" s="14"/>
      <c r="K813" s="14"/>
      <c r="L813" s="14"/>
      <c r="M813" s="14"/>
      <c r="N813" s="14"/>
      <c r="O813" s="14"/>
      <c r="P813" s="14"/>
      <c r="Q813" s="14"/>
    </row>
    <row r="814" spans="9:17" ht="14.25" customHeight="1">
      <c r="I814" s="14"/>
      <c r="J814" s="14"/>
      <c r="K814" s="14"/>
      <c r="L814" s="14"/>
      <c r="M814" s="14"/>
      <c r="N814" s="14"/>
      <c r="O814" s="14"/>
      <c r="P814" s="14"/>
      <c r="Q814" s="14"/>
    </row>
    <row r="815" spans="9:17" ht="14.25" customHeight="1">
      <c r="I815" s="14"/>
      <c r="J815" s="14"/>
      <c r="K815" s="14"/>
      <c r="L815" s="14"/>
      <c r="M815" s="14"/>
      <c r="N815" s="14"/>
      <c r="O815" s="14"/>
      <c r="P815" s="14"/>
      <c r="Q815" s="14"/>
    </row>
    <row r="816" spans="9:17" ht="14.25" customHeight="1">
      <c r="I816" s="14"/>
      <c r="J816" s="14"/>
      <c r="K816" s="14"/>
      <c r="L816" s="14"/>
      <c r="M816" s="14"/>
      <c r="N816" s="14"/>
      <c r="O816" s="14"/>
      <c r="P816" s="14"/>
      <c r="Q816" s="14"/>
    </row>
    <row r="817" spans="9:17" ht="14.25" customHeight="1">
      <c r="I817" s="14"/>
      <c r="J817" s="14"/>
      <c r="K817" s="14"/>
      <c r="L817" s="14"/>
      <c r="M817" s="14"/>
      <c r="N817" s="14"/>
      <c r="O817" s="14"/>
      <c r="P817" s="14"/>
      <c r="Q817" s="14"/>
    </row>
    <row r="818" spans="9:17" ht="14.25" customHeight="1">
      <c r="I818" s="14"/>
      <c r="J818" s="14"/>
      <c r="K818" s="14"/>
      <c r="L818" s="14"/>
      <c r="M818" s="14"/>
      <c r="N818" s="14"/>
      <c r="O818" s="14"/>
      <c r="P818" s="14"/>
      <c r="Q818" s="14"/>
    </row>
    <row r="819" spans="9:17" ht="14.25" customHeight="1">
      <c r="I819" s="14"/>
      <c r="J819" s="14"/>
      <c r="K819" s="14"/>
      <c r="L819" s="14"/>
      <c r="M819" s="14"/>
      <c r="N819" s="14"/>
      <c r="O819" s="14"/>
      <c r="P819" s="14"/>
      <c r="Q819" s="14"/>
    </row>
    <row r="820" spans="9:17" ht="14.25" customHeight="1">
      <c r="I820" s="14"/>
      <c r="J820" s="14"/>
      <c r="K820" s="14"/>
      <c r="L820" s="14"/>
      <c r="M820" s="14"/>
      <c r="N820" s="14"/>
      <c r="O820" s="14"/>
      <c r="P820" s="14"/>
      <c r="Q820" s="14"/>
    </row>
    <row r="821" spans="9:17" ht="14.25" customHeight="1">
      <c r="I821" s="14"/>
      <c r="J821" s="14"/>
      <c r="K821" s="14"/>
      <c r="L821" s="14"/>
      <c r="M821" s="14"/>
      <c r="N821" s="14"/>
      <c r="O821" s="14"/>
      <c r="P821" s="14"/>
      <c r="Q821" s="14"/>
    </row>
    <row r="822" spans="9:17" ht="14.25" customHeight="1">
      <c r="I822" s="14"/>
      <c r="J822" s="14"/>
      <c r="K822" s="14"/>
      <c r="L822" s="14"/>
      <c r="M822" s="14"/>
      <c r="N822" s="14"/>
      <c r="O822" s="14"/>
      <c r="P822" s="14"/>
      <c r="Q822" s="14"/>
    </row>
    <row r="823" spans="9:17" ht="14.25" customHeight="1">
      <c r="I823" s="14"/>
      <c r="J823" s="14"/>
      <c r="K823" s="14"/>
      <c r="L823" s="14"/>
      <c r="M823" s="14"/>
      <c r="N823" s="14"/>
      <c r="O823" s="14"/>
      <c r="P823" s="14"/>
      <c r="Q823" s="14"/>
    </row>
    <row r="824" spans="9:17" ht="14.25" customHeight="1">
      <c r="I824" s="14"/>
      <c r="J824" s="14"/>
      <c r="K824" s="14"/>
      <c r="L824" s="14"/>
      <c r="M824" s="14"/>
      <c r="N824" s="14"/>
      <c r="O824" s="14"/>
      <c r="P824" s="14"/>
      <c r="Q824" s="14"/>
    </row>
    <row r="825" spans="9:17" ht="14.25" customHeight="1">
      <c r="I825" s="14"/>
      <c r="J825" s="14"/>
      <c r="K825" s="14"/>
      <c r="L825" s="14"/>
      <c r="M825" s="14"/>
      <c r="N825" s="14"/>
      <c r="O825" s="14"/>
      <c r="P825" s="14"/>
      <c r="Q825" s="14"/>
    </row>
    <row r="826" spans="9:17" ht="14.25" customHeight="1">
      <c r="I826" s="14"/>
      <c r="J826" s="14"/>
      <c r="K826" s="14"/>
      <c r="L826" s="14"/>
      <c r="M826" s="14"/>
      <c r="N826" s="14"/>
      <c r="O826" s="14"/>
      <c r="P826" s="14"/>
      <c r="Q826" s="14"/>
    </row>
    <row r="827" spans="9:17" ht="14.25" customHeight="1">
      <c r="I827" s="14"/>
      <c r="J827" s="14"/>
      <c r="K827" s="14"/>
      <c r="L827" s="14"/>
      <c r="M827" s="14"/>
      <c r="N827" s="14"/>
      <c r="O827" s="14"/>
      <c r="P827" s="14"/>
      <c r="Q827" s="14"/>
    </row>
    <row r="828" spans="9:17" ht="14.25" customHeight="1">
      <c r="I828" s="14"/>
      <c r="J828" s="14"/>
      <c r="K828" s="14"/>
      <c r="L828" s="14"/>
      <c r="M828" s="14"/>
      <c r="N828" s="14"/>
      <c r="O828" s="14"/>
      <c r="P828" s="14"/>
      <c r="Q828" s="14"/>
    </row>
    <row r="829" spans="9:17" ht="14.25" customHeight="1">
      <c r="I829" s="14"/>
      <c r="J829" s="14"/>
      <c r="K829" s="14"/>
      <c r="L829" s="14"/>
      <c r="M829" s="14"/>
      <c r="N829" s="14"/>
      <c r="O829" s="14"/>
      <c r="P829" s="14"/>
      <c r="Q829" s="14"/>
    </row>
    <row r="830" spans="9:17" ht="14.25" customHeight="1">
      <c r="I830" s="14"/>
      <c r="J830" s="14"/>
      <c r="K830" s="14"/>
      <c r="L830" s="14"/>
      <c r="M830" s="14"/>
      <c r="N830" s="14"/>
      <c r="O830" s="14"/>
      <c r="P830" s="14"/>
      <c r="Q830" s="14"/>
    </row>
    <row r="831" spans="9:17" ht="14.25" customHeight="1">
      <c r="I831" s="14"/>
      <c r="J831" s="14"/>
      <c r="K831" s="14"/>
      <c r="L831" s="14"/>
      <c r="M831" s="14"/>
      <c r="N831" s="14"/>
      <c r="O831" s="14"/>
      <c r="P831" s="14"/>
      <c r="Q831" s="14"/>
    </row>
    <row r="832" spans="9:17" ht="14.25" customHeight="1">
      <c r="I832" s="14"/>
      <c r="J832" s="14"/>
      <c r="K832" s="14"/>
      <c r="L832" s="14"/>
      <c r="M832" s="14"/>
      <c r="N832" s="14"/>
      <c r="O832" s="14"/>
      <c r="P832" s="14"/>
      <c r="Q832" s="14"/>
    </row>
    <row r="833" spans="9:17" ht="14.25" customHeight="1">
      <c r="I833" s="14"/>
      <c r="J833" s="14"/>
      <c r="K833" s="14"/>
      <c r="L833" s="14"/>
      <c r="M833" s="14"/>
      <c r="N833" s="14"/>
      <c r="O833" s="14"/>
      <c r="P833" s="14"/>
      <c r="Q833" s="14"/>
    </row>
    <row r="834" spans="9:17" ht="14.25" customHeight="1">
      <c r="I834" s="14"/>
      <c r="J834" s="14"/>
      <c r="K834" s="14"/>
      <c r="L834" s="14"/>
      <c r="M834" s="14"/>
      <c r="N834" s="14"/>
      <c r="O834" s="14"/>
      <c r="P834" s="14"/>
      <c r="Q834" s="14"/>
    </row>
    <row r="835" spans="9:17" ht="14.25" customHeight="1">
      <c r="I835" s="14"/>
      <c r="J835" s="14"/>
      <c r="K835" s="14"/>
      <c r="L835" s="14"/>
      <c r="M835" s="14"/>
      <c r="N835" s="14"/>
      <c r="O835" s="14"/>
      <c r="P835" s="14"/>
      <c r="Q835" s="14"/>
    </row>
    <row r="836" spans="9:17" ht="14.25" customHeight="1">
      <c r="I836" s="14"/>
      <c r="J836" s="14"/>
      <c r="K836" s="14"/>
      <c r="L836" s="14"/>
      <c r="M836" s="14"/>
      <c r="N836" s="14"/>
      <c r="O836" s="14"/>
      <c r="P836" s="14"/>
      <c r="Q836" s="14"/>
    </row>
    <row r="837" spans="9:17" ht="14.25" customHeight="1">
      <c r="I837" s="14"/>
      <c r="J837" s="14"/>
      <c r="K837" s="14"/>
      <c r="L837" s="14"/>
      <c r="M837" s="14"/>
      <c r="N837" s="14"/>
      <c r="O837" s="14"/>
      <c r="P837" s="14"/>
      <c r="Q837" s="14"/>
    </row>
    <row r="838" spans="9:17" ht="14.25" customHeight="1">
      <c r="I838" s="14"/>
      <c r="J838" s="14"/>
      <c r="K838" s="14"/>
      <c r="L838" s="14"/>
      <c r="M838" s="14"/>
      <c r="N838" s="14"/>
      <c r="O838" s="14"/>
      <c r="P838" s="14"/>
      <c r="Q838" s="14"/>
    </row>
    <row r="839" spans="9:17" ht="14.25" customHeight="1">
      <c r="I839" s="14"/>
      <c r="J839" s="14"/>
      <c r="K839" s="14"/>
      <c r="L839" s="14"/>
      <c r="M839" s="14"/>
      <c r="N839" s="14"/>
      <c r="O839" s="14"/>
      <c r="P839" s="14"/>
      <c r="Q839" s="14"/>
    </row>
    <row r="840" spans="9:17" ht="14.25" customHeight="1">
      <c r="I840" s="14"/>
      <c r="J840" s="14"/>
      <c r="K840" s="14"/>
      <c r="L840" s="14"/>
      <c r="M840" s="14"/>
      <c r="N840" s="14"/>
      <c r="O840" s="14"/>
      <c r="P840" s="14"/>
      <c r="Q840" s="14"/>
    </row>
    <row r="841" spans="9:17" ht="14.25" customHeight="1">
      <c r="I841" s="14"/>
      <c r="J841" s="14"/>
      <c r="K841" s="14"/>
      <c r="L841" s="14"/>
      <c r="M841" s="14"/>
      <c r="N841" s="14"/>
      <c r="O841" s="14"/>
      <c r="P841" s="14"/>
      <c r="Q841" s="14"/>
    </row>
    <row r="842" spans="9:17" ht="14.25" customHeight="1">
      <c r="I842" s="14"/>
      <c r="J842" s="14"/>
      <c r="K842" s="14"/>
      <c r="L842" s="14"/>
      <c r="M842" s="14"/>
      <c r="N842" s="14"/>
      <c r="O842" s="14"/>
      <c r="P842" s="14"/>
      <c r="Q842" s="14"/>
    </row>
    <row r="843" spans="9:17" ht="14.25" customHeight="1">
      <c r="I843" s="14"/>
      <c r="J843" s="14"/>
      <c r="K843" s="14"/>
      <c r="L843" s="14"/>
      <c r="M843" s="14"/>
      <c r="N843" s="14"/>
      <c r="O843" s="14"/>
      <c r="P843" s="14"/>
      <c r="Q843" s="14"/>
    </row>
    <row r="844" spans="9:17" ht="14.25" customHeight="1">
      <c r="I844" s="14"/>
      <c r="J844" s="14"/>
      <c r="K844" s="14"/>
      <c r="L844" s="14"/>
      <c r="M844" s="14"/>
      <c r="N844" s="14"/>
      <c r="O844" s="14"/>
      <c r="P844" s="14"/>
      <c r="Q844" s="14"/>
    </row>
    <row r="845" spans="9:17" ht="14.25" customHeight="1">
      <c r="I845" s="14"/>
      <c r="J845" s="14"/>
      <c r="K845" s="14"/>
      <c r="L845" s="14"/>
      <c r="M845" s="14"/>
      <c r="N845" s="14"/>
      <c r="O845" s="14"/>
      <c r="P845" s="14"/>
      <c r="Q845" s="14"/>
    </row>
    <row r="846" spans="9:17" ht="14.25" customHeight="1">
      <c r="I846" s="14"/>
      <c r="J846" s="14"/>
      <c r="K846" s="14"/>
      <c r="L846" s="14"/>
      <c r="M846" s="14"/>
      <c r="N846" s="14"/>
      <c r="O846" s="14"/>
      <c r="P846" s="14"/>
      <c r="Q846" s="14"/>
    </row>
    <row r="847" spans="9:17" ht="14.25" customHeight="1">
      <c r="I847" s="14"/>
      <c r="J847" s="14"/>
      <c r="K847" s="14"/>
      <c r="L847" s="14"/>
      <c r="M847" s="14"/>
      <c r="N847" s="14"/>
      <c r="O847" s="14"/>
      <c r="P847" s="14"/>
      <c r="Q847" s="14"/>
    </row>
    <row r="848" spans="9:17" ht="14.25" customHeight="1">
      <c r="I848" s="14"/>
      <c r="J848" s="14"/>
      <c r="K848" s="14"/>
      <c r="L848" s="14"/>
      <c r="M848" s="14"/>
      <c r="N848" s="14"/>
      <c r="O848" s="14"/>
      <c r="P848" s="14"/>
      <c r="Q848" s="14"/>
    </row>
    <row r="849" spans="9:17" ht="14.25" customHeight="1">
      <c r="I849" s="14"/>
      <c r="J849" s="14"/>
      <c r="K849" s="14"/>
      <c r="L849" s="14"/>
      <c r="M849" s="14"/>
      <c r="N849" s="14"/>
      <c r="O849" s="14"/>
      <c r="P849" s="14"/>
      <c r="Q849" s="14"/>
    </row>
    <row r="850" spans="9:17" ht="14.25" customHeight="1">
      <c r="I850" s="14"/>
      <c r="J850" s="14"/>
      <c r="K850" s="14"/>
      <c r="L850" s="14"/>
      <c r="M850" s="14"/>
      <c r="N850" s="14"/>
      <c r="O850" s="14"/>
      <c r="P850" s="14"/>
      <c r="Q850" s="14"/>
    </row>
    <row r="851" spans="9:17" ht="14.25" customHeight="1">
      <c r="I851" s="14"/>
      <c r="J851" s="14"/>
      <c r="K851" s="14"/>
      <c r="L851" s="14"/>
      <c r="M851" s="14"/>
      <c r="N851" s="14"/>
      <c r="O851" s="14"/>
      <c r="P851" s="14"/>
      <c r="Q851" s="14"/>
    </row>
    <row r="852" spans="9:17" ht="14.25" customHeight="1">
      <c r="I852" s="14"/>
      <c r="J852" s="14"/>
      <c r="K852" s="14"/>
      <c r="L852" s="14"/>
      <c r="M852" s="14"/>
      <c r="N852" s="14"/>
      <c r="O852" s="14"/>
      <c r="P852" s="14"/>
      <c r="Q852" s="14"/>
    </row>
    <row r="853" spans="9:17" ht="14.25" customHeight="1">
      <c r="I853" s="14"/>
      <c r="J853" s="14"/>
      <c r="K853" s="14"/>
      <c r="L853" s="14"/>
      <c r="M853" s="14"/>
      <c r="N853" s="14"/>
      <c r="O853" s="14"/>
      <c r="P853" s="14"/>
      <c r="Q853" s="14"/>
    </row>
    <row r="854" spans="9:17" ht="14.25" customHeight="1">
      <c r="I854" s="14"/>
      <c r="J854" s="14"/>
      <c r="K854" s="14"/>
      <c r="L854" s="14"/>
      <c r="M854" s="14"/>
      <c r="N854" s="14"/>
      <c r="O854" s="14"/>
      <c r="P854" s="14"/>
      <c r="Q854" s="14"/>
    </row>
    <row r="855" spans="9:17" ht="14.25" customHeight="1">
      <c r="I855" s="14"/>
      <c r="J855" s="14"/>
      <c r="K855" s="14"/>
      <c r="L855" s="14"/>
      <c r="M855" s="14"/>
      <c r="N855" s="14"/>
      <c r="O855" s="14"/>
      <c r="P855" s="14"/>
      <c r="Q855" s="14"/>
    </row>
    <row r="856" spans="9:17" ht="14.25" customHeight="1">
      <c r="I856" s="14"/>
      <c r="J856" s="14"/>
      <c r="K856" s="14"/>
      <c r="L856" s="14"/>
      <c r="M856" s="14"/>
      <c r="N856" s="14"/>
      <c r="O856" s="14"/>
      <c r="P856" s="14"/>
      <c r="Q856" s="14"/>
    </row>
    <row r="857" spans="9:17" ht="14.25" customHeight="1">
      <c r="I857" s="14"/>
      <c r="J857" s="14"/>
      <c r="K857" s="14"/>
      <c r="L857" s="14"/>
      <c r="M857" s="14"/>
      <c r="N857" s="14"/>
      <c r="O857" s="14"/>
      <c r="P857" s="14"/>
      <c r="Q857" s="14"/>
    </row>
    <row r="858" spans="9:17" ht="14.25" customHeight="1">
      <c r="I858" s="14"/>
      <c r="J858" s="14"/>
      <c r="K858" s="14"/>
      <c r="L858" s="14"/>
      <c r="M858" s="14"/>
      <c r="N858" s="14"/>
      <c r="O858" s="14"/>
      <c r="P858" s="14"/>
      <c r="Q858" s="14"/>
    </row>
    <row r="859" spans="9:17" ht="14.25" customHeight="1">
      <c r="I859" s="14"/>
      <c r="J859" s="14"/>
      <c r="K859" s="14"/>
      <c r="L859" s="14"/>
      <c r="M859" s="14"/>
      <c r="N859" s="14"/>
      <c r="O859" s="14"/>
      <c r="P859" s="14"/>
      <c r="Q859" s="14"/>
    </row>
    <row r="860" spans="9:17" ht="14.25" customHeight="1">
      <c r="I860" s="14"/>
      <c r="J860" s="14"/>
      <c r="K860" s="14"/>
      <c r="L860" s="14"/>
      <c r="M860" s="14"/>
      <c r="N860" s="14"/>
      <c r="O860" s="14"/>
      <c r="P860" s="14"/>
      <c r="Q860" s="14"/>
    </row>
    <row r="861" spans="9:17" ht="14.25" customHeight="1">
      <c r="I861" s="14"/>
      <c r="J861" s="14"/>
      <c r="K861" s="14"/>
      <c r="L861" s="14"/>
      <c r="M861" s="14"/>
      <c r="N861" s="14"/>
      <c r="O861" s="14"/>
      <c r="P861" s="14"/>
      <c r="Q861" s="14"/>
    </row>
    <row r="862" spans="9:17" ht="14.25" customHeight="1">
      <c r="I862" s="14"/>
      <c r="J862" s="14"/>
      <c r="K862" s="14"/>
      <c r="L862" s="14"/>
      <c r="M862" s="14"/>
      <c r="N862" s="14"/>
      <c r="O862" s="14"/>
      <c r="P862" s="14"/>
      <c r="Q862" s="14"/>
    </row>
    <row r="863" spans="9:17" ht="14.25" customHeight="1">
      <c r="I863" s="14"/>
      <c r="J863" s="14"/>
      <c r="K863" s="14"/>
      <c r="L863" s="14"/>
      <c r="M863" s="14"/>
      <c r="N863" s="14"/>
      <c r="O863" s="14"/>
      <c r="P863" s="14"/>
      <c r="Q863" s="14"/>
    </row>
    <row r="864" spans="9:17" ht="14.25" customHeight="1">
      <c r="I864" s="14"/>
      <c r="J864" s="14"/>
      <c r="K864" s="14"/>
      <c r="L864" s="14"/>
      <c r="M864" s="14"/>
      <c r="N864" s="14"/>
      <c r="O864" s="14"/>
      <c r="P864" s="14"/>
      <c r="Q864" s="14"/>
    </row>
    <row r="865" spans="9:17" ht="14.25" customHeight="1">
      <c r="I865" s="14"/>
      <c r="J865" s="14"/>
      <c r="K865" s="14"/>
      <c r="L865" s="14"/>
      <c r="M865" s="14"/>
      <c r="N865" s="14"/>
      <c r="O865" s="14"/>
      <c r="P865" s="14"/>
      <c r="Q865" s="14"/>
    </row>
    <row r="866" spans="9:17" ht="14.25" customHeight="1">
      <c r="I866" s="14"/>
      <c r="J866" s="14"/>
      <c r="K866" s="14"/>
      <c r="L866" s="14"/>
      <c r="M866" s="14"/>
      <c r="N866" s="14"/>
      <c r="O866" s="14"/>
      <c r="P866" s="14"/>
      <c r="Q866" s="14"/>
    </row>
    <row r="867" spans="9:17" ht="14.25" customHeight="1">
      <c r="I867" s="14"/>
      <c r="J867" s="14"/>
      <c r="K867" s="14"/>
      <c r="L867" s="14"/>
      <c r="M867" s="14"/>
      <c r="N867" s="14"/>
      <c r="O867" s="14"/>
      <c r="P867" s="14"/>
      <c r="Q867" s="14"/>
    </row>
    <row r="868" spans="9:17" ht="14.25" customHeight="1">
      <c r="I868" s="14"/>
      <c r="J868" s="14"/>
      <c r="K868" s="14"/>
      <c r="L868" s="14"/>
      <c r="M868" s="14"/>
      <c r="N868" s="14"/>
      <c r="O868" s="14"/>
      <c r="P868" s="14"/>
      <c r="Q868" s="14"/>
    </row>
    <row r="869" spans="9:17" ht="14.25" customHeight="1">
      <c r="I869" s="14"/>
      <c r="J869" s="14"/>
      <c r="K869" s="14"/>
      <c r="L869" s="14"/>
      <c r="M869" s="14"/>
      <c r="N869" s="14"/>
      <c r="O869" s="14"/>
      <c r="P869" s="14"/>
      <c r="Q869" s="14"/>
    </row>
    <row r="870" spans="9:17" ht="14.25" customHeight="1">
      <c r="I870" s="14"/>
      <c r="J870" s="14"/>
      <c r="K870" s="14"/>
      <c r="L870" s="14"/>
      <c r="M870" s="14"/>
      <c r="N870" s="14"/>
      <c r="O870" s="14"/>
      <c r="P870" s="14"/>
      <c r="Q870" s="14"/>
    </row>
    <row r="871" spans="9:17" ht="14.25" customHeight="1">
      <c r="I871" s="14"/>
      <c r="J871" s="14"/>
      <c r="K871" s="14"/>
      <c r="L871" s="14"/>
      <c r="M871" s="14"/>
      <c r="N871" s="14"/>
      <c r="O871" s="14"/>
      <c r="P871" s="14"/>
      <c r="Q871" s="14"/>
    </row>
    <row r="872" spans="9:17" ht="14.25" customHeight="1">
      <c r="I872" s="14"/>
      <c r="J872" s="14"/>
      <c r="K872" s="14"/>
      <c r="L872" s="14"/>
      <c r="M872" s="14"/>
      <c r="N872" s="14"/>
      <c r="O872" s="14"/>
      <c r="P872" s="14"/>
      <c r="Q872" s="14"/>
    </row>
    <row r="873" spans="9:17" ht="14.25" customHeight="1">
      <c r="I873" s="14"/>
      <c r="J873" s="14"/>
      <c r="K873" s="14"/>
      <c r="L873" s="14"/>
      <c r="M873" s="14"/>
      <c r="N873" s="14"/>
      <c r="O873" s="14"/>
      <c r="P873" s="14"/>
      <c r="Q873" s="14"/>
    </row>
    <row r="874" spans="9:17" ht="14.25" customHeight="1">
      <c r="I874" s="14"/>
      <c r="J874" s="14"/>
      <c r="K874" s="14"/>
      <c r="L874" s="14"/>
      <c r="M874" s="14"/>
      <c r="N874" s="14"/>
      <c r="O874" s="14"/>
      <c r="P874" s="14"/>
      <c r="Q874" s="14"/>
    </row>
    <row r="875" spans="9:17" ht="14.25" customHeight="1">
      <c r="I875" s="14"/>
      <c r="J875" s="14"/>
      <c r="K875" s="14"/>
      <c r="L875" s="14"/>
      <c r="M875" s="14"/>
      <c r="N875" s="14"/>
      <c r="O875" s="14"/>
      <c r="P875" s="14"/>
      <c r="Q875" s="14"/>
    </row>
    <row r="876" spans="9:17" ht="14.25" customHeight="1">
      <c r="I876" s="14"/>
      <c r="J876" s="14"/>
      <c r="K876" s="14"/>
      <c r="L876" s="14"/>
      <c r="M876" s="14"/>
      <c r="N876" s="14"/>
      <c r="O876" s="14"/>
      <c r="P876" s="14"/>
      <c r="Q876" s="14"/>
    </row>
    <row r="877" spans="9:17" ht="14.25" customHeight="1">
      <c r="I877" s="14"/>
      <c r="J877" s="14"/>
      <c r="K877" s="14"/>
      <c r="L877" s="14"/>
      <c r="M877" s="14"/>
      <c r="N877" s="14"/>
      <c r="O877" s="14"/>
      <c r="P877" s="14"/>
      <c r="Q877" s="14"/>
    </row>
    <row r="878" spans="9:17" ht="14.25" customHeight="1">
      <c r="I878" s="14"/>
      <c r="J878" s="14"/>
      <c r="K878" s="14"/>
      <c r="L878" s="14"/>
      <c r="M878" s="14"/>
      <c r="N878" s="14"/>
      <c r="O878" s="14"/>
      <c r="P878" s="14"/>
      <c r="Q878" s="14"/>
    </row>
    <row r="879" spans="9:17" ht="14.25" customHeight="1">
      <c r="I879" s="14"/>
      <c r="J879" s="14"/>
      <c r="K879" s="14"/>
      <c r="L879" s="14"/>
      <c r="M879" s="14"/>
      <c r="N879" s="14"/>
      <c r="O879" s="14"/>
      <c r="P879" s="14"/>
      <c r="Q879" s="14"/>
    </row>
    <row r="880" spans="9:17" ht="14.25" customHeight="1">
      <c r="I880" s="14"/>
      <c r="J880" s="14"/>
      <c r="K880" s="14"/>
      <c r="L880" s="14"/>
      <c r="M880" s="14"/>
      <c r="N880" s="14"/>
      <c r="O880" s="14"/>
      <c r="P880" s="14"/>
      <c r="Q880" s="14"/>
    </row>
    <row r="881" spans="9:17" ht="14.25" customHeight="1">
      <c r="I881" s="14"/>
      <c r="J881" s="14"/>
      <c r="K881" s="14"/>
      <c r="L881" s="14"/>
      <c r="M881" s="14"/>
      <c r="N881" s="14"/>
      <c r="O881" s="14"/>
      <c r="P881" s="14"/>
      <c r="Q881" s="14"/>
    </row>
    <row r="882" spans="9:17" ht="14.25" customHeight="1">
      <c r="I882" s="14"/>
      <c r="J882" s="14"/>
      <c r="K882" s="14"/>
      <c r="L882" s="14"/>
      <c r="M882" s="14"/>
      <c r="N882" s="14"/>
      <c r="O882" s="14"/>
      <c r="P882" s="14"/>
      <c r="Q882" s="14"/>
    </row>
    <row r="883" spans="9:17" ht="14.25" customHeight="1">
      <c r="I883" s="14"/>
      <c r="J883" s="14"/>
      <c r="K883" s="14"/>
      <c r="L883" s="14"/>
      <c r="M883" s="14"/>
      <c r="N883" s="14"/>
      <c r="O883" s="14"/>
      <c r="P883" s="14"/>
      <c r="Q883" s="14"/>
    </row>
    <row r="884" spans="9:17" ht="14.25" customHeight="1">
      <c r="I884" s="14"/>
      <c r="J884" s="14"/>
      <c r="K884" s="14"/>
      <c r="L884" s="14"/>
      <c r="M884" s="14"/>
      <c r="N884" s="14"/>
      <c r="O884" s="14"/>
      <c r="P884" s="14"/>
      <c r="Q884" s="14"/>
    </row>
    <row r="885" spans="9:17" ht="14.25" customHeight="1">
      <c r="I885" s="14"/>
      <c r="J885" s="14"/>
      <c r="K885" s="14"/>
      <c r="L885" s="14"/>
      <c r="M885" s="14"/>
      <c r="N885" s="14"/>
      <c r="O885" s="14"/>
      <c r="P885" s="14"/>
      <c r="Q885" s="14"/>
    </row>
    <row r="886" spans="9:17" ht="14.25" customHeight="1">
      <c r="I886" s="14"/>
      <c r="J886" s="14"/>
      <c r="K886" s="14"/>
      <c r="L886" s="14"/>
      <c r="M886" s="14"/>
      <c r="N886" s="14"/>
      <c r="O886" s="14"/>
      <c r="P886" s="14"/>
      <c r="Q886" s="14"/>
    </row>
    <row r="887" spans="9:17" ht="14.25" customHeight="1">
      <c r="I887" s="14"/>
      <c r="J887" s="14"/>
      <c r="K887" s="14"/>
      <c r="L887" s="14"/>
      <c r="M887" s="14"/>
      <c r="N887" s="14"/>
      <c r="O887" s="14"/>
      <c r="P887" s="14"/>
      <c r="Q887" s="14"/>
    </row>
    <row r="888" spans="9:17" ht="14.25" customHeight="1">
      <c r="I888" s="14"/>
      <c r="J888" s="14"/>
      <c r="K888" s="14"/>
      <c r="L888" s="14"/>
      <c r="M888" s="14"/>
      <c r="N888" s="14"/>
      <c r="O888" s="14"/>
      <c r="P888" s="14"/>
      <c r="Q888" s="14"/>
    </row>
    <row r="889" spans="9:17" ht="14.25" customHeight="1">
      <c r="I889" s="14"/>
      <c r="J889" s="14"/>
      <c r="K889" s="14"/>
      <c r="L889" s="14"/>
      <c r="M889" s="14"/>
      <c r="N889" s="14"/>
      <c r="O889" s="14"/>
      <c r="P889" s="14"/>
      <c r="Q889" s="14"/>
    </row>
    <row r="890" spans="9:17" ht="14.25" customHeight="1">
      <c r="I890" s="14"/>
      <c r="J890" s="14"/>
      <c r="K890" s="14"/>
      <c r="L890" s="14"/>
      <c r="M890" s="14"/>
      <c r="N890" s="14"/>
      <c r="O890" s="14"/>
      <c r="P890" s="14"/>
      <c r="Q890" s="14"/>
    </row>
    <row r="891" spans="9:17" ht="14.25" customHeight="1">
      <c r="I891" s="14"/>
      <c r="J891" s="14"/>
      <c r="K891" s="14"/>
      <c r="L891" s="14"/>
      <c r="M891" s="14"/>
      <c r="N891" s="14"/>
      <c r="O891" s="14"/>
      <c r="P891" s="14"/>
      <c r="Q891" s="14"/>
    </row>
    <row r="892" spans="9:17" ht="14.25" customHeight="1">
      <c r="I892" s="14"/>
      <c r="J892" s="14"/>
      <c r="K892" s="14"/>
      <c r="L892" s="14"/>
      <c r="M892" s="14"/>
      <c r="N892" s="14"/>
      <c r="O892" s="14"/>
      <c r="P892" s="14"/>
      <c r="Q892" s="14"/>
    </row>
    <row r="893" spans="9:17" ht="14.25" customHeight="1">
      <c r="I893" s="14"/>
      <c r="J893" s="14"/>
      <c r="K893" s="14"/>
      <c r="L893" s="14"/>
      <c r="M893" s="14"/>
      <c r="N893" s="14"/>
      <c r="O893" s="14"/>
      <c r="P893" s="14"/>
      <c r="Q893" s="14"/>
    </row>
    <row r="894" spans="9:17" ht="14.25" customHeight="1">
      <c r="I894" s="14"/>
      <c r="J894" s="14"/>
      <c r="K894" s="14"/>
      <c r="L894" s="14"/>
      <c r="M894" s="14"/>
      <c r="N894" s="14"/>
      <c r="O894" s="14"/>
      <c r="P894" s="14"/>
      <c r="Q894" s="14"/>
    </row>
    <row r="895" spans="9:17" ht="14.25" customHeight="1">
      <c r="I895" s="14"/>
      <c r="J895" s="14"/>
      <c r="K895" s="14"/>
      <c r="L895" s="14"/>
      <c r="M895" s="14"/>
      <c r="N895" s="14"/>
      <c r="O895" s="14"/>
      <c r="P895" s="14"/>
      <c r="Q895" s="14"/>
    </row>
    <row r="896" spans="9:17" ht="14.25" customHeight="1">
      <c r="I896" s="14"/>
      <c r="J896" s="14"/>
      <c r="K896" s="14"/>
      <c r="L896" s="14"/>
      <c r="M896" s="14"/>
      <c r="N896" s="14"/>
      <c r="O896" s="14"/>
      <c r="P896" s="14"/>
      <c r="Q896" s="14"/>
    </row>
    <row r="897" spans="9:17" ht="14.25" customHeight="1">
      <c r="I897" s="14"/>
      <c r="J897" s="14"/>
      <c r="K897" s="14"/>
      <c r="L897" s="14"/>
      <c r="M897" s="14"/>
      <c r="N897" s="14"/>
      <c r="O897" s="14"/>
      <c r="P897" s="14"/>
      <c r="Q897" s="14"/>
    </row>
    <row r="898" spans="9:17" ht="14.25" customHeight="1">
      <c r="I898" s="14"/>
      <c r="J898" s="14"/>
      <c r="K898" s="14"/>
      <c r="L898" s="14"/>
      <c r="M898" s="14"/>
      <c r="N898" s="14"/>
      <c r="O898" s="14"/>
      <c r="P898" s="14"/>
      <c r="Q898" s="14"/>
    </row>
    <row r="899" spans="9:17" ht="14.25" customHeight="1">
      <c r="I899" s="14"/>
      <c r="J899" s="14"/>
      <c r="K899" s="14"/>
      <c r="L899" s="14"/>
      <c r="M899" s="14"/>
      <c r="N899" s="14"/>
      <c r="O899" s="14"/>
      <c r="P899" s="14"/>
      <c r="Q899" s="14"/>
    </row>
    <row r="900" spans="9:17" ht="14.25" customHeight="1">
      <c r="I900" s="14"/>
      <c r="J900" s="14"/>
      <c r="K900" s="14"/>
      <c r="L900" s="14"/>
      <c r="M900" s="14"/>
      <c r="N900" s="14"/>
      <c r="O900" s="14"/>
      <c r="P900" s="14"/>
      <c r="Q900" s="14"/>
    </row>
    <row r="901" spans="9:17" ht="14.25" customHeight="1">
      <c r="I901" s="14"/>
      <c r="J901" s="14"/>
      <c r="K901" s="14"/>
      <c r="L901" s="14"/>
      <c r="M901" s="14"/>
      <c r="N901" s="14"/>
      <c r="O901" s="14"/>
      <c r="P901" s="14"/>
      <c r="Q901" s="14"/>
    </row>
    <row r="902" spans="9:17" ht="14.25" customHeight="1">
      <c r="I902" s="14"/>
      <c r="J902" s="14"/>
      <c r="K902" s="14"/>
      <c r="L902" s="14"/>
      <c r="M902" s="14"/>
      <c r="N902" s="14"/>
      <c r="O902" s="14"/>
      <c r="P902" s="14"/>
      <c r="Q902" s="14"/>
    </row>
    <row r="903" spans="9:17" ht="14.25" customHeight="1">
      <c r="I903" s="14"/>
      <c r="J903" s="14"/>
      <c r="K903" s="14"/>
      <c r="L903" s="14"/>
      <c r="M903" s="14"/>
      <c r="N903" s="14"/>
      <c r="O903" s="14"/>
      <c r="P903" s="14"/>
      <c r="Q903" s="14"/>
    </row>
    <row r="904" spans="9:17" ht="14.25" customHeight="1">
      <c r="I904" s="14"/>
      <c r="J904" s="14"/>
      <c r="K904" s="14"/>
      <c r="L904" s="14"/>
      <c r="M904" s="14"/>
      <c r="N904" s="14"/>
      <c r="O904" s="14"/>
      <c r="P904" s="14"/>
      <c r="Q904" s="14"/>
    </row>
    <row r="905" spans="9:17" ht="14.25" customHeight="1">
      <c r="I905" s="14"/>
      <c r="J905" s="14"/>
      <c r="K905" s="14"/>
      <c r="L905" s="14"/>
      <c r="M905" s="14"/>
      <c r="N905" s="14"/>
      <c r="O905" s="14"/>
      <c r="P905" s="14"/>
      <c r="Q905" s="14"/>
    </row>
    <row r="906" spans="9:17" ht="14.25" customHeight="1">
      <c r="I906" s="14"/>
      <c r="J906" s="14"/>
      <c r="K906" s="14"/>
      <c r="L906" s="14"/>
      <c r="M906" s="14"/>
      <c r="N906" s="14"/>
      <c r="O906" s="14"/>
      <c r="P906" s="14"/>
      <c r="Q906" s="14"/>
    </row>
    <row r="907" spans="9:17" ht="14.25" customHeight="1">
      <c r="I907" s="14"/>
      <c r="J907" s="14"/>
      <c r="K907" s="14"/>
      <c r="L907" s="14"/>
      <c r="M907" s="14"/>
      <c r="N907" s="14"/>
      <c r="O907" s="14"/>
      <c r="P907" s="14"/>
      <c r="Q907" s="14"/>
    </row>
    <row r="908" spans="9:17" ht="14.25" customHeight="1">
      <c r="I908" s="14"/>
      <c r="J908" s="14"/>
      <c r="K908" s="14"/>
      <c r="L908" s="14"/>
      <c r="M908" s="14"/>
      <c r="N908" s="14"/>
      <c r="O908" s="14"/>
      <c r="P908" s="14"/>
      <c r="Q908" s="14"/>
    </row>
    <row r="909" spans="9:17" ht="14.25" customHeight="1">
      <c r="I909" s="14"/>
      <c r="J909" s="14"/>
      <c r="K909" s="14"/>
      <c r="L909" s="14"/>
      <c r="M909" s="14"/>
      <c r="N909" s="14"/>
      <c r="O909" s="14"/>
      <c r="P909" s="14"/>
      <c r="Q909" s="14"/>
    </row>
    <row r="910" spans="9:17" ht="14.25" customHeight="1">
      <c r="I910" s="14"/>
      <c r="J910" s="14"/>
      <c r="K910" s="14"/>
      <c r="L910" s="14"/>
      <c r="M910" s="14"/>
      <c r="N910" s="14"/>
      <c r="O910" s="14"/>
      <c r="P910" s="14"/>
      <c r="Q910" s="14"/>
    </row>
    <row r="911" spans="9:17" ht="14.25" customHeight="1">
      <c r="I911" s="14"/>
      <c r="J911" s="14"/>
      <c r="K911" s="14"/>
      <c r="L911" s="14"/>
      <c r="M911" s="14"/>
      <c r="N911" s="14"/>
      <c r="O911" s="14"/>
      <c r="P911" s="14"/>
      <c r="Q911" s="14"/>
    </row>
    <row r="912" spans="9:17" ht="14.25" customHeight="1">
      <c r="I912" s="14"/>
      <c r="J912" s="14"/>
      <c r="K912" s="14"/>
      <c r="L912" s="14"/>
      <c r="M912" s="14"/>
      <c r="N912" s="14"/>
      <c r="O912" s="14"/>
      <c r="P912" s="14"/>
      <c r="Q912" s="14"/>
    </row>
    <row r="913" spans="9:17" ht="14.25" customHeight="1">
      <c r="I913" s="14"/>
      <c r="J913" s="14"/>
      <c r="K913" s="14"/>
      <c r="L913" s="14"/>
      <c r="M913" s="14"/>
      <c r="N913" s="14"/>
      <c r="O913" s="14"/>
      <c r="P913" s="14"/>
      <c r="Q913" s="14"/>
    </row>
    <row r="914" spans="9:17" ht="14.25" customHeight="1">
      <c r="I914" s="14"/>
      <c r="J914" s="14"/>
      <c r="K914" s="14"/>
      <c r="L914" s="14"/>
      <c r="M914" s="14"/>
      <c r="N914" s="14"/>
      <c r="O914" s="14"/>
      <c r="P914" s="14"/>
      <c r="Q914" s="14"/>
    </row>
    <row r="915" spans="9:17" ht="14.25" customHeight="1">
      <c r="I915" s="14"/>
      <c r="J915" s="14"/>
      <c r="K915" s="14"/>
      <c r="L915" s="14"/>
      <c r="M915" s="14"/>
      <c r="N915" s="14"/>
      <c r="O915" s="14"/>
      <c r="P915" s="14"/>
      <c r="Q915" s="14"/>
    </row>
    <row r="916" spans="9:17" ht="14.25" customHeight="1">
      <c r="I916" s="14"/>
      <c r="J916" s="14"/>
      <c r="K916" s="14"/>
      <c r="L916" s="14"/>
      <c r="M916" s="14"/>
      <c r="N916" s="14"/>
      <c r="O916" s="14"/>
      <c r="P916" s="14"/>
      <c r="Q916" s="14"/>
    </row>
    <row r="917" spans="9:17" ht="14.25" customHeight="1">
      <c r="I917" s="14"/>
      <c r="J917" s="14"/>
      <c r="K917" s="14"/>
      <c r="L917" s="14"/>
      <c r="M917" s="14"/>
      <c r="N917" s="14"/>
      <c r="O917" s="14"/>
      <c r="P917" s="14"/>
      <c r="Q917" s="14"/>
    </row>
    <row r="918" spans="9:17" ht="14.25" customHeight="1">
      <c r="I918" s="14"/>
      <c r="J918" s="14"/>
      <c r="K918" s="14"/>
      <c r="L918" s="14"/>
      <c r="M918" s="14"/>
      <c r="N918" s="14"/>
      <c r="O918" s="14"/>
      <c r="P918" s="14"/>
      <c r="Q918" s="14"/>
    </row>
    <row r="919" spans="9:17" ht="14.25" customHeight="1">
      <c r="I919" s="14"/>
      <c r="J919" s="14"/>
      <c r="K919" s="14"/>
      <c r="L919" s="14"/>
      <c r="M919" s="14"/>
      <c r="N919" s="14"/>
      <c r="O919" s="14"/>
      <c r="P919" s="14"/>
      <c r="Q919" s="14"/>
    </row>
    <row r="920" spans="9:17" ht="14.25" customHeight="1">
      <c r="I920" s="14"/>
      <c r="J920" s="14"/>
      <c r="K920" s="14"/>
      <c r="L920" s="14"/>
      <c r="M920" s="14"/>
      <c r="N920" s="14"/>
      <c r="O920" s="14"/>
      <c r="P920" s="14"/>
      <c r="Q920" s="14"/>
    </row>
    <row r="921" spans="9:17" ht="14.25" customHeight="1">
      <c r="I921" s="14"/>
      <c r="J921" s="14"/>
      <c r="K921" s="14"/>
      <c r="L921" s="14"/>
      <c r="M921" s="14"/>
      <c r="N921" s="14"/>
      <c r="O921" s="14"/>
      <c r="P921" s="14"/>
      <c r="Q921" s="14"/>
    </row>
    <row r="922" spans="9:17" ht="14.25" customHeight="1">
      <c r="I922" s="14"/>
      <c r="J922" s="14"/>
      <c r="K922" s="14"/>
      <c r="L922" s="14"/>
      <c r="M922" s="14"/>
      <c r="N922" s="14"/>
      <c r="O922" s="14"/>
      <c r="P922" s="14"/>
      <c r="Q922" s="14"/>
    </row>
    <row r="923" spans="9:17" ht="14.25" customHeight="1">
      <c r="I923" s="14"/>
      <c r="J923" s="14"/>
      <c r="K923" s="14"/>
      <c r="L923" s="14"/>
      <c r="M923" s="14"/>
      <c r="N923" s="14"/>
      <c r="O923" s="14"/>
      <c r="P923" s="14"/>
      <c r="Q923" s="14"/>
    </row>
    <row r="924" spans="9:17" ht="14.25" customHeight="1">
      <c r="I924" s="14"/>
      <c r="J924" s="14"/>
      <c r="K924" s="14"/>
      <c r="L924" s="14"/>
      <c r="M924" s="14"/>
      <c r="N924" s="14"/>
      <c r="O924" s="14"/>
      <c r="P924" s="14"/>
      <c r="Q924" s="14"/>
    </row>
    <row r="925" spans="9:17" ht="14.25" customHeight="1">
      <c r="I925" s="14"/>
      <c r="J925" s="14"/>
      <c r="K925" s="14"/>
      <c r="L925" s="14"/>
      <c r="M925" s="14"/>
      <c r="N925" s="14"/>
      <c r="O925" s="14"/>
      <c r="P925" s="14"/>
      <c r="Q925" s="14"/>
    </row>
    <row r="926" spans="9:17" ht="14.25" customHeight="1">
      <c r="I926" s="14"/>
      <c r="J926" s="14"/>
      <c r="K926" s="14"/>
      <c r="L926" s="14"/>
      <c r="M926" s="14"/>
      <c r="N926" s="14"/>
      <c r="O926" s="14"/>
      <c r="P926" s="14"/>
      <c r="Q926" s="14"/>
    </row>
    <row r="927" spans="9:17" ht="14.25" customHeight="1">
      <c r="I927" s="14"/>
      <c r="J927" s="14"/>
      <c r="K927" s="14"/>
      <c r="L927" s="14"/>
      <c r="M927" s="14"/>
      <c r="N927" s="14"/>
      <c r="O927" s="14"/>
      <c r="P927" s="14"/>
      <c r="Q927" s="14"/>
    </row>
    <row r="928" spans="9:17" ht="14.25" customHeight="1">
      <c r="I928" s="14"/>
      <c r="J928" s="14"/>
      <c r="K928" s="14"/>
      <c r="L928" s="14"/>
      <c r="M928" s="14"/>
      <c r="N928" s="14"/>
      <c r="O928" s="14"/>
      <c r="P928" s="14"/>
      <c r="Q928" s="14"/>
    </row>
    <row r="929" spans="9:17" ht="14.25" customHeight="1">
      <c r="I929" s="14"/>
      <c r="J929" s="14"/>
      <c r="K929" s="14"/>
      <c r="L929" s="14"/>
      <c r="M929" s="14"/>
      <c r="N929" s="14"/>
      <c r="O929" s="14"/>
      <c r="P929" s="14"/>
      <c r="Q929" s="14"/>
    </row>
    <row r="930" spans="9:17" ht="14.25" customHeight="1">
      <c r="I930" s="14"/>
      <c r="J930" s="14"/>
      <c r="K930" s="14"/>
      <c r="L930" s="14"/>
      <c r="M930" s="14"/>
      <c r="N930" s="14"/>
      <c r="O930" s="14"/>
      <c r="P930" s="14"/>
      <c r="Q930" s="14"/>
    </row>
    <row r="931" spans="9:17" ht="14.25" customHeight="1">
      <c r="I931" s="14"/>
      <c r="J931" s="14"/>
      <c r="K931" s="14"/>
      <c r="L931" s="14"/>
      <c r="M931" s="14"/>
      <c r="N931" s="14"/>
      <c r="O931" s="14"/>
      <c r="P931" s="14"/>
      <c r="Q931" s="14"/>
    </row>
    <row r="932" spans="9:17" ht="14.25" customHeight="1">
      <c r="I932" s="14"/>
      <c r="J932" s="14"/>
      <c r="K932" s="14"/>
      <c r="L932" s="14"/>
      <c r="M932" s="14"/>
      <c r="N932" s="14"/>
      <c r="O932" s="14"/>
      <c r="P932" s="14"/>
      <c r="Q932" s="14"/>
    </row>
    <row r="933" spans="9:17" ht="14.25" customHeight="1">
      <c r="I933" s="14"/>
      <c r="J933" s="14"/>
      <c r="K933" s="14"/>
      <c r="L933" s="14"/>
      <c r="M933" s="14"/>
      <c r="N933" s="14"/>
      <c r="O933" s="14"/>
      <c r="P933" s="14"/>
      <c r="Q933" s="14"/>
    </row>
    <row r="934" spans="9:17" ht="14.25" customHeight="1">
      <c r="I934" s="14"/>
      <c r="J934" s="14"/>
      <c r="K934" s="14"/>
      <c r="L934" s="14"/>
      <c r="M934" s="14"/>
      <c r="N934" s="14"/>
      <c r="O934" s="14"/>
      <c r="P934" s="14"/>
      <c r="Q934" s="14"/>
    </row>
    <row r="935" spans="9:17" ht="14.25" customHeight="1">
      <c r="I935" s="14"/>
      <c r="J935" s="14"/>
      <c r="K935" s="14"/>
      <c r="L935" s="14"/>
      <c r="M935" s="14"/>
      <c r="N935" s="14"/>
      <c r="O935" s="14"/>
      <c r="P935" s="14"/>
      <c r="Q935" s="14"/>
    </row>
    <row r="936" spans="9:17" ht="14.25" customHeight="1">
      <c r="I936" s="14"/>
      <c r="J936" s="14"/>
      <c r="K936" s="14"/>
      <c r="L936" s="14"/>
      <c r="M936" s="14"/>
      <c r="N936" s="14"/>
      <c r="O936" s="14"/>
      <c r="P936" s="14"/>
      <c r="Q936" s="14"/>
    </row>
    <row r="937" spans="9:17" ht="14.25" customHeight="1">
      <c r="I937" s="14"/>
      <c r="J937" s="14"/>
      <c r="K937" s="14"/>
      <c r="L937" s="14"/>
      <c r="M937" s="14"/>
      <c r="N937" s="14"/>
      <c r="O937" s="14"/>
      <c r="P937" s="14"/>
      <c r="Q937" s="14"/>
    </row>
    <row r="938" spans="9:17" ht="14.25" customHeight="1">
      <c r="I938" s="14"/>
      <c r="J938" s="14"/>
      <c r="K938" s="14"/>
      <c r="L938" s="14"/>
      <c r="M938" s="14"/>
      <c r="N938" s="14"/>
      <c r="O938" s="14"/>
      <c r="P938" s="14"/>
      <c r="Q938" s="14"/>
    </row>
    <row r="939" spans="9:17" ht="14.25" customHeight="1">
      <c r="I939" s="14"/>
      <c r="J939" s="14"/>
      <c r="K939" s="14"/>
      <c r="L939" s="14"/>
      <c r="M939" s="14"/>
      <c r="N939" s="14"/>
      <c r="O939" s="14"/>
      <c r="P939" s="14"/>
      <c r="Q939" s="14"/>
    </row>
    <row r="940" spans="9:17" ht="14.25" customHeight="1">
      <c r="I940" s="14"/>
      <c r="J940" s="14"/>
      <c r="K940" s="14"/>
      <c r="L940" s="14"/>
      <c r="M940" s="14"/>
      <c r="N940" s="14"/>
      <c r="O940" s="14"/>
      <c r="P940" s="14"/>
      <c r="Q940" s="14"/>
    </row>
    <row r="941" spans="9:17" ht="14.25" customHeight="1">
      <c r="I941" s="14"/>
      <c r="J941" s="14"/>
      <c r="K941" s="14"/>
      <c r="L941" s="14"/>
      <c r="M941" s="14"/>
      <c r="N941" s="14"/>
      <c r="O941" s="14"/>
      <c r="P941" s="14"/>
      <c r="Q941" s="14"/>
    </row>
    <row r="942" spans="9:17" ht="14.25" customHeight="1">
      <c r="I942" s="14"/>
      <c r="J942" s="14"/>
      <c r="K942" s="14"/>
      <c r="L942" s="14"/>
      <c r="M942" s="14"/>
      <c r="N942" s="14"/>
      <c r="O942" s="14"/>
      <c r="P942" s="14"/>
      <c r="Q942" s="14"/>
    </row>
    <row r="943" spans="9:17" ht="14.25" customHeight="1">
      <c r="I943" s="14"/>
      <c r="J943" s="14"/>
      <c r="K943" s="14"/>
      <c r="L943" s="14"/>
      <c r="M943" s="14"/>
      <c r="N943" s="14"/>
      <c r="O943" s="14"/>
      <c r="P943" s="14"/>
      <c r="Q943" s="14"/>
    </row>
    <row r="944" spans="9:17" ht="14.25" customHeight="1">
      <c r="I944" s="14"/>
      <c r="J944" s="14"/>
      <c r="K944" s="14"/>
      <c r="L944" s="14"/>
      <c r="M944" s="14"/>
      <c r="N944" s="14"/>
      <c r="O944" s="14"/>
      <c r="P944" s="14"/>
      <c r="Q944" s="14"/>
    </row>
    <row r="945" spans="9:17" ht="14.25" customHeight="1">
      <c r="I945" s="14"/>
      <c r="J945" s="14"/>
      <c r="K945" s="14"/>
      <c r="L945" s="14"/>
      <c r="M945" s="14"/>
      <c r="N945" s="14"/>
      <c r="O945" s="14"/>
      <c r="P945" s="14"/>
      <c r="Q945" s="14"/>
    </row>
    <row r="946" spans="9:17" ht="14.25" customHeight="1">
      <c r="I946" s="14"/>
      <c r="J946" s="14"/>
      <c r="K946" s="14"/>
      <c r="L946" s="14"/>
      <c r="M946" s="14"/>
      <c r="N946" s="14"/>
      <c r="O946" s="14"/>
      <c r="P946" s="14"/>
      <c r="Q946" s="14"/>
    </row>
    <row r="947" spans="9:17" ht="14.25" customHeight="1">
      <c r="I947" s="14"/>
      <c r="J947" s="14"/>
      <c r="K947" s="14"/>
      <c r="L947" s="14"/>
      <c r="M947" s="14"/>
      <c r="N947" s="14"/>
      <c r="O947" s="14"/>
      <c r="P947" s="14"/>
      <c r="Q947" s="14"/>
    </row>
    <row r="948" spans="9:17" ht="14.25" customHeight="1">
      <c r="I948" s="14"/>
      <c r="J948" s="14"/>
      <c r="K948" s="14"/>
      <c r="L948" s="14"/>
      <c r="M948" s="14"/>
      <c r="N948" s="14"/>
      <c r="O948" s="14"/>
      <c r="P948" s="14"/>
      <c r="Q948" s="14"/>
    </row>
    <row r="949" spans="9:17" ht="14.25" customHeight="1">
      <c r="I949" s="14"/>
      <c r="J949" s="14"/>
      <c r="K949" s="14"/>
      <c r="L949" s="14"/>
      <c r="M949" s="14"/>
      <c r="N949" s="14"/>
      <c r="O949" s="14"/>
      <c r="P949" s="14"/>
      <c r="Q949" s="14"/>
    </row>
    <row r="950" spans="9:17" ht="14.25" customHeight="1">
      <c r="I950" s="14"/>
      <c r="J950" s="14"/>
      <c r="K950" s="14"/>
      <c r="L950" s="14"/>
      <c r="M950" s="14"/>
      <c r="N950" s="14"/>
      <c r="O950" s="14"/>
      <c r="P950" s="14"/>
      <c r="Q950" s="14"/>
    </row>
    <row r="951" spans="9:17" ht="14.25" customHeight="1">
      <c r="I951" s="14"/>
      <c r="J951" s="14"/>
      <c r="K951" s="14"/>
      <c r="L951" s="14"/>
      <c r="M951" s="14"/>
      <c r="N951" s="14"/>
      <c r="O951" s="14"/>
      <c r="P951" s="14"/>
      <c r="Q951" s="14"/>
    </row>
    <row r="952" spans="9:17" ht="14.25" customHeight="1">
      <c r="I952" s="14"/>
      <c r="J952" s="14"/>
      <c r="K952" s="14"/>
      <c r="L952" s="14"/>
      <c r="M952" s="14"/>
      <c r="N952" s="14"/>
      <c r="O952" s="14"/>
      <c r="P952" s="14"/>
      <c r="Q952" s="14"/>
    </row>
    <row r="953" spans="9:17" ht="14.25" customHeight="1">
      <c r="I953" s="14"/>
      <c r="J953" s="14"/>
      <c r="K953" s="14"/>
      <c r="L953" s="14"/>
      <c r="M953" s="14"/>
      <c r="N953" s="14"/>
      <c r="O953" s="14"/>
      <c r="P953" s="14"/>
      <c r="Q953" s="14"/>
    </row>
    <row r="954" spans="9:17" ht="14.25" customHeight="1">
      <c r="I954" s="14"/>
      <c r="J954" s="14"/>
      <c r="K954" s="14"/>
      <c r="L954" s="14"/>
      <c r="M954" s="14"/>
      <c r="N954" s="14"/>
      <c r="O954" s="14"/>
      <c r="P954" s="14"/>
      <c r="Q954" s="14"/>
    </row>
    <row r="955" spans="9:17" ht="14.25" customHeight="1">
      <c r="I955" s="14"/>
      <c r="J955" s="14"/>
      <c r="K955" s="14"/>
      <c r="L955" s="14"/>
      <c r="M955" s="14"/>
      <c r="N955" s="14"/>
      <c r="O955" s="14"/>
      <c r="P955" s="14"/>
      <c r="Q955" s="14"/>
    </row>
    <row r="956" spans="9:17" ht="14.25" customHeight="1">
      <c r="I956" s="14"/>
      <c r="J956" s="14"/>
      <c r="K956" s="14"/>
      <c r="L956" s="14"/>
      <c r="M956" s="14"/>
      <c r="N956" s="14"/>
      <c r="O956" s="14"/>
      <c r="P956" s="14"/>
      <c r="Q956" s="14"/>
    </row>
    <row r="957" spans="9:17" ht="14.25" customHeight="1">
      <c r="I957" s="14"/>
      <c r="J957" s="14"/>
      <c r="K957" s="14"/>
      <c r="L957" s="14"/>
      <c r="M957" s="14"/>
      <c r="N957" s="14"/>
      <c r="O957" s="14"/>
      <c r="P957" s="14"/>
      <c r="Q957" s="14"/>
    </row>
    <row r="958" spans="9:17" ht="14.25" customHeight="1">
      <c r="I958" s="14"/>
      <c r="J958" s="14"/>
      <c r="K958" s="14"/>
      <c r="L958" s="14"/>
      <c r="M958" s="14"/>
      <c r="N958" s="14"/>
      <c r="O958" s="14"/>
      <c r="P958" s="14"/>
      <c r="Q958" s="14"/>
    </row>
    <row r="959" spans="9:17" ht="14.25" customHeight="1">
      <c r="I959" s="14"/>
      <c r="J959" s="14"/>
      <c r="K959" s="14"/>
      <c r="L959" s="14"/>
      <c r="M959" s="14"/>
      <c r="N959" s="14"/>
      <c r="O959" s="14"/>
      <c r="P959" s="14"/>
      <c r="Q959" s="14"/>
    </row>
    <row r="960" spans="9:17" ht="14.25" customHeight="1">
      <c r="I960" s="14"/>
      <c r="J960" s="14"/>
      <c r="K960" s="14"/>
      <c r="L960" s="14"/>
      <c r="M960" s="14"/>
      <c r="N960" s="14"/>
      <c r="O960" s="14"/>
      <c r="P960" s="14"/>
      <c r="Q960" s="14"/>
    </row>
    <row r="961" spans="9:17" ht="14.25" customHeight="1">
      <c r="I961" s="14"/>
      <c r="J961" s="14"/>
      <c r="K961" s="14"/>
      <c r="L961" s="14"/>
      <c r="M961" s="14"/>
      <c r="N961" s="14"/>
      <c r="O961" s="14"/>
      <c r="P961" s="14"/>
      <c r="Q961" s="14"/>
    </row>
    <row r="962" spans="9:17" ht="14.25" customHeight="1">
      <c r="I962" s="14"/>
      <c r="J962" s="14"/>
      <c r="K962" s="14"/>
      <c r="L962" s="14"/>
      <c r="M962" s="14"/>
      <c r="N962" s="14"/>
      <c r="O962" s="14"/>
      <c r="P962" s="14"/>
      <c r="Q962" s="14"/>
    </row>
    <row r="963" spans="9:17" ht="14.25" customHeight="1">
      <c r="I963" s="14"/>
      <c r="J963" s="14"/>
      <c r="K963" s="14"/>
      <c r="L963" s="14"/>
      <c r="M963" s="14"/>
      <c r="N963" s="14"/>
      <c r="O963" s="14"/>
      <c r="P963" s="14"/>
      <c r="Q963" s="14"/>
    </row>
    <row r="964" spans="9:17" ht="14.25" customHeight="1">
      <c r="I964" s="14"/>
      <c r="J964" s="14"/>
      <c r="K964" s="14"/>
      <c r="L964" s="14"/>
      <c r="M964" s="14"/>
      <c r="N964" s="14"/>
      <c r="O964" s="14"/>
      <c r="P964" s="14"/>
      <c r="Q964" s="14"/>
    </row>
    <row r="965" spans="9:17" ht="14.25" customHeight="1">
      <c r="I965" s="14"/>
      <c r="J965" s="14"/>
      <c r="K965" s="14"/>
      <c r="L965" s="14"/>
      <c r="M965" s="14"/>
      <c r="N965" s="14"/>
      <c r="O965" s="14"/>
      <c r="P965" s="14"/>
      <c r="Q965" s="14"/>
    </row>
    <row r="966" spans="9:17" ht="14.25" customHeight="1">
      <c r="I966" s="14"/>
      <c r="J966" s="14"/>
      <c r="K966" s="14"/>
      <c r="L966" s="14"/>
      <c r="M966" s="14"/>
      <c r="N966" s="14"/>
      <c r="O966" s="14"/>
      <c r="P966" s="14"/>
      <c r="Q966" s="14"/>
    </row>
    <row r="967" spans="9:17" ht="14.25" customHeight="1">
      <c r="I967" s="14"/>
      <c r="J967" s="14"/>
      <c r="K967" s="14"/>
      <c r="L967" s="14"/>
      <c r="M967" s="14"/>
      <c r="N967" s="14"/>
      <c r="O967" s="14"/>
      <c r="P967" s="14"/>
      <c r="Q967" s="14"/>
    </row>
    <row r="968" spans="9:17" ht="14.25" customHeight="1">
      <c r="I968" s="14"/>
      <c r="J968" s="14"/>
      <c r="K968" s="14"/>
      <c r="L968" s="14"/>
      <c r="M968" s="14"/>
      <c r="N968" s="14"/>
      <c r="O968" s="14"/>
      <c r="P968" s="14"/>
      <c r="Q968" s="14"/>
    </row>
    <row r="969" spans="9:17" ht="14.25" customHeight="1">
      <c r="I969" s="14"/>
      <c r="J969" s="14"/>
      <c r="K969" s="14"/>
      <c r="L969" s="14"/>
      <c r="M969" s="14"/>
      <c r="N969" s="14"/>
      <c r="O969" s="14"/>
      <c r="P969" s="14"/>
      <c r="Q969" s="14"/>
    </row>
    <row r="970" spans="9:17" ht="14.25" customHeight="1">
      <c r="I970" s="14"/>
      <c r="J970" s="14"/>
      <c r="K970" s="14"/>
      <c r="L970" s="14"/>
      <c r="M970" s="14"/>
      <c r="N970" s="14"/>
      <c r="O970" s="14"/>
      <c r="P970" s="14"/>
      <c r="Q970" s="14"/>
    </row>
    <row r="971" spans="9:17" ht="14.25" customHeight="1">
      <c r="I971" s="14"/>
      <c r="J971" s="14"/>
      <c r="K971" s="14"/>
      <c r="L971" s="14"/>
      <c r="M971" s="14"/>
      <c r="N971" s="14"/>
      <c r="O971" s="14"/>
      <c r="P971" s="14"/>
      <c r="Q971" s="14"/>
    </row>
    <row r="972" spans="9:17" ht="14.25" customHeight="1">
      <c r="I972" s="14"/>
      <c r="J972" s="14"/>
      <c r="K972" s="14"/>
      <c r="L972" s="14"/>
      <c r="M972" s="14"/>
      <c r="N972" s="14"/>
      <c r="O972" s="14"/>
      <c r="P972" s="14"/>
      <c r="Q972" s="14"/>
    </row>
    <row r="973" spans="9:17" ht="14.25" customHeight="1">
      <c r="I973" s="14"/>
      <c r="J973" s="14"/>
      <c r="K973" s="14"/>
      <c r="L973" s="14"/>
      <c r="M973" s="14"/>
      <c r="N973" s="14"/>
      <c r="O973" s="14"/>
      <c r="P973" s="14"/>
      <c r="Q973" s="14"/>
    </row>
    <row r="974" spans="9:17" ht="14.25" customHeight="1">
      <c r="I974" s="14"/>
      <c r="J974" s="14"/>
      <c r="K974" s="14"/>
      <c r="L974" s="14"/>
      <c r="M974" s="14"/>
      <c r="N974" s="14"/>
      <c r="O974" s="14"/>
      <c r="P974" s="14"/>
      <c r="Q974" s="14"/>
    </row>
    <row r="975" spans="9:17" ht="14.25" customHeight="1">
      <c r="I975" s="14"/>
      <c r="J975" s="14"/>
      <c r="K975" s="14"/>
      <c r="L975" s="14"/>
      <c r="M975" s="14"/>
      <c r="N975" s="14"/>
      <c r="O975" s="14"/>
      <c r="P975" s="14"/>
      <c r="Q975" s="14"/>
    </row>
    <row r="976" spans="9:17" ht="14.25" customHeight="1">
      <c r="I976" s="14"/>
      <c r="J976" s="14"/>
      <c r="K976" s="14"/>
      <c r="L976" s="14"/>
      <c r="M976" s="14"/>
      <c r="N976" s="14"/>
      <c r="O976" s="14"/>
      <c r="P976" s="14"/>
      <c r="Q976" s="14"/>
    </row>
    <row r="977" spans="9:17" ht="14.25" customHeight="1">
      <c r="I977" s="14"/>
      <c r="J977" s="14"/>
      <c r="K977" s="14"/>
      <c r="L977" s="14"/>
      <c r="M977" s="14"/>
      <c r="N977" s="14"/>
      <c r="O977" s="14"/>
      <c r="P977" s="14"/>
      <c r="Q977" s="14"/>
    </row>
    <row r="978" spans="9:17" ht="14.25" customHeight="1">
      <c r="I978" s="14"/>
      <c r="J978" s="14"/>
      <c r="K978" s="14"/>
      <c r="L978" s="14"/>
      <c r="M978" s="14"/>
      <c r="N978" s="14"/>
      <c r="O978" s="14"/>
      <c r="P978" s="14"/>
      <c r="Q978" s="14"/>
    </row>
    <row r="979" spans="9:17" ht="14.25" customHeight="1">
      <c r="I979" s="14"/>
      <c r="J979" s="14"/>
      <c r="K979" s="14"/>
      <c r="L979" s="14"/>
      <c r="M979" s="14"/>
      <c r="N979" s="14"/>
      <c r="O979" s="14"/>
      <c r="P979" s="14"/>
      <c r="Q979" s="14"/>
    </row>
    <row r="980" spans="9:17" ht="14.25" customHeight="1">
      <c r="I980" s="14"/>
      <c r="J980" s="14"/>
      <c r="K980" s="14"/>
      <c r="L980" s="14"/>
      <c r="M980" s="14"/>
      <c r="N980" s="14"/>
      <c r="O980" s="14"/>
      <c r="P980" s="14"/>
      <c r="Q980" s="14"/>
    </row>
    <row r="981" spans="9:17" ht="14.25" customHeight="1">
      <c r="I981" s="14"/>
      <c r="J981" s="14"/>
      <c r="K981" s="14"/>
      <c r="L981" s="14"/>
      <c r="M981" s="14"/>
      <c r="N981" s="14"/>
      <c r="O981" s="14"/>
      <c r="P981" s="14"/>
      <c r="Q981" s="14"/>
    </row>
    <row r="982" spans="9:17" ht="14.25" customHeight="1">
      <c r="I982" s="14"/>
      <c r="J982" s="14"/>
      <c r="K982" s="14"/>
      <c r="L982" s="14"/>
      <c r="M982" s="14"/>
      <c r="N982" s="14"/>
      <c r="O982" s="14"/>
      <c r="P982" s="14"/>
      <c r="Q982" s="14"/>
    </row>
    <row r="983" spans="9:17" ht="14.25" customHeight="1">
      <c r="I983" s="14"/>
      <c r="J983" s="14"/>
      <c r="K983" s="14"/>
      <c r="L983" s="14"/>
      <c r="M983" s="14"/>
      <c r="N983" s="14"/>
      <c r="O983" s="14"/>
      <c r="P983" s="14"/>
      <c r="Q983" s="14"/>
    </row>
    <row r="984" spans="9:17" ht="14.25" customHeight="1">
      <c r="I984" s="14"/>
      <c r="J984" s="14"/>
      <c r="K984" s="14"/>
      <c r="L984" s="14"/>
      <c r="M984" s="14"/>
      <c r="N984" s="14"/>
      <c r="O984" s="14"/>
      <c r="P984" s="14"/>
      <c r="Q984" s="14"/>
    </row>
    <row r="985" spans="9:17" ht="14.25" customHeight="1">
      <c r="I985" s="14"/>
      <c r="J985" s="14"/>
      <c r="K985" s="14"/>
      <c r="L985" s="14"/>
      <c r="M985" s="14"/>
      <c r="N985" s="14"/>
      <c r="O985" s="14"/>
      <c r="P985" s="14"/>
      <c r="Q985" s="14"/>
    </row>
    <row r="986" spans="9:17" ht="14.25" customHeight="1">
      <c r="I986" s="14"/>
      <c r="J986" s="14"/>
      <c r="K986" s="14"/>
      <c r="L986" s="14"/>
      <c r="M986" s="14"/>
      <c r="N986" s="14"/>
      <c r="O986" s="14"/>
      <c r="P986" s="14"/>
      <c r="Q986" s="14"/>
    </row>
    <row r="987" spans="9:17" ht="14.25" customHeight="1">
      <c r="I987" s="14"/>
      <c r="J987" s="14"/>
      <c r="K987" s="14"/>
      <c r="L987" s="14"/>
      <c r="M987" s="14"/>
      <c r="N987" s="14"/>
      <c r="O987" s="14"/>
      <c r="P987" s="14"/>
      <c r="Q987" s="14"/>
    </row>
    <row r="988" spans="9:17" ht="14.25" customHeight="1">
      <c r="I988" s="14"/>
      <c r="J988" s="14"/>
      <c r="K988" s="14"/>
      <c r="L988" s="14"/>
      <c r="M988" s="14"/>
      <c r="N988" s="14"/>
      <c r="O988" s="14"/>
      <c r="P988" s="14"/>
      <c r="Q988" s="14"/>
    </row>
    <row r="989" spans="9:17" ht="14.25" customHeight="1">
      <c r="I989" s="14"/>
      <c r="J989" s="14"/>
      <c r="K989" s="14"/>
      <c r="L989" s="14"/>
      <c r="M989" s="14"/>
      <c r="N989" s="14"/>
      <c r="O989" s="14"/>
      <c r="P989" s="14"/>
      <c r="Q989" s="14"/>
    </row>
    <row r="990" spans="9:17" ht="14.25" customHeight="1">
      <c r="I990" s="14"/>
      <c r="J990" s="14"/>
      <c r="K990" s="14"/>
      <c r="L990" s="14"/>
      <c r="M990" s="14"/>
      <c r="N990" s="14"/>
      <c r="O990" s="14"/>
      <c r="P990" s="14"/>
      <c r="Q990" s="14"/>
    </row>
    <row r="991" spans="9:17" ht="14.25" customHeight="1">
      <c r="I991" s="14"/>
      <c r="J991" s="14"/>
      <c r="K991" s="14"/>
      <c r="L991" s="14"/>
      <c r="M991" s="14"/>
      <c r="N991" s="14"/>
      <c r="O991" s="14"/>
      <c r="P991" s="14"/>
      <c r="Q991" s="14"/>
    </row>
    <row r="992" spans="9:17" ht="14.25" customHeight="1">
      <c r="I992" s="14"/>
      <c r="J992" s="14"/>
      <c r="K992" s="14"/>
      <c r="L992" s="14"/>
      <c r="M992" s="14"/>
      <c r="N992" s="14"/>
      <c r="O992" s="14"/>
      <c r="P992" s="14"/>
      <c r="Q992" s="14"/>
    </row>
    <row r="993" spans="9:17" ht="14.25" customHeight="1">
      <c r="I993" s="14"/>
      <c r="J993" s="14"/>
      <c r="K993" s="14"/>
      <c r="L993" s="14"/>
      <c r="M993" s="14"/>
      <c r="N993" s="14"/>
      <c r="O993" s="14"/>
      <c r="P993" s="14"/>
      <c r="Q993" s="14"/>
    </row>
    <row r="994" spans="9:17" ht="14.25" customHeight="1">
      <c r="I994" s="14"/>
      <c r="J994" s="14"/>
      <c r="K994" s="14"/>
      <c r="L994" s="14"/>
      <c r="M994" s="14"/>
      <c r="N994" s="14"/>
      <c r="O994" s="14"/>
      <c r="P994" s="14"/>
      <c r="Q994" s="14"/>
    </row>
    <row r="995" spans="9:17" ht="14.25" customHeight="1">
      <c r="I995" s="14"/>
      <c r="J995" s="14"/>
      <c r="K995" s="14"/>
      <c r="L995" s="14"/>
      <c r="M995" s="14"/>
      <c r="N995" s="14"/>
      <c r="O995" s="14"/>
      <c r="P995" s="14"/>
      <c r="Q995" s="14"/>
    </row>
    <row r="996" spans="9:17" ht="14.25" customHeight="1">
      <c r="I996" s="14"/>
      <c r="J996" s="14"/>
      <c r="K996" s="14"/>
      <c r="L996" s="14"/>
      <c r="M996" s="14"/>
      <c r="N996" s="14"/>
      <c r="O996" s="14"/>
      <c r="P996" s="14"/>
      <c r="Q996" s="14"/>
    </row>
    <row r="997" spans="9:17" ht="14.25" customHeight="1">
      <c r="I997" s="14"/>
      <c r="J997" s="14"/>
      <c r="K997" s="14"/>
      <c r="L997" s="14"/>
      <c r="M997" s="14"/>
      <c r="N997" s="14"/>
      <c r="O997" s="14"/>
      <c r="P997" s="14"/>
      <c r="Q997" s="14"/>
    </row>
    <row r="998" spans="9:17" ht="14.25" customHeight="1">
      <c r="I998" s="14"/>
      <c r="J998" s="14"/>
      <c r="K998" s="14"/>
      <c r="L998" s="14"/>
      <c r="M998" s="14"/>
      <c r="N998" s="14"/>
      <c r="O998" s="14"/>
      <c r="P998" s="14"/>
      <c r="Q998" s="14"/>
    </row>
    <row r="999" spans="9:17" ht="14.25" customHeight="1">
      <c r="I999" s="14"/>
      <c r="J999" s="14"/>
      <c r="K999" s="14"/>
      <c r="L999" s="14"/>
      <c r="M999" s="14"/>
      <c r="N999" s="14"/>
      <c r="O999" s="14"/>
      <c r="P999" s="14"/>
      <c r="Q999" s="14"/>
    </row>
    <row r="1000" spans="9:17" ht="14.25" customHeight="1">
      <c r="I1000" s="14"/>
      <c r="J1000" s="14"/>
      <c r="K1000" s="14"/>
      <c r="L1000" s="14"/>
      <c r="M1000" s="14"/>
      <c r="N1000" s="14"/>
      <c r="O1000" s="14"/>
      <c r="P1000" s="14"/>
      <c r="Q1000" s="14"/>
    </row>
    <row r="1001" spans="9:17" ht="14.25" customHeight="1">
      <c r="I1001" s="14"/>
      <c r="J1001" s="14"/>
      <c r="K1001" s="14"/>
      <c r="L1001" s="14"/>
      <c r="M1001" s="14"/>
      <c r="N1001" s="14"/>
      <c r="O1001" s="14"/>
      <c r="P1001" s="14"/>
      <c r="Q1001" s="14"/>
    </row>
  </sheetData>
  <mergeCells count="19">
    <mergeCell ref="K25:Q25"/>
    <mergeCell ref="K26:Q26"/>
    <mergeCell ref="B24:B26"/>
    <mergeCell ref="D24:G24"/>
    <mergeCell ref="I24:I26"/>
    <mergeCell ref="D25:G25"/>
    <mergeCell ref="D26:G26"/>
    <mergeCell ref="K24:Q24"/>
    <mergeCell ref="B18:G19"/>
    <mergeCell ref="I18:Q19"/>
    <mergeCell ref="B20:B23"/>
    <mergeCell ref="I20:I23"/>
    <mergeCell ref="K20:Q20"/>
    <mergeCell ref="K21:Q21"/>
    <mergeCell ref="D20:G20"/>
    <mergeCell ref="D23:G23"/>
    <mergeCell ref="K23:Q23"/>
    <mergeCell ref="K22:Q22"/>
    <mergeCell ref="D21:G21"/>
  </mergeCells>
  <conditionalFormatting sqref="D24:G24 K24:Q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:G25 K25:Q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6:G26 K26:Q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C1:Y1005"/>
  <sheetViews>
    <sheetView showGridLines="0" topLeftCell="A15" zoomScale="69" zoomScaleNormal="84" workbookViewId="0">
      <selection activeCell="E30" sqref="E30:L30"/>
    </sheetView>
  </sheetViews>
  <sheetFormatPr defaultColWidth="14.42578125" defaultRowHeight="15" customHeight="1"/>
  <cols>
    <col min="1" max="2" width="8.5703125" customWidth="1"/>
    <col min="3" max="3" width="11.5703125" customWidth="1"/>
    <col min="4" max="8" width="15" customWidth="1"/>
    <col min="9" max="9" width="14" customWidth="1"/>
    <col min="10" max="10" width="18.42578125" customWidth="1"/>
    <col min="11" max="11" width="19.42578125" customWidth="1"/>
    <col min="12" max="12" width="21.42578125" customWidth="1"/>
    <col min="13" max="13" width="7.42578125" customWidth="1"/>
    <col min="14" max="14" width="21.42578125" customWidth="1"/>
    <col min="15" max="15" width="8.5703125" customWidth="1"/>
    <col min="16" max="16" width="12.5703125" customWidth="1"/>
    <col min="17" max="17" width="13.42578125" customWidth="1"/>
    <col min="18" max="18" width="14.42578125" customWidth="1"/>
    <col min="19" max="19" width="18.42578125" customWidth="1"/>
    <col min="20" max="20" width="17" customWidth="1"/>
    <col min="21" max="21" width="20.5703125" customWidth="1"/>
    <col min="22" max="32" width="8.5703125" customWidth="1"/>
  </cols>
  <sheetData>
    <row r="1" spans="3:14" ht="14.25" customHeight="1"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3:14" ht="14.25" customHeight="1"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3:14" ht="14.25" customHeight="1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3:14" ht="14.25" customHeight="1"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3:14" ht="14.25" customHeight="1"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3:14" ht="14.25" customHeight="1"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3:14" ht="14.25" customHeight="1"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3:14" ht="14.25" customHeight="1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3:14" ht="14.25" customHeight="1"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3:14" ht="14.25" customHeight="1"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3:14" ht="14.25" customHeight="1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3:14" ht="14.25" customHeight="1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3:14" ht="14.25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3:14" ht="14.25" customHeigh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3:14" ht="14.25" customHeight="1"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3:14" ht="14.25" customHeight="1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3:25" ht="14.25" customHeight="1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3:25" s="32" customFormat="1" ht="14.25" customHeight="1">
      <c r="C18" s="162" t="s">
        <v>110</v>
      </c>
      <c r="D18" s="159"/>
      <c r="E18" s="159"/>
      <c r="F18" s="159"/>
      <c r="G18" s="159"/>
      <c r="H18" s="159"/>
      <c r="I18" s="159"/>
      <c r="J18" s="159"/>
      <c r="K18" s="159"/>
      <c r="L18" s="159"/>
      <c r="M18" s="65"/>
      <c r="P18" s="162" t="s">
        <v>99</v>
      </c>
      <c r="Q18" s="159"/>
      <c r="R18" s="159"/>
      <c r="S18" s="159"/>
      <c r="T18" s="159"/>
      <c r="U18" s="159"/>
    </row>
    <row r="19" spans="3:25" s="32" customFormat="1" ht="14.25" customHeight="1"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P19" s="161"/>
      <c r="Q19" s="161"/>
      <c r="R19" s="161"/>
      <c r="S19" s="161"/>
      <c r="T19" s="161"/>
      <c r="U19" s="161"/>
    </row>
    <row r="20" spans="3:25" ht="14.25" customHeight="1">
      <c r="C20" s="151" t="s">
        <v>83</v>
      </c>
      <c r="D20" s="2" t="s">
        <v>86</v>
      </c>
      <c r="E20" s="147">
        <f>_xlfn.FORECAST.ETS.STAT(D33:D72,C33:C72,1,1)</f>
        <v>0.9</v>
      </c>
      <c r="F20" s="147"/>
      <c r="G20" s="147"/>
      <c r="H20" s="147"/>
      <c r="I20" s="147"/>
      <c r="J20" s="147"/>
      <c r="K20" s="147"/>
      <c r="L20" s="147"/>
      <c r="M20" s="84"/>
      <c r="O20" s="21"/>
      <c r="P20" s="151" t="s">
        <v>83</v>
      </c>
      <c r="Q20" s="2" t="s">
        <v>86</v>
      </c>
      <c r="R20" s="170">
        <f>_xlfn.FORECAST.ETS.STAT(Q33:Q72,P33:P72,1,1)</f>
        <v>0.9</v>
      </c>
      <c r="S20" s="171"/>
      <c r="T20" s="171"/>
      <c r="U20" s="171"/>
      <c r="V20" s="21"/>
      <c r="W20" s="21"/>
      <c r="X20" s="21"/>
    </row>
    <row r="21" spans="3:25" ht="14.25" customHeight="1">
      <c r="C21" s="141"/>
      <c r="D21" s="31" t="s">
        <v>102</v>
      </c>
      <c r="E21" s="147">
        <f>_xlfn.FORECAST.ETS.STAT(D34:D73,C34:C73,2,1)</f>
        <v>1E-3</v>
      </c>
      <c r="F21" s="147"/>
      <c r="G21" s="147"/>
      <c r="H21" s="147"/>
      <c r="I21" s="147"/>
      <c r="J21" s="147"/>
      <c r="K21" s="147"/>
      <c r="L21" s="147"/>
      <c r="M21" s="79"/>
      <c r="P21" s="141"/>
      <c r="Q21" s="14" t="s">
        <v>102</v>
      </c>
      <c r="R21" s="173">
        <f>_xlfn.FORECAST.ETS.STAT(Q33:Q72,P33:P72,2,1)</f>
        <v>1E-3</v>
      </c>
      <c r="S21" s="173"/>
      <c r="T21" s="173"/>
      <c r="U21" s="173"/>
    </row>
    <row r="22" spans="3:25" ht="14.25" customHeight="1">
      <c r="C22" s="141"/>
      <c r="D22" s="31" t="s">
        <v>111</v>
      </c>
      <c r="E22" s="176">
        <f>_xlfn.FORECAST.ETS.STAT(D34:D73,C34:C73,3,1)</f>
        <v>2.2204460492503131E-16</v>
      </c>
      <c r="F22" s="176"/>
      <c r="G22" s="176"/>
      <c r="H22" s="176"/>
      <c r="I22" s="176"/>
      <c r="J22" s="176"/>
      <c r="K22" s="176"/>
      <c r="L22" s="176"/>
      <c r="M22" s="65"/>
      <c r="P22" s="141"/>
      <c r="Q22" s="14"/>
      <c r="R22" s="71"/>
      <c r="S22" s="71"/>
      <c r="T22" s="71"/>
      <c r="U22" s="71"/>
    </row>
    <row r="23" spans="3:25" ht="14.25" customHeight="1">
      <c r="C23" s="141"/>
      <c r="D23" s="31" t="s">
        <v>84</v>
      </c>
      <c r="E23" s="176">
        <v>6</v>
      </c>
      <c r="F23" s="176"/>
      <c r="G23" s="176"/>
      <c r="H23" s="176"/>
      <c r="I23" s="176"/>
      <c r="J23" s="176"/>
      <c r="K23" s="176"/>
      <c r="L23" s="176"/>
      <c r="M23" s="81"/>
      <c r="P23" s="141"/>
      <c r="Q23" s="14"/>
      <c r="R23" s="71"/>
      <c r="S23" s="71"/>
      <c r="T23" s="71"/>
      <c r="U23" s="71"/>
    </row>
    <row r="24" spans="3:25" ht="14.25" customHeight="1">
      <c r="C24" s="141"/>
      <c r="D24" s="31" t="s">
        <v>112</v>
      </c>
      <c r="E24" s="177">
        <f>AVERAGE(D33:D38)</f>
        <v>6223.833333333333</v>
      </c>
      <c r="F24" s="177"/>
      <c r="G24" s="177"/>
      <c r="H24" s="177"/>
      <c r="I24" s="177"/>
      <c r="J24" s="177"/>
      <c r="K24" s="177"/>
      <c r="L24" s="177"/>
      <c r="M24" s="81"/>
      <c r="P24" s="141"/>
      <c r="Q24" s="14"/>
      <c r="R24" s="71"/>
      <c r="T24" s="71"/>
      <c r="U24" s="71"/>
    </row>
    <row r="25" spans="3:25" ht="14.25" customHeight="1">
      <c r="C25" s="141"/>
      <c r="D25" s="31" t="s">
        <v>113</v>
      </c>
      <c r="E25" s="177">
        <f>AVERAGE(D39:D44)</f>
        <v>7328.166666666667</v>
      </c>
      <c r="F25" s="176"/>
      <c r="G25" s="176"/>
      <c r="H25" s="176"/>
      <c r="I25" s="176"/>
      <c r="J25" s="176"/>
      <c r="K25" s="176"/>
      <c r="L25" s="176"/>
      <c r="M25" s="81"/>
      <c r="P25" s="141"/>
      <c r="Q25" s="14"/>
      <c r="R25" s="71"/>
      <c r="S25" s="71"/>
      <c r="T25" s="71"/>
      <c r="U25" s="71"/>
    </row>
    <row r="26" spans="3:25" ht="14.25" customHeight="1">
      <c r="C26" s="141"/>
      <c r="D26" s="31" t="s">
        <v>104</v>
      </c>
      <c r="E26" s="176">
        <f>(E25-E24)/E23</f>
        <v>184.05555555555566</v>
      </c>
      <c r="F26" s="176"/>
      <c r="G26" s="176"/>
      <c r="H26" s="176"/>
      <c r="I26" s="176"/>
      <c r="J26" s="176"/>
      <c r="K26" s="176"/>
      <c r="L26" s="176"/>
      <c r="M26" s="80"/>
      <c r="P26" s="141"/>
      <c r="Q26" s="14"/>
      <c r="R26" s="71"/>
      <c r="S26" s="71"/>
      <c r="T26" s="71"/>
      <c r="U26" s="71"/>
    </row>
    <row r="27" spans="3:25" ht="14.25" customHeight="1">
      <c r="C27" s="141"/>
      <c r="D27" s="31" t="s">
        <v>103</v>
      </c>
      <c r="E27" s="175">
        <f>E25+E26*((E23-1)/2)</f>
        <v>7788.3055555555566</v>
      </c>
      <c r="F27" s="175"/>
      <c r="G27" s="175"/>
      <c r="H27" s="175"/>
      <c r="I27" s="175"/>
      <c r="J27" s="175"/>
      <c r="K27" s="175"/>
      <c r="L27" s="175"/>
      <c r="M27" s="80"/>
      <c r="P27" s="141"/>
      <c r="Q27" s="14"/>
      <c r="R27" s="89"/>
      <c r="S27" s="89"/>
      <c r="T27" s="89"/>
      <c r="U27" s="89"/>
    </row>
    <row r="28" spans="3:25" ht="14.25" customHeight="1">
      <c r="C28" s="151" t="s">
        <v>89</v>
      </c>
      <c r="D28" s="20" t="s">
        <v>90</v>
      </c>
      <c r="E28" s="180">
        <f>AVERAGE(J45:J72)</f>
        <v>178.77638082113575</v>
      </c>
      <c r="F28" s="180"/>
      <c r="G28" s="180"/>
      <c r="H28" s="180"/>
      <c r="I28" s="180"/>
      <c r="J28" s="180"/>
      <c r="K28" s="180"/>
      <c r="L28" s="180"/>
      <c r="M28" s="69"/>
      <c r="P28" s="151" t="s">
        <v>89</v>
      </c>
      <c r="Q28" s="20" t="s">
        <v>90</v>
      </c>
      <c r="R28" s="165">
        <f>AVERAGE(S33:S72)</f>
        <v>976.34718985951872</v>
      </c>
      <c r="S28" s="178"/>
      <c r="T28" s="178"/>
      <c r="U28" s="178"/>
      <c r="Y28" s="21"/>
    </row>
    <row r="29" spans="3:25" ht="14.25" customHeight="1">
      <c r="C29" s="141"/>
      <c r="D29" s="90" t="s">
        <v>91</v>
      </c>
      <c r="E29" s="181">
        <f>AVERAGE(K45:K72)</f>
        <v>41161.976342488953</v>
      </c>
      <c r="F29" s="181"/>
      <c r="G29" s="181"/>
      <c r="H29" s="181"/>
      <c r="I29" s="181"/>
      <c r="J29" s="181"/>
      <c r="K29" s="181"/>
      <c r="L29" s="181"/>
      <c r="M29" s="69"/>
      <c r="P29" s="141"/>
      <c r="Q29" s="90" t="s">
        <v>91</v>
      </c>
      <c r="R29" s="165">
        <f>AVERAGE(T33:T72)</f>
        <v>1386957.8050443344</v>
      </c>
      <c r="S29" s="178"/>
      <c r="T29" s="178"/>
      <c r="U29" s="178"/>
    </row>
    <row r="30" spans="3:25" ht="14.25" customHeight="1" thickBot="1">
      <c r="C30" s="150"/>
      <c r="D30" s="22" t="s">
        <v>92</v>
      </c>
      <c r="E30" s="182">
        <f>AVERAGE(L45:L72)</f>
        <v>1.6980973443601548E-2</v>
      </c>
      <c r="F30" s="182"/>
      <c r="G30" s="182"/>
      <c r="H30" s="182"/>
      <c r="I30" s="182"/>
      <c r="J30" s="182"/>
      <c r="K30" s="182"/>
      <c r="L30" s="182"/>
      <c r="M30" s="67"/>
      <c r="P30" s="150"/>
      <c r="Q30" s="22" t="s">
        <v>92</v>
      </c>
      <c r="R30" s="174">
        <f>AVERAGE(U33:U72)</f>
        <v>0.10973045245010193</v>
      </c>
      <c r="S30" s="179"/>
      <c r="T30" s="179"/>
      <c r="U30" s="179"/>
    </row>
    <row r="31" spans="3:25" ht="14.25" customHeight="1" thickTop="1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69" t="s">
        <v>114</v>
      </c>
      <c r="P31" s="14"/>
      <c r="Q31" s="14"/>
      <c r="R31" s="14"/>
      <c r="S31" s="14"/>
      <c r="T31" s="14"/>
      <c r="U31" s="14"/>
      <c r="Y31" s="23"/>
    </row>
    <row r="32" spans="3:25" s="35" customFormat="1" ht="60">
      <c r="C32" s="34" t="s">
        <v>27</v>
      </c>
      <c r="D32" s="34" t="s">
        <v>115</v>
      </c>
      <c r="E32" s="34" t="s">
        <v>106</v>
      </c>
      <c r="F32" s="34" t="s">
        <v>107</v>
      </c>
      <c r="G32" s="34" t="s">
        <v>116</v>
      </c>
      <c r="H32" s="34" t="s">
        <v>108</v>
      </c>
      <c r="I32" s="34" t="s">
        <v>109</v>
      </c>
      <c r="J32" s="34" t="s">
        <v>95</v>
      </c>
      <c r="K32" s="34" t="s">
        <v>96</v>
      </c>
      <c r="L32" s="34" t="s">
        <v>97</v>
      </c>
      <c r="M32" s="72"/>
      <c r="N32" s="34" t="s">
        <v>117</v>
      </c>
      <c r="P32" s="34" t="s">
        <v>27</v>
      </c>
      <c r="Q32" s="34" t="s">
        <v>115</v>
      </c>
      <c r="R32" s="34" t="s">
        <v>94</v>
      </c>
      <c r="S32" s="34" t="s">
        <v>95</v>
      </c>
      <c r="T32" s="34" t="s">
        <v>96</v>
      </c>
      <c r="U32" s="34" t="s">
        <v>97</v>
      </c>
    </row>
    <row r="33" spans="3:21" ht="14.25" customHeight="1">
      <c r="C33" s="14">
        <v>1</v>
      </c>
      <c r="D33" s="6">
        <v>5114</v>
      </c>
      <c r="E33" s="83"/>
      <c r="F33" s="83"/>
      <c r="G33" s="83"/>
      <c r="H33" s="83"/>
      <c r="I33" s="18"/>
      <c r="J33" s="18"/>
      <c r="K33" s="18"/>
      <c r="L33" s="24"/>
      <c r="M33" s="24"/>
      <c r="N33" s="83">
        <f>D33/($E$24-(($E$23+1)/2-C33)*$E$26)</f>
        <v>0.88727812504518244</v>
      </c>
      <c r="P33" s="14">
        <v>1</v>
      </c>
      <c r="Q33" s="6">
        <v>5114</v>
      </c>
      <c r="R33" s="18">
        <f>_xlfn.FORECAST.ETS(P33,$Q$33:$Q$72,$P$33:$P$72,1)</f>
        <v>6079.7514821576915</v>
      </c>
      <c r="S33" s="18">
        <f>ABS(Q33-R33)</f>
        <v>965.7514821576915</v>
      </c>
      <c r="T33" s="18">
        <f>S33^2</f>
        <v>932675.92528977792</v>
      </c>
      <c r="U33" s="24">
        <f>S33/Q33</f>
        <v>0.18884463866986537</v>
      </c>
    </row>
    <row r="34" spans="3:21" ht="14.25" customHeight="1">
      <c r="C34" s="14">
        <v>2</v>
      </c>
      <c r="D34" s="8">
        <v>5570</v>
      </c>
      <c r="E34" s="83"/>
      <c r="F34" s="83"/>
      <c r="G34" s="83"/>
      <c r="H34" s="83"/>
      <c r="I34" s="18"/>
      <c r="J34" s="18"/>
      <c r="K34" s="18"/>
      <c r="L34" s="24"/>
      <c r="M34" s="24"/>
      <c r="N34" s="83">
        <f t="shared" ref="N34:N44" si="0">D34/($E$24-(($E$23+1)/2-C34)*$E$26)</f>
        <v>0.93648858812155855</v>
      </c>
      <c r="P34" s="14">
        <v>2</v>
      </c>
      <c r="Q34" s="8">
        <v>5570</v>
      </c>
      <c r="R34" s="18">
        <f t="shared" ref="R34:R78" si="1">_xlfn.FORECAST.ETS(P34,$Q$33:$Q$72,$P$33:$P$72,1)</f>
        <v>6314.5464297278631</v>
      </c>
      <c r="S34" s="18">
        <f t="shared" ref="S34:S72" si="2">ABS(Q34-R34)</f>
        <v>744.54642972786314</v>
      </c>
      <c r="T34" s="18">
        <f t="shared" ref="T34:T72" si="3">S34^2</f>
        <v>554349.3860205079</v>
      </c>
      <c r="U34" s="24">
        <f t="shared" ref="U34:U72" si="4">S34/Q34</f>
        <v>0.13367081323660021</v>
      </c>
    </row>
    <row r="35" spans="3:21" ht="14.25" customHeight="1">
      <c r="C35" s="14">
        <v>3</v>
      </c>
      <c r="D35" s="6">
        <v>5408</v>
      </c>
      <c r="E35" s="83"/>
      <c r="F35" s="83"/>
      <c r="G35" s="83"/>
      <c r="H35" s="83"/>
      <c r="I35" s="18"/>
      <c r="J35" s="18"/>
      <c r="K35" s="18"/>
      <c r="L35" s="24"/>
      <c r="M35" s="24"/>
      <c r="N35" s="83">
        <f t="shared" si="0"/>
        <v>0.88195882126435488</v>
      </c>
      <c r="P35" s="14">
        <v>3</v>
      </c>
      <c r="Q35" s="6">
        <v>5408</v>
      </c>
      <c r="R35" s="18">
        <f t="shared" si="1"/>
        <v>6549.341377298033</v>
      </c>
      <c r="S35" s="18">
        <f t="shared" si="2"/>
        <v>1141.341377298033</v>
      </c>
      <c r="T35" s="18">
        <f t="shared" si="3"/>
        <v>1302660.1395325707</v>
      </c>
      <c r="U35" s="24">
        <f t="shared" si="4"/>
        <v>0.21104685231102679</v>
      </c>
    </row>
    <row r="36" spans="3:21" ht="14.25" customHeight="1">
      <c r="C36" s="14">
        <v>4</v>
      </c>
      <c r="D36" s="10">
        <v>6816</v>
      </c>
      <c r="E36" s="83"/>
      <c r="F36" s="83"/>
      <c r="G36" s="83"/>
      <c r="H36" s="83"/>
      <c r="I36" s="18"/>
      <c r="J36" s="18"/>
      <c r="K36" s="18"/>
      <c r="L36" s="24"/>
      <c r="M36" s="24"/>
      <c r="N36" s="83">
        <f t="shared" si="0"/>
        <v>1.0791877592129162</v>
      </c>
      <c r="P36" s="14">
        <v>4</v>
      </c>
      <c r="Q36" s="10">
        <v>6816</v>
      </c>
      <c r="R36" s="18">
        <f t="shared" si="1"/>
        <v>6784.1363248682046</v>
      </c>
      <c r="S36" s="18">
        <f t="shared" si="2"/>
        <v>31.863675131795389</v>
      </c>
      <c r="T36" s="18">
        <f t="shared" si="3"/>
        <v>1015.2937929045959</v>
      </c>
      <c r="U36" s="24">
        <f t="shared" si="4"/>
        <v>4.674834966519277E-3</v>
      </c>
    </row>
    <row r="37" spans="3:21" ht="14.25" customHeight="1">
      <c r="C37" s="14">
        <v>5</v>
      </c>
      <c r="D37" s="8">
        <v>6927</v>
      </c>
      <c r="E37" s="83"/>
      <c r="F37" s="83"/>
      <c r="G37" s="83"/>
      <c r="H37" s="83"/>
      <c r="I37" s="18"/>
      <c r="J37" s="18"/>
      <c r="K37" s="18"/>
      <c r="L37" s="24"/>
      <c r="M37" s="24"/>
      <c r="N37" s="83">
        <f t="shared" si="0"/>
        <v>1.0657059705893666</v>
      </c>
      <c r="P37" s="14">
        <v>5</v>
      </c>
      <c r="Q37" s="8">
        <v>6927</v>
      </c>
      <c r="R37" s="18">
        <f t="shared" si="1"/>
        <v>7018.9312724383763</v>
      </c>
      <c r="S37" s="18">
        <f t="shared" si="2"/>
        <v>91.931272438376254</v>
      </c>
      <c r="T37" s="18">
        <f t="shared" si="3"/>
        <v>8451.3588521389574</v>
      </c>
      <c r="U37" s="24">
        <f t="shared" si="4"/>
        <v>1.3271441091147142E-2</v>
      </c>
    </row>
    <row r="38" spans="3:21" ht="14.25" customHeight="1">
      <c r="C38" s="14">
        <v>6</v>
      </c>
      <c r="D38" s="6">
        <v>7508</v>
      </c>
      <c r="E38" s="83"/>
      <c r="F38" s="83"/>
      <c r="G38" s="83"/>
      <c r="H38" s="83"/>
      <c r="I38" s="18"/>
      <c r="J38" s="18"/>
      <c r="K38" s="18"/>
      <c r="L38" s="24"/>
      <c r="M38" s="24"/>
      <c r="N38" s="83">
        <f t="shared" si="0"/>
        <v>1.1232841415824755</v>
      </c>
      <c r="P38" s="14">
        <v>6</v>
      </c>
      <c r="Q38" s="6">
        <v>7508</v>
      </c>
      <c r="R38" s="18">
        <f t="shared" si="1"/>
        <v>7253.726220008547</v>
      </c>
      <c r="S38" s="18">
        <f t="shared" si="2"/>
        <v>254.27377999145301</v>
      </c>
      <c r="T38" s="18">
        <f t="shared" si="3"/>
        <v>64655.15519114185</v>
      </c>
      <c r="U38" s="24">
        <f t="shared" si="4"/>
        <v>3.386704581665597E-2</v>
      </c>
    </row>
    <row r="39" spans="3:21" ht="14.25" customHeight="1">
      <c r="C39" s="14">
        <v>7</v>
      </c>
      <c r="D39" s="10">
        <v>7635</v>
      </c>
      <c r="E39" s="83"/>
      <c r="F39" s="83"/>
      <c r="G39" s="85">
        <f>(N33+N39)/2</f>
        <v>0.99947548653239515</v>
      </c>
      <c r="H39" s="83">
        <v>1</v>
      </c>
      <c r="I39" s="18"/>
      <c r="J39" s="18"/>
      <c r="K39" s="18"/>
      <c r="L39" s="24"/>
      <c r="M39" s="24"/>
      <c r="N39" s="83">
        <f t="shared" si="0"/>
        <v>1.1116728480196079</v>
      </c>
      <c r="P39" s="14">
        <v>7</v>
      </c>
      <c r="Q39" s="10">
        <v>7635</v>
      </c>
      <c r="R39" s="18">
        <f t="shared" si="1"/>
        <v>7488.5211675787177</v>
      </c>
      <c r="S39" s="18">
        <f t="shared" si="2"/>
        <v>146.47883242128228</v>
      </c>
      <c r="T39" s="18">
        <f t="shared" si="3"/>
        <v>21456.048347502096</v>
      </c>
      <c r="U39" s="24">
        <f t="shared" si="4"/>
        <v>1.9185177789296959E-2</v>
      </c>
    </row>
    <row r="40" spans="3:21" ht="14.25" customHeight="1">
      <c r="C40" s="14">
        <v>8</v>
      </c>
      <c r="D40" s="8">
        <v>7843</v>
      </c>
      <c r="E40" s="83"/>
      <c r="F40" s="83"/>
      <c r="G40" s="85">
        <f t="shared" ref="G40:G43" si="5">(N34+N40)/2</f>
        <v>1.0243211035142505</v>
      </c>
      <c r="H40" s="83">
        <v>1</v>
      </c>
      <c r="I40" s="18"/>
      <c r="J40" s="18"/>
      <c r="K40" s="18"/>
      <c r="L40" s="24"/>
      <c r="M40" s="24"/>
      <c r="N40" s="83">
        <f t="shared" si="0"/>
        <v>1.1121536189069423</v>
      </c>
      <c r="P40" s="14">
        <v>8</v>
      </c>
      <c r="Q40" s="8">
        <v>7843</v>
      </c>
      <c r="R40" s="18">
        <f t="shared" si="1"/>
        <v>7723.3161151488894</v>
      </c>
      <c r="S40" s="18">
        <f t="shared" si="2"/>
        <v>119.68388485111063</v>
      </c>
      <c r="T40" s="18">
        <f t="shared" si="3"/>
        <v>14324.232293053909</v>
      </c>
      <c r="U40" s="24">
        <f t="shared" si="4"/>
        <v>1.5259962367858043E-2</v>
      </c>
    </row>
    <row r="41" spans="3:21" ht="14.25" customHeight="1">
      <c r="C41" s="14">
        <v>9</v>
      </c>
      <c r="D41" s="6">
        <v>6991</v>
      </c>
      <c r="E41" s="83"/>
      <c r="F41" s="83"/>
      <c r="G41" s="85">
        <f t="shared" si="5"/>
        <v>0.92404089600075567</v>
      </c>
      <c r="H41" s="83">
        <v>1</v>
      </c>
      <c r="I41" s="18"/>
      <c r="J41" s="18"/>
      <c r="K41" s="18"/>
      <c r="L41" s="24"/>
      <c r="M41" s="24"/>
      <c r="N41" s="83">
        <f t="shared" si="0"/>
        <v>0.96612297073715647</v>
      </c>
      <c r="P41" s="14">
        <v>9</v>
      </c>
      <c r="Q41" s="6">
        <v>6991</v>
      </c>
      <c r="R41" s="18">
        <f t="shared" si="1"/>
        <v>7958.111062719061</v>
      </c>
      <c r="S41" s="18">
        <f t="shared" si="2"/>
        <v>967.11106271906101</v>
      </c>
      <c r="T41" s="18">
        <f t="shared" si="3"/>
        <v>935303.80763359158</v>
      </c>
      <c r="U41" s="24">
        <f t="shared" si="4"/>
        <v>0.1383365845685969</v>
      </c>
    </row>
    <row r="42" spans="3:21" ht="14.25" customHeight="1">
      <c r="C42" s="14">
        <v>10</v>
      </c>
      <c r="D42" s="10">
        <v>7212</v>
      </c>
      <c r="E42" s="83"/>
      <c r="F42" s="83"/>
      <c r="G42" s="85">
        <f t="shared" si="5"/>
        <v>1.0255649720081996</v>
      </c>
      <c r="H42" s="83">
        <v>1</v>
      </c>
      <c r="I42" s="18"/>
      <c r="J42" s="18"/>
      <c r="K42" s="18"/>
      <c r="L42" s="24"/>
      <c r="M42" s="24"/>
      <c r="N42" s="83">
        <f t="shared" si="0"/>
        <v>0.97194218480348293</v>
      </c>
      <c r="P42" s="14">
        <v>10</v>
      </c>
      <c r="Q42" s="10">
        <v>7212</v>
      </c>
      <c r="R42" s="18">
        <f t="shared" si="1"/>
        <v>8192.9060102892327</v>
      </c>
      <c r="S42" s="18">
        <f t="shared" si="2"/>
        <v>980.90601028923265</v>
      </c>
      <c r="T42" s="18">
        <f t="shared" si="3"/>
        <v>962176.60102154023</v>
      </c>
      <c r="U42" s="24">
        <f t="shared" si="4"/>
        <v>0.13601026210333231</v>
      </c>
    </row>
    <row r="43" spans="3:21" ht="14.25" customHeight="1">
      <c r="C43" s="14">
        <v>11</v>
      </c>
      <c r="D43" s="8">
        <v>7138</v>
      </c>
      <c r="E43" s="83"/>
      <c r="F43" s="83"/>
      <c r="G43" s="85">
        <f t="shared" si="5"/>
        <v>1.0021957870174041</v>
      </c>
      <c r="H43" s="83">
        <v>1</v>
      </c>
      <c r="I43" s="18"/>
      <c r="J43" s="18"/>
      <c r="K43" s="18"/>
      <c r="L43" s="24"/>
      <c r="M43" s="24"/>
      <c r="N43" s="83">
        <f t="shared" si="0"/>
        <v>0.93868560344544172</v>
      </c>
      <c r="P43" s="14">
        <v>11</v>
      </c>
      <c r="Q43" s="8">
        <v>7138</v>
      </c>
      <c r="R43" s="18">
        <f t="shared" si="1"/>
        <v>8427.7009578594025</v>
      </c>
      <c r="S43" s="18">
        <f t="shared" si="2"/>
        <v>1289.7009578594025</v>
      </c>
      <c r="T43" s="18">
        <f t="shared" si="3"/>
        <v>1663328.5607034604</v>
      </c>
      <c r="U43" s="24">
        <f t="shared" si="4"/>
        <v>0.18068099717839767</v>
      </c>
    </row>
    <row r="44" spans="3:21" ht="14.25" customHeight="1">
      <c r="C44" s="14">
        <v>12</v>
      </c>
      <c r="D44" s="6">
        <v>7150</v>
      </c>
      <c r="E44" s="83"/>
      <c r="F44" s="83"/>
      <c r="G44" s="85">
        <f>(N38+N44)/2</f>
        <v>1.0206636094942076</v>
      </c>
      <c r="H44" s="83">
        <v>1</v>
      </c>
      <c r="I44" s="18"/>
      <c r="J44" s="18"/>
      <c r="K44" s="18"/>
      <c r="L44" s="24"/>
      <c r="M44" s="24"/>
      <c r="N44" s="83">
        <f t="shared" si="0"/>
        <v>0.91804307740593971</v>
      </c>
      <c r="P44" s="14">
        <v>12</v>
      </c>
      <c r="Q44" s="6">
        <v>7150</v>
      </c>
      <c r="R44" s="18">
        <f t="shared" si="1"/>
        <v>8662.4959054295741</v>
      </c>
      <c r="S44" s="18">
        <f t="shared" si="2"/>
        <v>1512.4959054295741</v>
      </c>
      <c r="T44" s="18">
        <f t="shared" si="3"/>
        <v>2287643.8639412271</v>
      </c>
      <c r="U44" s="24">
        <f t="shared" si="4"/>
        <v>0.21153788887126912</v>
      </c>
    </row>
    <row r="45" spans="3:21" ht="14.25" customHeight="1">
      <c r="C45" s="14">
        <v>13</v>
      </c>
      <c r="D45" s="10">
        <v>7293</v>
      </c>
      <c r="E45" s="33">
        <f>$E$20*D45/(G39/SUM(G39:G44)*$E$23)+(1-$E$20)*(E27+E26)</f>
        <v>7360.2891766363864</v>
      </c>
      <c r="F45" s="33">
        <f>$E$21*(E45-E27)+(1-$E$21)*E26</f>
        <v>183.44348362108093</v>
      </c>
      <c r="G45" s="82">
        <f>$E$22*D45/E45+(1-$E$22)*(G39/SUM(G39:G44)*$E$23)</f>
        <v>1.000098572184053</v>
      </c>
      <c r="H45" s="83">
        <v>1</v>
      </c>
      <c r="I45" s="18">
        <f>(E45+H45*F45)*G45</f>
        <v>7544.4762624617006</v>
      </c>
      <c r="J45" s="18">
        <f>ABS(I45-D45)</f>
        <v>251.47626246170057</v>
      </c>
      <c r="K45" s="18">
        <f>J45^2</f>
        <v>63240.310581706115</v>
      </c>
      <c r="L45" s="24">
        <f>J45/E45</f>
        <v>3.4166628025968933E-2</v>
      </c>
      <c r="M45" s="24"/>
      <c r="N45" s="83"/>
      <c r="P45" s="14">
        <v>13</v>
      </c>
      <c r="Q45" s="10">
        <v>7293</v>
      </c>
      <c r="R45" s="18">
        <f t="shared" si="1"/>
        <v>8897.2908529997458</v>
      </c>
      <c r="S45" s="18">
        <f t="shared" si="2"/>
        <v>1604.2908529997458</v>
      </c>
      <c r="T45" s="18">
        <f t="shared" si="3"/>
        <v>2573749.1410186519</v>
      </c>
      <c r="U45" s="24">
        <f t="shared" si="4"/>
        <v>0.21997680693812502</v>
      </c>
    </row>
    <row r="46" spans="3:21" ht="14.25" customHeight="1">
      <c r="C46" s="14">
        <v>14</v>
      </c>
      <c r="D46" s="8">
        <v>7038</v>
      </c>
      <c r="E46" s="33">
        <f>$E$20*D46/(G40/SUM(G40:G45)*$E$23)+(1-$E$20)*(E45+F45)</f>
        <v>6934.9658650348947</v>
      </c>
      <c r="F46" s="33">
        <f>$E$21*(E46-E45)+(1-$E$21)*F45</f>
        <v>182.83471682585835</v>
      </c>
      <c r="G46" s="82">
        <f t="shared" ref="G46:G78" si="6">$E$22*D46/E46+(1-$E$22)*(G40/SUM(G40:G45)*$E$23)</f>
        <v>1.024853183336413</v>
      </c>
      <c r="H46" s="83">
        <v>1</v>
      </c>
      <c r="I46" s="18">
        <f t="shared" ref="I46:I78" si="7">(E46+H46*F46)*G46</f>
        <v>7294.7005846737657</v>
      </c>
      <c r="J46" s="18">
        <f t="shared" ref="J46:J72" si="8">ABS(I46-D46)</f>
        <v>256.70058467376566</v>
      </c>
      <c r="K46" s="18">
        <f t="shared" ref="K46:K72" si="9">J46^2</f>
        <v>65895.19017185313</v>
      </c>
      <c r="L46" s="24">
        <f t="shared" ref="L46:L72" si="10">J46/E46</f>
        <v>3.7015407093496058E-2</v>
      </c>
      <c r="M46" s="24"/>
      <c r="N46" s="83"/>
      <c r="P46" s="14">
        <v>14</v>
      </c>
      <c r="Q46" s="8">
        <v>7038</v>
      </c>
      <c r="R46" s="18">
        <f t="shared" si="1"/>
        <v>9132.0858005699156</v>
      </c>
      <c r="S46" s="18">
        <f t="shared" si="2"/>
        <v>2094.0858005699156</v>
      </c>
      <c r="T46" s="18">
        <f t="shared" si="3"/>
        <v>4385195.3401485439</v>
      </c>
      <c r="U46" s="24">
        <f t="shared" si="4"/>
        <v>0.29753989777918666</v>
      </c>
    </row>
    <row r="47" spans="3:21" ht="14.25" customHeight="1">
      <c r="C47" s="14">
        <v>15</v>
      </c>
      <c r="D47" s="6">
        <v>7304</v>
      </c>
      <c r="E47" s="33">
        <f t="shared" ref="E47:E78" si="11">$E$20*D47/(G41/SUM(G41:G46)*$E$23)+(1-$E$20)*(E46+F46)</f>
        <v>7822.6883692740539</v>
      </c>
      <c r="F47" s="33">
        <f t="shared" ref="F47:F78" si="12">$E$21*(E47-E46)+(1-$E$21)*F46</f>
        <v>183.53960461327165</v>
      </c>
      <c r="G47" s="82">
        <f t="shared" si="6"/>
        <v>0.92443886384385554</v>
      </c>
      <c r="H47" s="83">
        <v>1</v>
      </c>
      <c r="I47" s="18">
        <f t="shared" si="7"/>
        <v>7401.2682918552928</v>
      </c>
      <c r="J47" s="18">
        <f t="shared" si="8"/>
        <v>97.268291855292773</v>
      </c>
      <c r="K47" s="18">
        <f t="shared" si="9"/>
        <v>9461.1206004464148</v>
      </c>
      <c r="L47" s="24">
        <f t="shared" si="10"/>
        <v>1.2434125873829137E-2</v>
      </c>
      <c r="M47" s="24"/>
      <c r="N47" s="83"/>
      <c r="P47" s="14">
        <v>15</v>
      </c>
      <c r="Q47" s="6">
        <v>7304</v>
      </c>
      <c r="R47" s="18">
        <f t="shared" si="1"/>
        <v>9366.8807481400872</v>
      </c>
      <c r="S47" s="18">
        <f t="shared" si="2"/>
        <v>2062.8807481400872</v>
      </c>
      <c r="T47" s="18">
        <f t="shared" si="3"/>
        <v>4255476.9810470063</v>
      </c>
      <c r="U47" s="24">
        <f t="shared" si="4"/>
        <v>0.28243164678807325</v>
      </c>
    </row>
    <row r="48" spans="3:21" ht="14.25" customHeight="1">
      <c r="C48" s="14">
        <v>16</v>
      </c>
      <c r="D48" s="10">
        <v>7474</v>
      </c>
      <c r="E48" s="33">
        <f t="shared" si="11"/>
        <v>7357.1556026678327</v>
      </c>
      <c r="F48" s="33">
        <f t="shared" si="12"/>
        <v>182.89053224205216</v>
      </c>
      <c r="G48" s="82">
        <f t="shared" si="6"/>
        <v>1.0259385867152175</v>
      </c>
      <c r="H48" s="83">
        <v>1</v>
      </c>
      <c r="I48" s="18">
        <f t="shared" si="7"/>
        <v>7735.6242754169862</v>
      </c>
      <c r="J48" s="18">
        <f t="shared" si="8"/>
        <v>261.62427541698617</v>
      </c>
      <c r="K48" s="18">
        <f t="shared" si="9"/>
        <v>68447.261487463038</v>
      </c>
      <c r="L48" s="24">
        <f t="shared" si="10"/>
        <v>3.5560519519543213E-2</v>
      </c>
      <c r="M48" s="24"/>
      <c r="N48" s="83"/>
      <c r="P48" s="14">
        <v>16</v>
      </c>
      <c r="Q48" s="10">
        <v>7474</v>
      </c>
      <c r="R48" s="18">
        <f t="shared" si="1"/>
        <v>9601.6756957102589</v>
      </c>
      <c r="S48" s="18">
        <f t="shared" si="2"/>
        <v>2127.6756957102589</v>
      </c>
      <c r="T48" s="18">
        <f t="shared" si="3"/>
        <v>4527003.8661161344</v>
      </c>
      <c r="U48" s="24">
        <f t="shared" si="4"/>
        <v>0.28467697293420641</v>
      </c>
    </row>
    <row r="49" spans="3:21" ht="14.25" customHeight="1">
      <c r="C49" s="14">
        <v>17</v>
      </c>
      <c r="D49" s="8">
        <v>7886</v>
      </c>
      <c r="E49" s="33">
        <f t="shared" si="11"/>
        <v>7833.7163723290396</v>
      </c>
      <c r="F49" s="33">
        <f t="shared" si="12"/>
        <v>183.18420247947131</v>
      </c>
      <c r="G49" s="82">
        <f t="shared" si="6"/>
        <v>1.0024984408637636</v>
      </c>
      <c r="H49" s="83">
        <v>1</v>
      </c>
      <c r="I49" s="18">
        <f t="shared" si="7"/>
        <v>8036.9303268053427</v>
      </c>
      <c r="J49" s="18">
        <f t="shared" si="8"/>
        <v>150.9303268053427</v>
      </c>
      <c r="K49" s="18">
        <f t="shared" si="9"/>
        <v>22779.96354956755</v>
      </c>
      <c r="L49" s="24">
        <f t="shared" si="10"/>
        <v>1.9266759176841331E-2</v>
      </c>
      <c r="M49" s="24"/>
      <c r="N49" s="24"/>
      <c r="P49" s="14">
        <v>17</v>
      </c>
      <c r="Q49" s="8">
        <v>7886</v>
      </c>
      <c r="R49" s="18">
        <f t="shared" si="1"/>
        <v>9836.4706432804305</v>
      </c>
      <c r="S49" s="18">
        <f t="shared" si="2"/>
        <v>1950.4706432804305</v>
      </c>
      <c r="T49" s="18">
        <f t="shared" si="3"/>
        <v>3804335.7302987766</v>
      </c>
      <c r="U49" s="24">
        <f t="shared" si="4"/>
        <v>0.2473333303677949</v>
      </c>
    </row>
    <row r="50" spans="3:21" ht="14.25" customHeight="1">
      <c r="C50" s="14">
        <v>18</v>
      </c>
      <c r="D50" s="6">
        <v>8688</v>
      </c>
      <c r="E50" s="33">
        <f t="shared" si="11"/>
        <v>8460.6618604073919</v>
      </c>
      <c r="F50" s="33">
        <f t="shared" si="12"/>
        <v>183.62796376507018</v>
      </c>
      <c r="G50" s="82">
        <f t="shared" si="6"/>
        <v>1.0209203273228182</v>
      </c>
      <c r="H50" s="83">
        <v>1</v>
      </c>
      <c r="I50" s="18">
        <f t="shared" si="7"/>
        <v>8825.1311967674555</v>
      </c>
      <c r="J50" s="18">
        <f t="shared" si="8"/>
        <v>137.13119676745555</v>
      </c>
      <c r="K50" s="18">
        <f t="shared" si="9"/>
        <v>18804.965126874613</v>
      </c>
      <c r="L50" s="24">
        <f t="shared" si="10"/>
        <v>1.620809329458919E-2</v>
      </c>
      <c r="M50" s="24"/>
      <c r="N50" s="24"/>
      <c r="P50" s="14">
        <v>18</v>
      </c>
      <c r="Q50" s="6">
        <v>8688</v>
      </c>
      <c r="R50" s="18">
        <f t="shared" si="1"/>
        <v>10071.265590850602</v>
      </c>
      <c r="S50" s="18">
        <f t="shared" si="2"/>
        <v>1383.2655908506022</v>
      </c>
      <c r="T50" s="18">
        <f t="shared" si="3"/>
        <v>1913423.6948312656</v>
      </c>
      <c r="U50" s="24">
        <f t="shared" si="4"/>
        <v>0.1592156527222148</v>
      </c>
    </row>
    <row r="51" spans="3:21" ht="14.25" customHeight="1">
      <c r="C51" s="14">
        <v>19</v>
      </c>
      <c r="D51" s="10">
        <v>9722</v>
      </c>
      <c r="E51" s="33">
        <f t="shared" si="11"/>
        <v>9611.5409313605651</v>
      </c>
      <c r="F51" s="33">
        <f t="shared" si="12"/>
        <v>184.59521487225828</v>
      </c>
      <c r="G51" s="82">
        <f t="shared" si="6"/>
        <v>1.0003073072658006</v>
      </c>
      <c r="H51" s="83">
        <v>1</v>
      </c>
      <c r="I51" s="18">
        <f t="shared" si="7"/>
        <v>9799.1465700473345</v>
      </c>
      <c r="J51" s="18">
        <f t="shared" si="8"/>
        <v>77.146570047334535</v>
      </c>
      <c r="K51" s="18">
        <f t="shared" si="9"/>
        <v>5951.5932700682943</v>
      </c>
      <c r="L51" s="24">
        <f t="shared" si="10"/>
        <v>8.0264518039579354E-3</v>
      </c>
      <c r="M51" s="24"/>
      <c r="N51" s="24"/>
      <c r="P51" s="14">
        <v>19</v>
      </c>
      <c r="Q51" s="10">
        <v>9722</v>
      </c>
      <c r="R51" s="18">
        <f t="shared" si="1"/>
        <v>10306.060538420772</v>
      </c>
      <c r="S51" s="18">
        <f t="shared" si="2"/>
        <v>584.06053842077199</v>
      </c>
      <c r="T51" s="18">
        <f t="shared" si="3"/>
        <v>341126.71254036209</v>
      </c>
      <c r="U51" s="24">
        <f t="shared" si="4"/>
        <v>6.007617140719728E-2</v>
      </c>
    </row>
    <row r="52" spans="3:21" ht="14.25" customHeight="1">
      <c r="C52" s="14">
        <v>20</v>
      </c>
      <c r="D52" s="8">
        <v>9457</v>
      </c>
      <c r="E52" s="33">
        <f t="shared" si="11"/>
        <v>9283.0664197769638</v>
      </c>
      <c r="F52" s="33">
        <f t="shared" si="12"/>
        <v>184.08214514580243</v>
      </c>
      <c r="G52" s="82">
        <f t="shared" si="6"/>
        <v>1.0250314176191035</v>
      </c>
      <c r="H52" s="83">
        <v>1</v>
      </c>
      <c r="I52" s="18">
        <f t="shared" si="7"/>
        <v>9704.124714313446</v>
      </c>
      <c r="J52" s="18">
        <f t="shared" si="8"/>
        <v>247.12471431344602</v>
      </c>
      <c r="K52" s="18">
        <f t="shared" si="9"/>
        <v>61070.624424502312</v>
      </c>
      <c r="L52" s="24">
        <f t="shared" si="10"/>
        <v>2.662102188420876E-2</v>
      </c>
      <c r="M52" s="24"/>
      <c r="N52" s="24"/>
      <c r="P52" s="14">
        <v>20</v>
      </c>
      <c r="Q52" s="8">
        <v>9457</v>
      </c>
      <c r="R52" s="18">
        <f t="shared" si="1"/>
        <v>10540.855485990944</v>
      </c>
      <c r="S52" s="18">
        <f t="shared" si="2"/>
        <v>1083.8554859909436</v>
      </c>
      <c r="T52" s="18">
        <f t="shared" si="3"/>
        <v>1174742.7145126646</v>
      </c>
      <c r="U52" s="24">
        <f t="shared" si="4"/>
        <v>0.1146088068088129</v>
      </c>
    </row>
    <row r="53" spans="3:21" ht="14.25" customHeight="1">
      <c r="C53" s="14">
        <v>21</v>
      </c>
      <c r="D53" s="6">
        <v>10158</v>
      </c>
      <c r="E53" s="33">
        <f t="shared" si="11"/>
        <v>10834.747771510272</v>
      </c>
      <c r="F53" s="33">
        <f t="shared" si="12"/>
        <v>185.44974435238996</v>
      </c>
      <c r="G53" s="82">
        <f t="shared" si="6"/>
        <v>0.92457216501724837</v>
      </c>
      <c r="H53" s="83">
        <v>1</v>
      </c>
      <c r="I53" s="18">
        <f t="shared" si="7"/>
        <v>10188.967876158844</v>
      </c>
      <c r="J53" s="18">
        <f t="shared" si="8"/>
        <v>30.967876158843865</v>
      </c>
      <c r="K53" s="18">
        <f t="shared" si="9"/>
        <v>959.00935378949021</v>
      </c>
      <c r="L53" s="24">
        <f t="shared" si="10"/>
        <v>2.8582000072279673E-3</v>
      </c>
      <c r="M53" s="24"/>
      <c r="N53" s="24"/>
      <c r="P53" s="14">
        <v>21</v>
      </c>
      <c r="Q53" s="6">
        <v>10158</v>
      </c>
      <c r="R53" s="18">
        <f t="shared" si="1"/>
        <v>10775.650433561115</v>
      </c>
      <c r="S53" s="18">
        <f t="shared" si="2"/>
        <v>617.65043356111528</v>
      </c>
      <c r="T53" s="18">
        <f t="shared" si="3"/>
        <v>381492.05807823368</v>
      </c>
      <c r="U53" s="24">
        <f t="shared" si="4"/>
        <v>6.0804334865240728E-2</v>
      </c>
    </row>
    <row r="54" spans="3:21" ht="14.25" customHeight="1">
      <c r="C54" s="14">
        <v>22</v>
      </c>
      <c r="D54" s="10">
        <v>10921</v>
      </c>
      <c r="E54" s="33">
        <f t="shared" si="11"/>
        <v>10681.249349228437</v>
      </c>
      <c r="F54" s="33">
        <f t="shared" si="12"/>
        <v>185.11079618575573</v>
      </c>
      <c r="G54" s="82">
        <f t="shared" si="6"/>
        <v>1.0260637246255462</v>
      </c>
      <c r="H54" s="83">
        <v>1</v>
      </c>
      <c r="I54" s="18">
        <f t="shared" si="7"/>
        <v>11149.577963926278</v>
      </c>
      <c r="J54" s="18">
        <f t="shared" si="8"/>
        <v>228.57796392627824</v>
      </c>
      <c r="K54" s="18">
        <f t="shared" si="9"/>
        <v>52247.885592682956</v>
      </c>
      <c r="L54" s="24">
        <f t="shared" si="10"/>
        <v>2.1399927710028566E-2</v>
      </c>
      <c r="M54" s="24"/>
      <c r="N54" s="24"/>
      <c r="P54" s="14">
        <v>22</v>
      </c>
      <c r="Q54" s="10">
        <v>10921</v>
      </c>
      <c r="R54" s="18">
        <f t="shared" si="1"/>
        <v>11010.445381131285</v>
      </c>
      <c r="S54" s="18">
        <f t="shared" si="2"/>
        <v>89.445381131285103</v>
      </c>
      <c r="T54" s="18">
        <f t="shared" si="3"/>
        <v>8000.4762057208527</v>
      </c>
      <c r="U54" s="24">
        <f t="shared" si="4"/>
        <v>8.1902189480162167E-3</v>
      </c>
    </row>
    <row r="55" spans="3:21" ht="14.25" customHeight="1">
      <c r="C55" s="14">
        <v>23</v>
      </c>
      <c r="D55" s="8">
        <v>12035</v>
      </c>
      <c r="E55" s="33">
        <f t="shared" si="11"/>
        <v>11890.049229641645</v>
      </c>
      <c r="F55" s="33">
        <f t="shared" si="12"/>
        <v>186.13448526998317</v>
      </c>
      <c r="G55" s="82">
        <f t="shared" si="6"/>
        <v>1.0025998065926534</v>
      </c>
      <c r="H55" s="83">
        <v>1</v>
      </c>
      <c r="I55" s="18">
        <f t="shared" si="7"/>
        <v>12107.579456947749</v>
      </c>
      <c r="J55" s="18">
        <f t="shared" si="8"/>
        <v>72.57945694774935</v>
      </c>
      <c r="K55" s="18">
        <f t="shared" si="9"/>
        <v>5267.7775708302015</v>
      </c>
      <c r="L55" s="24">
        <f t="shared" si="10"/>
        <v>6.1042183716792592E-3</v>
      </c>
      <c r="M55" s="24"/>
      <c r="N55" s="24"/>
      <c r="P55" s="14">
        <v>23</v>
      </c>
      <c r="Q55" s="8">
        <v>12035</v>
      </c>
      <c r="R55" s="18">
        <f t="shared" si="1"/>
        <v>11245.240328701457</v>
      </c>
      <c r="S55" s="18">
        <f t="shared" si="2"/>
        <v>789.75967129854325</v>
      </c>
      <c r="T55" s="18">
        <f t="shared" si="3"/>
        <v>623720.33840958308</v>
      </c>
      <c r="U55" s="24">
        <f t="shared" si="4"/>
        <v>6.5621908707814147E-2</v>
      </c>
    </row>
    <row r="56" spans="3:21" ht="14.25" customHeight="1">
      <c r="C56" s="14">
        <v>24</v>
      </c>
      <c r="D56" s="6">
        <v>12118</v>
      </c>
      <c r="E56" s="33">
        <f t="shared" si="11"/>
        <v>11889.43291900077</v>
      </c>
      <c r="F56" s="33">
        <f t="shared" si="12"/>
        <v>185.94773447407232</v>
      </c>
      <c r="G56" s="82">
        <f t="shared" si="6"/>
        <v>1.0210063048269928</v>
      </c>
      <c r="H56" s="83">
        <v>1</v>
      </c>
      <c r="I56" s="18">
        <f t="shared" si="7"/>
        <v>12329.039780383706</v>
      </c>
      <c r="J56" s="18">
        <f t="shared" si="8"/>
        <v>211.03978038370587</v>
      </c>
      <c r="K56" s="18">
        <f t="shared" si="9"/>
        <v>44537.788904402805</v>
      </c>
      <c r="L56" s="24">
        <f t="shared" si="10"/>
        <v>1.7750197324082503E-2</v>
      </c>
      <c r="M56" s="24"/>
      <c r="N56" s="24"/>
      <c r="P56" s="14">
        <v>24</v>
      </c>
      <c r="Q56" s="6">
        <v>12118</v>
      </c>
      <c r="R56" s="18">
        <f t="shared" si="1"/>
        <v>11480.035276271628</v>
      </c>
      <c r="S56" s="18">
        <f t="shared" si="2"/>
        <v>637.96472372837161</v>
      </c>
      <c r="T56" s="18">
        <f t="shared" si="3"/>
        <v>406998.9887218175</v>
      </c>
      <c r="U56" s="24">
        <f t="shared" si="4"/>
        <v>5.2646040908431391E-2</v>
      </c>
    </row>
    <row r="57" spans="3:21" ht="14.25" customHeight="1">
      <c r="C57" s="14">
        <v>25</v>
      </c>
      <c r="D57" s="10">
        <v>13589</v>
      </c>
      <c r="E57" s="33">
        <f t="shared" si="11"/>
        <v>13433.026456671638</v>
      </c>
      <c r="F57" s="33">
        <f t="shared" si="12"/>
        <v>187.30538027726911</v>
      </c>
      <c r="G57" s="82">
        <f t="shared" si="6"/>
        <v>1.0003772126338215</v>
      </c>
      <c r="H57" s="83">
        <v>1</v>
      </c>
      <c r="I57" s="18">
        <f t="shared" si="7"/>
        <v>13625.469598194644</v>
      </c>
      <c r="J57" s="18">
        <f t="shared" si="8"/>
        <v>36.469598194644277</v>
      </c>
      <c r="K57" s="18">
        <f t="shared" si="9"/>
        <v>1330.031592478801</v>
      </c>
      <c r="L57" s="24">
        <f t="shared" si="10"/>
        <v>2.7149204471737872E-3</v>
      </c>
      <c r="M57" s="24"/>
      <c r="N57" s="24"/>
      <c r="P57" s="14">
        <v>25</v>
      </c>
      <c r="Q57" s="10">
        <v>13589</v>
      </c>
      <c r="R57" s="18">
        <f t="shared" si="1"/>
        <v>11714.8302238418</v>
      </c>
      <c r="S57" s="18">
        <f t="shared" si="2"/>
        <v>1874.1697761582</v>
      </c>
      <c r="T57" s="18">
        <f t="shared" si="3"/>
        <v>3512512.3498648773</v>
      </c>
      <c r="U57" s="24">
        <f t="shared" si="4"/>
        <v>0.13791815263508719</v>
      </c>
    </row>
    <row r="58" spans="3:21" ht="14.25" customHeight="1">
      <c r="C58" s="14">
        <v>26</v>
      </c>
      <c r="D58" s="8">
        <v>12640</v>
      </c>
      <c r="E58" s="33">
        <f t="shared" si="11"/>
        <v>12459.583367469793</v>
      </c>
      <c r="F58" s="33">
        <f t="shared" si="12"/>
        <v>186.14463180778998</v>
      </c>
      <c r="G58" s="82">
        <f t="shared" si="6"/>
        <v>1.0250911067410358</v>
      </c>
      <c r="H58" s="83">
        <v>1</v>
      </c>
      <c r="I58" s="18">
        <f t="shared" si="7"/>
        <v>12963.023310325563</v>
      </c>
      <c r="J58" s="18">
        <f t="shared" si="8"/>
        <v>323.02331032556322</v>
      </c>
      <c r="K58" s="18">
        <f t="shared" si="9"/>
        <v>104344.05901368511</v>
      </c>
      <c r="L58" s="24">
        <f t="shared" si="10"/>
        <v>2.5925691156650655E-2</v>
      </c>
      <c r="M58" s="24"/>
      <c r="N58" s="24"/>
      <c r="P58" s="14">
        <v>26</v>
      </c>
      <c r="Q58" s="8">
        <v>12640</v>
      </c>
      <c r="R58" s="18">
        <f t="shared" si="1"/>
        <v>11949.625171411972</v>
      </c>
      <c r="S58" s="18">
        <f t="shared" si="2"/>
        <v>690.37482858802832</v>
      </c>
      <c r="T58" s="18">
        <f t="shared" si="3"/>
        <v>476617.40394794947</v>
      </c>
      <c r="U58" s="24">
        <f t="shared" si="4"/>
        <v>5.4618261755381987E-2</v>
      </c>
    </row>
    <row r="59" spans="3:21" ht="14.25" customHeight="1">
      <c r="C59" s="14">
        <v>27</v>
      </c>
      <c r="D59" s="6">
        <v>12584</v>
      </c>
      <c r="E59" s="33">
        <f t="shared" si="11"/>
        <v>13513.539002199454</v>
      </c>
      <c r="F59" s="33">
        <f t="shared" si="12"/>
        <v>187.01244281071183</v>
      </c>
      <c r="G59" s="82">
        <f t="shared" si="6"/>
        <v>0.92461680544922664</v>
      </c>
      <c r="H59" s="83">
        <v>1</v>
      </c>
      <c r="I59" s="18">
        <f t="shared" si="7"/>
        <v>12667.760109978086</v>
      </c>
      <c r="J59" s="18">
        <f t="shared" si="8"/>
        <v>83.760109978085893</v>
      </c>
      <c r="K59" s="18">
        <f t="shared" si="9"/>
        <v>7015.7560235410438</v>
      </c>
      <c r="L59" s="24">
        <f t="shared" si="10"/>
        <v>6.1982364474955937E-3</v>
      </c>
      <c r="M59" s="24"/>
      <c r="N59" s="24"/>
      <c r="P59" s="14">
        <v>27</v>
      </c>
      <c r="Q59" s="6">
        <v>12584</v>
      </c>
      <c r="R59" s="18">
        <f t="shared" si="1"/>
        <v>12184.420118982142</v>
      </c>
      <c r="S59" s="18">
        <f t="shared" si="2"/>
        <v>399.5798810178585</v>
      </c>
      <c r="T59" s="18">
        <f t="shared" si="3"/>
        <v>159664.08131424597</v>
      </c>
      <c r="U59" s="24">
        <f t="shared" si="4"/>
        <v>3.1753010252531667E-2</v>
      </c>
    </row>
    <row r="60" spans="3:21" ht="14.25" customHeight="1">
      <c r="C60" s="14">
        <v>28</v>
      </c>
      <c r="D60" s="10">
        <v>12196</v>
      </c>
      <c r="E60" s="33">
        <f t="shared" si="11"/>
        <v>12067.199446547012</v>
      </c>
      <c r="F60" s="33">
        <f t="shared" si="12"/>
        <v>185.37909081224868</v>
      </c>
      <c r="G60" s="82">
        <f t="shared" si="6"/>
        <v>1.0261056306308396</v>
      </c>
      <c r="H60" s="83">
        <v>1</v>
      </c>
      <c r="I60" s="18">
        <f t="shared" si="7"/>
        <v>12572.439826930915</v>
      </c>
      <c r="J60" s="18">
        <f t="shared" si="8"/>
        <v>376.43982693091493</v>
      </c>
      <c r="K60" s="18">
        <f t="shared" si="9"/>
        <v>141706.94329977719</v>
      </c>
      <c r="L60" s="24">
        <f t="shared" si="10"/>
        <v>3.1195293373445641E-2</v>
      </c>
      <c r="M60" s="24"/>
      <c r="N60" s="24"/>
      <c r="P60" s="14">
        <v>28</v>
      </c>
      <c r="Q60" s="10">
        <v>12196</v>
      </c>
      <c r="R60" s="18">
        <f t="shared" si="1"/>
        <v>12419.215066552313</v>
      </c>
      <c r="S60" s="18">
        <f t="shared" si="2"/>
        <v>223.21506655231315</v>
      </c>
      <c r="T60" s="18">
        <f t="shared" si="3"/>
        <v>49824.965935953587</v>
      </c>
      <c r="U60" s="24">
        <f t="shared" si="4"/>
        <v>1.8302317690415969E-2</v>
      </c>
    </row>
    <row r="61" spans="3:21" ht="14.25" customHeight="1">
      <c r="C61" s="14">
        <v>29</v>
      </c>
      <c r="D61" s="8">
        <v>12697</v>
      </c>
      <c r="E61" s="33">
        <f t="shared" si="11"/>
        <v>12622.540246638488</v>
      </c>
      <c r="F61" s="33">
        <f t="shared" si="12"/>
        <v>185.74905252152789</v>
      </c>
      <c r="G61" s="82">
        <f t="shared" si="6"/>
        <v>1.0026337512805801</v>
      </c>
      <c r="H61" s="83">
        <v>1</v>
      </c>
      <c r="I61" s="18">
        <f t="shared" si="7"/>
        <v>12842.023147503718</v>
      </c>
      <c r="J61" s="18">
        <f t="shared" si="8"/>
        <v>145.02314750371806</v>
      </c>
      <c r="K61" s="18">
        <f t="shared" si="9"/>
        <v>21031.713311885167</v>
      </c>
      <c r="L61" s="24">
        <f t="shared" si="10"/>
        <v>1.148922044770974E-2</v>
      </c>
      <c r="M61" s="24"/>
      <c r="N61" s="24"/>
      <c r="P61" s="14">
        <v>29</v>
      </c>
      <c r="Q61" s="8">
        <v>12697</v>
      </c>
      <c r="R61" s="18">
        <f t="shared" si="1"/>
        <v>12654.010014122485</v>
      </c>
      <c r="S61" s="18">
        <f t="shared" si="2"/>
        <v>42.98998587751521</v>
      </c>
      <c r="T61" s="18">
        <f t="shared" si="3"/>
        <v>1848.1388857489571</v>
      </c>
      <c r="U61" s="24">
        <f t="shared" si="4"/>
        <v>3.3858380623387578E-3</v>
      </c>
    </row>
    <row r="62" spans="3:21" ht="14.25" customHeight="1">
      <c r="C62" s="14">
        <v>30</v>
      </c>
      <c r="D62" s="6">
        <v>11957</v>
      </c>
      <c r="E62" s="33">
        <f t="shared" si="11"/>
        <v>11820.427462465066</v>
      </c>
      <c r="F62" s="33">
        <f t="shared" si="12"/>
        <v>184.76119068483294</v>
      </c>
      <c r="G62" s="82">
        <f t="shared" si="6"/>
        <v>1.0210350960490822</v>
      </c>
      <c r="H62" s="83">
        <v>1</v>
      </c>
      <c r="I62" s="18">
        <f t="shared" si="7"/>
        <v>12257.718949556258</v>
      </c>
      <c r="J62" s="18">
        <f t="shared" si="8"/>
        <v>300.71894955625794</v>
      </c>
      <c r="K62" s="18">
        <f t="shared" si="9"/>
        <v>90431.886622219201</v>
      </c>
      <c r="L62" s="24">
        <f t="shared" si="10"/>
        <v>2.5440615452458869E-2</v>
      </c>
      <c r="M62" s="24"/>
      <c r="N62" s="24"/>
      <c r="P62" s="14">
        <v>30</v>
      </c>
      <c r="Q62" s="6">
        <v>11957</v>
      </c>
      <c r="R62" s="18">
        <f t="shared" si="1"/>
        <v>12888.804961692655</v>
      </c>
      <c r="S62" s="18">
        <f t="shared" si="2"/>
        <v>931.80496169265462</v>
      </c>
      <c r="T62" s="18">
        <f t="shared" si="3"/>
        <v>868260.48663504957</v>
      </c>
      <c r="U62" s="24">
        <f t="shared" si="4"/>
        <v>7.7929661427837638E-2</v>
      </c>
    </row>
    <row r="63" spans="3:21" ht="14.25" customHeight="1">
      <c r="C63" s="14">
        <v>31</v>
      </c>
      <c r="D63" s="10">
        <v>12540</v>
      </c>
      <c r="E63" s="33">
        <f t="shared" si="11"/>
        <v>12481.999261219249</v>
      </c>
      <c r="F63" s="33">
        <f t="shared" si="12"/>
        <v>185.23800129290228</v>
      </c>
      <c r="G63" s="82">
        <f t="shared" si="6"/>
        <v>1.0004006215440822</v>
      </c>
      <c r="H63" s="83">
        <v>1</v>
      </c>
      <c r="I63" s="18">
        <f t="shared" si="7"/>
        <v>12672.312030663514</v>
      </c>
      <c r="J63" s="18">
        <f t="shared" si="8"/>
        <v>132.31203066351372</v>
      </c>
      <c r="K63" s="18">
        <f t="shared" si="9"/>
        <v>17506.473458302597</v>
      </c>
      <c r="L63" s="24">
        <f t="shared" si="10"/>
        <v>1.0600227407046763E-2</v>
      </c>
      <c r="M63" s="24"/>
      <c r="N63" s="24"/>
      <c r="P63" s="14">
        <v>31</v>
      </c>
      <c r="Q63" s="10">
        <v>12540</v>
      </c>
      <c r="R63" s="18">
        <f t="shared" si="1"/>
        <v>13123.599909262826</v>
      </c>
      <c r="S63" s="18">
        <f t="shared" si="2"/>
        <v>583.59990926282626</v>
      </c>
      <c r="T63" s="18">
        <f t="shared" si="3"/>
        <v>340588.85409157904</v>
      </c>
      <c r="U63" s="24">
        <f t="shared" si="4"/>
        <v>4.6539067724308311E-2</v>
      </c>
    </row>
    <row r="64" spans="3:21" ht="14.25" customHeight="1">
      <c r="C64" s="14">
        <v>32</v>
      </c>
      <c r="D64" s="8">
        <v>12095</v>
      </c>
      <c r="E64" s="33">
        <f t="shared" si="11"/>
        <v>11885.572804528585</v>
      </c>
      <c r="F64" s="33">
        <f t="shared" si="12"/>
        <v>184.45633683491872</v>
      </c>
      <c r="G64" s="82">
        <f t="shared" si="6"/>
        <v>1.0251110944092905</v>
      </c>
      <c r="H64" s="83">
        <v>1</v>
      </c>
      <c r="I64" s="18">
        <f t="shared" si="7"/>
        <v>12373.120782655171</v>
      </c>
      <c r="J64" s="18">
        <f t="shared" si="8"/>
        <v>278.12078265517084</v>
      </c>
      <c r="K64" s="18">
        <f t="shared" si="9"/>
        <v>77351.169744724772</v>
      </c>
      <c r="L64" s="24">
        <f t="shared" si="10"/>
        <v>2.3399863618621945E-2</v>
      </c>
      <c r="M64" s="24"/>
      <c r="N64" s="24"/>
      <c r="P64" s="14">
        <v>32</v>
      </c>
      <c r="Q64" s="8">
        <v>12095</v>
      </c>
      <c r="R64" s="18">
        <f t="shared" si="1"/>
        <v>13358.394856832998</v>
      </c>
      <c r="S64" s="18">
        <f t="shared" si="2"/>
        <v>1263.3948568329979</v>
      </c>
      <c r="T64" s="18">
        <f t="shared" si="3"/>
        <v>1596166.5642720712</v>
      </c>
      <c r="U64" s="24">
        <f t="shared" si="4"/>
        <v>0.10445596170591136</v>
      </c>
    </row>
    <row r="65" spans="3:21" ht="14.25" customHeight="1">
      <c r="C65" s="14">
        <v>33</v>
      </c>
      <c r="D65" s="6">
        <v>11888</v>
      </c>
      <c r="E65" s="33">
        <f t="shared" si="11"/>
        <v>12778.312201842993</v>
      </c>
      <c r="F65" s="33">
        <f t="shared" si="12"/>
        <v>185.1646198953982</v>
      </c>
      <c r="G65" s="82">
        <f t="shared" si="6"/>
        <v>0.92463175376072859</v>
      </c>
      <c r="H65" s="83">
        <v>1</v>
      </c>
      <c r="I65" s="18">
        <f t="shared" si="7"/>
        <v>11986.442308520525</v>
      </c>
      <c r="J65" s="18">
        <f t="shared" si="8"/>
        <v>98.44230852052533</v>
      </c>
      <c r="K65" s="18">
        <f t="shared" si="9"/>
        <v>9690.8881068502942</v>
      </c>
      <c r="L65" s="24">
        <f t="shared" si="10"/>
        <v>7.7038584568568588E-3</v>
      </c>
      <c r="M65" s="24"/>
      <c r="N65" s="24"/>
      <c r="P65" s="14">
        <v>33</v>
      </c>
      <c r="Q65" s="6">
        <v>11888</v>
      </c>
      <c r="R65" s="18">
        <f t="shared" si="1"/>
        <v>13593.18980440317</v>
      </c>
      <c r="S65" s="18">
        <f t="shared" si="2"/>
        <v>1705.1898044031695</v>
      </c>
      <c r="T65" s="18">
        <f t="shared" si="3"/>
        <v>2907672.2690405198</v>
      </c>
      <c r="U65" s="24">
        <f t="shared" si="4"/>
        <v>0.14343790413889382</v>
      </c>
    </row>
    <row r="66" spans="3:21" ht="14.25" customHeight="1">
      <c r="C66" s="14">
        <v>34</v>
      </c>
      <c r="D66" s="10">
        <v>12764</v>
      </c>
      <c r="E66" s="33">
        <f t="shared" si="11"/>
        <v>12491.53320664604</v>
      </c>
      <c r="F66" s="33">
        <f t="shared" si="12"/>
        <v>184.69267628030585</v>
      </c>
      <c r="G66" s="82">
        <f t="shared" si="6"/>
        <v>1.0261196632149234</v>
      </c>
      <c r="H66" s="83">
        <v>1</v>
      </c>
      <c r="I66" s="18">
        <f t="shared" si="7"/>
        <v>13007.324633824675</v>
      </c>
      <c r="J66" s="18">
        <f t="shared" si="8"/>
        <v>243.3246338246754</v>
      </c>
      <c r="K66" s="18">
        <f t="shared" si="9"/>
        <v>59206.877425912367</v>
      </c>
      <c r="L66" s="24">
        <f t="shared" si="10"/>
        <v>1.9479164791013491E-2</v>
      </c>
      <c r="M66" s="24"/>
      <c r="N66" s="24"/>
      <c r="P66" s="14">
        <v>34</v>
      </c>
      <c r="Q66" s="10">
        <v>12764</v>
      </c>
      <c r="R66" s="18">
        <f t="shared" si="1"/>
        <v>13827.984751973341</v>
      </c>
      <c r="S66" s="18">
        <f t="shared" si="2"/>
        <v>1063.9847519733412</v>
      </c>
      <c r="T66" s="18">
        <f t="shared" si="3"/>
        <v>1132063.5524317725</v>
      </c>
      <c r="U66" s="24">
        <f t="shared" si="4"/>
        <v>8.3358253836833374E-2</v>
      </c>
    </row>
    <row r="67" spans="3:21" ht="14.25" customHeight="1">
      <c r="C67" s="14">
        <v>35</v>
      </c>
      <c r="D67" s="8">
        <v>11814</v>
      </c>
      <c r="E67" s="33">
        <f t="shared" si="11"/>
        <v>11872.172304115029</v>
      </c>
      <c r="F67" s="33">
        <f t="shared" si="12"/>
        <v>183.88862270149454</v>
      </c>
      <c r="G67" s="82">
        <f t="shared" si="6"/>
        <v>1.0026451178908382</v>
      </c>
      <c r="H67" s="83">
        <v>1</v>
      </c>
      <c r="I67" s="18">
        <f t="shared" si="7"/>
        <v>12087.950629267081</v>
      </c>
      <c r="J67" s="18">
        <f t="shared" si="8"/>
        <v>273.95062926708124</v>
      </c>
      <c r="K67" s="18">
        <f t="shared" si="9"/>
        <v>75048.947275829792</v>
      </c>
      <c r="L67" s="24">
        <f t="shared" si="10"/>
        <v>2.3075021339786894E-2</v>
      </c>
      <c r="M67" s="24"/>
      <c r="N67" s="24"/>
      <c r="P67" s="14">
        <v>35</v>
      </c>
      <c r="Q67" s="8">
        <v>11814</v>
      </c>
      <c r="R67" s="18">
        <f t="shared" si="1"/>
        <v>14062.779699543511</v>
      </c>
      <c r="S67" s="18">
        <f t="shared" si="2"/>
        <v>2248.779699543511</v>
      </c>
      <c r="T67" s="18">
        <f t="shared" si="3"/>
        <v>5057010.1370790033</v>
      </c>
      <c r="U67" s="24">
        <f t="shared" si="4"/>
        <v>0.19034871335225251</v>
      </c>
    </row>
    <row r="68" spans="3:21" ht="14.25" customHeight="1">
      <c r="C68" s="14">
        <v>36</v>
      </c>
      <c r="D68" s="6">
        <v>13380</v>
      </c>
      <c r="E68" s="33">
        <f t="shared" si="11"/>
        <v>12999.408620882998</v>
      </c>
      <c r="F68" s="33">
        <f t="shared" si="12"/>
        <v>184.83197039556103</v>
      </c>
      <c r="G68" s="82">
        <f t="shared" si="6"/>
        <v>1.021044736945965</v>
      </c>
      <c r="H68" s="83">
        <v>1</v>
      </c>
      <c r="I68" s="18">
        <f t="shared" si="7"/>
        <v>13461.699466354328</v>
      </c>
      <c r="J68" s="18">
        <f t="shared" si="8"/>
        <v>81.699466354328251</v>
      </c>
      <c r="K68" s="18">
        <f t="shared" si="9"/>
        <v>6674.802802582014</v>
      </c>
      <c r="L68" s="24">
        <f t="shared" si="10"/>
        <v>6.2848602376481596E-3</v>
      </c>
      <c r="M68" s="24"/>
      <c r="N68" s="24"/>
      <c r="P68" s="14">
        <v>36</v>
      </c>
      <c r="Q68" s="6">
        <v>13380</v>
      </c>
      <c r="R68" s="18">
        <f t="shared" si="1"/>
        <v>14297.574647113683</v>
      </c>
      <c r="S68" s="18">
        <f t="shared" si="2"/>
        <v>917.57464711368266</v>
      </c>
      <c r="T68" s="18">
        <f t="shared" si="3"/>
        <v>841943.23302579927</v>
      </c>
      <c r="U68" s="24">
        <f t="shared" si="4"/>
        <v>6.8578075270080918E-2</v>
      </c>
    </row>
    <row r="69" spans="3:21" ht="14.25" customHeight="1">
      <c r="C69" s="14">
        <v>37</v>
      </c>
      <c r="D69" s="10">
        <v>12590</v>
      </c>
      <c r="E69" s="33">
        <f t="shared" si="11"/>
        <v>12644.79768723188</v>
      </c>
      <c r="F69" s="33">
        <f t="shared" si="12"/>
        <v>184.29252749151436</v>
      </c>
      <c r="G69" s="82">
        <f t="shared" si="6"/>
        <v>1.0004084601168812</v>
      </c>
      <c r="H69" s="83">
        <v>1</v>
      </c>
      <c r="I69" s="18">
        <f t="shared" si="7"/>
        <v>12834.330386411979</v>
      </c>
      <c r="J69" s="18">
        <f t="shared" si="8"/>
        <v>244.33038641197891</v>
      </c>
      <c r="K69" s="18">
        <f t="shared" si="9"/>
        <v>59697.337724226927</v>
      </c>
      <c r="L69" s="24">
        <f t="shared" si="10"/>
        <v>1.9322601472595503E-2</v>
      </c>
      <c r="M69" s="24"/>
      <c r="N69" s="24"/>
      <c r="P69" s="14">
        <v>37</v>
      </c>
      <c r="Q69" s="10">
        <v>12590</v>
      </c>
      <c r="R69" s="18">
        <f t="shared" si="1"/>
        <v>14532.369594683854</v>
      </c>
      <c r="S69" s="18">
        <f t="shared" si="2"/>
        <v>1942.3695946838543</v>
      </c>
      <c r="T69" s="18">
        <f t="shared" si="3"/>
        <v>3772799.6423523203</v>
      </c>
      <c r="U69" s="24">
        <f t="shared" si="4"/>
        <v>0.15427876049911471</v>
      </c>
    </row>
    <row r="70" spans="3:21" ht="14.25" customHeight="1">
      <c r="C70" s="14">
        <v>38</v>
      </c>
      <c r="D70" s="8">
        <v>13911</v>
      </c>
      <c r="E70" s="33">
        <f t="shared" si="11"/>
        <v>13496.042140955265</v>
      </c>
      <c r="F70" s="33">
        <f t="shared" si="12"/>
        <v>184.95947941774622</v>
      </c>
      <c r="G70" s="82">
        <f t="shared" si="6"/>
        <v>1.0251177873454687</v>
      </c>
      <c r="H70" s="83">
        <v>1</v>
      </c>
      <c r="I70" s="18">
        <f t="shared" si="7"/>
        <v>14024.638109746553</v>
      </c>
      <c r="J70" s="18">
        <f t="shared" si="8"/>
        <v>113.6381097465528</v>
      </c>
      <c r="K70" s="18">
        <f t="shared" si="9"/>
        <v>12913.619986769578</v>
      </c>
      <c r="L70" s="24">
        <f t="shared" si="10"/>
        <v>8.420106321519634E-3</v>
      </c>
      <c r="M70" s="24"/>
      <c r="N70" s="24"/>
      <c r="P70" s="14">
        <v>38</v>
      </c>
      <c r="Q70" s="8">
        <v>13911</v>
      </c>
      <c r="R70" s="18">
        <f t="shared" si="1"/>
        <v>14767.164542254024</v>
      </c>
      <c r="S70" s="18">
        <f t="shared" si="2"/>
        <v>856.16454225402413</v>
      </c>
      <c r="T70" s="18">
        <f t="shared" si="3"/>
        <v>733017.72341304261</v>
      </c>
      <c r="U70" s="24">
        <f t="shared" si="4"/>
        <v>6.1545866023580198E-2</v>
      </c>
    </row>
    <row r="71" spans="3:21" ht="14.25" customHeight="1">
      <c r="C71" s="14">
        <v>39</v>
      </c>
      <c r="D71" s="6">
        <v>14067</v>
      </c>
      <c r="E71" s="33">
        <f t="shared" si="11"/>
        <v>15060.287795171467</v>
      </c>
      <c r="F71" s="33">
        <f t="shared" si="12"/>
        <v>186.33876559254466</v>
      </c>
      <c r="G71" s="82">
        <f t="shared" si="6"/>
        <v>0.92463675923947553</v>
      </c>
      <c r="H71" s="83">
        <v>1</v>
      </c>
      <c r="I71" s="18">
        <f t="shared" si="7"/>
        <v>14097.591372479346</v>
      </c>
      <c r="J71" s="18">
        <f t="shared" si="8"/>
        <v>30.591372479346319</v>
      </c>
      <c r="K71" s="18">
        <f t="shared" si="9"/>
        <v>935.83207017010739</v>
      </c>
      <c r="L71" s="24">
        <f t="shared" si="10"/>
        <v>2.03126081622121E-3</v>
      </c>
      <c r="M71" s="24"/>
      <c r="N71" s="24"/>
      <c r="P71" s="14">
        <v>39</v>
      </c>
      <c r="Q71" s="6">
        <v>14067</v>
      </c>
      <c r="R71" s="18">
        <f t="shared" si="1"/>
        <v>15001.959489824196</v>
      </c>
      <c r="S71" s="18">
        <f t="shared" si="2"/>
        <v>934.95948982419577</v>
      </c>
      <c r="T71" s="18">
        <f t="shared" si="3"/>
        <v>874149.24761232047</v>
      </c>
      <c r="U71" s="24">
        <f t="shared" si="4"/>
        <v>6.6464739448652568E-2</v>
      </c>
    </row>
    <row r="72" spans="3:21" ht="14.25" customHeight="1">
      <c r="C72" s="14">
        <v>40</v>
      </c>
      <c r="D72" s="10">
        <v>15341</v>
      </c>
      <c r="E72" s="33">
        <f t="shared" si="11"/>
        <v>14980.049264767435</v>
      </c>
      <c r="F72" s="33">
        <f t="shared" si="12"/>
        <v>186.07218829654806</v>
      </c>
      <c r="G72" s="82">
        <f t="shared" si="6"/>
        <v>1.0261243620515459</v>
      </c>
      <c r="H72" s="83">
        <v>1</v>
      </c>
      <c r="I72" s="18">
        <f t="shared" si="7"/>
        <v>15562.326700821543</v>
      </c>
      <c r="J72" s="18">
        <f t="shared" si="8"/>
        <v>221.32670082154254</v>
      </c>
      <c r="K72" s="18">
        <f t="shared" si="9"/>
        <v>48985.508496548602</v>
      </c>
      <c r="L72" s="24">
        <f t="shared" si="10"/>
        <v>1.4774764549145737E-2</v>
      </c>
      <c r="M72" s="24"/>
      <c r="N72" s="24"/>
      <c r="P72" s="14">
        <v>40</v>
      </c>
      <c r="Q72" s="10">
        <v>15341</v>
      </c>
      <c r="R72" s="18">
        <f t="shared" si="1"/>
        <v>15236.754437394367</v>
      </c>
      <c r="S72" s="18">
        <f t="shared" si="2"/>
        <v>104.24556260563259</v>
      </c>
      <c r="T72" s="18">
        <f t="shared" si="3"/>
        <v>10867.137322964863</v>
      </c>
      <c r="U72" s="24">
        <f t="shared" si="4"/>
        <v>6.795226035175842E-3</v>
      </c>
    </row>
    <row r="73" spans="3:21" ht="14.25" customHeight="1">
      <c r="C73" s="14">
        <v>41</v>
      </c>
      <c r="D73" s="14"/>
      <c r="E73" s="33"/>
      <c r="F73" s="33"/>
      <c r="G73" s="82"/>
      <c r="H73" s="83">
        <v>2</v>
      </c>
      <c r="I73" s="18">
        <f>($E$72+H73*$F$72)*$G$72</f>
        <v>15753.259906332874</v>
      </c>
      <c r="J73" s="18"/>
      <c r="K73" s="18"/>
      <c r="L73" s="24"/>
      <c r="M73" s="24"/>
      <c r="N73" s="24"/>
      <c r="P73" s="14">
        <v>41</v>
      </c>
      <c r="Q73" s="33"/>
      <c r="R73" s="18">
        <f>_xlfn.FORECAST.ETS(P73,$Q$33:$Q$72,$P$33:$P$72,1)</f>
        <v>15471.549384964539</v>
      </c>
      <c r="S73" s="14"/>
      <c r="T73" s="14"/>
      <c r="U73" s="14"/>
    </row>
    <row r="74" spans="3:21" ht="14.25" customHeight="1">
      <c r="C74" s="14">
        <v>42</v>
      </c>
      <c r="D74" s="14"/>
      <c r="E74" s="33"/>
      <c r="F74" s="33"/>
      <c r="G74" s="82"/>
      <c r="H74" s="83">
        <v>3</v>
      </c>
      <c r="I74" s="18">
        <f t="shared" ref="I74:I78" si="13">($E$72+H74*$F$72)*$G$72</f>
        <v>15944.193111844204</v>
      </c>
      <c r="J74" s="18"/>
      <c r="K74" s="18"/>
      <c r="L74" s="24"/>
      <c r="M74" s="24"/>
      <c r="N74" s="24"/>
      <c r="P74" s="14">
        <v>42</v>
      </c>
      <c r="Q74" s="33"/>
      <c r="R74" s="18">
        <f t="shared" si="1"/>
        <v>15706.344332534711</v>
      </c>
      <c r="S74" s="14"/>
      <c r="T74" s="14"/>
      <c r="U74" s="14"/>
    </row>
    <row r="75" spans="3:21" ht="14.25" customHeight="1">
      <c r="C75" s="14">
        <v>43</v>
      </c>
      <c r="D75" s="14"/>
      <c r="E75" s="33"/>
      <c r="F75" s="33"/>
      <c r="G75" s="82"/>
      <c r="H75" s="83">
        <v>4</v>
      </c>
      <c r="I75" s="18">
        <f t="shared" si="13"/>
        <v>16135.126317355534</v>
      </c>
      <c r="J75" s="18"/>
      <c r="K75" s="18"/>
      <c r="L75" s="24"/>
      <c r="M75" s="24"/>
      <c r="N75" s="24"/>
      <c r="P75" s="14">
        <v>43</v>
      </c>
      <c r="Q75" s="33"/>
      <c r="R75" s="18">
        <f t="shared" si="1"/>
        <v>15941.139280104881</v>
      </c>
      <c r="S75" s="14"/>
      <c r="T75" s="14"/>
      <c r="U75" s="14"/>
    </row>
    <row r="76" spans="3:21" ht="14.25" customHeight="1">
      <c r="C76" s="14">
        <v>44</v>
      </c>
      <c r="D76" s="14"/>
      <c r="E76" s="33"/>
      <c r="F76" s="33"/>
      <c r="G76" s="82"/>
      <c r="H76" s="83">
        <v>5</v>
      </c>
      <c r="I76" s="18">
        <f t="shared" si="13"/>
        <v>16326.059522866866</v>
      </c>
      <c r="J76" s="18"/>
      <c r="K76" s="18"/>
      <c r="L76" s="24"/>
      <c r="M76" s="24"/>
      <c r="N76" s="24"/>
      <c r="P76" s="14">
        <v>44</v>
      </c>
      <c r="Q76" s="33"/>
      <c r="R76" s="18">
        <f t="shared" si="1"/>
        <v>16175.934227675052</v>
      </c>
      <c r="S76" s="14"/>
      <c r="T76" s="14"/>
      <c r="U76" s="14"/>
    </row>
    <row r="77" spans="3:21" ht="14.25" customHeight="1">
      <c r="C77" s="14">
        <v>45</v>
      </c>
      <c r="D77" s="14"/>
      <c r="E77" s="33"/>
      <c r="F77" s="33"/>
      <c r="G77" s="82"/>
      <c r="H77" s="83">
        <v>6</v>
      </c>
      <c r="I77" s="18">
        <f t="shared" si="13"/>
        <v>16516.992728378194</v>
      </c>
      <c r="J77" s="18"/>
      <c r="K77" s="18"/>
      <c r="L77" s="24"/>
      <c r="M77" s="24"/>
      <c r="N77" s="24"/>
      <c r="P77" s="14">
        <v>45</v>
      </c>
      <c r="Q77" s="33"/>
      <c r="R77" s="18">
        <f t="shared" si="1"/>
        <v>16410.729175245222</v>
      </c>
      <c r="S77" s="14"/>
      <c r="T77" s="14"/>
      <c r="U77" s="14"/>
    </row>
    <row r="78" spans="3:21" ht="14.25" customHeight="1">
      <c r="C78" s="14">
        <v>46</v>
      </c>
      <c r="D78" s="14"/>
      <c r="E78" s="33"/>
      <c r="F78" s="33"/>
      <c r="G78" s="82"/>
      <c r="H78" s="83">
        <v>7</v>
      </c>
      <c r="I78" s="18">
        <f t="shared" si="13"/>
        <v>16707.925933889528</v>
      </c>
      <c r="J78" s="18"/>
      <c r="K78" s="18"/>
      <c r="L78" s="24"/>
      <c r="M78" s="24"/>
      <c r="N78" s="24"/>
      <c r="P78" s="14">
        <v>46</v>
      </c>
      <c r="Q78" s="33"/>
      <c r="R78" s="18">
        <f t="shared" si="1"/>
        <v>16645.524122815394</v>
      </c>
      <c r="S78" s="14"/>
      <c r="T78" s="14"/>
      <c r="U78" s="14"/>
    </row>
    <row r="79" spans="3:21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31"/>
      <c r="N79" s="31"/>
      <c r="P79" s="20"/>
      <c r="Q79" s="20"/>
      <c r="R79" s="20"/>
      <c r="S79" s="20"/>
      <c r="T79" s="20"/>
      <c r="U79" s="20"/>
    </row>
    <row r="80" spans="3:21" ht="14.25" customHeight="1"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3:14" ht="14.25" customHeight="1"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3:14" ht="14.25" customHeight="1"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3:14" ht="14.25" customHeight="1"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3:14" ht="14.25" customHeight="1"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3:14" ht="14.25" customHeight="1"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3:14" ht="14.25" customHeight="1"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3:14" ht="14.25" customHeight="1"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3:14" ht="14.25" customHeight="1"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3:14" ht="14.25" customHeight="1"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3:14" ht="14.25" customHeight="1"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3:14" ht="14.25" customHeight="1"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3:14" ht="14.25" customHeight="1"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3:14" ht="14.25" customHeight="1"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3:14" ht="14.25" customHeight="1"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3:14" ht="14.25" customHeight="1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3:14" ht="14.25" customHeight="1"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3:14" ht="14.25" customHeight="1"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3:14" ht="14.25" customHeight="1"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3:14" ht="14.25" customHeight="1"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3:14" ht="14.25" customHeight="1"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3:14" ht="14.25" customHeight="1"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3:14" ht="14.25" customHeight="1"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3:14" ht="14.25" customHeight="1"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3:14" ht="14.25" customHeight="1"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3:14" ht="14.25" customHeight="1"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3:14" ht="14.25" customHeight="1"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3:14" ht="14.25" customHeight="1"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3:14" ht="14.25" customHeight="1"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3:14" ht="14.25" customHeight="1"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3:14" ht="14.25" customHeight="1"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3:14" ht="14.25" customHeight="1"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3:14" ht="14.25" customHeight="1"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3:14" ht="14.25" customHeight="1"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3:14" ht="14.25" customHeight="1"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3:14" ht="14.25" customHeight="1"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3:14" ht="14.25" customHeight="1"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3:14" ht="14.25" customHeight="1"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3:14" ht="14.25" customHeight="1"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3:14" ht="14.25" customHeight="1"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3:14" ht="14.25" customHeight="1"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3:14" ht="14.25" customHeight="1"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3:14" ht="14.25" customHeight="1"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3:14" ht="14.25" customHeight="1"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3:14" ht="14.25" customHeight="1"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3:14" ht="14.25" customHeight="1"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3:14" ht="14.25" customHeight="1"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3:14" ht="14.25" customHeight="1"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3:14" ht="14.25" customHeight="1"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3:14" ht="14.25" customHeight="1"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3:14" ht="14.25" customHeight="1"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3:14" ht="14.25" customHeight="1"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3:14" ht="14.25" customHeight="1"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3:14" ht="14.25" customHeight="1"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3:14" ht="14.25" customHeight="1"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3:14" ht="14.25" customHeight="1"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3:14" ht="14.25" customHeight="1"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3:14" ht="14.25" customHeight="1"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3:14" ht="14.25" customHeight="1"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3:14" ht="14.25" customHeight="1"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3:14" ht="14.25" customHeight="1"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3:14" ht="14.25" customHeight="1"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3:14" ht="14.25" customHeight="1"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3:14" ht="14.25" customHeight="1"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3:14" ht="14.25" customHeight="1"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3:14" ht="14.25" customHeight="1"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3:14" ht="14.25" customHeight="1"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3:14" ht="14.25" customHeight="1"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3:14" ht="14.25" customHeight="1"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3:14" ht="14.25" customHeight="1"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3:14" ht="14.25" customHeight="1"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 spans="3:14" ht="14.25" customHeight="1"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 spans="3:14" ht="14.25" customHeight="1"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 spans="3:14" ht="14.25" customHeight="1"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 spans="3:14" ht="14.25" customHeight="1"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3:14" ht="14.25" customHeight="1"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 spans="3:14" ht="14.25" customHeight="1"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 spans="3:14" ht="14.25" customHeight="1"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3:14" ht="14.25" customHeight="1"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3:14" ht="14.25" customHeight="1"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 spans="3:14" ht="14.25" customHeight="1"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 spans="3:14" ht="14.25" customHeight="1"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3:14" ht="14.25" customHeight="1"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3:14" ht="14.25" customHeight="1"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3:14" ht="14.25" customHeight="1"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3:14" ht="14.25" customHeight="1"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3:14" ht="14.25" customHeight="1"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3:14" ht="14.25" customHeight="1"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3:14" ht="14.25" customHeight="1"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3:14" ht="14.25" customHeight="1"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3:14" ht="14.25" customHeight="1"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3:14" ht="14.25" customHeight="1"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3:14" ht="14.25" customHeight="1"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3:14" ht="14.25" customHeight="1"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3:14" ht="14.25" customHeight="1"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3:14" ht="14.25" customHeight="1"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3:14" ht="14.25" customHeight="1"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3:14" ht="14.25" customHeight="1"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3:14" ht="14.25" customHeight="1"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3:14" ht="14.25" customHeight="1"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3:14" ht="14.25" customHeight="1"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3:14" ht="14.25" customHeight="1"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3:14" ht="14.25" customHeight="1"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3:14" ht="14.25" customHeight="1"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 spans="3:14" ht="14.25" customHeight="1"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3:14" ht="14.25" customHeight="1"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3:14" ht="14.25" customHeight="1"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3:14" ht="14.25" customHeight="1"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3:14" ht="14.25" customHeight="1"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 spans="3:14" ht="14.25" customHeight="1"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 spans="3:14" ht="14.25" customHeight="1"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 spans="3:14" ht="14.25" customHeight="1"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 spans="3:14" ht="14.25" customHeight="1"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 spans="3:14" ht="14.25" customHeight="1"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 spans="3:14" ht="14.25" customHeight="1"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 spans="3:14" ht="14.25" customHeight="1"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 spans="3:14" ht="14.25" customHeight="1"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 spans="3:14" ht="14.25" customHeight="1"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 spans="3:14" ht="14.25" customHeight="1"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 spans="3:14" ht="14.25" customHeight="1"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 spans="3:14" ht="14.25" customHeight="1"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 spans="3:14" ht="14.25" customHeight="1"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 spans="3:14" ht="14.25" customHeight="1"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3:14" ht="14.25" customHeight="1"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3:14" ht="14.25" customHeight="1"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3:14" ht="14.25" customHeight="1"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3:14" ht="14.25" customHeight="1"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 spans="3:14" ht="14.25" customHeight="1"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3:14" ht="14.25" customHeight="1"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3:14" ht="14.25" customHeight="1"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3:14" ht="14.25" customHeight="1"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3:14" ht="14.25" customHeight="1"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3:14" ht="14.25" customHeight="1"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3:14" ht="14.25" customHeight="1"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3:14" ht="14.25" customHeight="1"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3:14" ht="14.25" customHeight="1"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3:14" ht="14.25" customHeight="1"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3:14" ht="14.25" customHeight="1"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3:14" ht="14.25" customHeight="1"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3:14" ht="14.25" customHeight="1"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3:14" ht="14.25" customHeight="1"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3:14" ht="14.25" customHeight="1"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3:14" ht="14.25" customHeight="1"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3:14" ht="14.25" customHeight="1"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3:14" ht="14.25" customHeight="1"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3:14" ht="14.25" customHeight="1"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3:14" ht="14.25" customHeight="1"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3:14" ht="14.25" customHeight="1"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3:14" ht="14.25" customHeight="1"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3:14" ht="14.25" customHeight="1"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3:14" ht="14.25" customHeight="1"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3:14" ht="14.25" customHeight="1"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 spans="3:14" ht="14.25" customHeight="1"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 spans="3:14" ht="14.25" customHeight="1"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3:14" ht="14.25" customHeight="1"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 spans="3:14" ht="14.25" customHeight="1"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 spans="3:14" ht="14.25" customHeight="1"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</row>
    <row r="237" spans="3:14" ht="14.25" customHeight="1"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</row>
    <row r="238" spans="3:14" ht="14.25" customHeight="1"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</row>
    <row r="239" spans="3:14" ht="14.25" customHeight="1"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</row>
    <row r="240" spans="3:14" ht="14.25" customHeight="1"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</row>
    <row r="241" spans="3:14" ht="14.25" customHeight="1"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</row>
    <row r="242" spans="3:14" ht="14.25" customHeight="1"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</row>
    <row r="243" spans="3:14" ht="14.25" customHeight="1"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</row>
    <row r="244" spans="3:14" ht="14.25" customHeight="1"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</row>
    <row r="245" spans="3:14" ht="14.25" customHeight="1"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 spans="3:14" ht="14.25" customHeight="1"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 spans="3:14" ht="14.25" customHeight="1"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 spans="3:14" ht="14.25" customHeight="1"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</row>
    <row r="249" spans="3:14" ht="14.25" customHeight="1"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 spans="3:14" ht="14.25" customHeight="1"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3:14" ht="14.25" customHeight="1"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3:14" ht="14.25" customHeight="1"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3:14" ht="14.25" customHeight="1"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3:14" ht="14.25" customHeight="1"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 spans="3:14" ht="14.25" customHeight="1"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</row>
    <row r="256" spans="3:14" ht="14.25" customHeight="1"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 spans="3:14" ht="14.25" customHeight="1"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 spans="3:14" ht="14.25" customHeight="1"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 spans="3:14" ht="14.25" customHeight="1"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 spans="3:14" ht="14.25" customHeight="1"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 spans="3:14" ht="14.25" customHeight="1"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</row>
    <row r="262" spans="3:14" ht="14.25" customHeight="1"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</row>
    <row r="263" spans="3:14" ht="14.25" customHeight="1"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</row>
    <row r="264" spans="3:14" ht="14.25" customHeight="1"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</row>
    <row r="265" spans="3:14" ht="14.25" customHeight="1"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</row>
    <row r="266" spans="3:14" ht="14.25" customHeight="1"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</row>
    <row r="267" spans="3:14" ht="14.25" customHeight="1"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</row>
    <row r="268" spans="3:14" ht="14.25" customHeight="1"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</row>
    <row r="269" spans="3:14" ht="14.25" customHeight="1"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</row>
    <row r="270" spans="3:14" ht="14.25" customHeight="1"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</row>
    <row r="271" spans="3:14" ht="14.25" customHeight="1"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</row>
    <row r="272" spans="3:14" ht="14.25" customHeight="1"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</row>
    <row r="273" spans="3:14" ht="14.25" customHeight="1"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</row>
    <row r="274" spans="3:14" ht="14.25" customHeight="1"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</row>
    <row r="275" spans="3:14" ht="14.25" customHeight="1"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</row>
    <row r="276" spans="3:14" ht="14.25" customHeight="1"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</row>
    <row r="277" spans="3:14" ht="14.25" customHeight="1"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</row>
    <row r="278" spans="3:14" ht="14.25" customHeight="1"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</row>
    <row r="279" spans="3:14" ht="14.25" customHeight="1"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</row>
    <row r="280" spans="3:14" ht="14.25" customHeight="1"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</row>
    <row r="281" spans="3:14" ht="14.25" customHeight="1"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 spans="3:14" ht="14.25" customHeight="1"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</row>
    <row r="283" spans="3:14" ht="14.25" customHeight="1"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</row>
    <row r="284" spans="3:14" ht="14.25" customHeight="1"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 spans="3:14" ht="14.25" customHeight="1"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</row>
    <row r="286" spans="3:14" ht="14.25" customHeight="1"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</row>
    <row r="287" spans="3:14" ht="14.25" customHeight="1"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</row>
    <row r="288" spans="3:14" ht="14.25" customHeight="1"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</row>
    <row r="289" spans="3:14" ht="14.25" customHeight="1"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</row>
    <row r="290" spans="3:14" ht="14.25" customHeight="1"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</row>
    <row r="291" spans="3:14" ht="14.25" customHeight="1"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</row>
    <row r="292" spans="3:14" ht="14.25" customHeight="1"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</row>
    <row r="293" spans="3:14" ht="14.25" customHeight="1"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</row>
    <row r="294" spans="3:14" ht="14.25" customHeight="1"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</row>
    <row r="295" spans="3:14" ht="14.25" customHeight="1"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</row>
    <row r="296" spans="3:14" ht="14.25" customHeight="1"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</row>
    <row r="297" spans="3:14" ht="14.25" customHeight="1"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</row>
    <row r="298" spans="3:14" ht="14.25" customHeight="1"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</row>
    <row r="299" spans="3:14" ht="14.25" customHeight="1"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</row>
    <row r="300" spans="3:14" ht="14.25" customHeight="1"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</row>
    <row r="301" spans="3:14" ht="14.25" customHeight="1"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</row>
    <row r="302" spans="3:14" ht="14.25" customHeight="1"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</row>
    <row r="303" spans="3:14" ht="14.25" customHeight="1"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</row>
    <row r="304" spans="3:14" ht="14.25" customHeight="1"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</row>
    <row r="305" spans="3:14" ht="14.25" customHeight="1"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</row>
    <row r="306" spans="3:14" ht="14.25" customHeight="1"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</row>
    <row r="307" spans="3:14" ht="14.25" customHeight="1"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</row>
    <row r="308" spans="3:14" ht="14.25" customHeight="1"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</row>
    <row r="309" spans="3:14" ht="14.25" customHeight="1"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</row>
    <row r="310" spans="3:14" ht="14.25" customHeight="1"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</row>
    <row r="311" spans="3:14" ht="14.25" customHeight="1"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</row>
    <row r="312" spans="3:14" ht="14.25" customHeight="1"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</row>
    <row r="313" spans="3:14" ht="14.25" customHeight="1"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</row>
    <row r="314" spans="3:14" ht="14.25" customHeight="1"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</row>
    <row r="315" spans="3:14" ht="14.25" customHeight="1"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</row>
    <row r="316" spans="3:14" ht="14.25" customHeight="1"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</row>
    <row r="317" spans="3:14" ht="14.25" customHeight="1"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</row>
    <row r="318" spans="3:14" ht="14.25" customHeight="1"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</row>
    <row r="319" spans="3:14" ht="14.25" customHeight="1"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</row>
    <row r="320" spans="3:14" ht="14.25" customHeight="1"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</row>
    <row r="321" spans="3:14" ht="14.25" customHeight="1"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</row>
    <row r="322" spans="3:14" ht="14.25" customHeight="1"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</row>
    <row r="323" spans="3:14" ht="14.25" customHeight="1"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</row>
    <row r="324" spans="3:14" ht="14.25" customHeight="1"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</row>
    <row r="325" spans="3:14" ht="14.25" customHeight="1"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</row>
    <row r="326" spans="3:14" ht="14.25" customHeight="1"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</row>
    <row r="327" spans="3:14" ht="14.25" customHeight="1"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</row>
    <row r="328" spans="3:14" ht="14.25" customHeight="1"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</row>
    <row r="329" spans="3:14" ht="14.25" customHeight="1"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</row>
    <row r="330" spans="3:14" ht="14.25" customHeight="1"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</row>
    <row r="331" spans="3:14" ht="14.25" customHeight="1"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</row>
    <row r="332" spans="3:14" ht="14.25" customHeight="1"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</row>
    <row r="333" spans="3:14" ht="14.25" customHeight="1"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</row>
    <row r="334" spans="3:14" ht="14.25" customHeight="1"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</row>
    <row r="335" spans="3:14" ht="14.25" customHeight="1"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</row>
    <row r="336" spans="3:14" ht="14.25" customHeight="1"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</row>
    <row r="337" spans="3:14" ht="14.25" customHeight="1"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</row>
    <row r="338" spans="3:14" ht="14.25" customHeight="1"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</row>
    <row r="339" spans="3:14" ht="14.25" customHeight="1"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</row>
    <row r="340" spans="3:14" ht="14.25" customHeight="1"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</row>
    <row r="341" spans="3:14" ht="14.25" customHeight="1"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</row>
    <row r="342" spans="3:14" ht="14.25" customHeight="1"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</row>
    <row r="343" spans="3:14" ht="14.25" customHeight="1"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</row>
    <row r="344" spans="3:14" ht="14.25" customHeight="1"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</row>
    <row r="345" spans="3:14" ht="14.25" customHeight="1"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</row>
    <row r="346" spans="3:14" ht="14.25" customHeight="1"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</row>
    <row r="347" spans="3:14" ht="14.25" customHeight="1"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</row>
    <row r="348" spans="3:14" ht="14.25" customHeight="1"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</row>
    <row r="349" spans="3:14" ht="14.25" customHeight="1"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</row>
    <row r="350" spans="3:14" ht="14.25" customHeight="1"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</row>
    <row r="351" spans="3:14" ht="14.25" customHeight="1"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</row>
    <row r="352" spans="3:14" ht="14.25" customHeight="1"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</row>
    <row r="353" spans="3:14" ht="14.25" customHeight="1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</row>
    <row r="354" spans="3:14" ht="14.25" customHeight="1"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</row>
    <row r="355" spans="3:14" ht="14.25" customHeight="1"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</row>
    <row r="356" spans="3:14" ht="14.25" customHeight="1"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</row>
    <row r="357" spans="3:14" ht="14.25" customHeight="1"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</row>
    <row r="358" spans="3:14" ht="14.25" customHeight="1"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</row>
    <row r="359" spans="3:14" ht="14.25" customHeight="1"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</row>
    <row r="360" spans="3:14" ht="14.25" customHeight="1"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</row>
    <row r="361" spans="3:14" ht="14.25" customHeight="1"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</row>
    <row r="362" spans="3:14" ht="14.25" customHeight="1"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</row>
    <row r="363" spans="3:14" ht="14.25" customHeight="1"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</row>
    <row r="364" spans="3:14" ht="14.25" customHeight="1"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</row>
    <row r="365" spans="3:14" ht="14.25" customHeight="1"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</row>
    <row r="366" spans="3:14" ht="14.25" customHeight="1"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</row>
    <row r="367" spans="3:14" ht="14.25" customHeight="1"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</row>
    <row r="368" spans="3:14" ht="14.25" customHeight="1"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</row>
    <row r="369" spans="3:14" ht="14.25" customHeight="1"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</row>
    <row r="370" spans="3:14" ht="14.25" customHeight="1"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</row>
    <row r="371" spans="3:14" ht="14.25" customHeight="1"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</row>
    <row r="372" spans="3:14" ht="14.25" customHeight="1"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</row>
    <row r="373" spans="3:14" ht="14.25" customHeight="1"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</row>
    <row r="374" spans="3:14" ht="14.25" customHeight="1"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</row>
    <row r="375" spans="3:14" ht="14.25" customHeight="1"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</row>
    <row r="376" spans="3:14" ht="14.25" customHeight="1"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</row>
    <row r="377" spans="3:14" ht="14.25" customHeight="1"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</row>
    <row r="378" spans="3:14" ht="14.25" customHeight="1"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</row>
    <row r="379" spans="3:14" ht="14.25" customHeight="1"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</row>
    <row r="380" spans="3:14" ht="14.25" customHeight="1"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</row>
    <row r="381" spans="3:14" ht="14.25" customHeight="1"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</row>
    <row r="382" spans="3:14" ht="14.25" customHeight="1"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</row>
    <row r="383" spans="3:14" ht="14.25" customHeight="1"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</row>
    <row r="384" spans="3:14" ht="14.25" customHeight="1"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</row>
    <row r="385" spans="3:14" ht="14.25" customHeight="1"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</row>
    <row r="386" spans="3:14" ht="14.25" customHeight="1"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</row>
    <row r="387" spans="3:14" ht="14.25" customHeight="1"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</row>
    <row r="388" spans="3:14" ht="14.25" customHeight="1"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</row>
    <row r="389" spans="3:14" ht="14.25" customHeight="1"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</row>
    <row r="390" spans="3:14" ht="14.25" customHeight="1"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</row>
    <row r="391" spans="3:14" ht="14.25" customHeight="1"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</row>
    <row r="392" spans="3:14" ht="14.25" customHeight="1"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</row>
    <row r="393" spans="3:14" ht="14.25" customHeight="1"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</row>
    <row r="394" spans="3:14" ht="14.25" customHeight="1"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</row>
    <row r="395" spans="3:14" ht="14.25" customHeight="1"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</row>
    <row r="396" spans="3:14" ht="14.25" customHeight="1"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</row>
    <row r="397" spans="3:14" ht="14.25" customHeight="1"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</row>
    <row r="398" spans="3:14" ht="14.25" customHeight="1"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</row>
    <row r="399" spans="3:14" ht="14.25" customHeight="1"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</row>
    <row r="400" spans="3:14" ht="14.25" customHeight="1"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</row>
    <row r="401" spans="3:14" ht="14.25" customHeight="1"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</row>
    <row r="402" spans="3:14" ht="14.25" customHeight="1"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</row>
    <row r="403" spans="3:14" ht="14.25" customHeight="1"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</row>
    <row r="404" spans="3:14" ht="14.25" customHeight="1"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</row>
    <row r="405" spans="3:14" ht="14.25" customHeight="1"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</row>
    <row r="406" spans="3:14" ht="14.25" customHeight="1"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</row>
    <row r="407" spans="3:14" ht="14.25" customHeight="1"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</row>
    <row r="408" spans="3:14" ht="14.25" customHeight="1"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</row>
    <row r="409" spans="3:14" ht="14.25" customHeight="1"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</row>
    <row r="410" spans="3:14" ht="14.25" customHeight="1"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</row>
    <row r="411" spans="3:14" ht="14.25" customHeight="1"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</row>
    <row r="412" spans="3:14" ht="14.25" customHeight="1"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</row>
    <row r="413" spans="3:14" ht="14.25" customHeight="1"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</row>
    <row r="414" spans="3:14" ht="14.25" customHeight="1"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</row>
    <row r="415" spans="3:14" ht="14.25" customHeight="1"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</row>
    <row r="416" spans="3:14" ht="14.25" customHeight="1"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</row>
    <row r="417" spans="3:14" ht="14.25" customHeight="1"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</row>
    <row r="418" spans="3:14" ht="14.25" customHeight="1"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</row>
    <row r="419" spans="3:14" ht="14.25" customHeight="1"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</row>
    <row r="420" spans="3:14" ht="14.25" customHeight="1"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</row>
    <row r="421" spans="3:14" ht="14.25" customHeight="1"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</row>
    <row r="422" spans="3:14" ht="14.25" customHeight="1"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</row>
    <row r="423" spans="3:14" ht="14.25" customHeight="1"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</row>
    <row r="424" spans="3:14" ht="14.25" customHeight="1"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</row>
    <row r="425" spans="3:14" ht="14.25" customHeight="1"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</row>
    <row r="426" spans="3:14" ht="14.25" customHeight="1"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</row>
    <row r="427" spans="3:14" ht="14.25" customHeight="1"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</row>
    <row r="428" spans="3:14" ht="14.25" customHeight="1"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</row>
    <row r="429" spans="3:14" ht="14.25" customHeight="1"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</row>
    <row r="430" spans="3:14" ht="14.25" customHeight="1"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</row>
    <row r="431" spans="3:14" ht="14.25" customHeight="1"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</row>
    <row r="432" spans="3:14" ht="14.25" customHeight="1"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</row>
    <row r="433" spans="3:14" ht="14.25" customHeight="1"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</row>
    <row r="434" spans="3:14" ht="14.25" customHeight="1"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</row>
    <row r="435" spans="3:14" ht="14.25" customHeight="1"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</row>
    <row r="436" spans="3:14" ht="14.25" customHeight="1"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</row>
    <row r="437" spans="3:14" ht="14.25" customHeight="1"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</row>
    <row r="438" spans="3:14" ht="14.25" customHeight="1"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</row>
    <row r="439" spans="3:14" ht="14.25" customHeight="1"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</row>
    <row r="440" spans="3:14" ht="14.25" customHeight="1"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</row>
    <row r="441" spans="3:14" ht="14.25" customHeight="1"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</row>
    <row r="442" spans="3:14" ht="14.25" customHeight="1"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</row>
    <row r="443" spans="3:14" ht="14.25" customHeight="1"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</row>
    <row r="444" spans="3:14" ht="14.25" customHeight="1"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</row>
    <row r="445" spans="3:14" ht="14.25" customHeight="1"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</row>
    <row r="446" spans="3:14" ht="14.25" customHeight="1"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</row>
    <row r="447" spans="3:14" ht="14.25" customHeight="1"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</row>
    <row r="448" spans="3:14" ht="14.25" customHeight="1"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</row>
    <row r="449" spans="3:14" ht="14.25" customHeight="1"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</row>
    <row r="450" spans="3:14" ht="14.25" customHeight="1"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</row>
    <row r="451" spans="3:14" ht="14.25" customHeight="1"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</row>
    <row r="452" spans="3:14" ht="14.25" customHeight="1"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</row>
    <row r="453" spans="3:14" ht="14.25" customHeight="1"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</row>
    <row r="454" spans="3:14" ht="14.25" customHeight="1"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</row>
    <row r="455" spans="3:14" ht="14.25" customHeight="1"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</row>
    <row r="456" spans="3:14" ht="14.25" customHeight="1"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</row>
    <row r="457" spans="3:14" ht="14.25" customHeight="1"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</row>
    <row r="458" spans="3:14" ht="14.25" customHeight="1"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</row>
    <row r="459" spans="3:14" ht="14.25" customHeight="1"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</row>
    <row r="460" spans="3:14" ht="14.25" customHeight="1"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</row>
    <row r="461" spans="3:14" ht="14.25" customHeight="1"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</row>
    <row r="462" spans="3:14" ht="14.25" customHeight="1"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</row>
    <row r="463" spans="3:14" ht="14.25" customHeight="1"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</row>
    <row r="464" spans="3:14" ht="14.25" customHeight="1"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</row>
    <row r="465" spans="3:14" ht="14.25" customHeight="1"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</row>
    <row r="466" spans="3:14" ht="14.25" customHeight="1"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</row>
    <row r="467" spans="3:14" ht="14.25" customHeight="1"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</row>
    <row r="468" spans="3:14" ht="14.25" customHeight="1"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</row>
    <row r="469" spans="3:14" ht="14.25" customHeight="1"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</row>
    <row r="470" spans="3:14" ht="14.25" customHeight="1"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</row>
    <row r="471" spans="3:14" ht="14.25" customHeight="1"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</row>
    <row r="472" spans="3:14" ht="14.25" customHeight="1"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</row>
    <row r="473" spans="3:14" ht="14.25" customHeight="1"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</row>
    <row r="474" spans="3:14" ht="14.25" customHeight="1"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</row>
    <row r="475" spans="3:14" ht="14.25" customHeight="1"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</row>
    <row r="476" spans="3:14" ht="14.25" customHeight="1"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</row>
    <row r="477" spans="3:14" ht="14.25" customHeight="1"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</row>
    <row r="478" spans="3:14" ht="14.25" customHeight="1"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</row>
    <row r="479" spans="3:14" ht="14.25" customHeight="1"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</row>
    <row r="480" spans="3:14" ht="14.25" customHeight="1"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</row>
    <row r="481" spans="3:14" ht="14.25" customHeight="1"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</row>
    <row r="482" spans="3:14" ht="14.25" customHeight="1"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</row>
    <row r="483" spans="3:14" ht="14.25" customHeight="1"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</row>
    <row r="484" spans="3:14" ht="14.25" customHeight="1"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</row>
    <row r="485" spans="3:14" ht="14.25" customHeight="1"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</row>
    <row r="486" spans="3:14" ht="14.25" customHeight="1"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</row>
    <row r="487" spans="3:14" ht="14.25" customHeight="1"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</row>
    <row r="488" spans="3:14" ht="14.25" customHeight="1"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</row>
    <row r="489" spans="3:14" ht="14.25" customHeight="1"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</row>
    <row r="490" spans="3:14" ht="14.25" customHeight="1"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</row>
    <row r="491" spans="3:14" ht="14.25" customHeight="1"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</row>
    <row r="492" spans="3:14" ht="14.25" customHeight="1"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</row>
    <row r="493" spans="3:14" ht="14.25" customHeight="1"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</row>
    <row r="494" spans="3:14" ht="14.25" customHeight="1"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</row>
    <row r="495" spans="3:14" ht="14.25" customHeight="1"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</row>
    <row r="496" spans="3:14" ht="14.25" customHeight="1"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</row>
    <row r="497" spans="3:14" ht="14.25" customHeight="1"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</row>
    <row r="498" spans="3:14" ht="14.25" customHeight="1"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</row>
    <row r="499" spans="3:14" ht="14.25" customHeight="1"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</row>
    <row r="500" spans="3:14" ht="14.25" customHeight="1"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</row>
    <row r="501" spans="3:14" ht="14.25" customHeight="1"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</row>
    <row r="502" spans="3:14" ht="14.25" customHeight="1"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</row>
    <row r="503" spans="3:14" ht="14.25" customHeight="1"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</row>
    <row r="504" spans="3:14" ht="14.25" customHeight="1"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</row>
    <row r="505" spans="3:14" ht="14.25" customHeight="1"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</row>
    <row r="506" spans="3:14" ht="14.25" customHeight="1"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</row>
    <row r="507" spans="3:14" ht="14.25" customHeight="1"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</row>
    <row r="508" spans="3:14" ht="14.25" customHeight="1"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</row>
    <row r="509" spans="3:14" ht="14.25" customHeight="1"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</row>
    <row r="510" spans="3:14" ht="14.25" customHeight="1"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</row>
    <row r="511" spans="3:14" ht="14.25" customHeight="1"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</row>
    <row r="512" spans="3:14" ht="14.25" customHeight="1"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</row>
    <row r="513" spans="3:14" ht="14.25" customHeight="1"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</row>
    <row r="514" spans="3:14" ht="14.25" customHeight="1"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</row>
    <row r="515" spans="3:14" ht="14.25" customHeight="1"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</row>
    <row r="516" spans="3:14" ht="14.25" customHeight="1"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</row>
    <row r="517" spans="3:14" ht="14.25" customHeight="1"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</row>
    <row r="518" spans="3:14" ht="14.25" customHeight="1"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</row>
    <row r="519" spans="3:14" ht="14.25" customHeight="1"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</row>
    <row r="520" spans="3:14" ht="14.25" customHeight="1"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</row>
    <row r="521" spans="3:14" ht="14.25" customHeight="1"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</row>
    <row r="522" spans="3:14" ht="14.25" customHeight="1"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</row>
    <row r="523" spans="3:14" ht="14.25" customHeight="1"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</row>
    <row r="524" spans="3:14" ht="14.25" customHeight="1"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</row>
    <row r="525" spans="3:14" ht="14.25" customHeight="1"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</row>
    <row r="526" spans="3:14" ht="14.25" customHeight="1"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</row>
    <row r="527" spans="3:14" ht="14.25" customHeight="1"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</row>
    <row r="528" spans="3:14" ht="14.25" customHeight="1"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</row>
    <row r="529" spans="3:14" ht="14.25" customHeight="1"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</row>
    <row r="530" spans="3:14" ht="14.25" customHeight="1"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</row>
    <row r="531" spans="3:14" ht="14.25" customHeight="1"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</row>
    <row r="532" spans="3:14" ht="14.25" customHeight="1"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</row>
    <row r="533" spans="3:14" ht="14.25" customHeight="1"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</row>
    <row r="534" spans="3:14" ht="14.25" customHeight="1"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</row>
    <row r="535" spans="3:14" ht="14.25" customHeight="1"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</row>
    <row r="536" spans="3:14" ht="14.25" customHeight="1"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</row>
    <row r="537" spans="3:14" ht="14.25" customHeight="1"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</row>
    <row r="538" spans="3:14" ht="14.25" customHeight="1"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</row>
    <row r="539" spans="3:14" ht="14.25" customHeight="1"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</row>
    <row r="540" spans="3:14" ht="14.25" customHeight="1"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</row>
    <row r="541" spans="3:14" ht="14.25" customHeight="1"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</row>
    <row r="542" spans="3:14" ht="14.25" customHeight="1"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</row>
    <row r="543" spans="3:14" ht="14.25" customHeight="1"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</row>
    <row r="544" spans="3:14" ht="14.25" customHeight="1"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</row>
    <row r="545" spans="3:14" ht="14.25" customHeight="1"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</row>
    <row r="546" spans="3:14" ht="14.25" customHeight="1"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</row>
    <row r="547" spans="3:14" ht="14.25" customHeight="1"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</row>
    <row r="548" spans="3:14" ht="14.25" customHeight="1"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</row>
    <row r="549" spans="3:14" ht="14.25" customHeight="1"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</row>
    <row r="550" spans="3:14" ht="14.25" customHeight="1"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</row>
    <row r="551" spans="3:14" ht="14.25" customHeight="1"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</row>
    <row r="552" spans="3:14" ht="14.25" customHeight="1"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</row>
    <row r="553" spans="3:14" ht="14.25" customHeight="1"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</row>
    <row r="554" spans="3:14" ht="14.25" customHeight="1"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</row>
    <row r="555" spans="3:14" ht="14.25" customHeight="1"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</row>
    <row r="556" spans="3:14" ht="14.25" customHeight="1"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</row>
    <row r="557" spans="3:14" ht="14.25" customHeight="1"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</row>
    <row r="558" spans="3:14" ht="14.25" customHeight="1"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</row>
    <row r="559" spans="3:14" ht="14.25" customHeight="1"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</row>
    <row r="560" spans="3:14" ht="14.25" customHeight="1"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</row>
    <row r="561" spans="3:14" ht="14.25" customHeight="1"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</row>
    <row r="562" spans="3:14" ht="14.25" customHeight="1"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</row>
    <row r="563" spans="3:14" ht="14.25" customHeight="1"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</row>
    <row r="564" spans="3:14" ht="14.25" customHeight="1"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</row>
    <row r="565" spans="3:14" ht="14.25" customHeight="1"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</row>
    <row r="566" spans="3:14" ht="14.25" customHeight="1"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</row>
    <row r="567" spans="3:14" ht="14.25" customHeight="1"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</row>
    <row r="568" spans="3:14" ht="14.25" customHeight="1"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</row>
    <row r="569" spans="3:14" ht="14.25" customHeight="1"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</row>
    <row r="570" spans="3:14" ht="14.25" customHeight="1"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</row>
    <row r="571" spans="3:14" ht="14.25" customHeight="1"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</row>
    <row r="572" spans="3:14" ht="14.25" customHeight="1"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</row>
    <row r="573" spans="3:14" ht="14.25" customHeight="1"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</row>
    <row r="574" spans="3:14" ht="14.25" customHeight="1"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</row>
    <row r="575" spans="3:14" ht="14.25" customHeight="1"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</row>
    <row r="576" spans="3:14" ht="14.25" customHeight="1"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</row>
    <row r="577" spans="3:14" ht="14.25" customHeight="1"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</row>
    <row r="578" spans="3:14" ht="14.25" customHeight="1"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</row>
    <row r="579" spans="3:14" ht="14.25" customHeight="1"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</row>
    <row r="580" spans="3:14" ht="14.25" customHeight="1"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</row>
    <row r="581" spans="3:14" ht="14.25" customHeight="1"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</row>
    <row r="582" spans="3:14" ht="14.25" customHeight="1"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</row>
    <row r="583" spans="3:14" ht="14.25" customHeight="1"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</row>
    <row r="584" spans="3:14" ht="14.25" customHeight="1"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</row>
    <row r="585" spans="3:14" ht="14.25" customHeight="1"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</row>
    <row r="586" spans="3:14" ht="14.25" customHeight="1"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</row>
    <row r="587" spans="3:14" ht="14.25" customHeight="1"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</row>
    <row r="588" spans="3:14" ht="14.25" customHeight="1"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</row>
    <row r="589" spans="3:14" ht="14.25" customHeight="1"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</row>
    <row r="590" spans="3:14" ht="14.25" customHeight="1"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</row>
    <row r="591" spans="3:14" ht="14.25" customHeight="1"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</row>
    <row r="592" spans="3:14" ht="14.25" customHeight="1"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</row>
    <row r="593" spans="3:14" ht="14.25" customHeight="1"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</row>
    <row r="594" spans="3:14" ht="14.25" customHeight="1"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</row>
    <row r="595" spans="3:14" ht="14.25" customHeight="1"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</row>
    <row r="596" spans="3:14" ht="14.25" customHeight="1"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</row>
    <row r="597" spans="3:14" ht="14.25" customHeight="1"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</row>
    <row r="598" spans="3:14" ht="14.25" customHeight="1"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</row>
    <row r="599" spans="3:14" ht="14.25" customHeight="1"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</row>
    <row r="600" spans="3:14" ht="14.25" customHeight="1"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</row>
    <row r="601" spans="3:14" ht="14.25" customHeight="1"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</row>
    <row r="602" spans="3:14" ht="14.25" customHeight="1"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</row>
    <row r="603" spans="3:14" ht="14.25" customHeight="1"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</row>
    <row r="604" spans="3:14" ht="14.25" customHeight="1"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</row>
    <row r="605" spans="3:14" ht="14.25" customHeight="1"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</row>
    <row r="606" spans="3:14" ht="14.25" customHeight="1"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</row>
    <row r="607" spans="3:14" ht="14.25" customHeight="1"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</row>
    <row r="608" spans="3:14" ht="14.25" customHeight="1"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</row>
    <row r="609" spans="3:14" ht="14.25" customHeight="1"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</row>
    <row r="610" spans="3:14" ht="14.25" customHeight="1"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</row>
    <row r="611" spans="3:14" ht="14.25" customHeight="1"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</row>
    <row r="612" spans="3:14" ht="14.25" customHeight="1"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</row>
    <row r="613" spans="3:14" ht="14.25" customHeight="1"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</row>
    <row r="614" spans="3:14" ht="14.25" customHeight="1"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</row>
    <row r="615" spans="3:14" ht="14.25" customHeight="1"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</row>
    <row r="616" spans="3:14" ht="14.25" customHeight="1"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</row>
    <row r="617" spans="3:14" ht="14.25" customHeight="1"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</row>
    <row r="618" spans="3:14" ht="14.25" customHeight="1"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</row>
    <row r="619" spans="3:14" ht="14.25" customHeight="1"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</row>
    <row r="620" spans="3:14" ht="14.25" customHeight="1"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</row>
    <row r="621" spans="3:14" ht="14.25" customHeight="1"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</row>
    <row r="622" spans="3:14" ht="14.25" customHeight="1"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</row>
    <row r="623" spans="3:14" ht="14.25" customHeight="1"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</row>
    <row r="624" spans="3:14" ht="14.25" customHeight="1"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</row>
    <row r="625" spans="3:14" ht="14.25" customHeight="1"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</row>
    <row r="626" spans="3:14" ht="14.25" customHeight="1"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</row>
    <row r="627" spans="3:14" ht="14.25" customHeight="1"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</row>
    <row r="628" spans="3:14" ht="14.25" customHeight="1"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</row>
    <row r="629" spans="3:14" ht="14.25" customHeight="1"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</row>
    <row r="630" spans="3:14" ht="14.25" customHeight="1"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</row>
    <row r="631" spans="3:14" ht="14.25" customHeight="1"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</row>
    <row r="632" spans="3:14" ht="14.25" customHeight="1"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</row>
    <row r="633" spans="3:14" ht="14.25" customHeight="1"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</row>
    <row r="634" spans="3:14" ht="14.25" customHeight="1"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</row>
    <row r="635" spans="3:14" ht="14.25" customHeight="1"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</row>
    <row r="636" spans="3:14" ht="14.25" customHeight="1"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</row>
    <row r="637" spans="3:14" ht="14.25" customHeight="1"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</row>
    <row r="638" spans="3:14" ht="14.25" customHeight="1"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</row>
    <row r="639" spans="3:14" ht="14.25" customHeight="1"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</row>
    <row r="640" spans="3:14" ht="14.25" customHeight="1"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</row>
    <row r="641" spans="3:14" ht="14.25" customHeight="1"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</row>
    <row r="642" spans="3:14" ht="14.25" customHeight="1"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</row>
    <row r="643" spans="3:14" ht="14.25" customHeight="1"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</row>
    <row r="644" spans="3:14" ht="14.25" customHeight="1"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</row>
    <row r="645" spans="3:14" ht="14.25" customHeight="1"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</row>
    <row r="646" spans="3:14" ht="14.25" customHeight="1"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</row>
    <row r="647" spans="3:14" ht="14.25" customHeight="1"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</row>
    <row r="648" spans="3:14" ht="14.25" customHeight="1"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</row>
    <row r="649" spans="3:14" ht="14.25" customHeight="1"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</row>
    <row r="650" spans="3:14" ht="14.25" customHeight="1"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</row>
    <row r="651" spans="3:14" ht="14.25" customHeight="1"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</row>
    <row r="652" spans="3:14" ht="14.25" customHeight="1"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</row>
    <row r="653" spans="3:14" ht="14.25" customHeight="1"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</row>
    <row r="654" spans="3:14" ht="14.25" customHeight="1"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</row>
    <row r="655" spans="3:14" ht="14.25" customHeight="1"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</row>
    <row r="656" spans="3:14" ht="14.25" customHeight="1"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</row>
    <row r="657" spans="3:14" ht="14.25" customHeight="1"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</row>
    <row r="658" spans="3:14" ht="14.25" customHeight="1"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</row>
    <row r="659" spans="3:14" ht="14.25" customHeight="1"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</row>
    <row r="660" spans="3:14" ht="14.25" customHeight="1"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</row>
    <row r="661" spans="3:14" ht="14.25" customHeight="1"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</row>
    <row r="662" spans="3:14" ht="14.25" customHeight="1"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</row>
    <row r="663" spans="3:14" ht="14.25" customHeight="1"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</row>
    <row r="664" spans="3:14" ht="14.25" customHeight="1"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</row>
    <row r="665" spans="3:14" ht="14.25" customHeight="1"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</row>
    <row r="666" spans="3:14" ht="14.25" customHeight="1"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</row>
    <row r="667" spans="3:14" ht="14.25" customHeight="1"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</row>
    <row r="668" spans="3:14" ht="14.25" customHeight="1"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</row>
    <row r="669" spans="3:14" ht="14.25" customHeight="1"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</row>
    <row r="670" spans="3:14" ht="14.25" customHeight="1"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</row>
    <row r="671" spans="3:14" ht="14.25" customHeight="1"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</row>
    <row r="672" spans="3:14" ht="14.25" customHeight="1"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</row>
    <row r="673" spans="3:14" ht="14.25" customHeight="1"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</row>
    <row r="674" spans="3:14" ht="14.25" customHeight="1"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</row>
    <row r="675" spans="3:14" ht="14.25" customHeight="1"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</row>
    <row r="676" spans="3:14" ht="14.25" customHeight="1"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</row>
    <row r="677" spans="3:14" ht="14.25" customHeight="1"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</row>
    <row r="678" spans="3:14" ht="14.25" customHeight="1"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</row>
    <row r="679" spans="3:14" ht="14.25" customHeight="1"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</row>
    <row r="680" spans="3:14" ht="14.25" customHeight="1"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</row>
    <row r="681" spans="3:14" ht="14.25" customHeight="1"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</row>
    <row r="682" spans="3:14" ht="14.25" customHeight="1"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</row>
    <row r="683" spans="3:14" ht="14.25" customHeight="1"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</row>
    <row r="684" spans="3:14" ht="14.25" customHeight="1"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</row>
    <row r="685" spans="3:14" ht="14.25" customHeight="1"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</row>
    <row r="686" spans="3:14" ht="14.25" customHeight="1"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</row>
    <row r="687" spans="3:14" ht="14.25" customHeight="1"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</row>
    <row r="688" spans="3:14" ht="14.25" customHeight="1"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</row>
    <row r="689" spans="3:14" ht="14.25" customHeight="1"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</row>
    <row r="690" spans="3:14" ht="14.25" customHeight="1"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</row>
    <row r="691" spans="3:14" ht="14.25" customHeight="1"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</row>
    <row r="692" spans="3:14" ht="14.25" customHeight="1"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</row>
    <row r="693" spans="3:14" ht="14.25" customHeight="1"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</row>
    <row r="694" spans="3:14" ht="14.25" customHeight="1"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</row>
    <row r="695" spans="3:14" ht="14.25" customHeight="1"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</row>
    <row r="696" spans="3:14" ht="14.25" customHeight="1"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</row>
    <row r="697" spans="3:14" ht="14.25" customHeight="1"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</row>
    <row r="698" spans="3:14" ht="14.25" customHeight="1"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</row>
    <row r="699" spans="3:14" ht="14.25" customHeight="1"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</row>
    <row r="700" spans="3:14" ht="14.25" customHeight="1"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</row>
    <row r="701" spans="3:14" ht="14.25" customHeight="1"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</row>
    <row r="702" spans="3:14" ht="14.25" customHeight="1"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</row>
    <row r="703" spans="3:14" ht="14.25" customHeight="1"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</row>
    <row r="704" spans="3:14" ht="14.25" customHeight="1"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</row>
    <row r="705" spans="3:14" ht="14.25" customHeight="1"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</row>
    <row r="706" spans="3:14" ht="14.25" customHeight="1"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</row>
    <row r="707" spans="3:14" ht="14.25" customHeight="1"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</row>
    <row r="708" spans="3:14" ht="14.25" customHeight="1"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</row>
    <row r="709" spans="3:14" ht="14.25" customHeight="1"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</row>
    <row r="710" spans="3:14" ht="14.25" customHeight="1"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</row>
    <row r="711" spans="3:14" ht="14.25" customHeight="1"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</row>
    <row r="712" spans="3:14" ht="14.25" customHeight="1"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</row>
    <row r="713" spans="3:14" ht="14.25" customHeight="1"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</row>
    <row r="714" spans="3:14" ht="14.25" customHeight="1"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</row>
    <row r="715" spans="3:14" ht="14.25" customHeight="1"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</row>
    <row r="716" spans="3:14" ht="14.25" customHeight="1"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</row>
    <row r="717" spans="3:14" ht="14.25" customHeight="1"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</row>
    <row r="718" spans="3:14" ht="14.25" customHeight="1"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</row>
    <row r="719" spans="3:14" ht="14.25" customHeight="1"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</row>
    <row r="720" spans="3:14" ht="14.25" customHeight="1"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</row>
    <row r="721" spans="3:14" ht="14.25" customHeight="1"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</row>
    <row r="722" spans="3:14" ht="14.25" customHeight="1"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</row>
    <row r="723" spans="3:14" ht="14.25" customHeight="1"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</row>
    <row r="724" spans="3:14" ht="14.25" customHeight="1"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</row>
    <row r="725" spans="3:14" ht="14.25" customHeight="1"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</row>
    <row r="726" spans="3:14" ht="14.25" customHeight="1"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</row>
    <row r="727" spans="3:14" ht="14.25" customHeight="1"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</row>
    <row r="728" spans="3:14" ht="14.25" customHeight="1"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</row>
    <row r="729" spans="3:14" ht="14.25" customHeight="1"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</row>
    <row r="730" spans="3:14" ht="14.25" customHeight="1"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</row>
    <row r="731" spans="3:14" ht="14.25" customHeight="1"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</row>
    <row r="732" spans="3:14" ht="14.25" customHeight="1"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</row>
    <row r="733" spans="3:14" ht="14.25" customHeight="1"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</row>
    <row r="734" spans="3:14" ht="14.25" customHeight="1"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</row>
    <row r="735" spans="3:14" ht="14.25" customHeight="1"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</row>
    <row r="736" spans="3:14" ht="14.25" customHeight="1"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</row>
    <row r="737" spans="3:14" ht="14.25" customHeight="1"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</row>
    <row r="738" spans="3:14" ht="14.25" customHeight="1"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</row>
    <row r="739" spans="3:14" ht="14.25" customHeight="1"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</row>
    <row r="740" spans="3:14" ht="14.25" customHeight="1"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</row>
    <row r="741" spans="3:14" ht="14.25" customHeight="1"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</row>
    <row r="742" spans="3:14" ht="14.25" customHeight="1"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</row>
    <row r="743" spans="3:14" ht="14.25" customHeight="1"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</row>
    <row r="744" spans="3:14" ht="14.25" customHeight="1"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</row>
    <row r="745" spans="3:14" ht="14.25" customHeight="1"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</row>
    <row r="746" spans="3:14" ht="14.25" customHeight="1"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</row>
    <row r="747" spans="3:14" ht="14.25" customHeight="1"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</row>
    <row r="748" spans="3:14" ht="14.25" customHeight="1"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</row>
    <row r="749" spans="3:14" ht="14.25" customHeight="1"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</row>
    <row r="750" spans="3:14" ht="14.25" customHeight="1"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</row>
    <row r="751" spans="3:14" ht="14.25" customHeight="1"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</row>
    <row r="752" spans="3:14" ht="14.25" customHeight="1"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</row>
    <row r="753" spans="3:14" ht="14.25" customHeight="1"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</row>
    <row r="754" spans="3:14" ht="14.25" customHeight="1"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</row>
    <row r="755" spans="3:14" ht="14.25" customHeight="1"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</row>
    <row r="756" spans="3:14" ht="14.25" customHeight="1"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</row>
    <row r="757" spans="3:14" ht="14.25" customHeight="1"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</row>
    <row r="758" spans="3:14" ht="14.25" customHeight="1"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</row>
    <row r="759" spans="3:14" ht="14.25" customHeight="1"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</row>
    <row r="760" spans="3:14" ht="14.25" customHeight="1"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</row>
    <row r="761" spans="3:14" ht="14.25" customHeight="1"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</row>
    <row r="762" spans="3:14" ht="14.25" customHeight="1"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</row>
    <row r="763" spans="3:14" ht="14.25" customHeight="1"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</row>
    <row r="764" spans="3:14" ht="14.25" customHeight="1"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</row>
    <row r="765" spans="3:14" ht="14.25" customHeight="1"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</row>
    <row r="766" spans="3:14" ht="14.25" customHeight="1"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</row>
    <row r="767" spans="3:14" ht="14.25" customHeight="1"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</row>
    <row r="768" spans="3:14" ht="14.25" customHeight="1"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</row>
    <row r="769" spans="3:14" ht="14.25" customHeight="1"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</row>
    <row r="770" spans="3:14" ht="14.25" customHeight="1"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</row>
    <row r="771" spans="3:14" ht="14.25" customHeight="1"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</row>
    <row r="772" spans="3:14" ht="14.25" customHeight="1"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</row>
    <row r="773" spans="3:14" ht="14.25" customHeight="1"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</row>
    <row r="774" spans="3:14" ht="14.25" customHeight="1"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</row>
    <row r="775" spans="3:14" ht="14.25" customHeight="1"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</row>
    <row r="776" spans="3:14" ht="14.25" customHeight="1"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</row>
    <row r="777" spans="3:14" ht="14.25" customHeight="1"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</row>
    <row r="778" spans="3:14" ht="14.25" customHeight="1"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</row>
    <row r="779" spans="3:14" ht="14.25" customHeight="1"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</row>
    <row r="780" spans="3:14" ht="14.25" customHeight="1"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</row>
    <row r="781" spans="3:14" ht="14.25" customHeight="1"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</row>
    <row r="782" spans="3:14" ht="14.25" customHeight="1"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</row>
    <row r="783" spans="3:14" ht="14.25" customHeight="1"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</row>
    <row r="784" spans="3:14" ht="14.25" customHeight="1"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</row>
    <row r="785" spans="3:14" ht="14.25" customHeight="1"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</row>
    <row r="786" spans="3:14" ht="14.25" customHeight="1"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</row>
    <row r="787" spans="3:14" ht="14.25" customHeight="1"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</row>
    <row r="788" spans="3:14" ht="14.25" customHeight="1"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</row>
    <row r="789" spans="3:14" ht="14.25" customHeight="1"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</row>
    <row r="790" spans="3:14" ht="14.25" customHeight="1"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</row>
    <row r="791" spans="3:14" ht="14.25" customHeight="1"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</row>
    <row r="792" spans="3:14" ht="14.25" customHeight="1"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</row>
    <row r="793" spans="3:14" ht="14.25" customHeight="1"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</row>
    <row r="794" spans="3:14" ht="14.25" customHeight="1"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</row>
    <row r="795" spans="3:14" ht="14.25" customHeight="1"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</row>
    <row r="796" spans="3:14" ht="14.25" customHeight="1"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</row>
    <row r="797" spans="3:14" ht="14.25" customHeight="1"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</row>
    <row r="798" spans="3:14" ht="14.25" customHeight="1"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</row>
    <row r="799" spans="3:14" ht="14.25" customHeight="1"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</row>
    <row r="800" spans="3:14" ht="14.25" customHeight="1"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</row>
    <row r="801" spans="3:14" ht="14.25" customHeight="1"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</row>
    <row r="802" spans="3:14" ht="14.25" customHeight="1"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</row>
    <row r="803" spans="3:14" ht="14.25" customHeight="1"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</row>
    <row r="804" spans="3:14" ht="14.25" customHeight="1"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</row>
    <row r="805" spans="3:14" ht="14.25" customHeight="1"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</row>
    <row r="806" spans="3:14" ht="14.25" customHeight="1"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</row>
    <row r="807" spans="3:14" ht="14.25" customHeight="1"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</row>
    <row r="808" spans="3:14" ht="14.25" customHeight="1"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</row>
    <row r="809" spans="3:14" ht="14.25" customHeight="1"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</row>
    <row r="810" spans="3:14" ht="14.25" customHeight="1"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</row>
    <row r="811" spans="3:14" ht="14.25" customHeight="1"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</row>
    <row r="812" spans="3:14" ht="14.25" customHeight="1"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</row>
    <row r="813" spans="3:14" ht="14.25" customHeight="1"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</row>
    <row r="814" spans="3:14" ht="14.25" customHeight="1"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</row>
    <row r="815" spans="3:14" ht="14.25" customHeight="1"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</row>
    <row r="816" spans="3:14" ht="14.25" customHeight="1"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</row>
    <row r="817" spans="3:14" ht="14.25" customHeight="1"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</row>
    <row r="818" spans="3:14" ht="14.25" customHeight="1"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</row>
    <row r="819" spans="3:14" ht="14.25" customHeight="1"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</row>
    <row r="820" spans="3:14" ht="14.25" customHeight="1"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</row>
    <row r="821" spans="3:14" ht="14.25" customHeight="1"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</row>
    <row r="822" spans="3:14" ht="14.25" customHeight="1"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</row>
    <row r="823" spans="3:14" ht="14.25" customHeight="1"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</row>
    <row r="824" spans="3:14" ht="14.25" customHeight="1"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</row>
    <row r="825" spans="3:14" ht="14.25" customHeight="1"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</row>
    <row r="826" spans="3:14" ht="14.25" customHeight="1"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</row>
    <row r="827" spans="3:14" ht="14.25" customHeight="1"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</row>
    <row r="828" spans="3:14" ht="14.25" customHeight="1"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</row>
    <row r="829" spans="3:14" ht="14.25" customHeight="1"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</row>
    <row r="830" spans="3:14" ht="14.25" customHeight="1"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</row>
    <row r="831" spans="3:14" ht="14.25" customHeight="1"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</row>
    <row r="832" spans="3:14" ht="14.25" customHeight="1"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</row>
    <row r="833" spans="3:14" ht="14.25" customHeight="1"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</row>
    <row r="834" spans="3:14" ht="14.25" customHeight="1"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</row>
    <row r="835" spans="3:14" ht="14.25" customHeight="1"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</row>
    <row r="836" spans="3:14" ht="14.25" customHeight="1"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</row>
    <row r="837" spans="3:14" ht="14.25" customHeight="1"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</row>
    <row r="838" spans="3:14" ht="14.25" customHeight="1"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</row>
    <row r="839" spans="3:14" ht="14.25" customHeight="1"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</row>
    <row r="840" spans="3:14" ht="14.25" customHeight="1"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</row>
    <row r="841" spans="3:14" ht="14.25" customHeight="1"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</row>
    <row r="842" spans="3:14" ht="14.25" customHeight="1"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</row>
    <row r="843" spans="3:14" ht="14.25" customHeight="1"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</row>
    <row r="844" spans="3:14" ht="14.25" customHeight="1"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</row>
    <row r="845" spans="3:14" ht="14.25" customHeight="1"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</row>
    <row r="846" spans="3:14" ht="14.25" customHeight="1"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</row>
    <row r="847" spans="3:14" ht="14.25" customHeight="1"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</row>
    <row r="848" spans="3:14" ht="14.25" customHeight="1"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</row>
    <row r="849" spans="3:14" ht="14.25" customHeight="1"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</row>
    <row r="850" spans="3:14" ht="14.25" customHeight="1"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</row>
    <row r="851" spans="3:14" ht="14.25" customHeight="1"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</row>
    <row r="852" spans="3:14" ht="14.25" customHeight="1"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</row>
    <row r="853" spans="3:14" ht="14.25" customHeight="1"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</row>
    <row r="854" spans="3:14" ht="14.25" customHeight="1"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</row>
    <row r="855" spans="3:14" ht="14.25" customHeight="1"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</row>
    <row r="856" spans="3:14" ht="14.25" customHeight="1"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</row>
    <row r="857" spans="3:14" ht="14.25" customHeight="1"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</row>
    <row r="858" spans="3:14" ht="14.25" customHeight="1"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</row>
    <row r="859" spans="3:14" ht="14.25" customHeight="1"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</row>
    <row r="860" spans="3:14" ht="14.25" customHeight="1"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</row>
    <row r="861" spans="3:14" ht="14.25" customHeight="1"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</row>
    <row r="862" spans="3:14" ht="14.25" customHeight="1"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</row>
    <row r="863" spans="3:14" ht="14.25" customHeight="1"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</row>
    <row r="864" spans="3:14" ht="14.25" customHeight="1"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</row>
    <row r="865" spans="3:14" ht="14.25" customHeight="1"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</row>
    <row r="866" spans="3:14" ht="14.25" customHeight="1"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</row>
    <row r="867" spans="3:14" ht="14.25" customHeight="1"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</row>
    <row r="868" spans="3:14" ht="14.25" customHeight="1"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</row>
    <row r="869" spans="3:14" ht="14.25" customHeight="1"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</row>
    <row r="870" spans="3:14" ht="14.25" customHeight="1"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</row>
    <row r="871" spans="3:14" ht="14.25" customHeight="1"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</row>
    <row r="872" spans="3:14" ht="14.25" customHeight="1"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</row>
    <row r="873" spans="3:14" ht="14.25" customHeight="1"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</row>
    <row r="874" spans="3:14" ht="14.25" customHeight="1"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</row>
    <row r="875" spans="3:14" ht="14.25" customHeight="1"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</row>
    <row r="876" spans="3:14" ht="14.25" customHeight="1"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</row>
    <row r="877" spans="3:14" ht="14.25" customHeight="1"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</row>
    <row r="878" spans="3:14" ht="14.25" customHeight="1"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</row>
    <row r="879" spans="3:14" ht="14.25" customHeight="1"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</row>
    <row r="880" spans="3:14" ht="14.25" customHeight="1"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</row>
    <row r="881" spans="3:14" ht="14.25" customHeight="1"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</row>
    <row r="882" spans="3:14" ht="14.25" customHeight="1"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</row>
    <row r="883" spans="3:14" ht="14.25" customHeight="1"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</row>
    <row r="884" spans="3:14" ht="14.25" customHeight="1"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</row>
    <row r="885" spans="3:14" ht="14.25" customHeight="1"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</row>
    <row r="886" spans="3:14" ht="14.25" customHeight="1"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</row>
    <row r="887" spans="3:14" ht="14.25" customHeight="1"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</row>
    <row r="888" spans="3:14" ht="14.25" customHeight="1"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</row>
    <row r="889" spans="3:14" ht="14.25" customHeight="1"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</row>
    <row r="890" spans="3:14" ht="14.25" customHeight="1"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</row>
    <row r="891" spans="3:14" ht="14.25" customHeight="1"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</row>
    <row r="892" spans="3:14" ht="14.25" customHeight="1"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</row>
    <row r="893" spans="3:14" ht="14.25" customHeight="1"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</row>
    <row r="894" spans="3:14" ht="14.25" customHeight="1"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</row>
    <row r="895" spans="3:14" ht="14.25" customHeight="1"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</row>
    <row r="896" spans="3:14" ht="14.25" customHeight="1"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</row>
    <row r="897" spans="3:14" ht="14.25" customHeight="1"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</row>
    <row r="898" spans="3:14" ht="14.25" customHeight="1"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</row>
    <row r="899" spans="3:14" ht="14.25" customHeight="1"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</row>
    <row r="900" spans="3:14" ht="14.25" customHeight="1"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</row>
    <row r="901" spans="3:14" ht="14.25" customHeight="1"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</row>
    <row r="902" spans="3:14" ht="14.25" customHeight="1"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</row>
    <row r="903" spans="3:14" ht="14.25" customHeight="1"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</row>
    <row r="904" spans="3:14" ht="14.25" customHeight="1"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</row>
    <row r="905" spans="3:14" ht="14.25" customHeight="1"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</row>
    <row r="906" spans="3:14" ht="14.25" customHeight="1"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</row>
    <row r="907" spans="3:14" ht="14.25" customHeight="1"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</row>
    <row r="908" spans="3:14" ht="14.25" customHeight="1"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</row>
    <row r="909" spans="3:14" ht="14.25" customHeight="1"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</row>
    <row r="910" spans="3:14" ht="14.25" customHeight="1"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</row>
    <row r="911" spans="3:14" ht="14.25" customHeight="1"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</row>
    <row r="912" spans="3:14" ht="14.25" customHeight="1"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</row>
    <row r="913" spans="3:14" ht="14.25" customHeight="1"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</row>
    <row r="914" spans="3:14" ht="14.25" customHeight="1"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</row>
    <row r="915" spans="3:14" ht="14.25" customHeight="1"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</row>
    <row r="916" spans="3:14" ht="14.25" customHeight="1"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</row>
    <row r="917" spans="3:14" ht="14.25" customHeight="1"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</row>
    <row r="918" spans="3:14" ht="14.25" customHeight="1"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</row>
    <row r="919" spans="3:14" ht="14.25" customHeight="1"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</row>
    <row r="920" spans="3:14" ht="14.25" customHeight="1"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</row>
    <row r="921" spans="3:14" ht="14.25" customHeight="1"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</row>
    <row r="922" spans="3:14" ht="14.25" customHeight="1"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</row>
    <row r="923" spans="3:14" ht="14.25" customHeight="1"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</row>
    <row r="924" spans="3:14" ht="14.25" customHeight="1"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</row>
    <row r="925" spans="3:14" ht="14.25" customHeight="1"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</row>
    <row r="926" spans="3:14" ht="14.25" customHeight="1"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</row>
    <row r="927" spans="3:14" ht="14.25" customHeight="1"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</row>
    <row r="928" spans="3:14" ht="14.25" customHeight="1"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</row>
    <row r="929" spans="3:14" ht="14.25" customHeight="1"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</row>
    <row r="930" spans="3:14" ht="14.25" customHeight="1"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</row>
    <row r="931" spans="3:14" ht="14.25" customHeight="1"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</row>
    <row r="932" spans="3:14" ht="14.25" customHeight="1"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</row>
    <row r="933" spans="3:14" ht="14.25" customHeight="1"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</row>
    <row r="934" spans="3:14" ht="14.25" customHeight="1"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</row>
    <row r="935" spans="3:14" ht="14.25" customHeight="1"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</row>
    <row r="936" spans="3:14" ht="14.25" customHeight="1"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</row>
    <row r="937" spans="3:14" ht="14.25" customHeight="1"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</row>
    <row r="938" spans="3:14" ht="14.25" customHeight="1"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</row>
    <row r="939" spans="3:14" ht="14.25" customHeight="1"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</row>
    <row r="940" spans="3:14" ht="14.25" customHeight="1"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</row>
    <row r="941" spans="3:14" ht="14.25" customHeight="1"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</row>
    <row r="942" spans="3:14" ht="14.25" customHeight="1"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</row>
    <row r="943" spans="3:14" ht="14.25" customHeight="1"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</row>
    <row r="944" spans="3:14" ht="14.25" customHeight="1"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</row>
    <row r="945" spans="3:14" ht="14.25" customHeight="1"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</row>
    <row r="946" spans="3:14" ht="14.25" customHeight="1"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</row>
    <row r="947" spans="3:14" ht="14.25" customHeight="1"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</row>
    <row r="948" spans="3:14" ht="14.25" customHeight="1"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</row>
    <row r="949" spans="3:14" ht="14.25" customHeight="1"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</row>
    <row r="950" spans="3:14" ht="14.25" customHeight="1"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</row>
    <row r="951" spans="3:14" ht="14.25" customHeight="1"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</row>
    <row r="952" spans="3:14" ht="14.25" customHeight="1"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</row>
    <row r="953" spans="3:14" ht="14.25" customHeight="1"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</row>
    <row r="954" spans="3:14" ht="14.25" customHeight="1"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</row>
    <row r="955" spans="3:14" ht="14.25" customHeight="1"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</row>
    <row r="956" spans="3:14" ht="14.25" customHeight="1"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</row>
    <row r="957" spans="3:14" ht="14.25" customHeight="1"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</row>
    <row r="958" spans="3:14" ht="14.25" customHeight="1"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</row>
    <row r="959" spans="3:14" ht="14.25" customHeight="1"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</row>
    <row r="960" spans="3:14" ht="14.25" customHeight="1"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</row>
    <row r="961" spans="3:14" ht="14.25" customHeight="1"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</row>
    <row r="962" spans="3:14" ht="14.25" customHeight="1"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</row>
    <row r="963" spans="3:14" ht="14.25" customHeight="1"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</row>
    <row r="964" spans="3:14" ht="14.25" customHeight="1"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</row>
    <row r="965" spans="3:14" ht="14.25" customHeight="1"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</row>
    <row r="966" spans="3:14" ht="14.25" customHeight="1"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</row>
    <row r="967" spans="3:14" ht="14.25" customHeight="1"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</row>
    <row r="968" spans="3:14" ht="14.25" customHeight="1"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</row>
    <row r="969" spans="3:14" ht="14.25" customHeight="1"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</row>
    <row r="970" spans="3:14" ht="14.25" customHeight="1"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</row>
    <row r="971" spans="3:14" ht="14.25" customHeight="1"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</row>
    <row r="972" spans="3:14" ht="14.25" customHeight="1"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</row>
    <row r="973" spans="3:14" ht="14.25" customHeight="1"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</row>
    <row r="974" spans="3:14" ht="14.25" customHeight="1"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</row>
    <row r="975" spans="3:14" ht="14.25" customHeight="1"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</row>
    <row r="976" spans="3:14" ht="14.25" customHeight="1"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</row>
    <row r="977" spans="3:14" ht="14.25" customHeight="1"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</row>
    <row r="978" spans="3:14" ht="14.25" customHeight="1"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</row>
    <row r="979" spans="3:14" ht="14.25" customHeight="1"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</row>
    <row r="980" spans="3:14" ht="14.25" customHeight="1"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</row>
    <row r="981" spans="3:14" ht="14.25" customHeight="1"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</row>
    <row r="982" spans="3:14" ht="14.25" customHeight="1"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</row>
    <row r="983" spans="3:14" ht="14.25" customHeight="1"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</row>
    <row r="984" spans="3:14" ht="14.25" customHeight="1"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</row>
    <row r="985" spans="3:14" ht="14.25" customHeight="1"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</row>
    <row r="986" spans="3:14" ht="14.25" customHeight="1"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</row>
    <row r="987" spans="3:14" ht="14.25" customHeight="1"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</row>
    <row r="988" spans="3:14" ht="14.25" customHeight="1"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</row>
    <row r="989" spans="3:14" ht="14.25" customHeight="1"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</row>
    <row r="990" spans="3:14" ht="14.25" customHeight="1"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</row>
    <row r="991" spans="3:14" ht="14.25" customHeight="1"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</row>
    <row r="992" spans="3:14" ht="14.25" customHeight="1"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</row>
    <row r="993" spans="3:14" ht="14.25" customHeight="1"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</row>
    <row r="994" spans="3:14" ht="14.25" customHeight="1"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</row>
    <row r="995" spans="3:14" ht="14.25" customHeight="1"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</row>
    <row r="996" spans="3:14" ht="14.25" customHeight="1"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</row>
    <row r="997" spans="3:14" ht="14.25" customHeight="1"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</row>
    <row r="998" spans="3:14" ht="14.25" customHeight="1"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</row>
    <row r="999" spans="3:14" ht="14.25" customHeight="1"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</row>
    <row r="1000" spans="3:14" ht="14.25" customHeight="1"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</row>
    <row r="1001" spans="3:14" ht="14.25" customHeight="1"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</row>
    <row r="1002" spans="3:14" ht="14.25" customHeight="1"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</row>
    <row r="1003" spans="3:14" ht="14.25" customHeight="1"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</row>
    <row r="1004" spans="3:14" ht="14.25" customHeight="1"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</row>
    <row r="1005" spans="3:14" ht="14.25" customHeight="1"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</row>
  </sheetData>
  <mergeCells count="22">
    <mergeCell ref="R29:U29"/>
    <mergeCell ref="R30:U30"/>
    <mergeCell ref="C28:C30"/>
    <mergeCell ref="P28:P30"/>
    <mergeCell ref="R28:U28"/>
    <mergeCell ref="E28:L28"/>
    <mergeCell ref="E29:L29"/>
    <mergeCell ref="E30:L30"/>
    <mergeCell ref="P18:U19"/>
    <mergeCell ref="C20:C27"/>
    <mergeCell ref="P20:P27"/>
    <mergeCell ref="R20:U20"/>
    <mergeCell ref="R21:U21"/>
    <mergeCell ref="C18:L19"/>
    <mergeCell ref="E20:L20"/>
    <mergeCell ref="E21:L21"/>
    <mergeCell ref="E27:L27"/>
    <mergeCell ref="E22:L22"/>
    <mergeCell ref="E23:L23"/>
    <mergeCell ref="E24:L24"/>
    <mergeCell ref="E25:L25"/>
    <mergeCell ref="E26:L26"/>
  </mergeCells>
  <conditionalFormatting sqref="D33:D72">
    <cfRule type="cellIs" dxfId="17" priority="5" operator="lessThan">
      <formula>0</formula>
    </cfRule>
  </conditionalFormatting>
  <conditionalFormatting sqref="Q33:Q72">
    <cfRule type="cellIs" dxfId="16" priority="4" operator="lessThan">
      <formula>0</formula>
    </cfRule>
  </conditionalFormatting>
  <conditionalFormatting sqref="E28:L2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9:L2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:L3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8:U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9:U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:U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C1:AL1000"/>
  <sheetViews>
    <sheetView showGridLines="0" topLeftCell="Y3" zoomScale="77" zoomScaleNormal="64" workbookViewId="0">
      <selection activeCell="AG25" sqref="AG25:AJ25"/>
    </sheetView>
  </sheetViews>
  <sheetFormatPr defaultColWidth="14.42578125" defaultRowHeight="15" customHeight="1"/>
  <cols>
    <col min="1" max="2" width="8.5703125" customWidth="1"/>
    <col min="3" max="3" width="11.42578125" customWidth="1"/>
    <col min="4" max="4" width="16" customWidth="1"/>
    <col min="5" max="5" width="16.42578125" customWidth="1"/>
    <col min="6" max="6" width="18.5703125" customWidth="1"/>
    <col min="7" max="7" width="19.5703125" customWidth="1"/>
    <col min="8" max="8" width="19.42578125" customWidth="1"/>
    <col min="9" max="10" width="11.42578125" customWidth="1"/>
    <col min="11" max="11" width="16" customWidth="1"/>
    <col min="12" max="12" width="16.42578125" customWidth="1"/>
    <col min="13" max="13" width="18.5703125" customWidth="1"/>
    <col min="14" max="14" width="19.5703125" customWidth="1"/>
    <col min="15" max="15" width="19.42578125" customWidth="1"/>
    <col min="16" max="17" width="11.42578125" customWidth="1"/>
    <col min="18" max="18" width="16" customWidth="1"/>
    <col min="19" max="19" width="16.42578125" customWidth="1"/>
    <col min="20" max="20" width="18.5703125" customWidth="1"/>
    <col min="21" max="21" width="19.5703125" customWidth="1"/>
    <col min="22" max="22" width="19.42578125" customWidth="1"/>
    <col min="23" max="24" width="11.42578125" customWidth="1"/>
    <col min="25" max="25" width="16" customWidth="1"/>
    <col min="26" max="26" width="16.42578125" customWidth="1"/>
    <col min="27" max="27" width="18.5703125" customWidth="1"/>
    <col min="28" max="28" width="19.5703125" customWidth="1"/>
    <col min="29" max="29" width="19.42578125" customWidth="1"/>
    <col min="30" max="31" width="11.42578125" customWidth="1"/>
    <col min="32" max="32" width="16" customWidth="1"/>
    <col min="33" max="33" width="16.42578125" customWidth="1"/>
    <col min="34" max="34" width="18.5703125" customWidth="1"/>
    <col min="35" max="35" width="19.5703125" customWidth="1"/>
    <col min="36" max="36" width="19.42578125" customWidth="1"/>
    <col min="37" max="38" width="8.5703125" customWidth="1"/>
    <col min="39" max="39" width="14.42578125" customWidth="1"/>
  </cols>
  <sheetData>
    <row r="1" spans="3:8" ht="14.25" customHeight="1">
      <c r="C1" s="14"/>
      <c r="D1" s="14"/>
      <c r="E1" s="14"/>
      <c r="F1" s="14"/>
      <c r="G1" s="14"/>
      <c r="H1" s="14"/>
    </row>
    <row r="2" spans="3:8" ht="14.25" customHeight="1">
      <c r="C2" s="14"/>
      <c r="D2" s="14"/>
      <c r="E2" s="14"/>
      <c r="F2" s="14"/>
      <c r="G2" s="14"/>
      <c r="H2" s="14"/>
    </row>
    <row r="3" spans="3:8" ht="14.25" customHeight="1">
      <c r="C3" s="14"/>
      <c r="D3" s="14"/>
      <c r="E3" s="14"/>
      <c r="F3" s="14"/>
      <c r="G3" s="14"/>
      <c r="H3" s="14"/>
    </row>
    <row r="4" spans="3:8" ht="14.25" customHeight="1">
      <c r="C4" s="14"/>
      <c r="D4" s="14"/>
      <c r="E4" s="14"/>
      <c r="F4" s="14"/>
      <c r="G4" s="14"/>
      <c r="H4" s="14"/>
    </row>
    <row r="5" spans="3:8" ht="14.25" customHeight="1">
      <c r="C5" s="14"/>
      <c r="D5" s="14"/>
      <c r="E5" s="14"/>
      <c r="F5" s="14"/>
      <c r="G5" s="14"/>
      <c r="H5" s="14"/>
    </row>
    <row r="6" spans="3:8" ht="14.25" customHeight="1">
      <c r="C6" s="14"/>
      <c r="D6" s="14"/>
      <c r="E6" s="14"/>
      <c r="F6" s="14"/>
      <c r="G6" s="14"/>
      <c r="H6" s="14"/>
    </row>
    <row r="7" spans="3:8" ht="14.25" customHeight="1">
      <c r="C7" s="14"/>
      <c r="D7" s="14"/>
      <c r="E7" s="14"/>
      <c r="F7" s="14"/>
      <c r="G7" s="14"/>
      <c r="H7" s="14"/>
    </row>
    <row r="8" spans="3:8" ht="14.25" customHeight="1">
      <c r="C8" s="14"/>
      <c r="D8" s="14"/>
      <c r="E8" s="14"/>
      <c r="F8" s="14"/>
      <c r="G8" s="14"/>
      <c r="H8" s="14"/>
    </row>
    <row r="9" spans="3:8" ht="14.25" customHeight="1">
      <c r="C9" s="14"/>
      <c r="D9" s="14"/>
      <c r="E9" s="14"/>
      <c r="F9" s="14"/>
      <c r="G9" s="14"/>
      <c r="H9" s="14"/>
    </row>
    <row r="10" spans="3:8" ht="14.25" customHeight="1">
      <c r="C10" s="14"/>
      <c r="D10" s="14"/>
      <c r="E10" s="14"/>
      <c r="F10" s="14"/>
      <c r="G10" s="14"/>
      <c r="H10" s="14"/>
    </row>
    <row r="11" spans="3:8" ht="14.25" customHeight="1">
      <c r="C11" s="14"/>
      <c r="D11" s="14"/>
      <c r="E11" s="14"/>
      <c r="F11" s="14"/>
      <c r="G11" s="14"/>
      <c r="H11" s="14"/>
    </row>
    <row r="12" spans="3:8" ht="14.25" customHeight="1">
      <c r="C12" s="14"/>
      <c r="D12" s="14"/>
      <c r="E12" s="14"/>
      <c r="F12" s="14"/>
      <c r="G12" s="14"/>
      <c r="H12" s="14"/>
    </row>
    <row r="13" spans="3:8" ht="14.25" customHeight="1">
      <c r="C13" s="14"/>
      <c r="D13" s="14"/>
      <c r="E13" s="14"/>
      <c r="F13" s="14"/>
      <c r="G13" s="14"/>
      <c r="H13" s="14"/>
    </row>
    <row r="14" spans="3:8" ht="14.25" customHeight="1">
      <c r="C14" s="14"/>
      <c r="D14" s="14"/>
      <c r="E14" s="14"/>
      <c r="F14" s="14"/>
      <c r="G14" s="14"/>
      <c r="H14" s="14"/>
    </row>
    <row r="15" spans="3:8" ht="14.25" customHeight="1">
      <c r="C15" s="14"/>
      <c r="D15" s="14"/>
      <c r="E15" s="14"/>
      <c r="F15" s="14"/>
      <c r="G15" s="14"/>
      <c r="H15" s="14"/>
    </row>
    <row r="16" spans="3:8" ht="14.25" customHeight="1">
      <c r="C16" s="14"/>
      <c r="D16" s="14"/>
      <c r="E16" s="14"/>
      <c r="F16" s="14"/>
      <c r="G16" s="14"/>
      <c r="H16" s="14"/>
    </row>
    <row r="17" spans="3:38" ht="14.25" customHeight="1">
      <c r="C17" s="14"/>
      <c r="D17" s="14"/>
      <c r="E17" s="14"/>
      <c r="F17" s="14"/>
      <c r="G17" s="14"/>
      <c r="H17" s="14"/>
    </row>
    <row r="18" spans="3:38" s="32" customFormat="1" ht="14.25" customHeight="1">
      <c r="C18" s="162" t="s">
        <v>110</v>
      </c>
      <c r="D18" s="159"/>
      <c r="E18" s="159"/>
      <c r="F18" s="159"/>
      <c r="G18" s="159"/>
      <c r="H18" s="159"/>
      <c r="J18" s="162" t="s">
        <v>99</v>
      </c>
      <c r="K18" s="159"/>
      <c r="L18" s="159"/>
      <c r="M18" s="159"/>
      <c r="N18" s="159"/>
      <c r="O18" s="159"/>
      <c r="Q18" s="162" t="s">
        <v>82</v>
      </c>
      <c r="R18" s="159"/>
      <c r="S18" s="159"/>
      <c r="T18" s="159"/>
      <c r="U18" s="159"/>
      <c r="V18" s="159"/>
      <c r="X18" s="162" t="s">
        <v>98</v>
      </c>
      <c r="Y18" s="162"/>
      <c r="Z18" s="162"/>
      <c r="AA18" s="162"/>
      <c r="AB18" s="162"/>
      <c r="AC18" s="162"/>
      <c r="AD18" s="36"/>
      <c r="AE18" s="162" t="s">
        <v>81</v>
      </c>
      <c r="AF18" s="159"/>
      <c r="AG18" s="159"/>
      <c r="AH18" s="159"/>
      <c r="AI18" s="159"/>
      <c r="AJ18" s="159"/>
      <c r="AK18" s="36"/>
      <c r="AL18" s="36"/>
    </row>
    <row r="19" spans="3:38" s="32" customFormat="1" ht="14.25" customHeight="1">
      <c r="C19" s="161"/>
      <c r="D19" s="161"/>
      <c r="E19" s="161"/>
      <c r="F19" s="161"/>
      <c r="G19" s="161"/>
      <c r="H19" s="161"/>
      <c r="J19" s="161"/>
      <c r="K19" s="161"/>
      <c r="L19" s="161"/>
      <c r="M19" s="161"/>
      <c r="N19" s="161"/>
      <c r="O19" s="161"/>
      <c r="Q19" s="161"/>
      <c r="R19" s="161"/>
      <c r="S19" s="161"/>
      <c r="T19" s="161"/>
      <c r="U19" s="161"/>
      <c r="V19" s="161"/>
      <c r="X19" s="184"/>
      <c r="Y19" s="184"/>
      <c r="Z19" s="184"/>
      <c r="AA19" s="184"/>
      <c r="AB19" s="184"/>
      <c r="AC19" s="184"/>
      <c r="AD19" s="36"/>
      <c r="AE19" s="161"/>
      <c r="AF19" s="161"/>
      <c r="AG19" s="161"/>
      <c r="AH19" s="161"/>
      <c r="AI19" s="161"/>
      <c r="AJ19" s="161"/>
      <c r="AK19" s="36"/>
      <c r="AL19" s="36"/>
    </row>
    <row r="20" spans="3:38" ht="14.25" customHeight="1">
      <c r="C20" s="151" t="s">
        <v>83</v>
      </c>
      <c r="D20" s="2" t="s">
        <v>86</v>
      </c>
      <c r="E20" s="170">
        <f>_xlfn.FORECAST.ETS.STAT(D28:D67,C28:C67,1,1)</f>
        <v>2E-3</v>
      </c>
      <c r="F20" s="191"/>
      <c r="G20" s="191"/>
      <c r="H20" s="191"/>
      <c r="I20" s="21"/>
      <c r="J20" s="151" t="s">
        <v>83</v>
      </c>
      <c r="K20" s="2" t="s">
        <v>86</v>
      </c>
      <c r="L20" s="170">
        <f>_xlfn.FORECAST.ETS.STAT(K28:K67,J28:J67,1,1)</f>
        <v>2E-3</v>
      </c>
      <c r="M20" s="170"/>
      <c r="N20" s="170"/>
      <c r="O20" s="170"/>
      <c r="P20" s="21"/>
      <c r="Q20" s="151" t="s">
        <v>83</v>
      </c>
      <c r="R20" s="2" t="s">
        <v>86</v>
      </c>
      <c r="S20" s="170">
        <f>_xlfn.FORECAST.ETS.STAT(R28:R67,Q28:Q67,1)</f>
        <v>2E-3</v>
      </c>
      <c r="T20" s="159"/>
      <c r="U20" s="159"/>
      <c r="V20" s="159"/>
      <c r="W20" s="21"/>
      <c r="X20" s="151" t="s">
        <v>83</v>
      </c>
      <c r="Y20" s="2" t="s">
        <v>100</v>
      </c>
      <c r="Z20" s="185">
        <f>SLOPE(Y28:Y67,X28:X67)</f>
        <v>-34.871294559099425</v>
      </c>
      <c r="AA20" s="186"/>
      <c r="AB20" s="186"/>
      <c r="AC20" s="186"/>
      <c r="AD20" s="27"/>
      <c r="AE20" s="151" t="s">
        <v>83</v>
      </c>
      <c r="AF20" s="2" t="s">
        <v>85</v>
      </c>
      <c r="AG20" s="158">
        <v>1</v>
      </c>
      <c r="AH20" s="158"/>
      <c r="AI20" s="158"/>
      <c r="AJ20" s="158"/>
      <c r="AK20" s="27"/>
      <c r="AL20" s="27"/>
    </row>
    <row r="21" spans="3:38" ht="14.25" customHeight="1">
      <c r="C21" s="141"/>
      <c r="D21" s="14" t="s">
        <v>102</v>
      </c>
      <c r="E21" s="173">
        <f>_xlfn.FORECAST.ETS.STAT(D28:D67,C28:C67,2,1)</f>
        <v>1E-3</v>
      </c>
      <c r="F21" s="189"/>
      <c r="G21" s="189"/>
      <c r="H21" s="189"/>
      <c r="J21" s="141"/>
      <c r="K21" s="14" t="s">
        <v>102</v>
      </c>
      <c r="L21" s="173">
        <f>_xlfn.FORECAST.ETS.STAT(K28:K67,J28:J67,2,1)</f>
        <v>1E-3</v>
      </c>
      <c r="M21" s="173"/>
      <c r="N21" s="173"/>
      <c r="O21" s="173"/>
      <c r="Q21" s="141"/>
      <c r="R21" s="14"/>
      <c r="S21" s="173"/>
      <c r="T21" s="161"/>
      <c r="U21" s="161"/>
      <c r="V21" s="161"/>
      <c r="X21" s="141"/>
      <c r="Y21" s="14" t="s">
        <v>101</v>
      </c>
      <c r="Z21" s="160">
        <f>INTERCEPT(Y28:Y67,X28:X67)</f>
        <v>9569.5115384615383</v>
      </c>
      <c r="AA21" s="187"/>
      <c r="AB21" s="187"/>
      <c r="AC21" s="187"/>
      <c r="AD21" s="27"/>
      <c r="AE21" s="141"/>
      <c r="AF21" s="14" t="s">
        <v>87</v>
      </c>
      <c r="AG21" s="160">
        <v>2</v>
      </c>
      <c r="AH21" s="160"/>
      <c r="AI21" s="160"/>
      <c r="AJ21" s="160"/>
      <c r="AK21" s="27"/>
      <c r="AL21" s="27"/>
    </row>
    <row r="22" spans="3:38" ht="14.25" customHeight="1">
      <c r="C22" s="163"/>
      <c r="D22" s="19" t="s">
        <v>111</v>
      </c>
      <c r="E22" s="188">
        <f>_xlfn.FORECAST.ETS.STAT(D28:D67,C28:C67,3,1)</f>
        <v>2.2204460492503131E-16</v>
      </c>
      <c r="F22" s="190"/>
      <c r="G22" s="190"/>
      <c r="H22" s="190"/>
      <c r="J22" s="163"/>
      <c r="K22" s="19"/>
      <c r="L22" s="188"/>
      <c r="M22" s="169"/>
      <c r="N22" s="169"/>
      <c r="O22" s="169"/>
      <c r="Q22" s="163"/>
      <c r="R22" s="19"/>
      <c r="S22" s="188"/>
      <c r="T22" s="169"/>
      <c r="U22" s="169"/>
      <c r="V22" s="169"/>
      <c r="X22" s="163"/>
      <c r="Y22" s="19"/>
      <c r="Z22" s="188"/>
      <c r="AA22" s="169"/>
      <c r="AB22" s="169"/>
      <c r="AC22" s="169"/>
      <c r="AD22" s="27"/>
      <c r="AE22" s="163"/>
      <c r="AF22" s="19" t="s">
        <v>88</v>
      </c>
      <c r="AG22" s="168">
        <v>3</v>
      </c>
      <c r="AH22" s="168"/>
      <c r="AI22" s="168"/>
      <c r="AJ22" s="168"/>
      <c r="AK22" s="27"/>
      <c r="AL22" s="27"/>
    </row>
    <row r="23" spans="3:38" ht="14.25" customHeight="1">
      <c r="C23" s="151" t="s">
        <v>89</v>
      </c>
      <c r="D23" s="20" t="s">
        <v>90</v>
      </c>
      <c r="E23" s="165">
        <f>AVERAGE(F28:F67)</f>
        <v>3829.5691084633677</v>
      </c>
      <c r="F23" s="178"/>
      <c r="G23" s="178"/>
      <c r="H23" s="178"/>
      <c r="J23" s="151" t="s">
        <v>89</v>
      </c>
      <c r="K23" s="20" t="s">
        <v>90</v>
      </c>
      <c r="L23" s="152">
        <f>AVERAGE(M28:M67)</f>
        <v>3829.5691084633677</v>
      </c>
      <c r="M23" s="152"/>
      <c r="N23" s="152"/>
      <c r="O23" s="152"/>
      <c r="Q23" s="151" t="s">
        <v>89</v>
      </c>
      <c r="R23" s="20" t="s">
        <v>90</v>
      </c>
      <c r="S23" s="165">
        <f>AVERAGE(T28:T67)</f>
        <v>3895.2512816738626</v>
      </c>
      <c r="T23" s="166"/>
      <c r="U23" s="166"/>
      <c r="V23" s="166"/>
      <c r="X23" s="151" t="s">
        <v>89</v>
      </c>
      <c r="Y23" s="20" t="s">
        <v>90</v>
      </c>
      <c r="Z23" s="152">
        <f>AVERAGE(AA28:AA67)</f>
        <v>3846.0077532833029</v>
      </c>
      <c r="AA23" s="152"/>
      <c r="AB23" s="152"/>
      <c r="AC23" s="152"/>
      <c r="AD23" s="14"/>
      <c r="AE23" s="151" t="s">
        <v>89</v>
      </c>
      <c r="AF23" s="20" t="s">
        <v>90</v>
      </c>
      <c r="AG23" s="152">
        <f t="shared" ref="AG23" si="0">AVERAGE(AH31:AH67)</f>
        <v>4484.3828828828837</v>
      </c>
      <c r="AH23" s="148"/>
      <c r="AI23" s="148"/>
      <c r="AJ23" s="148"/>
      <c r="AK23" s="14"/>
      <c r="AL23" s="14"/>
    </row>
    <row r="24" spans="3:38" ht="14.25" customHeight="1">
      <c r="C24" s="141"/>
      <c r="D24" s="90" t="s">
        <v>91</v>
      </c>
      <c r="E24" s="165">
        <f>AVERAGE(G28:G67)</f>
        <v>21460112.434867598</v>
      </c>
      <c r="F24" s="178"/>
      <c r="G24" s="178"/>
      <c r="H24" s="178"/>
      <c r="J24" s="141"/>
      <c r="K24" s="90" t="s">
        <v>91</v>
      </c>
      <c r="L24" s="165">
        <f>AVERAGE(N28:N67)</f>
        <v>21460112.434867598</v>
      </c>
      <c r="M24" s="165"/>
      <c r="N24" s="165"/>
      <c r="O24" s="165"/>
      <c r="Q24" s="141"/>
      <c r="R24" s="90" t="s">
        <v>91</v>
      </c>
      <c r="S24" s="165">
        <f>AVERAGE(U28:U67)</f>
        <v>21650150.737586163</v>
      </c>
      <c r="T24" s="166"/>
      <c r="U24" s="166"/>
      <c r="V24" s="166"/>
      <c r="X24" s="141"/>
      <c r="Y24" s="90" t="s">
        <v>91</v>
      </c>
      <c r="Z24" s="165">
        <f>AVERAGE(AB28:AB67)</f>
        <v>21354092.670201693</v>
      </c>
      <c r="AA24" s="165"/>
      <c r="AB24" s="165"/>
      <c r="AC24" s="165"/>
      <c r="AD24" s="14"/>
      <c r="AE24" s="141"/>
      <c r="AF24" s="90" t="s">
        <v>91</v>
      </c>
      <c r="AG24" s="165">
        <f>AVERAGE(AI31:AI67)</f>
        <v>32075169.508258261</v>
      </c>
      <c r="AH24" s="166"/>
      <c r="AI24" s="166"/>
      <c r="AJ24" s="166"/>
      <c r="AK24" s="14"/>
      <c r="AL24" s="14"/>
    </row>
    <row r="25" spans="3:38" ht="14.25" customHeight="1" thickBot="1">
      <c r="C25" s="150"/>
      <c r="D25" s="22" t="s">
        <v>92</v>
      </c>
      <c r="E25" s="174">
        <f>AVERAGE(H28:H67)</f>
        <v>0.74294044753276245</v>
      </c>
      <c r="F25" s="179"/>
      <c r="G25" s="179"/>
      <c r="H25" s="179"/>
      <c r="J25" s="150"/>
      <c r="K25" s="22" t="s">
        <v>92</v>
      </c>
      <c r="L25" s="174">
        <f>AVERAGE(O28:O67)</f>
        <v>0.74294044753276245</v>
      </c>
      <c r="M25" s="174"/>
      <c r="N25" s="174"/>
      <c r="O25" s="174"/>
      <c r="Q25" s="150"/>
      <c r="R25" s="22" t="s">
        <v>92</v>
      </c>
      <c r="S25" s="174">
        <f>AVERAGE(V28:V67)</f>
        <v>0.8003572962265133</v>
      </c>
      <c r="T25" s="150"/>
      <c r="U25" s="150"/>
      <c r="V25" s="150"/>
      <c r="X25" s="150"/>
      <c r="Y25" s="22" t="s">
        <v>92</v>
      </c>
      <c r="Z25" s="174">
        <f>AVERAGE(AC28:AC67)</f>
        <v>0.77203615587346397</v>
      </c>
      <c r="AA25" s="174"/>
      <c r="AB25" s="174"/>
      <c r="AC25" s="174"/>
      <c r="AD25" s="17"/>
      <c r="AE25" s="150"/>
      <c r="AF25" s="22" t="s">
        <v>92</v>
      </c>
      <c r="AG25" s="174">
        <f>AVERAGE(AJ31:AJ67)</f>
        <v>0.73448915193503372</v>
      </c>
      <c r="AH25" s="183"/>
      <c r="AI25" s="183"/>
      <c r="AJ25" s="183"/>
      <c r="AK25" s="17"/>
      <c r="AL25" s="17"/>
    </row>
    <row r="26" spans="3:38" ht="14.25" customHeight="1" thickTop="1">
      <c r="C26" s="14"/>
      <c r="D26" s="14"/>
      <c r="E26" s="14"/>
      <c r="F26" s="14"/>
      <c r="G26" s="14"/>
      <c r="H26" s="14"/>
      <c r="J26" s="14"/>
      <c r="K26" s="14"/>
      <c r="L26" s="14"/>
      <c r="M26" s="14"/>
      <c r="N26" s="14"/>
      <c r="O26" s="14"/>
      <c r="Q26" s="14"/>
      <c r="R26" s="14"/>
      <c r="S26" s="14"/>
      <c r="T26" s="14"/>
      <c r="U26" s="14"/>
      <c r="V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spans="3:38" s="35" customFormat="1" ht="60">
      <c r="C27" s="34" t="s">
        <v>27</v>
      </c>
      <c r="D27" s="91" t="s">
        <v>118</v>
      </c>
      <c r="E27" s="34" t="s">
        <v>94</v>
      </c>
      <c r="F27" s="34" t="s">
        <v>95</v>
      </c>
      <c r="G27" s="34" t="s">
        <v>96</v>
      </c>
      <c r="H27" s="34" t="s">
        <v>97</v>
      </c>
      <c r="J27" s="34" t="s">
        <v>27</v>
      </c>
      <c r="K27" s="103" t="s">
        <v>118</v>
      </c>
      <c r="L27" s="34" t="s">
        <v>94</v>
      </c>
      <c r="M27" s="34" t="s">
        <v>95</v>
      </c>
      <c r="N27" s="34" t="s">
        <v>96</v>
      </c>
      <c r="O27" s="34" t="s">
        <v>97</v>
      </c>
      <c r="Q27" s="34" t="s">
        <v>27</v>
      </c>
      <c r="R27" s="34" t="s">
        <v>118</v>
      </c>
      <c r="S27" s="34" t="s">
        <v>94</v>
      </c>
      <c r="T27" s="34" t="s">
        <v>95</v>
      </c>
      <c r="U27" s="34" t="s">
        <v>96</v>
      </c>
      <c r="V27" s="34" t="s">
        <v>97</v>
      </c>
      <c r="X27" s="34" t="s">
        <v>27</v>
      </c>
      <c r="Y27" s="34" t="s">
        <v>118</v>
      </c>
      <c r="Z27" s="34" t="s">
        <v>94</v>
      </c>
      <c r="AA27" s="34" t="s">
        <v>95</v>
      </c>
      <c r="AB27" s="34" t="s">
        <v>96</v>
      </c>
      <c r="AC27" s="34" t="s">
        <v>97</v>
      </c>
      <c r="AD27" s="37"/>
      <c r="AE27" s="34" t="s">
        <v>27</v>
      </c>
      <c r="AF27" s="34" t="s">
        <v>118</v>
      </c>
      <c r="AG27" s="34" t="s">
        <v>94</v>
      </c>
      <c r="AH27" s="34" t="s">
        <v>95</v>
      </c>
      <c r="AI27" s="34" t="s">
        <v>96</v>
      </c>
      <c r="AJ27" s="34" t="s">
        <v>97</v>
      </c>
      <c r="AK27" s="37"/>
      <c r="AL27" s="37"/>
    </row>
    <row r="28" spans="3:38" ht="14.25" customHeight="1">
      <c r="C28" s="14">
        <v>1</v>
      </c>
      <c r="D28" s="101">
        <v>9163</v>
      </c>
      <c r="E28" s="18">
        <f>_xlfn.FORECAST.ETS(C28,$D$28:$D$67,$C$28:$C$67,1)</f>
        <v>9024.4710829976757</v>
      </c>
      <c r="F28" s="18">
        <f>ABS(E28-D28)</f>
        <v>138.52891700232431</v>
      </c>
      <c r="G28" s="18">
        <f>F28^2</f>
        <v>19190.260845836856</v>
      </c>
      <c r="H28" s="24">
        <f>F28/D28</f>
        <v>1.5118292808285966E-2</v>
      </c>
      <c r="J28" s="14">
        <v>1</v>
      </c>
      <c r="K28" s="101">
        <v>9163</v>
      </c>
      <c r="L28" s="18">
        <f>_xlfn.FORECAST.ETS(J28,$K$28:$K$67,$J$28:$J$67,0)</f>
        <v>9024.4710829976757</v>
      </c>
      <c r="M28" s="18">
        <f>ABS(K28-L28)</f>
        <v>138.52891700232431</v>
      </c>
      <c r="N28" s="18">
        <f>M28^2</f>
        <v>19190.260845836856</v>
      </c>
      <c r="O28" s="24">
        <f>M28/K28</f>
        <v>1.5118292808285966E-2</v>
      </c>
      <c r="P28" s="18"/>
      <c r="Q28" s="14">
        <v>1</v>
      </c>
      <c r="R28" s="6">
        <v>9163</v>
      </c>
      <c r="S28" s="18">
        <f>R28</f>
        <v>9163</v>
      </c>
      <c r="T28" s="18">
        <f>ABS(Y28-Z28)</f>
        <v>371.64024390243867</v>
      </c>
      <c r="U28" s="18">
        <f>T28^2</f>
        <v>138116.4708878641</v>
      </c>
      <c r="V28" s="24">
        <f>T28/R28</f>
        <v>4.0558795580316345E-2</v>
      </c>
      <c r="X28" s="14">
        <v>1</v>
      </c>
      <c r="Y28" s="6">
        <v>9163</v>
      </c>
      <c r="Z28" s="18">
        <f>$Z$21+$Z$20*X28</f>
        <v>9534.6402439024387</v>
      </c>
      <c r="AA28" s="18">
        <f>ABS(Y28-Z28)</f>
        <v>371.64024390243867</v>
      </c>
      <c r="AB28" s="18">
        <f>AA28^2</f>
        <v>138116.4708878641</v>
      </c>
      <c r="AC28" s="24">
        <f>AA28/Y28</f>
        <v>4.0558795580316345E-2</v>
      </c>
      <c r="AD28" s="24"/>
      <c r="AE28" s="14">
        <v>1</v>
      </c>
      <c r="AF28" s="6">
        <v>9163</v>
      </c>
      <c r="AH28" s="18"/>
      <c r="AI28" s="18"/>
      <c r="AJ28" s="24"/>
      <c r="AK28" s="24"/>
      <c r="AL28" s="24"/>
    </row>
    <row r="29" spans="3:38" ht="14.25" customHeight="1">
      <c r="C29" s="14">
        <v>2</v>
      </c>
      <c r="D29" s="101">
        <v>3010</v>
      </c>
      <c r="E29" s="18">
        <f t="shared" ref="E29:E73" si="1">_xlfn.FORECAST.ETS(C29,$D$28:$D$67,$C$28:$C$67,1)</f>
        <v>9000.3166253145191</v>
      </c>
      <c r="F29" s="18">
        <f t="shared" ref="F29:F67" si="2">ABS(E29-D29)</f>
        <v>5990.3166253145191</v>
      </c>
      <c r="G29" s="18">
        <f t="shared" ref="G29:G67" si="3">F29^2</f>
        <v>35883893.271519527</v>
      </c>
      <c r="H29" s="24">
        <f t="shared" ref="H29:H66" si="4">F29/D29</f>
        <v>1.9901384137257538</v>
      </c>
      <c r="J29" s="14">
        <v>2</v>
      </c>
      <c r="K29" s="101">
        <v>3010</v>
      </c>
      <c r="L29" s="18">
        <f t="shared" ref="L29:L73" si="5">_xlfn.FORECAST.ETS(J29,$K$28:$K$67,$J$28:$J$67,0)</f>
        <v>9000.3166253145191</v>
      </c>
      <c r="M29" s="18">
        <f t="shared" ref="M29:M67" si="6">ABS(K29-L29)</f>
        <v>5990.3166253145191</v>
      </c>
      <c r="N29" s="18">
        <f t="shared" ref="N29:N67" si="7">M29^2</f>
        <v>35883893.271519527</v>
      </c>
      <c r="O29" s="24">
        <f t="shared" ref="O29:O67" si="8">M29/K29</f>
        <v>1.9901384137257538</v>
      </c>
      <c r="Q29" s="14">
        <v>2</v>
      </c>
      <c r="R29" s="101">
        <v>3010</v>
      </c>
      <c r="S29" s="94">
        <f>$S$20*R28+(1-$S$20)*S28</f>
        <v>9163</v>
      </c>
      <c r="T29" s="18">
        <f t="shared" ref="T29:T67" si="9">ABS(S29-R29)</f>
        <v>6153</v>
      </c>
      <c r="U29" s="18">
        <f t="shared" ref="U29:U67" si="10">T29^2</f>
        <v>37859409</v>
      </c>
      <c r="V29" s="24">
        <f t="shared" ref="V29:V67" si="11">T29/R29</f>
        <v>2.0441860465116277</v>
      </c>
      <c r="X29" s="14">
        <v>2</v>
      </c>
      <c r="Y29" s="101">
        <v>3010</v>
      </c>
      <c r="Z29" s="18">
        <f t="shared" ref="Z29:Z67" si="12">$Z$21+$Z$20*X29</f>
        <v>9499.768949343339</v>
      </c>
      <c r="AA29" s="18">
        <f t="shared" ref="AA29:AA67" si="13">ABS(Y29-Z29)</f>
        <v>6489.768949343339</v>
      </c>
      <c r="AB29" s="18">
        <f t="shared" ref="AB29:AB67" si="14">AA29^2</f>
        <v>42117101.015860945</v>
      </c>
      <c r="AC29" s="24">
        <f t="shared" ref="AC29:AC67" si="15">AA29/Y29</f>
        <v>2.1560694183864912</v>
      </c>
      <c r="AD29" s="24"/>
      <c r="AE29" s="14">
        <v>2</v>
      </c>
      <c r="AF29" s="101">
        <v>3010</v>
      </c>
      <c r="AH29" s="18"/>
      <c r="AI29" s="18"/>
      <c r="AJ29" s="24"/>
      <c r="AK29" s="24"/>
      <c r="AL29" s="24"/>
    </row>
    <row r="30" spans="3:38" ht="14.25" customHeight="1">
      <c r="C30" s="14">
        <v>3</v>
      </c>
      <c r="D30" s="101">
        <v>2018</v>
      </c>
      <c r="E30" s="18">
        <f t="shared" si="1"/>
        <v>8976.1621676313698</v>
      </c>
      <c r="F30" s="18">
        <f t="shared" si="2"/>
        <v>6958.1621676313698</v>
      </c>
      <c r="G30" s="18">
        <f t="shared" si="3"/>
        <v>48416020.751056485</v>
      </c>
      <c r="H30" s="24">
        <f t="shared" si="4"/>
        <v>3.4480486460016699</v>
      </c>
      <c r="J30" s="14">
        <v>3</v>
      </c>
      <c r="K30" s="101">
        <v>2018</v>
      </c>
      <c r="L30" s="18">
        <f t="shared" si="5"/>
        <v>8976.1621676313698</v>
      </c>
      <c r="M30" s="18">
        <f t="shared" si="6"/>
        <v>6958.1621676313698</v>
      </c>
      <c r="N30" s="18">
        <f t="shared" si="7"/>
        <v>48416020.751056485</v>
      </c>
      <c r="O30" s="24">
        <f t="shared" si="8"/>
        <v>3.4480486460016699</v>
      </c>
      <c r="Q30" s="14">
        <v>3</v>
      </c>
      <c r="R30" s="101">
        <v>2018</v>
      </c>
      <c r="S30" s="94">
        <f t="shared" ref="S30:S68" si="16">$S$20*R29+(1-$S$20)*S29</f>
        <v>9150.6940000000013</v>
      </c>
      <c r="T30" s="18">
        <f t="shared" si="9"/>
        <v>7132.6940000000013</v>
      </c>
      <c r="U30" s="18">
        <f t="shared" si="10"/>
        <v>50875323.697636016</v>
      </c>
      <c r="V30" s="24">
        <f t="shared" si="11"/>
        <v>3.5345361744301296</v>
      </c>
      <c r="X30" s="14">
        <v>3</v>
      </c>
      <c r="Y30" s="101">
        <v>2018</v>
      </c>
      <c r="Z30" s="18">
        <f t="shared" si="12"/>
        <v>9464.8976547842394</v>
      </c>
      <c r="AA30" s="18">
        <f t="shared" si="13"/>
        <v>7446.8976547842394</v>
      </c>
      <c r="AB30" s="18">
        <f t="shared" si="14"/>
        <v>55456284.680831008</v>
      </c>
      <c r="AC30" s="24">
        <f t="shared" si="15"/>
        <v>3.6902366971180571</v>
      </c>
      <c r="AD30" s="24"/>
      <c r="AE30" s="14">
        <v>3</v>
      </c>
      <c r="AF30" s="101">
        <v>2018</v>
      </c>
      <c r="AG30" s="18"/>
      <c r="AH30" s="18"/>
      <c r="AI30" s="18"/>
      <c r="AJ30" s="24"/>
      <c r="AK30" s="24"/>
      <c r="AL30" s="24"/>
    </row>
    <row r="31" spans="3:38" ht="14.25" customHeight="1">
      <c r="C31" s="14">
        <v>4</v>
      </c>
      <c r="D31" s="101">
        <v>17462</v>
      </c>
      <c r="E31" s="18">
        <f t="shared" si="1"/>
        <v>8952.0077099482114</v>
      </c>
      <c r="F31" s="18">
        <f t="shared" si="2"/>
        <v>8509.9922900517886</v>
      </c>
      <c r="G31" s="18">
        <f t="shared" si="3"/>
        <v>72419968.776740879</v>
      </c>
      <c r="H31" s="24">
        <f t="shared" si="4"/>
        <v>0.48734350532881621</v>
      </c>
      <c r="J31" s="14">
        <v>4</v>
      </c>
      <c r="K31" s="101">
        <v>17462</v>
      </c>
      <c r="L31" s="18">
        <f t="shared" si="5"/>
        <v>8952.0077099482114</v>
      </c>
      <c r="M31" s="18">
        <f t="shared" si="6"/>
        <v>8509.9922900517886</v>
      </c>
      <c r="N31" s="18">
        <f t="shared" si="7"/>
        <v>72419968.776740879</v>
      </c>
      <c r="O31" s="24">
        <f t="shared" si="8"/>
        <v>0.48734350532881621</v>
      </c>
      <c r="Q31" s="14">
        <v>4</v>
      </c>
      <c r="R31" s="101">
        <v>17462</v>
      </c>
      <c r="S31" s="94">
        <f t="shared" si="16"/>
        <v>9136.4286120000015</v>
      </c>
      <c r="T31" s="18">
        <f t="shared" si="9"/>
        <v>8325.5713879999985</v>
      </c>
      <c r="U31" s="18">
        <f t="shared" si="10"/>
        <v>69315138.936684221</v>
      </c>
      <c r="V31" s="24">
        <f t="shared" si="11"/>
        <v>0.4767822350246248</v>
      </c>
      <c r="X31" s="14">
        <v>4</v>
      </c>
      <c r="Y31" s="101">
        <v>17462</v>
      </c>
      <c r="Z31" s="18">
        <f t="shared" si="12"/>
        <v>9430.0263602251398</v>
      </c>
      <c r="AA31" s="18">
        <f t="shared" si="13"/>
        <v>8031.9736397748602</v>
      </c>
      <c r="AB31" s="18">
        <f t="shared" si="14"/>
        <v>64512600.550038218</v>
      </c>
      <c r="AC31" s="24">
        <f t="shared" si="15"/>
        <v>0.45996871147490898</v>
      </c>
      <c r="AD31" s="24"/>
      <c r="AE31" s="14">
        <v>4</v>
      </c>
      <c r="AF31" s="101">
        <v>17462</v>
      </c>
      <c r="AG31" s="18">
        <f>(1/6)*(AF28*$AG$20+AF29*$AG$21+AF30*$AG$22)</f>
        <v>3539.5</v>
      </c>
      <c r="AH31" s="18">
        <f>ABS(AF31-AG31)</f>
        <v>13922.5</v>
      </c>
      <c r="AI31" s="18">
        <f>AH31^2</f>
        <v>193836006.25</v>
      </c>
      <c r="AJ31" s="24">
        <f>AH31/AF31</f>
        <v>0.79730271446569689</v>
      </c>
      <c r="AK31" s="24"/>
      <c r="AL31" s="24"/>
    </row>
    <row r="32" spans="3:38" ht="14.25" customHeight="1">
      <c r="C32" s="14">
        <v>5</v>
      </c>
      <c r="D32" s="101">
        <v>17199</v>
      </c>
      <c r="E32" s="18">
        <f t="shared" si="1"/>
        <v>8927.8532522650621</v>
      </c>
      <c r="F32" s="18">
        <f t="shared" si="2"/>
        <v>8271.1467477349379</v>
      </c>
      <c r="G32" s="18">
        <f t="shared" si="3"/>
        <v>68411868.522566244</v>
      </c>
      <c r="H32" s="24">
        <f t="shared" si="4"/>
        <v>0.48090858466974462</v>
      </c>
      <c r="J32" s="14">
        <v>5</v>
      </c>
      <c r="K32" s="101">
        <v>17199</v>
      </c>
      <c r="L32" s="18">
        <f t="shared" si="5"/>
        <v>8927.8532522650621</v>
      </c>
      <c r="M32" s="18">
        <f t="shared" si="6"/>
        <v>8271.1467477349379</v>
      </c>
      <c r="N32" s="18">
        <f t="shared" si="7"/>
        <v>68411868.522566244</v>
      </c>
      <c r="O32" s="24">
        <f t="shared" si="8"/>
        <v>0.48090858466974462</v>
      </c>
      <c r="Q32" s="14">
        <v>5</v>
      </c>
      <c r="R32" s="101">
        <v>17199</v>
      </c>
      <c r="S32" s="94">
        <f t="shared" si="16"/>
        <v>9153.079754776003</v>
      </c>
      <c r="T32" s="18">
        <f t="shared" si="9"/>
        <v>8045.920245223997</v>
      </c>
      <c r="U32" s="18">
        <f t="shared" si="10"/>
        <v>64736832.592505381</v>
      </c>
      <c r="V32" s="24">
        <f t="shared" si="11"/>
        <v>0.46781325921414019</v>
      </c>
      <c r="X32" s="14">
        <v>5</v>
      </c>
      <c r="Y32" s="101">
        <v>17199</v>
      </c>
      <c r="Z32" s="18">
        <f t="shared" si="12"/>
        <v>9395.155065666042</v>
      </c>
      <c r="AA32" s="18">
        <f t="shared" si="13"/>
        <v>7803.844934333958</v>
      </c>
      <c r="AB32" s="18">
        <f t="shared" si="14"/>
        <v>60899995.759129778</v>
      </c>
      <c r="AC32" s="24">
        <f t="shared" si="15"/>
        <v>0.45373829492028361</v>
      </c>
      <c r="AD32" s="24"/>
      <c r="AE32" s="14">
        <v>5</v>
      </c>
      <c r="AF32" s="101">
        <v>17199</v>
      </c>
      <c r="AG32" s="18">
        <f t="shared" ref="AG32:AG67" si="17">(1/6)*(AF29*$AG$20+AF30*$AG$21+AF31*$AG$22)</f>
        <v>9905.3333333333321</v>
      </c>
      <c r="AH32" s="18">
        <f t="shared" ref="AH32:AH67" si="18">ABS(AF32-AG32)</f>
        <v>7293.6666666666679</v>
      </c>
      <c r="AI32" s="104">
        <f>AH32^2</f>
        <v>53197573.444444463</v>
      </c>
      <c r="AJ32" s="24">
        <f t="shared" ref="AJ32:AJ67" si="19">AH32/AF32</f>
        <v>0.42407504312266225</v>
      </c>
      <c r="AK32" s="24"/>
      <c r="AL32" s="24"/>
    </row>
    <row r="33" spans="3:38" ht="14.25" customHeight="1">
      <c r="C33" s="14">
        <v>6</v>
      </c>
      <c r="D33" s="101">
        <v>11400</v>
      </c>
      <c r="E33" s="18">
        <f t="shared" si="1"/>
        <v>8903.6987945819037</v>
      </c>
      <c r="F33" s="18">
        <f t="shared" si="2"/>
        <v>2496.3012054180963</v>
      </c>
      <c r="G33" s="18">
        <f t="shared" si="3"/>
        <v>6231519.7081718408</v>
      </c>
      <c r="H33" s="24">
        <f t="shared" si="4"/>
        <v>0.2189737899489558</v>
      </c>
      <c r="J33" s="14">
        <v>6</v>
      </c>
      <c r="K33" s="101">
        <v>11400</v>
      </c>
      <c r="L33" s="18">
        <f t="shared" si="5"/>
        <v>8903.6987945819037</v>
      </c>
      <c r="M33" s="18">
        <f t="shared" si="6"/>
        <v>2496.3012054180963</v>
      </c>
      <c r="N33" s="18">
        <f t="shared" si="7"/>
        <v>6231519.7081718408</v>
      </c>
      <c r="O33" s="24">
        <f t="shared" si="8"/>
        <v>0.2189737899489558</v>
      </c>
      <c r="Q33" s="14">
        <v>6</v>
      </c>
      <c r="R33" s="101">
        <v>11400</v>
      </c>
      <c r="S33" s="94">
        <f t="shared" si="16"/>
        <v>9169.1715952664508</v>
      </c>
      <c r="T33" s="18">
        <f t="shared" si="9"/>
        <v>2230.8284047335492</v>
      </c>
      <c r="U33" s="18">
        <f t="shared" si="10"/>
        <v>4976595.3713660315</v>
      </c>
      <c r="V33" s="24">
        <f t="shared" si="11"/>
        <v>0.19568670216960957</v>
      </c>
      <c r="X33" s="14">
        <v>6</v>
      </c>
      <c r="Y33" s="101">
        <v>11400</v>
      </c>
      <c r="Z33" s="18">
        <f t="shared" si="12"/>
        <v>9360.2837711069424</v>
      </c>
      <c r="AA33" s="18">
        <f t="shared" si="13"/>
        <v>2039.7162288930576</v>
      </c>
      <c r="AB33" s="18">
        <f t="shared" si="14"/>
        <v>4160442.2944097165</v>
      </c>
      <c r="AC33" s="24">
        <f t="shared" si="15"/>
        <v>0.17892247621868926</v>
      </c>
      <c r="AD33" s="24"/>
      <c r="AE33" s="14">
        <v>6</v>
      </c>
      <c r="AF33" s="101">
        <v>11400</v>
      </c>
      <c r="AG33" s="18">
        <f t="shared" si="17"/>
        <v>14756.5</v>
      </c>
      <c r="AH33" s="18">
        <f t="shared" si="18"/>
        <v>3356.5</v>
      </c>
      <c r="AI33" s="104">
        <f t="shared" ref="AI33:AI67" si="20">AH33^2</f>
        <v>11266092.25</v>
      </c>
      <c r="AJ33" s="24">
        <f t="shared" si="19"/>
        <v>0.29442982456140349</v>
      </c>
      <c r="AK33" s="24"/>
      <c r="AL33" s="24"/>
    </row>
    <row r="34" spans="3:38" ht="14.25" customHeight="1">
      <c r="C34" s="14">
        <v>7</v>
      </c>
      <c r="D34" s="101">
        <v>8070</v>
      </c>
      <c r="E34" s="18">
        <f t="shared" si="1"/>
        <v>8879.5443368987544</v>
      </c>
      <c r="F34" s="18">
        <f t="shared" si="2"/>
        <v>809.54433689875441</v>
      </c>
      <c r="G34" s="18">
        <f t="shared" si="3"/>
        <v>655362.033404844</v>
      </c>
      <c r="H34" s="24">
        <f t="shared" si="4"/>
        <v>0.10031528338274529</v>
      </c>
      <c r="J34" s="14">
        <v>7</v>
      </c>
      <c r="K34" s="101">
        <v>8070</v>
      </c>
      <c r="L34" s="18">
        <f t="shared" si="5"/>
        <v>8879.5443368987544</v>
      </c>
      <c r="M34" s="18">
        <f t="shared" si="6"/>
        <v>809.54433689875441</v>
      </c>
      <c r="N34" s="18">
        <f t="shared" si="7"/>
        <v>655362.033404844</v>
      </c>
      <c r="O34" s="24">
        <f t="shared" si="8"/>
        <v>0.10031528338274529</v>
      </c>
      <c r="Q34" s="14">
        <v>7</v>
      </c>
      <c r="R34" s="101">
        <v>8070</v>
      </c>
      <c r="S34" s="94">
        <f t="shared" si="16"/>
        <v>9173.633252075917</v>
      </c>
      <c r="T34" s="18">
        <f t="shared" si="9"/>
        <v>1103.633252075917</v>
      </c>
      <c r="U34" s="18">
        <f t="shared" si="10"/>
        <v>1218006.3550876644</v>
      </c>
      <c r="V34" s="24">
        <f t="shared" si="11"/>
        <v>0.13675752813827968</v>
      </c>
      <c r="X34" s="14">
        <v>7</v>
      </c>
      <c r="Y34" s="101">
        <v>8070</v>
      </c>
      <c r="Z34" s="18">
        <f t="shared" si="12"/>
        <v>9325.4124765478427</v>
      </c>
      <c r="AA34" s="18">
        <f t="shared" si="13"/>
        <v>1255.4124765478427</v>
      </c>
      <c r="AB34" s="18">
        <f t="shared" si="14"/>
        <v>1576060.4862719879</v>
      </c>
      <c r="AC34" s="24">
        <f t="shared" si="15"/>
        <v>0.15556536264533366</v>
      </c>
      <c r="AD34" s="24"/>
      <c r="AE34" s="14">
        <v>7</v>
      </c>
      <c r="AF34" s="101">
        <v>8070</v>
      </c>
      <c r="AG34" s="18">
        <f t="shared" si="17"/>
        <v>14343.333333333332</v>
      </c>
      <c r="AH34" s="18">
        <f t="shared" si="18"/>
        <v>6273.3333333333321</v>
      </c>
      <c r="AI34" s="104">
        <f t="shared" si="20"/>
        <v>39354711.111111097</v>
      </c>
      <c r="AJ34" s="24">
        <f t="shared" si="19"/>
        <v>0.77736472532011547</v>
      </c>
      <c r="AK34" s="24"/>
      <c r="AL34" s="24"/>
    </row>
    <row r="35" spans="3:38" ht="14.25" customHeight="1">
      <c r="C35" s="14">
        <v>8</v>
      </c>
      <c r="D35" s="101">
        <v>2615</v>
      </c>
      <c r="E35" s="18">
        <f t="shared" si="1"/>
        <v>8855.389879215596</v>
      </c>
      <c r="F35" s="18">
        <f t="shared" si="2"/>
        <v>6240.389879215596</v>
      </c>
      <c r="G35" s="18">
        <f t="shared" si="3"/>
        <v>38942465.844616443</v>
      </c>
      <c r="H35" s="24">
        <f t="shared" si="4"/>
        <v>2.3863823629887557</v>
      </c>
      <c r="J35" s="14">
        <v>8</v>
      </c>
      <c r="K35" s="101">
        <v>2615</v>
      </c>
      <c r="L35" s="18">
        <f t="shared" si="5"/>
        <v>8855.389879215596</v>
      </c>
      <c r="M35" s="18">
        <f t="shared" si="6"/>
        <v>6240.389879215596</v>
      </c>
      <c r="N35" s="18">
        <f t="shared" si="7"/>
        <v>38942465.844616443</v>
      </c>
      <c r="O35" s="24">
        <f t="shared" si="8"/>
        <v>2.3863823629887557</v>
      </c>
      <c r="Q35" s="14">
        <v>8</v>
      </c>
      <c r="R35" s="101">
        <v>2615</v>
      </c>
      <c r="S35" s="94">
        <f t="shared" si="16"/>
        <v>9171.4259855717646</v>
      </c>
      <c r="T35" s="18">
        <f t="shared" si="9"/>
        <v>6556.4259855717646</v>
      </c>
      <c r="U35" s="18">
        <f t="shared" si="10"/>
        <v>42986721.704280682</v>
      </c>
      <c r="V35" s="24">
        <f t="shared" si="11"/>
        <v>2.5072374705819369</v>
      </c>
      <c r="X35" s="14">
        <v>8</v>
      </c>
      <c r="Y35" s="101">
        <v>2615</v>
      </c>
      <c r="Z35" s="18">
        <f t="shared" si="12"/>
        <v>9290.5411819887431</v>
      </c>
      <c r="AA35" s="18">
        <f t="shared" si="13"/>
        <v>6675.5411819887431</v>
      </c>
      <c r="AB35" s="18">
        <f t="shared" si="14"/>
        <v>44562850.072427668</v>
      </c>
      <c r="AC35" s="24">
        <f t="shared" si="15"/>
        <v>2.5527882149096532</v>
      </c>
      <c r="AD35" s="24"/>
      <c r="AE35" s="14">
        <v>8</v>
      </c>
      <c r="AF35" s="101">
        <v>2615</v>
      </c>
      <c r="AG35" s="18">
        <f t="shared" si="17"/>
        <v>10701.5</v>
      </c>
      <c r="AH35" s="18">
        <f t="shared" si="18"/>
        <v>8086.5</v>
      </c>
      <c r="AI35" s="104">
        <f t="shared" si="20"/>
        <v>65391482.25</v>
      </c>
      <c r="AJ35" s="24">
        <f t="shared" si="19"/>
        <v>3.0923518164435948</v>
      </c>
      <c r="AK35" s="24"/>
      <c r="AL35" s="24"/>
    </row>
    <row r="36" spans="3:38" ht="14.25" customHeight="1">
      <c r="C36" s="14">
        <v>9</v>
      </c>
      <c r="D36" s="101">
        <v>3114</v>
      </c>
      <c r="E36" s="18">
        <f t="shared" si="1"/>
        <v>8831.2354215324467</v>
      </c>
      <c r="F36" s="18">
        <f t="shared" si="2"/>
        <v>5717.2354215324467</v>
      </c>
      <c r="G36" s="18">
        <f t="shared" si="3"/>
        <v>32686780.865225293</v>
      </c>
      <c r="H36" s="24">
        <f t="shared" si="4"/>
        <v>1.8359779773707279</v>
      </c>
      <c r="J36" s="14">
        <v>9</v>
      </c>
      <c r="K36" s="101">
        <v>3114</v>
      </c>
      <c r="L36" s="18">
        <f t="shared" si="5"/>
        <v>8831.2354215324467</v>
      </c>
      <c r="M36" s="18">
        <f t="shared" si="6"/>
        <v>5717.2354215324467</v>
      </c>
      <c r="N36" s="18">
        <f t="shared" si="7"/>
        <v>32686780.865225293</v>
      </c>
      <c r="O36" s="24">
        <f t="shared" si="8"/>
        <v>1.8359779773707279</v>
      </c>
      <c r="Q36" s="14">
        <v>9</v>
      </c>
      <c r="R36" s="101">
        <v>3114</v>
      </c>
      <c r="S36" s="94">
        <f t="shared" si="16"/>
        <v>9158.3131336006209</v>
      </c>
      <c r="T36" s="18">
        <f t="shared" si="9"/>
        <v>6044.3131336006209</v>
      </c>
      <c r="U36" s="18">
        <f t="shared" si="10"/>
        <v>36533721.257016957</v>
      </c>
      <c r="V36" s="24">
        <f t="shared" si="11"/>
        <v>1.9410125669879965</v>
      </c>
      <c r="X36" s="14">
        <v>9</v>
      </c>
      <c r="Y36" s="101">
        <v>3114</v>
      </c>
      <c r="Z36" s="18">
        <f t="shared" si="12"/>
        <v>9255.6698874296435</v>
      </c>
      <c r="AA36" s="18">
        <f t="shared" si="13"/>
        <v>6141.6698874296435</v>
      </c>
      <c r="AB36" s="18">
        <f t="shared" si="14"/>
        <v>37720109.006160051</v>
      </c>
      <c r="AC36" s="24">
        <f t="shared" si="15"/>
        <v>1.9722767782368797</v>
      </c>
      <c r="AD36" s="24"/>
      <c r="AE36" s="14">
        <v>9</v>
      </c>
      <c r="AF36" s="101">
        <v>3114</v>
      </c>
      <c r="AG36" s="18">
        <f t="shared" si="17"/>
        <v>5897.5</v>
      </c>
      <c r="AH36" s="18">
        <f t="shared" si="18"/>
        <v>2783.5</v>
      </c>
      <c r="AI36" s="104">
        <f t="shared" si="20"/>
        <v>7747872.25</v>
      </c>
      <c r="AJ36" s="24">
        <f t="shared" si="19"/>
        <v>0.89386640976236353</v>
      </c>
      <c r="AK36" s="24"/>
      <c r="AL36" s="24"/>
    </row>
    <row r="37" spans="3:38" ht="14.25" customHeight="1">
      <c r="C37" s="14">
        <v>10</v>
      </c>
      <c r="D37" s="101">
        <v>8662</v>
      </c>
      <c r="E37" s="18">
        <f t="shared" si="1"/>
        <v>8807.0809638492883</v>
      </c>
      <c r="F37" s="18">
        <f t="shared" si="2"/>
        <v>145.08096384928831</v>
      </c>
      <c r="G37" s="18">
        <f t="shared" si="3"/>
        <v>21048.486071438503</v>
      </c>
      <c r="H37" s="24">
        <f t="shared" si="4"/>
        <v>1.6749129975674015E-2</v>
      </c>
      <c r="J37" s="14">
        <v>10</v>
      </c>
      <c r="K37" s="101">
        <v>8662</v>
      </c>
      <c r="L37" s="18">
        <f t="shared" si="5"/>
        <v>8807.0809638492883</v>
      </c>
      <c r="M37" s="18">
        <f t="shared" si="6"/>
        <v>145.08096384928831</v>
      </c>
      <c r="N37" s="18">
        <f t="shared" si="7"/>
        <v>21048.486071438503</v>
      </c>
      <c r="O37" s="24">
        <f t="shared" si="8"/>
        <v>1.6749129975674015E-2</v>
      </c>
      <c r="Q37" s="14">
        <v>10</v>
      </c>
      <c r="R37" s="101">
        <v>8662</v>
      </c>
      <c r="S37" s="94">
        <f t="shared" si="16"/>
        <v>9146.2245073334179</v>
      </c>
      <c r="T37" s="18">
        <f t="shared" si="9"/>
        <v>484.22450733341793</v>
      </c>
      <c r="U37" s="18">
        <f t="shared" si="10"/>
        <v>234473.37350229133</v>
      </c>
      <c r="V37" s="24">
        <f t="shared" si="11"/>
        <v>5.5902159701387434E-2</v>
      </c>
      <c r="X37" s="14">
        <v>10</v>
      </c>
      <c r="Y37" s="101">
        <v>8662</v>
      </c>
      <c r="Z37" s="18">
        <f t="shared" si="12"/>
        <v>9220.7985928705439</v>
      </c>
      <c r="AA37" s="18">
        <f t="shared" si="13"/>
        <v>558.79859287054387</v>
      </c>
      <c r="AB37" s="18">
        <f t="shared" si="14"/>
        <v>312255.86739409983</v>
      </c>
      <c r="AC37" s="24">
        <f t="shared" si="15"/>
        <v>6.451149767611912E-2</v>
      </c>
      <c r="AD37" s="24"/>
      <c r="AE37" s="14">
        <v>10</v>
      </c>
      <c r="AF37" s="101">
        <v>8662</v>
      </c>
      <c r="AG37" s="18">
        <f t="shared" si="17"/>
        <v>3773.6666666666665</v>
      </c>
      <c r="AH37" s="18">
        <f t="shared" si="18"/>
        <v>4888.3333333333339</v>
      </c>
      <c r="AI37" s="104">
        <f t="shared" si="20"/>
        <v>23895802.777777784</v>
      </c>
      <c r="AJ37" s="24">
        <f t="shared" si="19"/>
        <v>0.56434233818209811</v>
      </c>
      <c r="AK37" s="24"/>
      <c r="AL37" s="24"/>
    </row>
    <row r="38" spans="3:38" ht="14.25" customHeight="1">
      <c r="C38" s="14">
        <v>11</v>
      </c>
      <c r="D38" s="101">
        <v>13586</v>
      </c>
      <c r="E38" s="18">
        <f t="shared" si="1"/>
        <v>8782.926506166139</v>
      </c>
      <c r="F38" s="18">
        <f t="shared" si="2"/>
        <v>4803.073493833861</v>
      </c>
      <c r="G38" s="18">
        <f t="shared" si="3"/>
        <v>23069514.987169411</v>
      </c>
      <c r="H38" s="24">
        <f t="shared" si="4"/>
        <v>0.35353109773545277</v>
      </c>
      <c r="J38" s="14">
        <v>11</v>
      </c>
      <c r="K38" s="101">
        <v>13586</v>
      </c>
      <c r="L38" s="18">
        <f t="shared" si="5"/>
        <v>8782.926506166139</v>
      </c>
      <c r="M38" s="18">
        <f t="shared" si="6"/>
        <v>4803.073493833861</v>
      </c>
      <c r="N38" s="18">
        <f t="shared" si="7"/>
        <v>23069514.987169411</v>
      </c>
      <c r="O38" s="24">
        <f t="shared" si="8"/>
        <v>0.35353109773545277</v>
      </c>
      <c r="Q38" s="14">
        <v>11</v>
      </c>
      <c r="R38" s="101">
        <v>13586</v>
      </c>
      <c r="S38" s="94">
        <f t="shared" si="16"/>
        <v>9145.2560583187515</v>
      </c>
      <c r="T38" s="18">
        <f t="shared" si="9"/>
        <v>4440.7439416812485</v>
      </c>
      <c r="U38" s="18">
        <f t="shared" si="10"/>
        <v>19720206.755578712</v>
      </c>
      <c r="V38" s="24">
        <f t="shared" si="11"/>
        <v>0.32686176517600829</v>
      </c>
      <c r="X38" s="14">
        <v>11</v>
      </c>
      <c r="Y38" s="101">
        <v>13586</v>
      </c>
      <c r="Z38" s="18">
        <f t="shared" si="12"/>
        <v>9185.9272983114442</v>
      </c>
      <c r="AA38" s="18">
        <f t="shared" si="13"/>
        <v>4400.0727016885558</v>
      </c>
      <c r="AB38" s="18">
        <f t="shared" si="14"/>
        <v>19360639.780144826</v>
      </c>
      <c r="AC38" s="24">
        <f t="shared" si="15"/>
        <v>0.32386815116211953</v>
      </c>
      <c r="AD38" s="24"/>
      <c r="AE38" s="14">
        <v>11</v>
      </c>
      <c r="AF38" s="101">
        <v>13586</v>
      </c>
      <c r="AG38" s="18">
        <f t="shared" si="17"/>
        <v>5804.833333333333</v>
      </c>
      <c r="AH38" s="18">
        <f t="shared" si="18"/>
        <v>7781.166666666667</v>
      </c>
      <c r="AI38" s="104">
        <f t="shared" si="20"/>
        <v>60546554.694444448</v>
      </c>
      <c r="AJ38" s="24">
        <f t="shared" si="19"/>
        <v>0.57273418715344226</v>
      </c>
      <c r="AK38" s="24"/>
      <c r="AL38" s="24"/>
    </row>
    <row r="39" spans="3:38" ht="14.25" customHeight="1">
      <c r="C39" s="14">
        <v>12</v>
      </c>
      <c r="D39" s="101">
        <v>10762</v>
      </c>
      <c r="E39" s="18">
        <f t="shared" si="1"/>
        <v>8758.7720484829824</v>
      </c>
      <c r="F39" s="18">
        <f t="shared" si="2"/>
        <v>2003.2279515170176</v>
      </c>
      <c r="G39" s="18">
        <f t="shared" si="3"/>
        <v>4012922.2257390665</v>
      </c>
      <c r="H39" s="24">
        <f t="shared" si="4"/>
        <v>0.18613900311438558</v>
      </c>
      <c r="J39" s="14">
        <v>12</v>
      </c>
      <c r="K39" s="101">
        <v>10762</v>
      </c>
      <c r="L39" s="18">
        <f t="shared" si="5"/>
        <v>8758.7720484829824</v>
      </c>
      <c r="M39" s="18">
        <f t="shared" si="6"/>
        <v>2003.2279515170176</v>
      </c>
      <c r="N39" s="18">
        <f t="shared" si="7"/>
        <v>4012922.2257390665</v>
      </c>
      <c r="O39" s="24">
        <f t="shared" si="8"/>
        <v>0.18613900311438558</v>
      </c>
      <c r="Q39" s="14">
        <v>12</v>
      </c>
      <c r="R39" s="101">
        <v>10762</v>
      </c>
      <c r="S39" s="94">
        <f t="shared" si="16"/>
        <v>9154.1375462021151</v>
      </c>
      <c r="T39" s="18">
        <f t="shared" si="9"/>
        <v>1607.8624537978849</v>
      </c>
      <c r="U39" s="18">
        <f t="shared" si="10"/>
        <v>2585221.6703329557</v>
      </c>
      <c r="V39" s="24">
        <f t="shared" si="11"/>
        <v>0.14940182622169532</v>
      </c>
      <c r="X39" s="14">
        <v>12</v>
      </c>
      <c r="Y39" s="101">
        <v>10762</v>
      </c>
      <c r="Z39" s="18">
        <f t="shared" si="12"/>
        <v>9151.0560037523446</v>
      </c>
      <c r="AA39" s="18">
        <f t="shared" si="13"/>
        <v>1610.9439962476554</v>
      </c>
      <c r="AB39" s="18">
        <f t="shared" si="14"/>
        <v>2595140.5590463658</v>
      </c>
      <c r="AC39" s="24">
        <f t="shared" si="15"/>
        <v>0.14968816170299715</v>
      </c>
      <c r="AD39" s="24"/>
      <c r="AE39" s="14">
        <v>12</v>
      </c>
      <c r="AF39" s="101">
        <v>10762</v>
      </c>
      <c r="AG39" s="18">
        <f t="shared" si="17"/>
        <v>10199.333333333332</v>
      </c>
      <c r="AH39" s="18">
        <f t="shared" si="18"/>
        <v>562.66666666666788</v>
      </c>
      <c r="AI39" s="104">
        <f t="shared" si="20"/>
        <v>316593.77777777915</v>
      </c>
      <c r="AJ39" s="24">
        <f t="shared" si="19"/>
        <v>5.2282723161742047E-2</v>
      </c>
      <c r="AK39" s="24"/>
      <c r="AL39" s="24"/>
    </row>
    <row r="40" spans="3:38" ht="14.25" customHeight="1">
      <c r="C40" s="14">
        <v>13</v>
      </c>
      <c r="D40" s="101">
        <v>14133</v>
      </c>
      <c r="E40" s="18">
        <f t="shared" si="1"/>
        <v>8734.6175907998313</v>
      </c>
      <c r="F40" s="18">
        <f t="shared" si="2"/>
        <v>5398.3824092001687</v>
      </c>
      <c r="G40" s="18">
        <f t="shared" si="3"/>
        <v>29142532.635961819</v>
      </c>
      <c r="H40" s="24">
        <f t="shared" si="4"/>
        <v>0.38197002824596116</v>
      </c>
      <c r="J40" s="14">
        <v>13</v>
      </c>
      <c r="K40" s="101">
        <v>14133</v>
      </c>
      <c r="L40" s="18">
        <f t="shared" si="5"/>
        <v>8734.6175907998313</v>
      </c>
      <c r="M40" s="18">
        <f t="shared" si="6"/>
        <v>5398.3824092001687</v>
      </c>
      <c r="N40" s="18">
        <f t="shared" si="7"/>
        <v>29142532.635961819</v>
      </c>
      <c r="O40" s="24">
        <f t="shared" si="8"/>
        <v>0.38197002824596116</v>
      </c>
      <c r="Q40" s="14">
        <v>13</v>
      </c>
      <c r="R40" s="101">
        <v>14133</v>
      </c>
      <c r="S40" s="94">
        <f t="shared" si="16"/>
        <v>9157.3532711097105</v>
      </c>
      <c r="T40" s="18">
        <f t="shared" si="9"/>
        <v>4975.6467288902895</v>
      </c>
      <c r="U40" s="18">
        <f t="shared" si="10"/>
        <v>24757060.370716639</v>
      </c>
      <c r="V40" s="24">
        <f t="shared" si="11"/>
        <v>0.35205877937382646</v>
      </c>
      <c r="X40" s="14">
        <v>13</v>
      </c>
      <c r="Y40" s="101">
        <v>14133</v>
      </c>
      <c r="Z40" s="18">
        <f t="shared" si="12"/>
        <v>9116.184709193245</v>
      </c>
      <c r="AA40" s="18">
        <f t="shared" si="13"/>
        <v>5016.815290806755</v>
      </c>
      <c r="AB40" s="18">
        <f t="shared" si="14"/>
        <v>25168435.662072465</v>
      </c>
      <c r="AC40" s="24">
        <f t="shared" si="15"/>
        <v>0.3549717180221294</v>
      </c>
      <c r="AD40" s="24"/>
      <c r="AE40" s="14">
        <v>13</v>
      </c>
      <c r="AF40" s="101">
        <v>14133</v>
      </c>
      <c r="AG40" s="18">
        <f t="shared" si="17"/>
        <v>11353.333333333332</v>
      </c>
      <c r="AH40" s="18">
        <f t="shared" si="18"/>
        <v>2779.6666666666679</v>
      </c>
      <c r="AI40" s="104">
        <f t="shared" si="20"/>
        <v>7726546.7777777845</v>
      </c>
      <c r="AJ40" s="24">
        <f t="shared" si="19"/>
        <v>0.19667916696148502</v>
      </c>
      <c r="AK40" s="24"/>
      <c r="AL40" s="24"/>
    </row>
    <row r="41" spans="3:38" ht="14.25" customHeight="1">
      <c r="C41" s="14">
        <v>14</v>
      </c>
      <c r="D41" s="101">
        <v>6048</v>
      </c>
      <c r="E41" s="18">
        <f t="shared" si="1"/>
        <v>8710.4631331166747</v>
      </c>
      <c r="F41" s="18">
        <f t="shared" si="2"/>
        <v>2662.4631331166747</v>
      </c>
      <c r="G41" s="18">
        <f t="shared" si="3"/>
        <v>7088709.9352054596</v>
      </c>
      <c r="H41" s="24">
        <f t="shared" si="4"/>
        <v>0.44022207888833909</v>
      </c>
      <c r="J41" s="14">
        <v>14</v>
      </c>
      <c r="K41" s="101">
        <v>6048</v>
      </c>
      <c r="L41" s="18">
        <f t="shared" si="5"/>
        <v>8710.4631331166747</v>
      </c>
      <c r="M41" s="18">
        <f t="shared" si="6"/>
        <v>2662.4631331166747</v>
      </c>
      <c r="N41" s="18">
        <f t="shared" si="7"/>
        <v>7088709.9352054596</v>
      </c>
      <c r="O41" s="24">
        <f t="shared" si="8"/>
        <v>0.44022207888833909</v>
      </c>
      <c r="Q41" s="14">
        <v>14</v>
      </c>
      <c r="R41" s="101">
        <v>6048</v>
      </c>
      <c r="S41" s="94">
        <f t="shared" si="16"/>
        <v>9167.3045645674902</v>
      </c>
      <c r="T41" s="18">
        <f t="shared" si="9"/>
        <v>3119.3045645674902</v>
      </c>
      <c r="U41" s="18">
        <f t="shared" si="10"/>
        <v>9730060.9665315803</v>
      </c>
      <c r="V41" s="24">
        <f t="shared" si="11"/>
        <v>0.51575802985573582</v>
      </c>
      <c r="X41" s="14">
        <v>14</v>
      </c>
      <c r="Y41" s="101">
        <v>6048</v>
      </c>
      <c r="Z41" s="18">
        <f t="shared" si="12"/>
        <v>9081.3134146341472</v>
      </c>
      <c r="AA41" s="18">
        <f t="shared" si="13"/>
        <v>3033.3134146341472</v>
      </c>
      <c r="AB41" s="18">
        <f t="shared" si="14"/>
        <v>9200990.27139947</v>
      </c>
      <c r="AC41" s="24">
        <f t="shared" si="15"/>
        <v>0.50153991644083118</v>
      </c>
      <c r="AD41" s="24"/>
      <c r="AE41" s="14">
        <v>14</v>
      </c>
      <c r="AF41" s="101">
        <v>6048</v>
      </c>
      <c r="AG41" s="18">
        <f t="shared" si="17"/>
        <v>12918.166666666666</v>
      </c>
      <c r="AH41" s="18">
        <f t="shared" si="18"/>
        <v>6870.1666666666661</v>
      </c>
      <c r="AI41" s="104">
        <f t="shared" si="20"/>
        <v>47199190.027777769</v>
      </c>
      <c r="AJ41" s="24">
        <f t="shared" si="19"/>
        <v>1.1359402557319223</v>
      </c>
      <c r="AK41" s="24"/>
      <c r="AL41" s="24"/>
    </row>
    <row r="42" spans="3:38" ht="14.25" customHeight="1">
      <c r="C42" s="14">
        <v>15</v>
      </c>
      <c r="D42" s="101">
        <v>16848</v>
      </c>
      <c r="E42" s="18">
        <f t="shared" si="1"/>
        <v>8686.3086754335236</v>
      </c>
      <c r="F42" s="18">
        <f t="shared" si="2"/>
        <v>8161.6913245664764</v>
      </c>
      <c r="G42" s="18">
        <f t="shared" si="3"/>
        <v>66613205.277503684</v>
      </c>
      <c r="H42" s="24">
        <f t="shared" si="4"/>
        <v>0.48443087159107767</v>
      </c>
      <c r="J42" s="14">
        <v>15</v>
      </c>
      <c r="K42" s="101">
        <v>16848</v>
      </c>
      <c r="L42" s="18">
        <f t="shared" si="5"/>
        <v>8686.3086754335236</v>
      </c>
      <c r="M42" s="18">
        <f t="shared" si="6"/>
        <v>8161.6913245664764</v>
      </c>
      <c r="N42" s="18">
        <f t="shared" si="7"/>
        <v>66613205.277503684</v>
      </c>
      <c r="O42" s="24">
        <f t="shared" si="8"/>
        <v>0.48443087159107767</v>
      </c>
      <c r="Q42" s="14">
        <v>15</v>
      </c>
      <c r="R42" s="101">
        <v>16848</v>
      </c>
      <c r="S42" s="94">
        <f t="shared" si="16"/>
        <v>9161.0659554383546</v>
      </c>
      <c r="T42" s="18">
        <f t="shared" si="9"/>
        <v>7686.9340445616454</v>
      </c>
      <c r="U42" s="18">
        <f t="shared" si="10"/>
        <v>59088955.005440854</v>
      </c>
      <c r="V42" s="24">
        <f t="shared" si="11"/>
        <v>0.45625202068860671</v>
      </c>
      <c r="X42" s="14">
        <v>15</v>
      </c>
      <c r="Y42" s="101">
        <v>16848</v>
      </c>
      <c r="Z42" s="18">
        <f t="shared" si="12"/>
        <v>9046.4421200750476</v>
      </c>
      <c r="AA42" s="18">
        <f t="shared" si="13"/>
        <v>7801.5578799249524</v>
      </c>
      <c r="AB42" s="18">
        <f t="shared" si="14"/>
        <v>60864305.353819117</v>
      </c>
      <c r="AC42" s="24">
        <f t="shared" si="15"/>
        <v>0.46305542972014202</v>
      </c>
      <c r="AD42" s="24"/>
      <c r="AE42" s="14">
        <v>15</v>
      </c>
      <c r="AF42" s="101">
        <v>16848</v>
      </c>
      <c r="AG42" s="18">
        <f t="shared" si="17"/>
        <v>9528.6666666666661</v>
      </c>
      <c r="AH42" s="18">
        <f t="shared" si="18"/>
        <v>7319.3333333333339</v>
      </c>
      <c r="AI42" s="104">
        <f t="shared" si="20"/>
        <v>53572640.444444455</v>
      </c>
      <c r="AJ42" s="24">
        <f t="shared" si="19"/>
        <v>0.4344333649889206</v>
      </c>
      <c r="AK42" s="24"/>
      <c r="AL42" s="24"/>
    </row>
    <row r="43" spans="3:38" ht="14.25" customHeight="1">
      <c r="C43" s="14">
        <v>16</v>
      </c>
      <c r="D43" s="101">
        <v>12588</v>
      </c>
      <c r="E43" s="18">
        <f t="shared" si="1"/>
        <v>8662.154217750367</v>
      </c>
      <c r="F43" s="18">
        <f t="shared" si="2"/>
        <v>3925.845782249633</v>
      </c>
      <c r="G43" s="18">
        <f t="shared" si="3"/>
        <v>15412265.106007233</v>
      </c>
      <c r="H43" s="24">
        <f t="shared" si="4"/>
        <v>0.31187208311484216</v>
      </c>
      <c r="J43" s="14">
        <v>16</v>
      </c>
      <c r="K43" s="101">
        <v>12588</v>
      </c>
      <c r="L43" s="18">
        <f t="shared" si="5"/>
        <v>8662.154217750367</v>
      </c>
      <c r="M43" s="18">
        <f t="shared" si="6"/>
        <v>3925.845782249633</v>
      </c>
      <c r="N43" s="18">
        <f t="shared" si="7"/>
        <v>15412265.106007233</v>
      </c>
      <c r="O43" s="24">
        <f t="shared" si="8"/>
        <v>0.31187208311484216</v>
      </c>
      <c r="Q43" s="14">
        <v>16</v>
      </c>
      <c r="R43" s="101">
        <v>12588</v>
      </c>
      <c r="S43" s="94">
        <f t="shared" si="16"/>
        <v>9176.4398235274784</v>
      </c>
      <c r="T43" s="18">
        <f t="shared" si="9"/>
        <v>3411.5601764725216</v>
      </c>
      <c r="U43" s="18">
        <f t="shared" si="10"/>
        <v>11638742.837693222</v>
      </c>
      <c r="V43" s="24">
        <f t="shared" si="11"/>
        <v>0.27101685545539572</v>
      </c>
      <c r="X43" s="14">
        <v>16</v>
      </c>
      <c r="Y43" s="101">
        <v>12588</v>
      </c>
      <c r="Z43" s="18">
        <f t="shared" si="12"/>
        <v>9011.5708255159479</v>
      </c>
      <c r="AA43" s="18">
        <f t="shared" si="13"/>
        <v>3576.4291744840521</v>
      </c>
      <c r="AB43" s="18">
        <f t="shared" si="14"/>
        <v>12790845.640100678</v>
      </c>
      <c r="AC43" s="24">
        <f t="shared" si="15"/>
        <v>0.28411417020051255</v>
      </c>
      <c r="AD43" s="24"/>
      <c r="AE43" s="14">
        <v>16</v>
      </c>
      <c r="AF43" s="101">
        <v>12588</v>
      </c>
      <c r="AG43" s="18">
        <f t="shared" si="17"/>
        <v>12795.5</v>
      </c>
      <c r="AH43" s="18">
        <f t="shared" si="18"/>
        <v>207.5</v>
      </c>
      <c r="AI43" s="104">
        <f t="shared" si="20"/>
        <v>43056.25</v>
      </c>
      <c r="AJ43" s="24">
        <f t="shared" si="19"/>
        <v>1.6483952971083571E-2</v>
      </c>
      <c r="AK43" s="24"/>
      <c r="AL43" s="24"/>
    </row>
    <row r="44" spans="3:38" ht="14.25" customHeight="1">
      <c r="C44" s="14">
        <v>17</v>
      </c>
      <c r="D44" s="101">
        <v>12281</v>
      </c>
      <c r="E44" s="18">
        <f t="shared" si="1"/>
        <v>8637.9997600672159</v>
      </c>
      <c r="F44" s="18">
        <f t="shared" si="2"/>
        <v>3643.0002399327841</v>
      </c>
      <c r="G44" s="18">
        <f t="shared" si="3"/>
        <v>13271450.748150323</v>
      </c>
      <c r="H44" s="24">
        <f t="shared" si="4"/>
        <v>0.29663710120778308</v>
      </c>
      <c r="J44" s="14">
        <v>17</v>
      </c>
      <c r="K44" s="101">
        <v>12281</v>
      </c>
      <c r="L44" s="18">
        <f t="shared" si="5"/>
        <v>8637.9997600672159</v>
      </c>
      <c r="M44" s="18">
        <f t="shared" si="6"/>
        <v>3643.0002399327841</v>
      </c>
      <c r="N44" s="18">
        <f t="shared" si="7"/>
        <v>13271450.748150323</v>
      </c>
      <c r="O44" s="24">
        <f t="shared" si="8"/>
        <v>0.29663710120778308</v>
      </c>
      <c r="Q44" s="14">
        <v>17</v>
      </c>
      <c r="R44" s="101">
        <v>12281</v>
      </c>
      <c r="S44" s="94">
        <f t="shared" si="16"/>
        <v>9183.2629438804233</v>
      </c>
      <c r="T44" s="18">
        <f t="shared" si="9"/>
        <v>3097.7370561195767</v>
      </c>
      <c r="U44" s="18">
        <f t="shared" si="10"/>
        <v>9595974.8688563816</v>
      </c>
      <c r="V44" s="24">
        <f t="shared" si="11"/>
        <v>0.25223817735685827</v>
      </c>
      <c r="X44" s="14">
        <v>17</v>
      </c>
      <c r="Y44" s="101">
        <v>12281</v>
      </c>
      <c r="Z44" s="18">
        <f t="shared" si="12"/>
        <v>8976.6995309568483</v>
      </c>
      <c r="AA44" s="18">
        <f t="shared" si="13"/>
        <v>3304.3004690431517</v>
      </c>
      <c r="AB44" s="18">
        <f t="shared" si="14"/>
        <v>10918401.589718793</v>
      </c>
      <c r="AC44" s="24">
        <f t="shared" si="15"/>
        <v>0.26905793250086735</v>
      </c>
      <c r="AD44" s="24"/>
      <c r="AE44" s="14">
        <v>17</v>
      </c>
      <c r="AF44" s="101">
        <v>12281</v>
      </c>
      <c r="AG44" s="18">
        <f t="shared" si="17"/>
        <v>12918</v>
      </c>
      <c r="AH44" s="18">
        <f t="shared" si="18"/>
        <v>637</v>
      </c>
      <c r="AI44" s="104">
        <f t="shared" si="20"/>
        <v>405769</v>
      </c>
      <c r="AJ44" s="24">
        <f t="shared" si="19"/>
        <v>5.1868740330591974E-2</v>
      </c>
      <c r="AK44" s="24"/>
      <c r="AL44" s="24"/>
    </row>
    <row r="45" spans="3:38" ht="14.25" customHeight="1">
      <c r="C45" s="14">
        <v>18</v>
      </c>
      <c r="D45" s="101">
        <v>11377</v>
      </c>
      <c r="E45" s="18">
        <f t="shared" si="1"/>
        <v>8613.8453023840593</v>
      </c>
      <c r="F45" s="18">
        <f t="shared" si="2"/>
        <v>2763.1546976159407</v>
      </c>
      <c r="G45" s="18">
        <f t="shared" si="3"/>
        <v>7635023.8829570403</v>
      </c>
      <c r="H45" s="24">
        <f t="shared" si="4"/>
        <v>0.24287199592299732</v>
      </c>
      <c r="J45" s="14">
        <v>18</v>
      </c>
      <c r="K45" s="101">
        <v>11377</v>
      </c>
      <c r="L45" s="18">
        <f t="shared" si="5"/>
        <v>8613.8453023840593</v>
      </c>
      <c r="M45" s="18">
        <f t="shared" si="6"/>
        <v>2763.1546976159407</v>
      </c>
      <c r="N45" s="18">
        <f t="shared" si="7"/>
        <v>7635023.8829570403</v>
      </c>
      <c r="O45" s="24">
        <f t="shared" si="8"/>
        <v>0.24287199592299732</v>
      </c>
      <c r="Q45" s="14">
        <v>18</v>
      </c>
      <c r="R45" s="101">
        <v>11377</v>
      </c>
      <c r="S45" s="94">
        <f t="shared" si="16"/>
        <v>9189.4584179926624</v>
      </c>
      <c r="T45" s="18">
        <f t="shared" si="9"/>
        <v>2187.5415820073376</v>
      </c>
      <c r="U45" s="18">
        <f t="shared" si="10"/>
        <v>4785338.1730111651</v>
      </c>
      <c r="V45" s="24">
        <f t="shared" si="11"/>
        <v>0.19227754082863124</v>
      </c>
      <c r="X45" s="14">
        <v>18</v>
      </c>
      <c r="Y45" s="101">
        <v>11377</v>
      </c>
      <c r="Z45" s="18">
        <f t="shared" si="12"/>
        <v>8941.8282363977487</v>
      </c>
      <c r="AA45" s="18">
        <f t="shared" si="13"/>
        <v>2435.1717636022513</v>
      </c>
      <c r="AB45" s="18">
        <f t="shared" si="14"/>
        <v>5930061.5182456989</v>
      </c>
      <c r="AC45" s="24">
        <f t="shared" si="15"/>
        <v>0.21404340015841183</v>
      </c>
      <c r="AD45" s="24"/>
      <c r="AE45" s="14">
        <v>18</v>
      </c>
      <c r="AF45" s="101">
        <v>11377</v>
      </c>
      <c r="AG45" s="18">
        <f t="shared" si="17"/>
        <v>13144.5</v>
      </c>
      <c r="AH45" s="18">
        <f t="shared" si="18"/>
        <v>1767.5</v>
      </c>
      <c r="AI45" s="104">
        <f t="shared" si="20"/>
        <v>3124056.25</v>
      </c>
      <c r="AJ45" s="24">
        <f t="shared" si="19"/>
        <v>0.15535729981541707</v>
      </c>
      <c r="AK45" s="24"/>
      <c r="AL45" s="24"/>
    </row>
    <row r="46" spans="3:38" ht="14.25" customHeight="1">
      <c r="C46" s="14">
        <v>19</v>
      </c>
      <c r="D46" s="101">
        <v>7792</v>
      </c>
      <c r="E46" s="18">
        <f t="shared" si="1"/>
        <v>8589.69084470091</v>
      </c>
      <c r="F46" s="18">
        <f t="shared" si="2"/>
        <v>797.69084470091002</v>
      </c>
      <c r="G46" s="18">
        <f t="shared" si="3"/>
        <v>636310.68371965131</v>
      </c>
      <c r="H46" s="24">
        <f t="shared" si="4"/>
        <v>0.10237305501808394</v>
      </c>
      <c r="J46" s="14">
        <v>19</v>
      </c>
      <c r="K46" s="101">
        <v>7792</v>
      </c>
      <c r="L46" s="18">
        <f t="shared" si="5"/>
        <v>8589.69084470091</v>
      </c>
      <c r="M46" s="18">
        <f t="shared" si="6"/>
        <v>797.69084470091002</v>
      </c>
      <c r="N46" s="18">
        <f t="shared" si="7"/>
        <v>636310.68371965131</v>
      </c>
      <c r="O46" s="24">
        <f t="shared" si="8"/>
        <v>0.10237305501808394</v>
      </c>
      <c r="Q46" s="14">
        <v>19</v>
      </c>
      <c r="R46" s="101">
        <v>7792</v>
      </c>
      <c r="S46" s="94">
        <f t="shared" si="16"/>
        <v>9193.8335011566778</v>
      </c>
      <c r="T46" s="18">
        <f t="shared" si="9"/>
        <v>1401.8335011566778</v>
      </c>
      <c r="U46" s="18">
        <f t="shared" si="10"/>
        <v>1965137.1649651895</v>
      </c>
      <c r="V46" s="24">
        <f t="shared" si="11"/>
        <v>0.17990676349546686</v>
      </c>
      <c r="X46" s="14">
        <v>19</v>
      </c>
      <c r="Y46" s="101">
        <v>7792</v>
      </c>
      <c r="Z46" s="18">
        <f t="shared" si="12"/>
        <v>8906.9569418386491</v>
      </c>
      <c r="AA46" s="18">
        <f t="shared" si="13"/>
        <v>1114.9569418386491</v>
      </c>
      <c r="AB46" s="18">
        <f t="shared" si="14"/>
        <v>1243128.9821541926</v>
      </c>
      <c r="AC46" s="24">
        <f t="shared" si="15"/>
        <v>0.14308995660146934</v>
      </c>
      <c r="AD46" s="24"/>
      <c r="AE46" s="14">
        <v>19</v>
      </c>
      <c r="AF46" s="101">
        <v>7792</v>
      </c>
      <c r="AG46" s="18">
        <f t="shared" si="17"/>
        <v>11880.166666666666</v>
      </c>
      <c r="AH46" s="18">
        <f t="shared" si="18"/>
        <v>4088.1666666666661</v>
      </c>
      <c r="AI46" s="104">
        <f t="shared" si="20"/>
        <v>16713106.69444444</v>
      </c>
      <c r="AJ46" s="24">
        <f t="shared" si="19"/>
        <v>0.52466204654346327</v>
      </c>
      <c r="AK46" s="24"/>
      <c r="AL46" s="24"/>
    </row>
    <row r="47" spans="3:38" ht="14.25" customHeight="1">
      <c r="C47" s="14">
        <v>20</v>
      </c>
      <c r="D47" s="101">
        <v>7507</v>
      </c>
      <c r="E47" s="18">
        <f t="shared" si="1"/>
        <v>8565.5363870177516</v>
      </c>
      <c r="F47" s="18">
        <f t="shared" si="2"/>
        <v>1058.5363870177516</v>
      </c>
      <c r="G47" s="18">
        <f t="shared" si="3"/>
        <v>1120499.2826405952</v>
      </c>
      <c r="H47" s="24">
        <f t="shared" si="4"/>
        <v>0.14100657879549108</v>
      </c>
      <c r="J47" s="14">
        <v>20</v>
      </c>
      <c r="K47" s="101">
        <v>7507</v>
      </c>
      <c r="L47" s="18">
        <f t="shared" si="5"/>
        <v>8565.5363870177516</v>
      </c>
      <c r="M47" s="18">
        <f t="shared" si="6"/>
        <v>1058.5363870177516</v>
      </c>
      <c r="N47" s="18">
        <f t="shared" si="7"/>
        <v>1120499.2826405952</v>
      </c>
      <c r="O47" s="24">
        <f t="shared" si="8"/>
        <v>0.14100657879549108</v>
      </c>
      <c r="Q47" s="14">
        <v>20</v>
      </c>
      <c r="R47" s="101">
        <v>7507</v>
      </c>
      <c r="S47" s="94">
        <f t="shared" si="16"/>
        <v>9191.0298341543657</v>
      </c>
      <c r="T47" s="18">
        <f t="shared" si="9"/>
        <v>1684.0298341543657</v>
      </c>
      <c r="U47" s="18">
        <f t="shared" si="10"/>
        <v>2835956.4823219804</v>
      </c>
      <c r="V47" s="24">
        <f t="shared" si="11"/>
        <v>0.22432793847800264</v>
      </c>
      <c r="X47" s="14">
        <v>20</v>
      </c>
      <c r="Y47" s="101">
        <v>7507</v>
      </c>
      <c r="Z47" s="18">
        <f t="shared" si="12"/>
        <v>8872.0856472795494</v>
      </c>
      <c r="AA47" s="18">
        <f t="shared" si="13"/>
        <v>1365.0856472795494</v>
      </c>
      <c r="AB47" s="18">
        <f t="shared" si="14"/>
        <v>1863458.8244086264</v>
      </c>
      <c r="AC47" s="24">
        <f t="shared" si="15"/>
        <v>0.18184170071660444</v>
      </c>
      <c r="AD47" s="24"/>
      <c r="AE47" s="14">
        <v>20</v>
      </c>
      <c r="AF47" s="101">
        <v>7507</v>
      </c>
      <c r="AG47" s="18">
        <f t="shared" si="17"/>
        <v>9735.1666666666661</v>
      </c>
      <c r="AH47" s="18">
        <f t="shared" si="18"/>
        <v>2228.1666666666661</v>
      </c>
      <c r="AI47" s="104">
        <f t="shared" si="20"/>
        <v>4964726.6944444422</v>
      </c>
      <c r="AJ47" s="24">
        <f t="shared" si="19"/>
        <v>0.29681186448203889</v>
      </c>
      <c r="AK47" s="24"/>
      <c r="AL47" s="24"/>
    </row>
    <row r="48" spans="3:38" ht="14.25" customHeight="1">
      <c r="C48" s="14">
        <v>21</v>
      </c>
      <c r="D48" s="101">
        <v>7411</v>
      </c>
      <c r="E48" s="18">
        <f t="shared" si="1"/>
        <v>8541.3819293346023</v>
      </c>
      <c r="F48" s="18">
        <f t="shared" si="2"/>
        <v>1130.3819293346023</v>
      </c>
      <c r="G48" s="18">
        <f t="shared" si="3"/>
        <v>1277763.3061662179</v>
      </c>
      <c r="H48" s="24">
        <f t="shared" si="4"/>
        <v>0.15252758458164922</v>
      </c>
      <c r="J48" s="14">
        <v>21</v>
      </c>
      <c r="K48" s="101">
        <v>7411</v>
      </c>
      <c r="L48" s="18">
        <f t="shared" si="5"/>
        <v>8541.3819293346023</v>
      </c>
      <c r="M48" s="18">
        <f t="shared" si="6"/>
        <v>1130.3819293346023</v>
      </c>
      <c r="N48" s="18">
        <f t="shared" si="7"/>
        <v>1277763.3061662179</v>
      </c>
      <c r="O48" s="24">
        <f t="shared" si="8"/>
        <v>0.15252758458164922</v>
      </c>
      <c r="Q48" s="14">
        <v>21</v>
      </c>
      <c r="R48" s="101">
        <v>7411</v>
      </c>
      <c r="S48" s="94">
        <f t="shared" si="16"/>
        <v>9187.6617744860559</v>
      </c>
      <c r="T48" s="18">
        <f t="shared" si="9"/>
        <v>1776.6617744860559</v>
      </c>
      <c r="U48" s="18">
        <f t="shared" si="10"/>
        <v>3156527.0609199409</v>
      </c>
      <c r="V48" s="24">
        <f t="shared" si="11"/>
        <v>0.23973306901714425</v>
      </c>
      <c r="X48" s="14">
        <v>21</v>
      </c>
      <c r="Y48" s="101">
        <v>7411</v>
      </c>
      <c r="Z48" s="18">
        <f t="shared" si="12"/>
        <v>8837.2143527204498</v>
      </c>
      <c r="AA48" s="18">
        <f t="shared" si="13"/>
        <v>1426.2143527204498</v>
      </c>
      <c r="AB48" s="18">
        <f t="shared" si="14"/>
        <v>2034087.3799058117</v>
      </c>
      <c r="AC48" s="24">
        <f t="shared" si="15"/>
        <v>0.19244560150053297</v>
      </c>
      <c r="AD48" s="24"/>
      <c r="AE48" s="14">
        <v>21</v>
      </c>
      <c r="AF48" s="101">
        <v>7411</v>
      </c>
      <c r="AG48" s="18">
        <f t="shared" si="17"/>
        <v>8247</v>
      </c>
      <c r="AH48" s="18">
        <f t="shared" si="18"/>
        <v>836</v>
      </c>
      <c r="AI48" s="104">
        <f t="shared" si="20"/>
        <v>698896</v>
      </c>
      <c r="AJ48" s="24">
        <f t="shared" si="19"/>
        <v>0.1128052894346242</v>
      </c>
      <c r="AK48" s="24"/>
      <c r="AL48" s="24"/>
    </row>
    <row r="49" spans="3:38" ht="14.25" customHeight="1">
      <c r="C49" s="14">
        <v>22</v>
      </c>
      <c r="D49" s="101">
        <v>12850</v>
      </c>
      <c r="E49" s="18">
        <f t="shared" si="1"/>
        <v>8517.2274716514439</v>
      </c>
      <c r="F49" s="18">
        <f t="shared" si="2"/>
        <v>4332.7725283485561</v>
      </c>
      <c r="G49" s="18">
        <f t="shared" si="3"/>
        <v>18772917.78241194</v>
      </c>
      <c r="H49" s="24">
        <f t="shared" si="4"/>
        <v>0.33718074150572419</v>
      </c>
      <c r="J49" s="14">
        <v>22</v>
      </c>
      <c r="K49" s="101">
        <v>12850</v>
      </c>
      <c r="L49" s="18">
        <f t="shared" si="5"/>
        <v>8517.2274716514439</v>
      </c>
      <c r="M49" s="18">
        <f t="shared" si="6"/>
        <v>4332.7725283485561</v>
      </c>
      <c r="N49" s="18">
        <f t="shared" si="7"/>
        <v>18772917.78241194</v>
      </c>
      <c r="O49" s="24">
        <f t="shared" si="8"/>
        <v>0.33718074150572419</v>
      </c>
      <c r="Q49" s="14">
        <v>22</v>
      </c>
      <c r="R49" s="101">
        <v>12850</v>
      </c>
      <c r="S49" s="94">
        <f t="shared" si="16"/>
        <v>9184.108450937083</v>
      </c>
      <c r="T49" s="18">
        <f t="shared" si="9"/>
        <v>3665.891549062917</v>
      </c>
      <c r="U49" s="18">
        <f t="shared" si="10"/>
        <v>13438760.849490913</v>
      </c>
      <c r="V49" s="24">
        <f t="shared" si="11"/>
        <v>0.28528338903213363</v>
      </c>
      <c r="X49" s="14">
        <v>22</v>
      </c>
      <c r="Y49" s="101">
        <v>12850</v>
      </c>
      <c r="Z49" s="18">
        <f t="shared" si="12"/>
        <v>8802.3430581613502</v>
      </c>
      <c r="AA49" s="18">
        <f t="shared" si="13"/>
        <v>4047.6569418386498</v>
      </c>
      <c r="AB49" s="18">
        <f t="shared" si="14"/>
        <v>16383526.718814611</v>
      </c>
      <c r="AC49" s="24">
        <f t="shared" si="15"/>
        <v>0.31499275811973926</v>
      </c>
      <c r="AD49" s="24"/>
      <c r="AE49" s="14">
        <v>22</v>
      </c>
      <c r="AF49" s="101">
        <v>12850</v>
      </c>
      <c r="AG49" s="18">
        <f t="shared" si="17"/>
        <v>7506.5</v>
      </c>
      <c r="AH49" s="18">
        <f t="shared" si="18"/>
        <v>5343.5</v>
      </c>
      <c r="AI49" s="104">
        <f t="shared" si="20"/>
        <v>28552992.25</v>
      </c>
      <c r="AJ49" s="24">
        <f t="shared" si="19"/>
        <v>0.41583657587548639</v>
      </c>
      <c r="AK49" s="24"/>
      <c r="AL49" s="24"/>
    </row>
    <row r="50" spans="3:38" ht="14.25" customHeight="1">
      <c r="C50" s="14">
        <v>23</v>
      </c>
      <c r="D50" s="101">
        <v>3357</v>
      </c>
      <c r="E50" s="18">
        <f t="shared" si="1"/>
        <v>8493.0730139682946</v>
      </c>
      <c r="F50" s="18">
        <f t="shared" si="2"/>
        <v>5136.0730139682946</v>
      </c>
      <c r="G50" s="18">
        <f t="shared" si="3"/>
        <v>26379246.004813362</v>
      </c>
      <c r="H50" s="24">
        <f t="shared" si="4"/>
        <v>1.5299591939137012</v>
      </c>
      <c r="J50" s="14">
        <v>23</v>
      </c>
      <c r="K50" s="101">
        <v>3357</v>
      </c>
      <c r="L50" s="18">
        <f t="shared" si="5"/>
        <v>8493.0730139682946</v>
      </c>
      <c r="M50" s="18">
        <f t="shared" si="6"/>
        <v>5136.0730139682946</v>
      </c>
      <c r="N50" s="18">
        <f t="shared" si="7"/>
        <v>26379246.004813362</v>
      </c>
      <c r="O50" s="24">
        <f t="shared" si="8"/>
        <v>1.5299591939137012</v>
      </c>
      <c r="Q50" s="14">
        <v>23</v>
      </c>
      <c r="R50" s="101">
        <v>3357</v>
      </c>
      <c r="S50" s="94">
        <f t="shared" si="16"/>
        <v>9191.4402340352099</v>
      </c>
      <c r="T50" s="18">
        <f t="shared" si="9"/>
        <v>5834.4402340352099</v>
      </c>
      <c r="U50" s="18">
        <f t="shared" si="10"/>
        <v>34040692.844528832</v>
      </c>
      <c r="V50" s="24">
        <f t="shared" si="11"/>
        <v>1.7379923247051563</v>
      </c>
      <c r="X50" s="14">
        <v>23</v>
      </c>
      <c r="Y50" s="101">
        <v>3357</v>
      </c>
      <c r="Z50" s="18">
        <f t="shared" si="12"/>
        <v>8767.4717636022506</v>
      </c>
      <c r="AA50" s="18">
        <f t="shared" si="13"/>
        <v>5410.4717636022506</v>
      </c>
      <c r="AB50" s="18">
        <f t="shared" si="14"/>
        <v>29273204.704737246</v>
      </c>
      <c r="AC50" s="24">
        <f t="shared" si="15"/>
        <v>1.6116984699440722</v>
      </c>
      <c r="AD50" s="24"/>
      <c r="AE50" s="14">
        <v>23</v>
      </c>
      <c r="AF50" s="101">
        <v>3357</v>
      </c>
      <c r="AG50" s="18">
        <f t="shared" si="17"/>
        <v>10146.5</v>
      </c>
      <c r="AH50" s="18">
        <f t="shared" si="18"/>
        <v>6789.5</v>
      </c>
      <c r="AI50" s="104">
        <f t="shared" si="20"/>
        <v>46097310.25</v>
      </c>
      <c r="AJ50" s="24">
        <f t="shared" si="19"/>
        <v>2.0224903187369674</v>
      </c>
      <c r="AK50" s="24"/>
      <c r="AL50" s="24"/>
    </row>
    <row r="51" spans="3:38" ht="14.25" customHeight="1">
      <c r="C51" s="14">
        <v>24</v>
      </c>
      <c r="D51" s="101">
        <v>2307</v>
      </c>
      <c r="E51" s="18">
        <f t="shared" si="1"/>
        <v>8468.9185562851362</v>
      </c>
      <c r="F51" s="18">
        <f t="shared" si="2"/>
        <v>6161.9185562851362</v>
      </c>
      <c r="G51" s="18">
        <f t="shared" si="3"/>
        <v>37969240.294291094</v>
      </c>
      <c r="H51" s="24">
        <f t="shared" si="4"/>
        <v>2.6709659975228157</v>
      </c>
      <c r="J51" s="14">
        <v>24</v>
      </c>
      <c r="K51" s="101">
        <v>2307</v>
      </c>
      <c r="L51" s="18">
        <f t="shared" si="5"/>
        <v>8468.9185562851362</v>
      </c>
      <c r="M51" s="18">
        <f t="shared" si="6"/>
        <v>6161.9185562851362</v>
      </c>
      <c r="N51" s="18">
        <f t="shared" si="7"/>
        <v>37969240.294291094</v>
      </c>
      <c r="O51" s="24">
        <f t="shared" si="8"/>
        <v>2.6709659975228157</v>
      </c>
      <c r="Q51" s="14">
        <v>24</v>
      </c>
      <c r="R51" s="101">
        <v>2307</v>
      </c>
      <c r="S51" s="94">
        <f t="shared" si="16"/>
        <v>9179.7713535671392</v>
      </c>
      <c r="T51" s="18">
        <f t="shared" si="9"/>
        <v>6872.7713535671392</v>
      </c>
      <c r="U51" s="18">
        <f t="shared" si="10"/>
        <v>47234986.078413084</v>
      </c>
      <c r="V51" s="24">
        <f t="shared" si="11"/>
        <v>2.9790946482735756</v>
      </c>
      <c r="X51" s="14">
        <v>24</v>
      </c>
      <c r="Y51" s="101">
        <v>2307</v>
      </c>
      <c r="Z51" s="18">
        <f t="shared" si="12"/>
        <v>8732.6004690431528</v>
      </c>
      <c r="AA51" s="18">
        <f t="shared" si="13"/>
        <v>6425.6004690431528</v>
      </c>
      <c r="AB51" s="18">
        <f t="shared" si="14"/>
        <v>41288341.387767583</v>
      </c>
      <c r="AC51" s="24">
        <f t="shared" si="15"/>
        <v>2.7852624486532953</v>
      </c>
      <c r="AD51" s="24"/>
      <c r="AE51" s="14">
        <v>24</v>
      </c>
      <c r="AF51" s="101">
        <v>2307</v>
      </c>
      <c r="AG51" s="18">
        <f t="shared" si="17"/>
        <v>7197</v>
      </c>
      <c r="AH51" s="18">
        <f t="shared" si="18"/>
        <v>4890</v>
      </c>
      <c r="AI51" s="104">
        <f t="shared" si="20"/>
        <v>23912100</v>
      </c>
      <c r="AJ51" s="24">
        <f t="shared" si="19"/>
        <v>2.1196358907672304</v>
      </c>
      <c r="AK51" s="24"/>
      <c r="AL51" s="24"/>
    </row>
    <row r="52" spans="3:38" ht="14.25" customHeight="1">
      <c r="C52" s="14">
        <v>25</v>
      </c>
      <c r="D52" s="101">
        <v>3900</v>
      </c>
      <c r="E52" s="18">
        <f t="shared" si="1"/>
        <v>8444.7640986019869</v>
      </c>
      <c r="F52" s="18">
        <f t="shared" si="2"/>
        <v>4544.7640986019869</v>
      </c>
      <c r="G52" s="18">
        <f t="shared" si="3"/>
        <v>20654880.711941529</v>
      </c>
      <c r="H52" s="24">
        <f t="shared" si="4"/>
        <v>1.1653241278466633</v>
      </c>
      <c r="J52" s="14">
        <v>25</v>
      </c>
      <c r="K52" s="101">
        <v>3900</v>
      </c>
      <c r="L52" s="18">
        <f t="shared" si="5"/>
        <v>8444.7640986019869</v>
      </c>
      <c r="M52" s="18">
        <f t="shared" si="6"/>
        <v>4544.7640986019869</v>
      </c>
      <c r="N52" s="18">
        <f t="shared" si="7"/>
        <v>20654880.711941529</v>
      </c>
      <c r="O52" s="24">
        <f t="shared" si="8"/>
        <v>1.1653241278466633</v>
      </c>
      <c r="Q52" s="14">
        <v>25</v>
      </c>
      <c r="R52" s="101">
        <v>3900</v>
      </c>
      <c r="S52" s="94">
        <f t="shared" si="16"/>
        <v>9166.0258108600046</v>
      </c>
      <c r="T52" s="18">
        <f t="shared" si="9"/>
        <v>5266.0258108600046</v>
      </c>
      <c r="U52" s="18">
        <f t="shared" si="10"/>
        <v>27731027.840643771</v>
      </c>
      <c r="V52" s="24">
        <f t="shared" si="11"/>
        <v>1.3502630284256423</v>
      </c>
      <c r="X52" s="14">
        <v>25</v>
      </c>
      <c r="Y52" s="101">
        <v>3900</v>
      </c>
      <c r="Z52" s="18">
        <f t="shared" si="12"/>
        <v>8697.7291744840531</v>
      </c>
      <c r="AA52" s="18">
        <f t="shared" si="13"/>
        <v>4797.7291744840531</v>
      </c>
      <c r="AB52" s="18">
        <f t="shared" si="14"/>
        <v>23018205.231695436</v>
      </c>
      <c r="AC52" s="24">
        <f t="shared" si="15"/>
        <v>1.2301869678164239</v>
      </c>
      <c r="AD52" s="24"/>
      <c r="AE52" s="14">
        <v>25</v>
      </c>
      <c r="AF52" s="101">
        <v>3900</v>
      </c>
      <c r="AG52" s="18">
        <f t="shared" si="17"/>
        <v>4414.1666666666661</v>
      </c>
      <c r="AH52" s="18">
        <f t="shared" si="18"/>
        <v>514.16666666666606</v>
      </c>
      <c r="AI52" s="104">
        <f t="shared" si="20"/>
        <v>264367.36111111048</v>
      </c>
      <c r="AJ52" s="24">
        <f t="shared" si="19"/>
        <v>0.13183760683760667</v>
      </c>
      <c r="AK52" s="24"/>
      <c r="AL52" s="24"/>
    </row>
    <row r="53" spans="3:38" ht="14.25" customHeight="1">
      <c r="C53" s="14">
        <v>26</v>
      </c>
      <c r="D53" s="101">
        <v>3307</v>
      </c>
      <c r="E53" s="18">
        <f t="shared" si="1"/>
        <v>8420.6096409188303</v>
      </c>
      <c r="F53" s="18">
        <f t="shared" si="2"/>
        <v>5113.6096409188303</v>
      </c>
      <c r="G53" s="18">
        <f t="shared" si="3"/>
        <v>26149003.559698008</v>
      </c>
      <c r="H53" s="24">
        <f t="shared" si="4"/>
        <v>1.5462986516234745</v>
      </c>
      <c r="J53" s="14">
        <v>26</v>
      </c>
      <c r="K53" s="101">
        <v>3307</v>
      </c>
      <c r="L53" s="18">
        <f t="shared" si="5"/>
        <v>8420.6096409188303</v>
      </c>
      <c r="M53" s="18">
        <f t="shared" si="6"/>
        <v>5113.6096409188303</v>
      </c>
      <c r="N53" s="18">
        <f t="shared" si="7"/>
        <v>26149003.559698008</v>
      </c>
      <c r="O53" s="24">
        <f t="shared" si="8"/>
        <v>1.5462986516234745</v>
      </c>
      <c r="Q53" s="14">
        <v>26</v>
      </c>
      <c r="R53" s="101">
        <v>3307</v>
      </c>
      <c r="S53" s="94">
        <f t="shared" si="16"/>
        <v>9155.493759238283</v>
      </c>
      <c r="T53" s="18">
        <f t="shared" si="9"/>
        <v>5848.493759238283</v>
      </c>
      <c r="U53" s="18">
        <f t="shared" si="10"/>
        <v>34204879.251849145</v>
      </c>
      <c r="V53" s="24">
        <f t="shared" si="11"/>
        <v>1.7685194312785857</v>
      </c>
      <c r="X53" s="14">
        <v>26</v>
      </c>
      <c r="Y53" s="101">
        <v>3307</v>
      </c>
      <c r="Z53" s="18">
        <f t="shared" si="12"/>
        <v>8662.8578799249535</v>
      </c>
      <c r="AA53" s="18">
        <f t="shared" si="13"/>
        <v>5355.8578799249535</v>
      </c>
      <c r="AB53" s="18">
        <f t="shared" si="14"/>
        <v>28685213.629954219</v>
      </c>
      <c r="AC53" s="24">
        <f t="shared" si="15"/>
        <v>1.6195518233822055</v>
      </c>
      <c r="AD53" s="24"/>
      <c r="AE53" s="14">
        <v>26</v>
      </c>
      <c r="AF53" s="101">
        <v>3307</v>
      </c>
      <c r="AG53" s="18">
        <f t="shared" si="17"/>
        <v>3278.5</v>
      </c>
      <c r="AH53" s="18">
        <f t="shared" si="18"/>
        <v>28.5</v>
      </c>
      <c r="AI53" s="104">
        <f t="shared" si="20"/>
        <v>812.25</v>
      </c>
      <c r="AJ53" s="24">
        <f t="shared" si="19"/>
        <v>8.6180828545509517E-3</v>
      </c>
      <c r="AK53" s="24"/>
      <c r="AL53" s="24"/>
    </row>
    <row r="54" spans="3:38" ht="14.25" customHeight="1">
      <c r="C54" s="14">
        <v>27</v>
      </c>
      <c r="D54" s="101">
        <v>17813</v>
      </c>
      <c r="E54" s="18">
        <f t="shared" si="1"/>
        <v>8396.4551832356792</v>
      </c>
      <c r="F54" s="18">
        <f t="shared" si="2"/>
        <v>9416.5448167643208</v>
      </c>
      <c r="G54" s="18">
        <f t="shared" si="3"/>
        <v>88671316.286130995</v>
      </c>
      <c r="H54" s="24">
        <f t="shared" si="4"/>
        <v>0.52863329123473424</v>
      </c>
      <c r="J54" s="14">
        <v>27</v>
      </c>
      <c r="K54" s="101">
        <v>17813</v>
      </c>
      <c r="L54" s="18">
        <f t="shared" si="5"/>
        <v>8396.4551832356792</v>
      </c>
      <c r="M54" s="18">
        <f t="shared" si="6"/>
        <v>9416.5448167643208</v>
      </c>
      <c r="N54" s="18">
        <f t="shared" si="7"/>
        <v>88671316.286130995</v>
      </c>
      <c r="O54" s="24">
        <f t="shared" si="8"/>
        <v>0.52863329123473424</v>
      </c>
      <c r="Q54" s="14">
        <v>27</v>
      </c>
      <c r="R54" s="101">
        <v>17813</v>
      </c>
      <c r="S54" s="94">
        <f t="shared" si="16"/>
        <v>9143.7967717198062</v>
      </c>
      <c r="T54" s="18">
        <f t="shared" si="9"/>
        <v>8669.2032282801938</v>
      </c>
      <c r="U54" s="18">
        <f t="shared" si="10"/>
        <v>75155084.613223732</v>
      </c>
      <c r="V54" s="24">
        <f t="shared" si="11"/>
        <v>0.48667844991187298</v>
      </c>
      <c r="X54" s="14">
        <v>27</v>
      </c>
      <c r="Y54" s="101">
        <v>17813</v>
      </c>
      <c r="Z54" s="18">
        <f t="shared" si="12"/>
        <v>8627.9865853658539</v>
      </c>
      <c r="AA54" s="18">
        <f t="shared" si="13"/>
        <v>9185.0134146341461</v>
      </c>
      <c r="AB54" s="18">
        <f t="shared" si="14"/>
        <v>84364471.42700921</v>
      </c>
      <c r="AC54" s="24">
        <f t="shared" si="15"/>
        <v>0.51563540193309076</v>
      </c>
      <c r="AD54" s="24"/>
      <c r="AE54" s="14">
        <v>27</v>
      </c>
      <c r="AF54" s="101">
        <v>17813</v>
      </c>
      <c r="AG54" s="18">
        <f t="shared" si="17"/>
        <v>3338</v>
      </c>
      <c r="AH54" s="18">
        <f t="shared" si="18"/>
        <v>14475</v>
      </c>
      <c r="AI54" s="104">
        <f t="shared" si="20"/>
        <v>209525625</v>
      </c>
      <c r="AJ54" s="24">
        <f t="shared" si="19"/>
        <v>0.81260876887666311</v>
      </c>
      <c r="AK54" s="24"/>
      <c r="AL54" s="24"/>
    </row>
    <row r="55" spans="3:38" ht="14.25" customHeight="1">
      <c r="C55" s="14">
        <v>28</v>
      </c>
      <c r="D55" s="101">
        <v>12630</v>
      </c>
      <c r="E55" s="18">
        <f t="shared" si="1"/>
        <v>8372.3007255525226</v>
      </c>
      <c r="F55" s="18">
        <f t="shared" si="2"/>
        <v>4257.6992744474774</v>
      </c>
      <c r="G55" s="18">
        <f t="shared" si="3"/>
        <v>18128003.111630574</v>
      </c>
      <c r="H55" s="24">
        <f t="shared" si="4"/>
        <v>0.33710999797683905</v>
      </c>
      <c r="J55" s="14">
        <v>28</v>
      </c>
      <c r="K55" s="101">
        <v>12630</v>
      </c>
      <c r="L55" s="18">
        <f t="shared" si="5"/>
        <v>8372.3007255525226</v>
      </c>
      <c r="M55" s="18">
        <f t="shared" si="6"/>
        <v>4257.6992744474774</v>
      </c>
      <c r="N55" s="18">
        <f t="shared" si="7"/>
        <v>18128003.111630574</v>
      </c>
      <c r="O55" s="24">
        <f t="shared" si="8"/>
        <v>0.33710999797683905</v>
      </c>
      <c r="Q55" s="14">
        <v>28</v>
      </c>
      <c r="R55" s="101">
        <v>12630</v>
      </c>
      <c r="S55" s="94">
        <f t="shared" si="16"/>
        <v>9161.135178176366</v>
      </c>
      <c r="T55" s="18">
        <f t="shared" si="9"/>
        <v>3468.864821823634</v>
      </c>
      <c r="U55" s="18">
        <f t="shared" si="10"/>
        <v>12033023.152085511</v>
      </c>
      <c r="V55" s="24">
        <f t="shared" si="11"/>
        <v>0.27465279666062026</v>
      </c>
      <c r="X55" s="14">
        <v>28</v>
      </c>
      <c r="Y55" s="101">
        <v>12630</v>
      </c>
      <c r="Z55" s="18">
        <f t="shared" si="12"/>
        <v>8593.1152908067543</v>
      </c>
      <c r="AA55" s="18">
        <f t="shared" si="13"/>
        <v>4036.8847091932457</v>
      </c>
      <c r="AB55" s="18">
        <f t="shared" si="14"/>
        <v>16296438.155318236</v>
      </c>
      <c r="AC55" s="24">
        <f t="shared" si="15"/>
        <v>0.31962665947689989</v>
      </c>
      <c r="AD55" s="24"/>
      <c r="AE55" s="14">
        <v>28</v>
      </c>
      <c r="AF55" s="101">
        <v>12630</v>
      </c>
      <c r="AG55" s="18">
        <f t="shared" si="17"/>
        <v>10658.833333333332</v>
      </c>
      <c r="AH55" s="18">
        <f t="shared" si="18"/>
        <v>1971.1666666666679</v>
      </c>
      <c r="AI55" s="104">
        <f t="shared" si="20"/>
        <v>3885498.0277777826</v>
      </c>
      <c r="AJ55" s="24">
        <f t="shared" si="19"/>
        <v>0.15607020321984702</v>
      </c>
      <c r="AK55" s="24"/>
      <c r="AL55" s="24"/>
    </row>
    <row r="56" spans="3:38" ht="14.25" customHeight="1">
      <c r="C56" s="14">
        <v>29</v>
      </c>
      <c r="D56" s="101">
        <v>7171</v>
      </c>
      <c r="E56" s="18">
        <f t="shared" si="1"/>
        <v>8348.1462678693715</v>
      </c>
      <c r="F56" s="18">
        <f t="shared" si="2"/>
        <v>1177.1462678693715</v>
      </c>
      <c r="G56" s="18">
        <f t="shared" si="3"/>
        <v>1385673.3359587903</v>
      </c>
      <c r="H56" s="24">
        <f t="shared" si="4"/>
        <v>0.16415371187691696</v>
      </c>
      <c r="J56" s="14">
        <v>29</v>
      </c>
      <c r="K56" s="101">
        <v>7171</v>
      </c>
      <c r="L56" s="18">
        <f t="shared" si="5"/>
        <v>8348.1462678693715</v>
      </c>
      <c r="M56" s="18">
        <f t="shared" si="6"/>
        <v>1177.1462678693715</v>
      </c>
      <c r="N56" s="18">
        <f t="shared" si="7"/>
        <v>1385673.3359587903</v>
      </c>
      <c r="O56" s="24">
        <f t="shared" si="8"/>
        <v>0.16415371187691696</v>
      </c>
      <c r="Q56" s="14">
        <v>29</v>
      </c>
      <c r="R56" s="101">
        <v>7171</v>
      </c>
      <c r="S56" s="94">
        <f t="shared" si="16"/>
        <v>9168.0729078200129</v>
      </c>
      <c r="T56" s="18">
        <f t="shared" si="9"/>
        <v>1997.0729078200129</v>
      </c>
      <c r="U56" s="18">
        <f t="shared" si="10"/>
        <v>3988300.1991486819</v>
      </c>
      <c r="V56" s="24">
        <f t="shared" si="11"/>
        <v>0.27849294489192761</v>
      </c>
      <c r="X56" s="14">
        <v>29</v>
      </c>
      <c r="Y56" s="101">
        <v>7171</v>
      </c>
      <c r="Z56" s="18">
        <f t="shared" si="12"/>
        <v>8558.2439962476546</v>
      </c>
      <c r="AA56" s="18">
        <f t="shared" si="13"/>
        <v>1387.2439962476546</v>
      </c>
      <c r="AB56" s="18">
        <f t="shared" si="14"/>
        <v>1924445.9051251628</v>
      </c>
      <c r="AC56" s="24">
        <f t="shared" si="15"/>
        <v>0.19345195875716842</v>
      </c>
      <c r="AD56" s="24"/>
      <c r="AE56" s="14">
        <v>29</v>
      </c>
      <c r="AF56" s="101">
        <v>7171</v>
      </c>
      <c r="AG56" s="18">
        <f t="shared" si="17"/>
        <v>12803.833333333332</v>
      </c>
      <c r="AH56" s="18">
        <f t="shared" si="18"/>
        <v>5632.8333333333321</v>
      </c>
      <c r="AI56" s="104">
        <f t="shared" si="20"/>
        <v>31728811.361111097</v>
      </c>
      <c r="AJ56" s="24">
        <f t="shared" si="19"/>
        <v>0.78550178961558115</v>
      </c>
      <c r="AK56" s="24"/>
      <c r="AL56" s="24"/>
    </row>
    <row r="57" spans="3:38" ht="14.25" customHeight="1">
      <c r="C57" s="14">
        <v>30</v>
      </c>
      <c r="D57" s="101">
        <v>2440</v>
      </c>
      <c r="E57" s="18">
        <f t="shared" si="1"/>
        <v>8323.9918101862149</v>
      </c>
      <c r="F57" s="18">
        <f t="shared" si="2"/>
        <v>5883.9918101862149</v>
      </c>
      <c r="G57" s="18">
        <f t="shared" si="3"/>
        <v>34621359.622338451</v>
      </c>
      <c r="H57" s="24">
        <f t="shared" si="4"/>
        <v>2.411472053355006</v>
      </c>
      <c r="J57" s="14">
        <v>30</v>
      </c>
      <c r="K57" s="101">
        <v>2440</v>
      </c>
      <c r="L57" s="18">
        <f t="shared" si="5"/>
        <v>8323.9918101862149</v>
      </c>
      <c r="M57" s="18">
        <f t="shared" si="6"/>
        <v>5883.9918101862149</v>
      </c>
      <c r="N57" s="18">
        <f t="shared" si="7"/>
        <v>34621359.622338451</v>
      </c>
      <c r="O57" s="24">
        <f t="shared" si="8"/>
        <v>2.411472053355006</v>
      </c>
      <c r="Q57" s="14">
        <v>30</v>
      </c>
      <c r="R57" s="101">
        <v>2440</v>
      </c>
      <c r="S57" s="94">
        <f t="shared" si="16"/>
        <v>9164.0787620043739</v>
      </c>
      <c r="T57" s="18">
        <f t="shared" si="9"/>
        <v>6724.0787620043739</v>
      </c>
      <c r="U57" s="18">
        <f t="shared" si="10"/>
        <v>45213235.197638273</v>
      </c>
      <c r="V57" s="24">
        <f t="shared" si="11"/>
        <v>2.7557699844280221</v>
      </c>
      <c r="X57" s="14">
        <v>30</v>
      </c>
      <c r="Y57" s="101">
        <v>2440</v>
      </c>
      <c r="Z57" s="18">
        <f t="shared" si="12"/>
        <v>8523.372701688555</v>
      </c>
      <c r="AA57" s="18">
        <f t="shared" si="13"/>
        <v>6083.372701688555</v>
      </c>
      <c r="AB57" s="18">
        <f t="shared" si="14"/>
        <v>37007423.427649505</v>
      </c>
      <c r="AC57" s="24">
        <f t="shared" si="15"/>
        <v>2.4931855334789161</v>
      </c>
      <c r="AD57" s="24"/>
      <c r="AE57" s="14">
        <v>30</v>
      </c>
      <c r="AF57" s="101">
        <v>2440</v>
      </c>
      <c r="AG57" s="18">
        <f t="shared" si="17"/>
        <v>10764.333333333332</v>
      </c>
      <c r="AH57" s="18">
        <f t="shared" si="18"/>
        <v>8324.3333333333321</v>
      </c>
      <c r="AI57" s="104">
        <f t="shared" si="20"/>
        <v>69294525.444444418</v>
      </c>
      <c r="AJ57" s="24">
        <f t="shared" si="19"/>
        <v>3.4116120218579229</v>
      </c>
      <c r="AK57" s="24"/>
      <c r="AL57" s="24"/>
    </row>
    <row r="58" spans="3:38" ht="14.25" customHeight="1">
      <c r="C58" s="14">
        <v>31</v>
      </c>
      <c r="D58" s="101">
        <v>8747</v>
      </c>
      <c r="E58" s="18">
        <f t="shared" si="1"/>
        <v>8299.8373525030638</v>
      </c>
      <c r="F58" s="18">
        <f t="shared" si="2"/>
        <v>447.16264749693619</v>
      </c>
      <c r="G58" s="18">
        <f t="shared" si="3"/>
        <v>199954.43331646922</v>
      </c>
      <c r="H58" s="24">
        <f t="shared" si="4"/>
        <v>5.1121830055668935E-2</v>
      </c>
      <c r="J58" s="14">
        <v>31</v>
      </c>
      <c r="K58" s="101">
        <v>8747</v>
      </c>
      <c r="L58" s="18">
        <f t="shared" si="5"/>
        <v>8299.8373525030638</v>
      </c>
      <c r="M58" s="18">
        <f t="shared" si="6"/>
        <v>447.16264749693619</v>
      </c>
      <c r="N58" s="18">
        <f t="shared" si="7"/>
        <v>199954.43331646922</v>
      </c>
      <c r="O58" s="24">
        <f t="shared" si="8"/>
        <v>5.1121830055668935E-2</v>
      </c>
      <c r="Q58" s="14">
        <v>31</v>
      </c>
      <c r="R58" s="101">
        <v>8747</v>
      </c>
      <c r="S58" s="94">
        <f t="shared" si="16"/>
        <v>9150.6306044803641</v>
      </c>
      <c r="T58" s="18">
        <f t="shared" si="9"/>
        <v>403.63060448036413</v>
      </c>
      <c r="U58" s="18">
        <f t="shared" si="10"/>
        <v>162917.66487318414</v>
      </c>
      <c r="V58" s="24">
        <f t="shared" si="11"/>
        <v>4.6145033094816983E-2</v>
      </c>
      <c r="X58" s="14">
        <v>31</v>
      </c>
      <c r="Y58" s="101">
        <v>8747</v>
      </c>
      <c r="Z58" s="18">
        <f t="shared" si="12"/>
        <v>8488.5014071294554</v>
      </c>
      <c r="AA58" s="18">
        <f t="shared" si="13"/>
        <v>258.4985928705446</v>
      </c>
      <c r="AB58" s="18">
        <f t="shared" si="14"/>
        <v>66821.522516051569</v>
      </c>
      <c r="AC58" s="24">
        <f t="shared" si="15"/>
        <v>2.9552828726482749E-2</v>
      </c>
      <c r="AD58" s="24"/>
      <c r="AE58" s="14">
        <v>31</v>
      </c>
      <c r="AF58" s="101">
        <v>8747</v>
      </c>
      <c r="AG58" s="18">
        <f t="shared" si="17"/>
        <v>5715.333333333333</v>
      </c>
      <c r="AH58" s="18">
        <f t="shared" si="18"/>
        <v>3031.666666666667</v>
      </c>
      <c r="AI58" s="104">
        <f t="shared" si="20"/>
        <v>9191002.7777777798</v>
      </c>
      <c r="AJ58" s="24">
        <f t="shared" si="19"/>
        <v>0.34659502305552381</v>
      </c>
      <c r="AK58" s="24"/>
      <c r="AL58" s="24"/>
    </row>
    <row r="59" spans="3:38" ht="14.25" customHeight="1">
      <c r="C59" s="14">
        <v>32</v>
      </c>
      <c r="D59" s="101">
        <v>8610</v>
      </c>
      <c r="E59" s="18">
        <f t="shared" si="1"/>
        <v>8275.6828948199072</v>
      </c>
      <c r="F59" s="18">
        <f t="shared" si="2"/>
        <v>334.31710518009277</v>
      </c>
      <c r="G59" s="18">
        <f t="shared" si="3"/>
        <v>111767.92681599721</v>
      </c>
      <c r="H59" s="24">
        <f t="shared" si="4"/>
        <v>3.882893207666583E-2</v>
      </c>
      <c r="J59" s="14">
        <v>32</v>
      </c>
      <c r="K59" s="101">
        <v>8610</v>
      </c>
      <c r="L59" s="18">
        <f t="shared" si="5"/>
        <v>8275.6828948199072</v>
      </c>
      <c r="M59" s="18">
        <f t="shared" si="6"/>
        <v>334.31710518009277</v>
      </c>
      <c r="N59" s="18">
        <f t="shared" si="7"/>
        <v>111767.92681599721</v>
      </c>
      <c r="O59" s="24">
        <f t="shared" si="8"/>
        <v>3.882893207666583E-2</v>
      </c>
      <c r="Q59" s="14">
        <v>32</v>
      </c>
      <c r="R59" s="101">
        <v>8610</v>
      </c>
      <c r="S59" s="94">
        <f t="shared" si="16"/>
        <v>9149.8233432714042</v>
      </c>
      <c r="T59" s="18">
        <f t="shared" si="9"/>
        <v>539.82334327140416</v>
      </c>
      <c r="U59" s="18">
        <f t="shared" si="10"/>
        <v>291409.24194071622</v>
      </c>
      <c r="V59" s="24">
        <f t="shared" si="11"/>
        <v>6.2697252412474355E-2</v>
      </c>
      <c r="X59" s="14">
        <v>32</v>
      </c>
      <c r="Y59" s="101">
        <v>8610</v>
      </c>
      <c r="Z59" s="18">
        <f t="shared" si="12"/>
        <v>8453.6301125703576</v>
      </c>
      <c r="AA59" s="18">
        <f t="shared" si="13"/>
        <v>156.3698874296424</v>
      </c>
      <c r="AB59" s="18">
        <f t="shared" si="14"/>
        <v>24451.541694759038</v>
      </c>
      <c r="AC59" s="24">
        <f t="shared" si="15"/>
        <v>1.8161427111456727E-2</v>
      </c>
      <c r="AD59" s="24"/>
      <c r="AE59" s="14">
        <v>32</v>
      </c>
      <c r="AF59" s="101">
        <v>8610</v>
      </c>
      <c r="AG59" s="18">
        <f t="shared" si="17"/>
        <v>6382</v>
      </c>
      <c r="AH59" s="18">
        <f t="shared" si="18"/>
        <v>2228</v>
      </c>
      <c r="AI59" s="104">
        <f t="shared" si="20"/>
        <v>4963984</v>
      </c>
      <c r="AJ59" s="24">
        <f t="shared" si="19"/>
        <v>0.25876887340301974</v>
      </c>
      <c r="AK59" s="24"/>
      <c r="AL59" s="24"/>
    </row>
    <row r="60" spans="3:38" ht="14.25" customHeight="1">
      <c r="C60" s="14">
        <v>33</v>
      </c>
      <c r="D60" s="101">
        <v>2979</v>
      </c>
      <c r="E60" s="18">
        <f t="shared" si="1"/>
        <v>8251.5284371367579</v>
      </c>
      <c r="F60" s="18">
        <f t="shared" si="2"/>
        <v>5272.5284371367579</v>
      </c>
      <c r="G60" s="18">
        <f t="shared" si="3"/>
        <v>27799556.120415784</v>
      </c>
      <c r="H60" s="24">
        <f t="shared" si="4"/>
        <v>1.7698987704386566</v>
      </c>
      <c r="J60" s="14">
        <v>33</v>
      </c>
      <c r="K60" s="101">
        <v>2979</v>
      </c>
      <c r="L60" s="18">
        <f t="shared" si="5"/>
        <v>8251.5284371367579</v>
      </c>
      <c r="M60" s="18">
        <f t="shared" si="6"/>
        <v>5272.5284371367579</v>
      </c>
      <c r="N60" s="18">
        <f t="shared" si="7"/>
        <v>27799556.120415784</v>
      </c>
      <c r="O60" s="24">
        <f t="shared" si="8"/>
        <v>1.7698987704386566</v>
      </c>
      <c r="Q60" s="14">
        <v>33</v>
      </c>
      <c r="R60" s="101">
        <v>2979</v>
      </c>
      <c r="S60" s="94">
        <f t="shared" si="16"/>
        <v>9148.743696584861</v>
      </c>
      <c r="T60" s="18">
        <f t="shared" si="9"/>
        <v>6169.743696584861</v>
      </c>
      <c r="U60" s="18">
        <f t="shared" si="10"/>
        <v>38065737.281548627</v>
      </c>
      <c r="V60" s="24">
        <f t="shared" si="11"/>
        <v>2.0710787836807185</v>
      </c>
      <c r="X60" s="14">
        <v>33</v>
      </c>
      <c r="Y60" s="101">
        <v>2979</v>
      </c>
      <c r="Z60" s="18">
        <f t="shared" si="12"/>
        <v>8418.758818011258</v>
      </c>
      <c r="AA60" s="18">
        <f t="shared" si="13"/>
        <v>5439.758818011258</v>
      </c>
      <c r="AB60" s="18">
        <f t="shared" si="14"/>
        <v>29590975.998131238</v>
      </c>
      <c r="AC60" s="24">
        <f t="shared" si="15"/>
        <v>1.8260351856365418</v>
      </c>
      <c r="AD60" s="24"/>
      <c r="AE60" s="14">
        <v>33</v>
      </c>
      <c r="AF60" s="101">
        <v>2979</v>
      </c>
      <c r="AG60" s="18">
        <f t="shared" si="17"/>
        <v>7627.333333333333</v>
      </c>
      <c r="AH60" s="18">
        <f t="shared" si="18"/>
        <v>4648.333333333333</v>
      </c>
      <c r="AI60" s="104">
        <f t="shared" si="20"/>
        <v>21607002.777777776</v>
      </c>
      <c r="AJ60" s="24">
        <f t="shared" si="19"/>
        <v>1.5603670135392189</v>
      </c>
      <c r="AK60" s="24"/>
      <c r="AL60" s="24"/>
    </row>
    <row r="61" spans="3:38" ht="14.25" customHeight="1">
      <c r="C61" s="14">
        <v>34</v>
      </c>
      <c r="D61" s="101">
        <v>8117</v>
      </c>
      <c r="E61" s="18">
        <f t="shared" si="1"/>
        <v>8227.3739794535995</v>
      </c>
      <c r="F61" s="18">
        <f t="shared" si="2"/>
        <v>110.37397945359953</v>
      </c>
      <c r="G61" s="18">
        <f t="shared" si="3"/>
        <v>12182.415340423611</v>
      </c>
      <c r="H61" s="24">
        <f t="shared" si="4"/>
        <v>1.359787845923365E-2</v>
      </c>
      <c r="J61" s="14">
        <v>34</v>
      </c>
      <c r="K61" s="101">
        <v>8117</v>
      </c>
      <c r="L61" s="18">
        <f t="shared" si="5"/>
        <v>8227.3739794535995</v>
      </c>
      <c r="M61" s="18">
        <f t="shared" si="6"/>
        <v>110.37397945359953</v>
      </c>
      <c r="N61" s="18">
        <f t="shared" si="7"/>
        <v>12182.415340423611</v>
      </c>
      <c r="O61" s="24">
        <f t="shared" si="8"/>
        <v>1.359787845923365E-2</v>
      </c>
      <c r="Q61" s="14">
        <v>34</v>
      </c>
      <c r="R61" s="101">
        <v>8117</v>
      </c>
      <c r="S61" s="94">
        <f t="shared" si="16"/>
        <v>9136.4042091916926</v>
      </c>
      <c r="T61" s="18">
        <f t="shared" si="9"/>
        <v>1019.4042091916926</v>
      </c>
      <c r="U61" s="18">
        <f t="shared" si="10"/>
        <v>1039184.9417177403</v>
      </c>
      <c r="V61" s="24">
        <f t="shared" si="11"/>
        <v>0.12558879009383919</v>
      </c>
      <c r="X61" s="14">
        <v>34</v>
      </c>
      <c r="Y61" s="101">
        <v>8117</v>
      </c>
      <c r="Z61" s="18">
        <f t="shared" si="12"/>
        <v>8383.8875234521583</v>
      </c>
      <c r="AA61" s="18">
        <f t="shared" si="13"/>
        <v>266.88752345215835</v>
      </c>
      <c r="AB61" s="18">
        <f t="shared" si="14"/>
        <v>71228.950174426369</v>
      </c>
      <c r="AC61" s="24">
        <f t="shared" si="15"/>
        <v>3.2880069416306314E-2</v>
      </c>
      <c r="AD61" s="24"/>
      <c r="AE61" s="14">
        <v>34</v>
      </c>
      <c r="AF61" s="101">
        <v>8117</v>
      </c>
      <c r="AG61" s="18">
        <f t="shared" si="17"/>
        <v>5817.333333333333</v>
      </c>
      <c r="AH61" s="18">
        <f t="shared" si="18"/>
        <v>2299.666666666667</v>
      </c>
      <c r="AI61" s="104">
        <f t="shared" si="20"/>
        <v>5288466.7777777789</v>
      </c>
      <c r="AJ61" s="24">
        <f t="shared" si="19"/>
        <v>0.28331485359944153</v>
      </c>
      <c r="AK61" s="24"/>
      <c r="AL61" s="24"/>
    </row>
    <row r="62" spans="3:38" ht="14.25" customHeight="1">
      <c r="C62" s="14">
        <v>35</v>
      </c>
      <c r="D62" s="101">
        <v>9278</v>
      </c>
      <c r="E62" s="18">
        <f t="shared" si="1"/>
        <v>8203.2195217704502</v>
      </c>
      <c r="F62" s="18">
        <f t="shared" si="2"/>
        <v>1074.7804782295498</v>
      </c>
      <c r="G62" s="18">
        <f t="shared" si="3"/>
        <v>1155153.0763833397</v>
      </c>
      <c r="H62" s="24">
        <f t="shared" si="4"/>
        <v>0.11584182778934574</v>
      </c>
      <c r="J62" s="14">
        <v>35</v>
      </c>
      <c r="K62" s="101">
        <v>9278</v>
      </c>
      <c r="L62" s="18">
        <f t="shared" si="5"/>
        <v>8203.2195217704502</v>
      </c>
      <c r="M62" s="18">
        <f t="shared" si="6"/>
        <v>1074.7804782295498</v>
      </c>
      <c r="N62" s="18">
        <f t="shared" si="7"/>
        <v>1155153.0763833397</v>
      </c>
      <c r="O62" s="24">
        <f t="shared" si="8"/>
        <v>0.11584182778934574</v>
      </c>
      <c r="Q62" s="14">
        <v>35</v>
      </c>
      <c r="R62" s="101">
        <v>9278</v>
      </c>
      <c r="S62" s="94">
        <f t="shared" si="16"/>
        <v>9134.3654007733094</v>
      </c>
      <c r="T62" s="18">
        <f t="shared" si="9"/>
        <v>143.63459922669063</v>
      </c>
      <c r="U62" s="18">
        <f t="shared" si="10"/>
        <v>20630.898095012035</v>
      </c>
      <c r="V62" s="24">
        <f t="shared" si="11"/>
        <v>1.5481202762092113E-2</v>
      </c>
      <c r="X62" s="14">
        <v>35</v>
      </c>
      <c r="Y62" s="101">
        <v>9278</v>
      </c>
      <c r="Z62" s="18">
        <f t="shared" si="12"/>
        <v>8349.0162288930587</v>
      </c>
      <c r="AA62" s="18">
        <f t="shared" si="13"/>
        <v>928.98377110694128</v>
      </c>
      <c r="AB62" s="18">
        <f t="shared" si="14"/>
        <v>863010.84698007384</v>
      </c>
      <c r="AC62" s="24">
        <f t="shared" si="15"/>
        <v>0.10012758903933404</v>
      </c>
      <c r="AD62" s="14"/>
      <c r="AE62" s="14">
        <v>35</v>
      </c>
      <c r="AF62" s="101">
        <v>9278</v>
      </c>
      <c r="AG62" s="18">
        <f t="shared" si="17"/>
        <v>6486.5</v>
      </c>
      <c r="AH62" s="18">
        <f t="shared" si="18"/>
        <v>2791.5</v>
      </c>
      <c r="AI62" s="104">
        <f t="shared" si="20"/>
        <v>7792472.25</v>
      </c>
      <c r="AJ62" s="24">
        <f t="shared" si="19"/>
        <v>0.30087303298124596</v>
      </c>
      <c r="AK62" s="14"/>
      <c r="AL62" s="14"/>
    </row>
    <row r="63" spans="3:38" ht="14.25" customHeight="1">
      <c r="C63" s="14">
        <v>36</v>
      </c>
      <c r="D63" s="101">
        <v>11408</v>
      </c>
      <c r="E63" s="18">
        <f t="shared" si="1"/>
        <v>8179.0650640872918</v>
      </c>
      <c r="F63" s="18">
        <f t="shared" si="2"/>
        <v>3228.9349359127082</v>
      </c>
      <c r="G63" s="18">
        <f t="shared" si="3"/>
        <v>10426020.820357604</v>
      </c>
      <c r="H63" s="24">
        <f t="shared" si="4"/>
        <v>0.28304128119851929</v>
      </c>
      <c r="J63" s="14">
        <v>36</v>
      </c>
      <c r="K63" s="101">
        <v>11408</v>
      </c>
      <c r="L63" s="18">
        <f t="shared" si="5"/>
        <v>8179.0650640872918</v>
      </c>
      <c r="M63" s="18">
        <f t="shared" si="6"/>
        <v>3228.9349359127082</v>
      </c>
      <c r="N63" s="18">
        <f t="shared" si="7"/>
        <v>10426020.820357604</v>
      </c>
      <c r="O63" s="24">
        <f t="shared" si="8"/>
        <v>0.28304128119851929</v>
      </c>
      <c r="Q63" s="95">
        <v>36</v>
      </c>
      <c r="R63" s="101">
        <v>11408</v>
      </c>
      <c r="S63" s="94">
        <f t="shared" si="16"/>
        <v>9134.6526699717633</v>
      </c>
      <c r="T63" s="18">
        <f t="shared" si="9"/>
        <v>2273.3473300282367</v>
      </c>
      <c r="U63" s="18">
        <f t="shared" si="10"/>
        <v>5168108.0829465128</v>
      </c>
      <c r="V63" s="24">
        <f t="shared" si="11"/>
        <v>0.19927658923809929</v>
      </c>
      <c r="X63" s="14">
        <v>36</v>
      </c>
      <c r="Y63" s="101">
        <v>11408</v>
      </c>
      <c r="Z63" s="18">
        <f t="shared" si="12"/>
        <v>8314.1449343339591</v>
      </c>
      <c r="AA63" s="18">
        <f t="shared" si="13"/>
        <v>3093.8550656660409</v>
      </c>
      <c r="AB63" s="18">
        <f t="shared" si="14"/>
        <v>9571939.1673474219</v>
      </c>
      <c r="AC63" s="24">
        <f t="shared" si="15"/>
        <v>0.2712004791081733</v>
      </c>
      <c r="AD63" s="14"/>
      <c r="AE63" s="95">
        <v>36</v>
      </c>
      <c r="AF63" s="101">
        <v>11408</v>
      </c>
      <c r="AG63" s="18">
        <f t="shared" si="17"/>
        <v>7841.1666666666661</v>
      </c>
      <c r="AH63" s="18">
        <f t="shared" si="18"/>
        <v>3566.8333333333339</v>
      </c>
      <c r="AI63" s="104">
        <f t="shared" si="20"/>
        <v>12722300.027777782</v>
      </c>
      <c r="AJ63" s="24">
        <f t="shared" si="19"/>
        <v>0.31266070593735396</v>
      </c>
      <c r="AK63" s="14"/>
      <c r="AL63" s="14"/>
    </row>
    <row r="64" spans="3:38" ht="14.25" customHeight="1">
      <c r="C64" s="14">
        <v>37</v>
      </c>
      <c r="D64" s="101">
        <v>12547</v>
      </c>
      <c r="E64" s="18">
        <f t="shared" si="1"/>
        <v>8154.9106064041425</v>
      </c>
      <c r="F64" s="18">
        <f t="shared" si="2"/>
        <v>4392.0893935958575</v>
      </c>
      <c r="G64" s="18">
        <f t="shared" si="3"/>
        <v>19290449.241337229</v>
      </c>
      <c r="H64" s="24">
        <f t="shared" si="4"/>
        <v>0.35005095987852536</v>
      </c>
      <c r="J64" s="14">
        <v>37</v>
      </c>
      <c r="K64" s="101">
        <v>12547</v>
      </c>
      <c r="L64" s="18">
        <f t="shared" si="5"/>
        <v>8154.9106064041425</v>
      </c>
      <c r="M64" s="18">
        <f t="shared" si="6"/>
        <v>4392.0893935958575</v>
      </c>
      <c r="N64" s="18">
        <f t="shared" si="7"/>
        <v>19290449.241337229</v>
      </c>
      <c r="O64" s="24">
        <f t="shared" si="8"/>
        <v>0.35005095987852536</v>
      </c>
      <c r="Q64" s="95">
        <v>37</v>
      </c>
      <c r="R64" s="101">
        <v>12547</v>
      </c>
      <c r="S64" s="94">
        <f t="shared" si="16"/>
        <v>9139.1993646318206</v>
      </c>
      <c r="T64" s="18">
        <f t="shared" si="9"/>
        <v>3407.8006353681794</v>
      </c>
      <c r="U64" s="18">
        <f t="shared" si="10"/>
        <v>11613105.170415767</v>
      </c>
      <c r="V64" s="24">
        <f t="shared" si="11"/>
        <v>0.27160282421042314</v>
      </c>
      <c r="X64" s="14">
        <v>37</v>
      </c>
      <c r="Y64" s="101">
        <v>12547</v>
      </c>
      <c r="Z64" s="18">
        <f t="shared" si="12"/>
        <v>8279.2736397748595</v>
      </c>
      <c r="AA64" s="18">
        <f t="shared" si="13"/>
        <v>4267.7263602251405</v>
      </c>
      <c r="AB64" s="18">
        <f t="shared" si="14"/>
        <v>18213488.285760526</v>
      </c>
      <c r="AC64" s="24">
        <f t="shared" si="15"/>
        <v>0.34013918548060418</v>
      </c>
      <c r="AD64" s="14"/>
      <c r="AE64" s="95">
        <v>37</v>
      </c>
      <c r="AF64" s="101">
        <v>12547</v>
      </c>
      <c r="AG64" s="18">
        <f t="shared" si="17"/>
        <v>10149.5</v>
      </c>
      <c r="AH64" s="18">
        <f t="shared" si="18"/>
        <v>2397.5</v>
      </c>
      <c r="AI64" s="104">
        <f t="shared" si="20"/>
        <v>5748006.25</v>
      </c>
      <c r="AJ64" s="24">
        <f t="shared" si="19"/>
        <v>0.19108153343428708</v>
      </c>
      <c r="AK64" s="14"/>
      <c r="AL64" s="14"/>
    </row>
    <row r="65" spans="3:38" ht="14.25" customHeight="1">
      <c r="C65" s="14">
        <v>38</v>
      </c>
      <c r="D65" s="101">
        <v>2798</v>
      </c>
      <c r="E65" s="18">
        <f t="shared" si="1"/>
        <v>8130.756148720985</v>
      </c>
      <c r="F65" s="18">
        <f t="shared" si="2"/>
        <v>5332.756148720985</v>
      </c>
      <c r="G65" s="18">
        <f t="shared" si="3"/>
        <v>28438288.141721472</v>
      </c>
      <c r="H65" s="24">
        <f t="shared" si="4"/>
        <v>1.9059171367837688</v>
      </c>
      <c r="J65" s="14">
        <v>38</v>
      </c>
      <c r="K65" s="101">
        <v>2798</v>
      </c>
      <c r="L65" s="18">
        <f t="shared" si="5"/>
        <v>8130.756148720985</v>
      </c>
      <c r="M65" s="18">
        <f t="shared" si="6"/>
        <v>5332.756148720985</v>
      </c>
      <c r="N65" s="18">
        <f t="shared" si="7"/>
        <v>28438288.141721472</v>
      </c>
      <c r="O65" s="24">
        <f t="shared" si="8"/>
        <v>1.9059171367837688</v>
      </c>
      <c r="Q65" s="95">
        <v>38</v>
      </c>
      <c r="R65" s="101">
        <v>2798</v>
      </c>
      <c r="S65" s="94">
        <f t="shared" si="16"/>
        <v>9146.0149659025556</v>
      </c>
      <c r="T65" s="18">
        <f t="shared" si="9"/>
        <v>6348.0149659025556</v>
      </c>
      <c r="U65" s="18">
        <f t="shared" si="10"/>
        <v>40297294.007322825</v>
      </c>
      <c r="V65" s="24">
        <f t="shared" si="11"/>
        <v>2.2687687512160672</v>
      </c>
      <c r="X65" s="14">
        <v>38</v>
      </c>
      <c r="Y65" s="101">
        <v>2798</v>
      </c>
      <c r="Z65" s="18">
        <f t="shared" si="12"/>
        <v>8244.4023452157599</v>
      </c>
      <c r="AA65" s="18">
        <f t="shared" si="13"/>
        <v>5446.4023452157599</v>
      </c>
      <c r="AB65" s="18">
        <f t="shared" si="14"/>
        <v>29663298.50597173</v>
      </c>
      <c r="AC65" s="24">
        <f t="shared" si="15"/>
        <v>1.9465340762029164</v>
      </c>
      <c r="AD65" s="14"/>
      <c r="AE65" s="95">
        <v>38</v>
      </c>
      <c r="AF65" s="101">
        <v>2798</v>
      </c>
      <c r="AG65" s="18">
        <f t="shared" si="17"/>
        <v>11622.5</v>
      </c>
      <c r="AH65" s="18">
        <f t="shared" si="18"/>
        <v>8824.5</v>
      </c>
      <c r="AI65" s="104">
        <f t="shared" si="20"/>
        <v>77871800.25</v>
      </c>
      <c r="AJ65" s="24">
        <f t="shared" si="19"/>
        <v>3.1538598999285203</v>
      </c>
      <c r="AK65" s="14"/>
      <c r="AL65" s="14"/>
    </row>
    <row r="66" spans="3:38" ht="14.25" customHeight="1">
      <c r="C66" s="14">
        <v>39</v>
      </c>
      <c r="D66" s="101">
        <v>7782</v>
      </c>
      <c r="E66" s="18">
        <f t="shared" si="1"/>
        <v>8106.6016910378348</v>
      </c>
      <c r="F66" s="18">
        <f t="shared" si="2"/>
        <v>324.60169103783483</v>
      </c>
      <c r="G66" s="18">
        <f t="shared" si="3"/>
        <v>105366.25782462198</v>
      </c>
      <c r="H66" s="24">
        <f t="shared" si="4"/>
        <v>4.1711859552535958E-2</v>
      </c>
      <c r="J66" s="14">
        <v>39</v>
      </c>
      <c r="K66" s="101">
        <v>7782</v>
      </c>
      <c r="L66" s="18">
        <f t="shared" si="5"/>
        <v>8106.6016910378348</v>
      </c>
      <c r="M66" s="18">
        <f t="shared" si="6"/>
        <v>324.60169103783483</v>
      </c>
      <c r="N66" s="18">
        <f t="shared" si="7"/>
        <v>105366.25782462198</v>
      </c>
      <c r="O66" s="24">
        <f t="shared" si="8"/>
        <v>4.1711859552535958E-2</v>
      </c>
      <c r="Q66" s="95">
        <v>39</v>
      </c>
      <c r="R66" s="6">
        <v>7782</v>
      </c>
      <c r="S66" s="94">
        <f t="shared" si="16"/>
        <v>9133.3189359707503</v>
      </c>
      <c r="T66" s="18">
        <f t="shared" si="9"/>
        <v>1351.3189359707503</v>
      </c>
      <c r="U66" s="18">
        <f t="shared" si="10"/>
        <v>1826062.8667131208</v>
      </c>
      <c r="V66" s="24">
        <f t="shared" si="11"/>
        <v>0.17364674067987027</v>
      </c>
      <c r="X66" s="14">
        <v>39</v>
      </c>
      <c r="Y66" s="6">
        <v>7782</v>
      </c>
      <c r="Z66" s="18">
        <f t="shared" si="12"/>
        <v>8209.5310506566602</v>
      </c>
      <c r="AA66" s="18">
        <f t="shared" si="13"/>
        <v>427.53105065666023</v>
      </c>
      <c r="AB66" s="18">
        <f t="shared" si="14"/>
        <v>182782.79927558778</v>
      </c>
      <c r="AC66" s="24">
        <f t="shared" si="15"/>
        <v>5.4938454209285559E-2</v>
      </c>
      <c r="AD66" s="14"/>
      <c r="AE66" s="95">
        <v>39</v>
      </c>
      <c r="AF66" s="6">
        <v>7782</v>
      </c>
      <c r="AG66" s="18">
        <f t="shared" si="17"/>
        <v>7482.6666666666661</v>
      </c>
      <c r="AH66" s="18">
        <f t="shared" si="18"/>
        <v>299.33333333333394</v>
      </c>
      <c r="AI66" s="104">
        <f t="shared" si="20"/>
        <v>89600.444444444802</v>
      </c>
      <c r="AJ66" s="24">
        <f t="shared" si="19"/>
        <v>3.8464833376167303E-2</v>
      </c>
      <c r="AK66" s="14"/>
      <c r="AL66" s="14"/>
    </row>
    <row r="67" spans="3:38" ht="14.25" customHeight="1">
      <c r="C67" s="14">
        <v>40</v>
      </c>
      <c r="D67" s="101">
        <v>13099</v>
      </c>
      <c r="E67" s="18">
        <f t="shared" si="1"/>
        <v>8082.4472333546773</v>
      </c>
      <c r="F67" s="18">
        <f t="shared" si="2"/>
        <v>5016.5527666453227</v>
      </c>
      <c r="G67" s="18">
        <f t="shared" si="3"/>
        <v>25165801.660536841</v>
      </c>
      <c r="H67" s="24">
        <f>F67/D67</f>
        <v>0.38297219380451353</v>
      </c>
      <c r="J67" s="14">
        <v>40</v>
      </c>
      <c r="K67" s="101">
        <v>13099</v>
      </c>
      <c r="L67" s="18">
        <f t="shared" si="5"/>
        <v>8082.4472333546773</v>
      </c>
      <c r="M67" s="18">
        <f t="shared" si="6"/>
        <v>5016.5527666453227</v>
      </c>
      <c r="N67" s="18">
        <f t="shared" si="7"/>
        <v>25165801.660536841</v>
      </c>
      <c r="O67" s="24">
        <f t="shared" si="8"/>
        <v>0.38297219380451353</v>
      </c>
      <c r="Q67" s="92">
        <v>40</v>
      </c>
      <c r="R67" s="100">
        <v>13099</v>
      </c>
      <c r="S67" s="94">
        <f t="shared" si="16"/>
        <v>9130.6162980988083</v>
      </c>
      <c r="T67" s="18">
        <f t="shared" si="9"/>
        <v>3968.3837019011917</v>
      </c>
      <c r="U67" s="18">
        <f t="shared" si="10"/>
        <v>15748069.205515007</v>
      </c>
      <c r="V67" s="24">
        <f t="shared" si="11"/>
        <v>0.30295317977717318</v>
      </c>
      <c r="X67" s="14">
        <v>40</v>
      </c>
      <c r="Y67" s="100">
        <v>13099</v>
      </c>
      <c r="Z67" s="18">
        <f t="shared" si="12"/>
        <v>8174.6597560975615</v>
      </c>
      <c r="AA67" s="18">
        <f t="shared" si="13"/>
        <v>4924.3402439024385</v>
      </c>
      <c r="AB67" s="18">
        <f t="shared" si="14"/>
        <v>24249126.837717127</v>
      </c>
      <c r="AC67" s="24">
        <f t="shared" si="15"/>
        <v>0.37593253255228937</v>
      </c>
      <c r="AD67" s="14"/>
      <c r="AE67" s="95">
        <v>40</v>
      </c>
      <c r="AF67" s="100">
        <v>13099</v>
      </c>
      <c r="AG67" s="18">
        <f t="shared" si="17"/>
        <v>6914.833333333333</v>
      </c>
      <c r="AH67" s="18">
        <f t="shared" si="18"/>
        <v>6184.166666666667</v>
      </c>
      <c r="AI67" s="104">
        <f t="shared" si="20"/>
        <v>38243917.361111112</v>
      </c>
      <c r="AJ67" s="24">
        <f t="shared" si="19"/>
        <v>0.47210983026694153</v>
      </c>
      <c r="AK67" s="14"/>
      <c r="AL67" s="14"/>
    </row>
    <row r="68" spans="3:38" ht="14.25" customHeight="1">
      <c r="C68" s="14">
        <v>41</v>
      </c>
      <c r="D68" s="102"/>
      <c r="E68" s="18">
        <f t="shared" si="1"/>
        <v>8058.2927756715271</v>
      </c>
      <c r="F68" s="14"/>
      <c r="G68" s="14"/>
      <c r="H68" s="14"/>
      <c r="J68" s="14">
        <v>41</v>
      </c>
      <c r="K68" s="93"/>
      <c r="L68" s="18">
        <f>_xlfn.FORECAST.ETS(J68,$K$28:$K$67,$J$28:$J$67,0)</f>
        <v>8058.2927756715271</v>
      </c>
      <c r="M68" s="14"/>
      <c r="N68" s="14"/>
      <c r="O68" s="14"/>
      <c r="Q68" s="14"/>
      <c r="R68" s="14"/>
      <c r="S68" s="94">
        <f t="shared" si="16"/>
        <v>9138.5530655026105</v>
      </c>
      <c r="T68" s="14"/>
      <c r="U68" s="14"/>
      <c r="V68" s="14"/>
      <c r="X68" s="14">
        <v>41</v>
      </c>
      <c r="Y68" s="14"/>
      <c r="Z68" s="18">
        <f>$Z$21+$Z$20*X68</f>
        <v>8139.7884615384619</v>
      </c>
      <c r="AA68" s="14"/>
      <c r="AB68" s="14"/>
      <c r="AC68" s="14"/>
      <c r="AD68" s="14"/>
      <c r="AE68" s="14"/>
      <c r="AF68" s="14"/>
      <c r="AG68" s="18">
        <f>(1/6)*(AF65*$AG$20+AF66*$AG$21+AF67*$AG$22)</f>
        <v>9609.8333333333321</v>
      </c>
      <c r="AH68" s="14"/>
      <c r="AI68" s="14"/>
      <c r="AJ68" s="14"/>
      <c r="AK68" s="14"/>
      <c r="AL68" s="14"/>
    </row>
    <row r="69" spans="3:38" ht="14.25" customHeight="1">
      <c r="C69" s="14">
        <v>42</v>
      </c>
      <c r="D69" s="102"/>
      <c r="E69" s="18">
        <f t="shared" si="1"/>
        <v>8034.1383179883696</v>
      </c>
      <c r="F69" s="14"/>
      <c r="G69" s="14"/>
      <c r="H69" s="14"/>
      <c r="J69" s="14">
        <v>42</v>
      </c>
      <c r="K69" s="14"/>
      <c r="L69" s="18">
        <f t="shared" si="5"/>
        <v>8034.1383179883696</v>
      </c>
      <c r="M69" s="14"/>
      <c r="N69" s="14"/>
      <c r="O69" s="14"/>
      <c r="Q69" s="14"/>
      <c r="R69" s="14"/>
      <c r="S69" s="18"/>
      <c r="T69" s="14"/>
      <c r="U69" s="14"/>
      <c r="V69" s="14"/>
      <c r="X69" s="14">
        <v>42</v>
      </c>
      <c r="Y69" s="14"/>
      <c r="Z69" s="18"/>
      <c r="AA69" s="14"/>
      <c r="AB69" s="14"/>
      <c r="AC69" s="14"/>
      <c r="AD69" s="14"/>
      <c r="AE69" s="14"/>
      <c r="AF69" s="14"/>
      <c r="AG69" s="18"/>
      <c r="AH69" s="14"/>
      <c r="AI69" s="14"/>
      <c r="AJ69" s="14"/>
      <c r="AK69" s="14"/>
      <c r="AL69" s="14"/>
    </row>
    <row r="70" spans="3:38" ht="14.25" customHeight="1">
      <c r="C70" s="14">
        <v>43</v>
      </c>
      <c r="D70" s="102"/>
      <c r="E70" s="18">
        <f t="shared" si="1"/>
        <v>8009.9838603052194</v>
      </c>
      <c r="F70" s="14"/>
      <c r="G70" s="14"/>
      <c r="H70" s="14"/>
      <c r="J70" s="14">
        <v>43</v>
      </c>
      <c r="K70" s="14"/>
      <c r="L70" s="18">
        <f t="shared" si="5"/>
        <v>8009.9838603052194</v>
      </c>
      <c r="M70" s="14"/>
      <c r="N70" s="14"/>
      <c r="O70" s="14"/>
      <c r="Q70" s="14"/>
      <c r="R70" s="14"/>
      <c r="S70" s="18"/>
      <c r="T70" s="14"/>
      <c r="U70" s="14"/>
      <c r="V70" s="14"/>
      <c r="X70" s="14">
        <v>43</v>
      </c>
      <c r="Y70" s="14"/>
      <c r="Z70" s="18"/>
      <c r="AA70" s="14"/>
      <c r="AB70" s="14"/>
      <c r="AC70" s="14"/>
      <c r="AD70" s="14"/>
      <c r="AE70" s="14"/>
      <c r="AF70" s="14"/>
      <c r="AG70" s="18"/>
      <c r="AH70" s="14"/>
      <c r="AI70" s="14"/>
      <c r="AJ70" s="14"/>
      <c r="AK70" s="14"/>
      <c r="AL70" s="14"/>
    </row>
    <row r="71" spans="3:38" ht="14.25" customHeight="1">
      <c r="C71" s="14">
        <v>44</v>
      </c>
      <c r="D71" s="102"/>
      <c r="E71" s="18">
        <f t="shared" si="1"/>
        <v>7985.8294026220628</v>
      </c>
      <c r="F71" s="14"/>
      <c r="G71" s="14"/>
      <c r="H71" s="14"/>
      <c r="J71" s="14">
        <v>44</v>
      </c>
      <c r="K71" s="14"/>
      <c r="L71" s="18">
        <f t="shared" si="5"/>
        <v>7985.8294026220628</v>
      </c>
      <c r="M71" s="14"/>
      <c r="N71" s="14"/>
      <c r="O71" s="14"/>
      <c r="Q71" s="14"/>
      <c r="R71" s="14"/>
      <c r="S71" s="18"/>
      <c r="T71" s="14"/>
      <c r="U71" s="14"/>
      <c r="V71" s="14"/>
      <c r="X71" s="14">
        <v>44</v>
      </c>
      <c r="Y71" s="14"/>
      <c r="Z71" s="18"/>
      <c r="AA71" s="14"/>
      <c r="AB71" s="14"/>
      <c r="AC71" s="14"/>
      <c r="AD71" s="14"/>
      <c r="AE71" s="14"/>
      <c r="AF71" s="14"/>
      <c r="AG71" s="18"/>
      <c r="AH71" s="14"/>
      <c r="AI71" s="14"/>
      <c r="AJ71" s="14"/>
      <c r="AK71" s="14"/>
      <c r="AL71" s="14"/>
    </row>
    <row r="72" spans="3:38" ht="14.25" customHeight="1">
      <c r="C72" s="14">
        <v>45</v>
      </c>
      <c r="D72" s="33"/>
      <c r="E72" s="18">
        <f t="shared" si="1"/>
        <v>7961.6749449389126</v>
      </c>
      <c r="F72" s="14"/>
      <c r="G72" s="14"/>
      <c r="H72" s="14"/>
      <c r="J72" s="14">
        <v>45</v>
      </c>
      <c r="K72" s="14"/>
      <c r="L72" s="18">
        <f t="shared" si="5"/>
        <v>7961.6749449389126</v>
      </c>
      <c r="M72" s="14"/>
      <c r="N72" s="14"/>
      <c r="O72" s="14"/>
      <c r="Q72" s="14"/>
      <c r="R72" s="14"/>
      <c r="S72" s="18"/>
      <c r="T72" s="14"/>
      <c r="U72" s="14"/>
      <c r="V72" s="14"/>
      <c r="X72" s="14">
        <v>45</v>
      </c>
      <c r="Y72" s="14"/>
      <c r="Z72" s="18"/>
      <c r="AA72" s="14"/>
      <c r="AB72" s="14"/>
      <c r="AC72" s="14"/>
      <c r="AD72" s="14"/>
      <c r="AE72" s="14"/>
      <c r="AF72" s="14"/>
      <c r="AG72" s="18"/>
      <c r="AH72" s="14"/>
      <c r="AI72" s="14"/>
      <c r="AJ72" s="14"/>
      <c r="AK72" s="14"/>
      <c r="AL72" s="14"/>
    </row>
    <row r="73" spans="3:38" ht="14.25" customHeight="1">
      <c r="C73" s="14">
        <v>46</v>
      </c>
      <c r="D73" s="33"/>
      <c r="E73" s="18">
        <f t="shared" si="1"/>
        <v>7937.5204872557551</v>
      </c>
      <c r="F73" s="14"/>
      <c r="G73" s="14"/>
      <c r="H73" s="14"/>
      <c r="J73" s="14">
        <v>46</v>
      </c>
      <c r="K73" s="14"/>
      <c r="L73" s="18">
        <f t="shared" si="5"/>
        <v>7937.5204872557551</v>
      </c>
      <c r="M73" s="14"/>
      <c r="N73" s="14"/>
      <c r="O73" s="14"/>
      <c r="Q73" s="14"/>
      <c r="R73" s="14"/>
      <c r="S73" s="18"/>
      <c r="T73" s="14"/>
      <c r="U73" s="14"/>
      <c r="V73" s="14"/>
      <c r="X73" s="14">
        <v>46</v>
      </c>
      <c r="Y73" s="14"/>
      <c r="Z73" s="18"/>
      <c r="AA73" s="14"/>
      <c r="AB73" s="14"/>
      <c r="AC73" s="14"/>
      <c r="AD73" s="14"/>
      <c r="AE73" s="14"/>
      <c r="AF73" s="14"/>
      <c r="AG73" s="18"/>
      <c r="AH73" s="14"/>
      <c r="AI73" s="14"/>
      <c r="AJ73" s="14"/>
      <c r="AK73" s="14"/>
      <c r="AL73" s="14"/>
    </row>
    <row r="74" spans="3:38" ht="14.25" customHeight="1">
      <c r="C74" s="2"/>
      <c r="D74" s="2"/>
      <c r="E74" s="2"/>
      <c r="F74" s="2"/>
      <c r="G74" s="2"/>
      <c r="H74" s="2"/>
      <c r="J74" s="20"/>
      <c r="K74" s="20"/>
      <c r="L74" s="20"/>
      <c r="M74" s="20"/>
      <c r="N74" s="20"/>
      <c r="O74" s="20"/>
      <c r="X74" s="20"/>
      <c r="Y74" s="20"/>
      <c r="Z74" s="20"/>
      <c r="AA74" s="20"/>
      <c r="AB74" s="20"/>
      <c r="AC74" s="20"/>
    </row>
    <row r="75" spans="3:38" ht="14.25" customHeight="1">
      <c r="C75" s="14"/>
      <c r="D75" s="14"/>
      <c r="E75" s="14"/>
      <c r="F75" s="14"/>
      <c r="G75" s="14"/>
      <c r="H75" s="14"/>
    </row>
    <row r="76" spans="3:38" ht="14.25" customHeight="1">
      <c r="C76" s="14"/>
      <c r="D76" s="14"/>
      <c r="E76" s="14"/>
      <c r="F76" s="14"/>
      <c r="G76" s="14"/>
      <c r="H76" s="14"/>
    </row>
    <row r="77" spans="3:38" ht="14.25" customHeight="1">
      <c r="C77" s="14"/>
      <c r="D77" s="14"/>
      <c r="E77" s="14"/>
      <c r="F77" s="14"/>
      <c r="G77" s="14"/>
      <c r="H77" s="14"/>
    </row>
    <row r="78" spans="3:38" ht="14.25" customHeight="1">
      <c r="C78" s="14"/>
      <c r="D78" s="14"/>
      <c r="E78" s="14"/>
      <c r="F78" s="14"/>
      <c r="G78" s="14"/>
      <c r="H78" s="14"/>
    </row>
    <row r="79" spans="3:38" ht="14.25" customHeight="1">
      <c r="C79" s="14"/>
      <c r="D79" s="14"/>
      <c r="E79" s="14"/>
      <c r="F79" s="14"/>
      <c r="G79" s="14"/>
      <c r="H79" s="14"/>
    </row>
    <row r="80" spans="3:38" ht="14.25" customHeight="1">
      <c r="C80" s="14"/>
      <c r="D80" s="14"/>
      <c r="E80" s="14"/>
      <c r="F80" s="14"/>
      <c r="G80" s="14"/>
      <c r="H80" s="14"/>
    </row>
    <row r="81" spans="3:8" ht="14.25" customHeight="1">
      <c r="C81" s="14"/>
      <c r="D81" s="14"/>
      <c r="E81" s="14"/>
      <c r="F81" s="14"/>
      <c r="G81" s="14"/>
      <c r="H81" s="14"/>
    </row>
    <row r="82" spans="3:8" ht="14.25" customHeight="1">
      <c r="C82" s="14"/>
      <c r="D82" s="14"/>
      <c r="E82" s="14"/>
      <c r="F82" s="14"/>
      <c r="G82" s="14"/>
      <c r="H82" s="14"/>
    </row>
    <row r="83" spans="3:8" ht="14.25" customHeight="1">
      <c r="C83" s="14"/>
      <c r="D83" s="14"/>
      <c r="E83" s="14"/>
      <c r="F83" s="14"/>
      <c r="G83" s="14"/>
      <c r="H83" s="14"/>
    </row>
    <row r="84" spans="3:8" ht="14.25" customHeight="1">
      <c r="C84" s="14"/>
      <c r="D84" s="14"/>
      <c r="E84" s="14"/>
      <c r="F84" s="14"/>
      <c r="G84" s="14"/>
      <c r="H84" s="14"/>
    </row>
    <row r="85" spans="3:8" ht="14.25" customHeight="1">
      <c r="C85" s="14"/>
      <c r="D85" s="14"/>
      <c r="E85" s="14"/>
      <c r="F85" s="14"/>
      <c r="G85" s="14"/>
      <c r="H85" s="14"/>
    </row>
    <row r="86" spans="3:8" ht="14.25" customHeight="1">
      <c r="C86" s="14"/>
      <c r="D86" s="14"/>
      <c r="E86" s="14"/>
      <c r="F86" s="14"/>
      <c r="G86" s="14"/>
      <c r="H86" s="14"/>
    </row>
    <row r="87" spans="3:8" ht="14.25" customHeight="1">
      <c r="C87" s="14"/>
      <c r="D87" s="14"/>
      <c r="E87" s="14"/>
      <c r="F87" s="14"/>
      <c r="G87" s="14"/>
      <c r="H87" s="14"/>
    </row>
    <row r="88" spans="3:8" ht="14.25" customHeight="1">
      <c r="C88" s="14"/>
      <c r="D88" s="14"/>
      <c r="E88" s="14"/>
      <c r="F88" s="14"/>
      <c r="G88" s="14"/>
      <c r="H88" s="14"/>
    </row>
    <row r="89" spans="3:8" ht="14.25" customHeight="1">
      <c r="C89" s="14"/>
      <c r="D89" s="14"/>
      <c r="E89" s="14"/>
      <c r="F89" s="14"/>
      <c r="G89" s="14"/>
      <c r="H89" s="14"/>
    </row>
    <row r="90" spans="3:8" ht="14.25" customHeight="1">
      <c r="C90" s="14"/>
      <c r="D90" s="14"/>
      <c r="E90" s="14"/>
      <c r="F90" s="14"/>
      <c r="G90" s="14"/>
      <c r="H90" s="14"/>
    </row>
    <row r="91" spans="3:8" ht="14.25" customHeight="1">
      <c r="C91" s="14"/>
      <c r="D91" s="14"/>
      <c r="E91" s="14"/>
      <c r="F91" s="14"/>
      <c r="G91" s="14"/>
      <c r="H91" s="14"/>
    </row>
    <row r="92" spans="3:8" ht="14.25" customHeight="1">
      <c r="C92" s="14"/>
      <c r="D92" s="14"/>
      <c r="E92" s="14"/>
      <c r="F92" s="14"/>
      <c r="G92" s="14"/>
      <c r="H92" s="14"/>
    </row>
    <row r="93" spans="3:8" ht="14.25" customHeight="1">
      <c r="C93" s="14"/>
      <c r="D93" s="14"/>
      <c r="E93" s="14"/>
      <c r="F93" s="14"/>
      <c r="G93" s="14"/>
      <c r="H93" s="14"/>
    </row>
    <row r="94" spans="3:8" ht="14.25" customHeight="1">
      <c r="C94" s="14"/>
      <c r="D94" s="14"/>
      <c r="E94" s="14"/>
      <c r="F94" s="14"/>
      <c r="G94" s="14"/>
      <c r="H94" s="14"/>
    </row>
    <row r="95" spans="3:8" ht="14.25" customHeight="1">
      <c r="C95" s="14"/>
      <c r="D95" s="14"/>
      <c r="E95" s="14"/>
      <c r="F95" s="14"/>
      <c r="G95" s="14"/>
      <c r="H95" s="14"/>
    </row>
    <row r="96" spans="3:8" ht="14.25" customHeight="1">
      <c r="C96" s="14"/>
      <c r="D96" s="14"/>
      <c r="E96" s="14"/>
      <c r="F96" s="14"/>
      <c r="G96" s="14"/>
      <c r="H96" s="14"/>
    </row>
    <row r="97" spans="3:8" ht="14.25" customHeight="1">
      <c r="C97" s="14"/>
      <c r="D97" s="14"/>
      <c r="E97" s="14"/>
      <c r="F97" s="14"/>
      <c r="G97" s="14"/>
      <c r="H97" s="14"/>
    </row>
    <row r="98" spans="3:8" ht="14.25" customHeight="1">
      <c r="C98" s="14"/>
      <c r="D98" s="14"/>
      <c r="E98" s="14"/>
      <c r="F98" s="14"/>
      <c r="G98" s="14"/>
      <c r="H98" s="14"/>
    </row>
    <row r="99" spans="3:8" ht="14.25" customHeight="1">
      <c r="C99" s="14"/>
      <c r="D99" s="14"/>
      <c r="E99" s="14"/>
      <c r="F99" s="14"/>
      <c r="G99" s="14"/>
      <c r="H99" s="14"/>
    </row>
    <row r="100" spans="3:8" ht="14.25" customHeight="1">
      <c r="C100" s="14"/>
      <c r="D100" s="14"/>
      <c r="E100" s="14"/>
      <c r="F100" s="14"/>
      <c r="G100" s="14"/>
      <c r="H100" s="14"/>
    </row>
    <row r="101" spans="3:8" ht="14.25" customHeight="1">
      <c r="C101" s="14"/>
      <c r="D101" s="14"/>
      <c r="E101" s="14"/>
      <c r="F101" s="14"/>
      <c r="G101" s="14"/>
      <c r="H101" s="14"/>
    </row>
    <row r="102" spans="3:8" ht="14.25" customHeight="1">
      <c r="C102" s="14"/>
      <c r="D102" s="14"/>
      <c r="E102" s="14"/>
      <c r="F102" s="14"/>
      <c r="G102" s="14"/>
      <c r="H102" s="14"/>
    </row>
    <row r="103" spans="3:8" ht="14.25" customHeight="1">
      <c r="C103" s="14"/>
      <c r="D103" s="14"/>
      <c r="E103" s="14"/>
      <c r="F103" s="14"/>
      <c r="G103" s="14"/>
      <c r="H103" s="14"/>
    </row>
    <row r="104" spans="3:8" ht="14.25" customHeight="1">
      <c r="C104" s="14"/>
      <c r="D104" s="14"/>
      <c r="E104" s="14"/>
      <c r="F104" s="14"/>
      <c r="G104" s="14"/>
      <c r="H104" s="14"/>
    </row>
    <row r="105" spans="3:8" ht="14.25" customHeight="1">
      <c r="C105" s="14"/>
      <c r="D105" s="14"/>
      <c r="E105" s="14"/>
      <c r="F105" s="14"/>
      <c r="G105" s="14"/>
      <c r="H105" s="14"/>
    </row>
    <row r="106" spans="3:8" ht="14.25" customHeight="1">
      <c r="C106" s="14"/>
      <c r="D106" s="14"/>
      <c r="E106" s="14"/>
      <c r="F106" s="14"/>
      <c r="G106" s="14"/>
      <c r="H106" s="14"/>
    </row>
    <row r="107" spans="3:8" ht="14.25" customHeight="1">
      <c r="C107" s="14"/>
      <c r="D107" s="14"/>
      <c r="E107" s="14"/>
      <c r="F107" s="14"/>
      <c r="G107" s="14"/>
      <c r="H107" s="14"/>
    </row>
    <row r="108" spans="3:8" ht="14.25" customHeight="1">
      <c r="C108" s="14"/>
      <c r="D108" s="14"/>
      <c r="E108" s="14"/>
      <c r="F108" s="14"/>
      <c r="G108" s="14"/>
      <c r="H108" s="14"/>
    </row>
    <row r="109" spans="3:8" ht="14.25" customHeight="1">
      <c r="C109" s="14"/>
      <c r="D109" s="14"/>
      <c r="E109" s="14"/>
      <c r="F109" s="14"/>
      <c r="G109" s="14"/>
      <c r="H109" s="14"/>
    </row>
    <row r="110" spans="3:8" ht="14.25" customHeight="1">
      <c r="C110" s="14"/>
      <c r="D110" s="14"/>
      <c r="E110" s="14"/>
      <c r="F110" s="14"/>
      <c r="G110" s="14"/>
      <c r="H110" s="14"/>
    </row>
    <row r="111" spans="3:8" ht="14.25" customHeight="1">
      <c r="C111" s="14"/>
      <c r="D111" s="14"/>
      <c r="E111" s="14"/>
      <c r="F111" s="14"/>
      <c r="G111" s="14"/>
      <c r="H111" s="14"/>
    </row>
    <row r="112" spans="3:8" ht="14.25" customHeight="1">
      <c r="C112" s="14"/>
      <c r="D112" s="14"/>
      <c r="E112" s="14"/>
      <c r="F112" s="14"/>
      <c r="G112" s="14"/>
      <c r="H112" s="14"/>
    </row>
    <row r="113" spans="3:8" ht="14.25" customHeight="1">
      <c r="C113" s="14"/>
      <c r="D113" s="14"/>
      <c r="E113" s="14"/>
      <c r="F113" s="14"/>
      <c r="G113" s="14"/>
      <c r="H113" s="14"/>
    </row>
    <row r="114" spans="3:8" ht="14.25" customHeight="1">
      <c r="C114" s="14"/>
      <c r="D114" s="14"/>
      <c r="E114" s="14"/>
      <c r="F114" s="14"/>
      <c r="G114" s="14"/>
      <c r="H114" s="14"/>
    </row>
    <row r="115" spans="3:8" ht="14.25" customHeight="1">
      <c r="C115" s="14"/>
      <c r="D115" s="14"/>
      <c r="E115" s="14"/>
      <c r="F115" s="14"/>
      <c r="G115" s="14"/>
      <c r="H115" s="14"/>
    </row>
    <row r="116" spans="3:8" ht="14.25" customHeight="1">
      <c r="C116" s="14"/>
      <c r="D116" s="14"/>
      <c r="E116" s="14"/>
      <c r="F116" s="14"/>
      <c r="G116" s="14"/>
      <c r="H116" s="14"/>
    </row>
    <row r="117" spans="3:8" ht="14.25" customHeight="1">
      <c r="C117" s="14"/>
      <c r="D117" s="14"/>
      <c r="E117" s="14"/>
      <c r="F117" s="14"/>
      <c r="G117" s="14"/>
      <c r="H117" s="14"/>
    </row>
    <row r="118" spans="3:8" ht="14.25" customHeight="1">
      <c r="C118" s="14"/>
      <c r="D118" s="14"/>
      <c r="E118" s="14"/>
      <c r="F118" s="14"/>
      <c r="G118" s="14"/>
      <c r="H118" s="14"/>
    </row>
    <row r="119" spans="3:8" ht="14.25" customHeight="1">
      <c r="C119" s="14"/>
      <c r="D119" s="14"/>
      <c r="E119" s="14"/>
      <c r="F119" s="14"/>
      <c r="G119" s="14"/>
      <c r="H119" s="14"/>
    </row>
    <row r="120" spans="3:8" ht="14.25" customHeight="1">
      <c r="C120" s="14"/>
      <c r="D120" s="14"/>
      <c r="E120" s="14"/>
      <c r="F120" s="14"/>
      <c r="G120" s="14"/>
      <c r="H120" s="14"/>
    </row>
    <row r="121" spans="3:8" ht="14.25" customHeight="1">
      <c r="C121" s="14"/>
      <c r="D121" s="14"/>
      <c r="E121" s="14"/>
      <c r="F121" s="14"/>
      <c r="G121" s="14"/>
      <c r="H121" s="14"/>
    </row>
    <row r="122" spans="3:8" ht="14.25" customHeight="1">
      <c r="C122" s="14"/>
      <c r="D122" s="14"/>
      <c r="E122" s="14"/>
      <c r="F122" s="14"/>
      <c r="G122" s="14"/>
      <c r="H122" s="14"/>
    </row>
    <row r="123" spans="3:8" ht="14.25" customHeight="1">
      <c r="C123" s="14"/>
      <c r="D123" s="14"/>
      <c r="E123" s="14"/>
      <c r="F123" s="14"/>
      <c r="G123" s="14"/>
      <c r="H123" s="14"/>
    </row>
    <row r="124" spans="3:8" ht="14.25" customHeight="1">
      <c r="C124" s="14"/>
      <c r="D124" s="14"/>
      <c r="E124" s="14"/>
      <c r="F124" s="14"/>
      <c r="G124" s="14"/>
      <c r="H124" s="14"/>
    </row>
    <row r="125" spans="3:8" ht="14.25" customHeight="1">
      <c r="C125" s="14"/>
      <c r="D125" s="14"/>
      <c r="E125" s="14"/>
      <c r="F125" s="14"/>
      <c r="G125" s="14"/>
      <c r="H125" s="14"/>
    </row>
    <row r="126" spans="3:8" ht="14.25" customHeight="1">
      <c r="C126" s="14"/>
      <c r="D126" s="14"/>
      <c r="E126" s="14"/>
      <c r="F126" s="14"/>
      <c r="G126" s="14"/>
      <c r="H126" s="14"/>
    </row>
    <row r="127" spans="3:8" ht="14.25" customHeight="1">
      <c r="C127" s="14"/>
      <c r="D127" s="14"/>
      <c r="E127" s="14"/>
      <c r="F127" s="14"/>
      <c r="G127" s="14"/>
      <c r="H127" s="14"/>
    </row>
    <row r="128" spans="3:8" ht="14.25" customHeight="1">
      <c r="C128" s="14"/>
      <c r="D128" s="14"/>
      <c r="E128" s="14"/>
      <c r="F128" s="14"/>
      <c r="G128" s="14"/>
      <c r="H128" s="14"/>
    </row>
    <row r="129" spans="3:8" ht="14.25" customHeight="1">
      <c r="C129" s="14"/>
      <c r="D129" s="14"/>
      <c r="E129" s="14"/>
      <c r="F129" s="14"/>
      <c r="G129" s="14"/>
      <c r="H129" s="14"/>
    </row>
    <row r="130" spans="3:8" ht="14.25" customHeight="1">
      <c r="C130" s="14"/>
      <c r="D130" s="14"/>
      <c r="E130" s="14"/>
      <c r="F130" s="14"/>
      <c r="G130" s="14"/>
      <c r="H130" s="14"/>
    </row>
    <row r="131" spans="3:8" ht="14.25" customHeight="1">
      <c r="C131" s="14"/>
      <c r="D131" s="14"/>
      <c r="E131" s="14"/>
      <c r="F131" s="14"/>
      <c r="G131" s="14"/>
      <c r="H131" s="14"/>
    </row>
    <row r="132" spans="3:8" ht="14.25" customHeight="1">
      <c r="C132" s="14"/>
      <c r="D132" s="14"/>
      <c r="E132" s="14"/>
      <c r="F132" s="14"/>
      <c r="G132" s="14"/>
      <c r="H132" s="14"/>
    </row>
    <row r="133" spans="3:8" ht="14.25" customHeight="1">
      <c r="C133" s="14"/>
      <c r="D133" s="14"/>
      <c r="E133" s="14"/>
      <c r="F133" s="14"/>
      <c r="G133" s="14"/>
      <c r="H133" s="14"/>
    </row>
    <row r="134" spans="3:8" ht="14.25" customHeight="1">
      <c r="C134" s="14"/>
      <c r="D134" s="14"/>
      <c r="E134" s="14"/>
      <c r="F134" s="14"/>
      <c r="G134" s="14"/>
      <c r="H134" s="14"/>
    </row>
    <row r="135" spans="3:8" ht="14.25" customHeight="1">
      <c r="C135" s="14"/>
      <c r="D135" s="14"/>
      <c r="E135" s="14"/>
      <c r="F135" s="14"/>
      <c r="G135" s="14"/>
      <c r="H135" s="14"/>
    </row>
    <row r="136" spans="3:8" ht="14.25" customHeight="1">
      <c r="C136" s="14"/>
      <c r="D136" s="14"/>
      <c r="E136" s="14"/>
      <c r="F136" s="14"/>
      <c r="G136" s="14"/>
      <c r="H136" s="14"/>
    </row>
    <row r="137" spans="3:8" ht="14.25" customHeight="1">
      <c r="C137" s="14"/>
      <c r="D137" s="14"/>
      <c r="E137" s="14"/>
      <c r="F137" s="14"/>
      <c r="G137" s="14"/>
      <c r="H137" s="14"/>
    </row>
    <row r="138" spans="3:8" ht="14.25" customHeight="1">
      <c r="C138" s="14"/>
      <c r="D138" s="14"/>
      <c r="E138" s="14"/>
      <c r="F138" s="14"/>
      <c r="G138" s="14"/>
      <c r="H138" s="14"/>
    </row>
    <row r="139" spans="3:8" ht="14.25" customHeight="1">
      <c r="C139" s="14"/>
      <c r="D139" s="14"/>
      <c r="E139" s="14"/>
      <c r="F139" s="14"/>
      <c r="G139" s="14"/>
      <c r="H139" s="14"/>
    </row>
    <row r="140" spans="3:8" ht="14.25" customHeight="1">
      <c r="C140" s="14"/>
      <c r="D140" s="14"/>
      <c r="E140" s="14"/>
      <c r="F140" s="14"/>
      <c r="G140" s="14"/>
      <c r="H140" s="14"/>
    </row>
    <row r="141" spans="3:8" ht="14.25" customHeight="1">
      <c r="C141" s="14"/>
      <c r="D141" s="14"/>
      <c r="E141" s="14"/>
      <c r="F141" s="14"/>
      <c r="G141" s="14"/>
      <c r="H141" s="14"/>
    </row>
    <row r="142" spans="3:8" ht="14.25" customHeight="1">
      <c r="C142" s="14"/>
      <c r="D142" s="14"/>
      <c r="E142" s="14"/>
      <c r="F142" s="14"/>
      <c r="G142" s="14"/>
      <c r="H142" s="14"/>
    </row>
    <row r="143" spans="3:8" ht="14.25" customHeight="1">
      <c r="C143" s="14"/>
      <c r="D143" s="14"/>
      <c r="E143" s="14"/>
      <c r="F143" s="14"/>
      <c r="G143" s="14"/>
      <c r="H143" s="14"/>
    </row>
    <row r="144" spans="3:8" ht="14.25" customHeight="1">
      <c r="C144" s="14"/>
      <c r="D144" s="14"/>
      <c r="E144" s="14"/>
      <c r="F144" s="14"/>
      <c r="G144" s="14"/>
      <c r="H144" s="14"/>
    </row>
    <row r="145" spans="3:8" ht="14.25" customHeight="1">
      <c r="C145" s="14"/>
      <c r="D145" s="14"/>
      <c r="E145" s="14"/>
      <c r="F145" s="14"/>
      <c r="G145" s="14"/>
      <c r="H145" s="14"/>
    </row>
    <row r="146" spans="3:8" ht="14.25" customHeight="1">
      <c r="C146" s="14"/>
      <c r="D146" s="14"/>
      <c r="E146" s="14"/>
      <c r="F146" s="14"/>
      <c r="G146" s="14"/>
      <c r="H146" s="14"/>
    </row>
    <row r="147" spans="3:8" ht="14.25" customHeight="1">
      <c r="C147" s="14"/>
      <c r="D147" s="14"/>
      <c r="E147" s="14"/>
      <c r="F147" s="14"/>
      <c r="G147" s="14"/>
      <c r="H147" s="14"/>
    </row>
    <row r="148" spans="3:8" ht="14.25" customHeight="1">
      <c r="C148" s="14"/>
      <c r="D148" s="14"/>
      <c r="E148" s="14"/>
      <c r="F148" s="14"/>
      <c r="G148" s="14"/>
      <c r="H148" s="14"/>
    </row>
    <row r="149" spans="3:8" ht="14.25" customHeight="1">
      <c r="C149" s="14"/>
      <c r="D149" s="14"/>
      <c r="E149" s="14"/>
      <c r="F149" s="14"/>
      <c r="G149" s="14"/>
      <c r="H149" s="14"/>
    </row>
    <row r="150" spans="3:8" ht="14.25" customHeight="1">
      <c r="C150" s="14"/>
      <c r="D150" s="14"/>
      <c r="E150" s="14"/>
      <c r="F150" s="14"/>
      <c r="G150" s="14"/>
      <c r="H150" s="14"/>
    </row>
    <row r="151" spans="3:8" ht="14.25" customHeight="1">
      <c r="C151" s="14"/>
      <c r="D151" s="14"/>
      <c r="E151" s="14"/>
      <c r="F151" s="14"/>
      <c r="G151" s="14"/>
      <c r="H151" s="14"/>
    </row>
    <row r="152" spans="3:8" ht="14.25" customHeight="1">
      <c r="C152" s="14"/>
      <c r="D152" s="14"/>
      <c r="E152" s="14"/>
      <c r="F152" s="14"/>
      <c r="G152" s="14"/>
      <c r="H152" s="14"/>
    </row>
    <row r="153" spans="3:8" ht="14.25" customHeight="1">
      <c r="C153" s="14"/>
      <c r="D153" s="14"/>
      <c r="E153" s="14"/>
      <c r="F153" s="14"/>
      <c r="G153" s="14"/>
      <c r="H153" s="14"/>
    </row>
    <row r="154" spans="3:8" ht="14.25" customHeight="1">
      <c r="C154" s="14"/>
      <c r="D154" s="14"/>
      <c r="E154" s="14"/>
      <c r="F154" s="14"/>
      <c r="G154" s="14"/>
      <c r="H154" s="14"/>
    </row>
    <row r="155" spans="3:8" ht="14.25" customHeight="1">
      <c r="C155" s="14"/>
      <c r="D155" s="14"/>
      <c r="E155" s="14"/>
      <c r="F155" s="14"/>
      <c r="G155" s="14"/>
      <c r="H155" s="14"/>
    </row>
    <row r="156" spans="3:8" ht="14.25" customHeight="1">
      <c r="C156" s="14"/>
      <c r="D156" s="14"/>
      <c r="E156" s="14"/>
      <c r="F156" s="14"/>
      <c r="G156" s="14"/>
      <c r="H156" s="14"/>
    </row>
    <row r="157" spans="3:8" ht="14.25" customHeight="1">
      <c r="C157" s="14"/>
      <c r="D157" s="14"/>
      <c r="E157" s="14"/>
      <c r="F157" s="14"/>
      <c r="G157" s="14"/>
      <c r="H157" s="14"/>
    </row>
    <row r="158" spans="3:8" ht="14.25" customHeight="1">
      <c r="C158" s="14"/>
      <c r="D158" s="14"/>
      <c r="E158" s="14"/>
      <c r="F158" s="14"/>
      <c r="G158" s="14"/>
      <c r="H158" s="14"/>
    </row>
    <row r="159" spans="3:8" ht="14.25" customHeight="1">
      <c r="C159" s="14"/>
      <c r="D159" s="14"/>
      <c r="E159" s="14"/>
      <c r="F159" s="14"/>
      <c r="G159" s="14"/>
      <c r="H159" s="14"/>
    </row>
    <row r="160" spans="3:8" ht="14.25" customHeight="1">
      <c r="C160" s="14"/>
      <c r="D160" s="14"/>
      <c r="E160" s="14"/>
      <c r="F160" s="14"/>
      <c r="G160" s="14"/>
      <c r="H160" s="14"/>
    </row>
    <row r="161" spans="3:8" ht="14.25" customHeight="1">
      <c r="C161" s="14"/>
      <c r="D161" s="14"/>
      <c r="E161" s="14"/>
      <c r="F161" s="14"/>
      <c r="G161" s="14"/>
      <c r="H161" s="14"/>
    </row>
    <row r="162" spans="3:8" ht="14.25" customHeight="1">
      <c r="C162" s="14"/>
      <c r="D162" s="14"/>
      <c r="E162" s="14"/>
      <c r="F162" s="14"/>
      <c r="G162" s="14"/>
      <c r="H162" s="14"/>
    </row>
    <row r="163" spans="3:8" ht="14.25" customHeight="1">
      <c r="C163" s="14"/>
      <c r="D163" s="14"/>
      <c r="E163" s="14"/>
      <c r="F163" s="14"/>
      <c r="G163" s="14"/>
      <c r="H163" s="14"/>
    </row>
    <row r="164" spans="3:8" ht="14.25" customHeight="1">
      <c r="C164" s="14"/>
      <c r="D164" s="14"/>
      <c r="E164" s="14"/>
      <c r="F164" s="14"/>
      <c r="G164" s="14"/>
      <c r="H164" s="14"/>
    </row>
    <row r="165" spans="3:8" ht="14.25" customHeight="1">
      <c r="C165" s="14"/>
      <c r="D165" s="14"/>
      <c r="E165" s="14"/>
      <c r="F165" s="14"/>
      <c r="G165" s="14"/>
      <c r="H165" s="14"/>
    </row>
    <row r="166" spans="3:8" ht="14.25" customHeight="1">
      <c r="C166" s="14"/>
      <c r="D166" s="14"/>
      <c r="E166" s="14"/>
      <c r="F166" s="14"/>
      <c r="G166" s="14"/>
      <c r="H166" s="14"/>
    </row>
    <row r="167" spans="3:8" ht="14.25" customHeight="1">
      <c r="C167" s="14"/>
      <c r="D167" s="14"/>
      <c r="E167" s="14"/>
      <c r="F167" s="14"/>
      <c r="G167" s="14"/>
      <c r="H167" s="14"/>
    </row>
    <row r="168" spans="3:8" ht="14.25" customHeight="1">
      <c r="C168" s="14"/>
      <c r="D168" s="14"/>
      <c r="E168" s="14"/>
      <c r="F168" s="14"/>
      <c r="G168" s="14"/>
      <c r="H168" s="14"/>
    </row>
    <row r="169" spans="3:8" ht="14.25" customHeight="1">
      <c r="C169" s="14"/>
      <c r="D169" s="14"/>
      <c r="E169" s="14"/>
      <c r="F169" s="14"/>
      <c r="G169" s="14"/>
      <c r="H169" s="14"/>
    </row>
    <row r="170" spans="3:8" ht="14.25" customHeight="1">
      <c r="C170" s="14"/>
      <c r="D170" s="14"/>
      <c r="E170" s="14"/>
      <c r="F170" s="14"/>
      <c r="G170" s="14"/>
      <c r="H170" s="14"/>
    </row>
    <row r="171" spans="3:8" ht="14.25" customHeight="1">
      <c r="C171" s="14"/>
      <c r="D171" s="14"/>
      <c r="E171" s="14"/>
      <c r="F171" s="14"/>
      <c r="G171" s="14"/>
      <c r="H171" s="14"/>
    </row>
    <row r="172" spans="3:8" ht="14.25" customHeight="1">
      <c r="C172" s="14"/>
      <c r="D172" s="14"/>
      <c r="E172" s="14"/>
      <c r="F172" s="14"/>
      <c r="G172" s="14"/>
      <c r="H172" s="14"/>
    </row>
    <row r="173" spans="3:8" ht="14.25" customHeight="1">
      <c r="C173" s="14"/>
      <c r="D173" s="14"/>
      <c r="E173" s="14"/>
      <c r="F173" s="14"/>
      <c r="G173" s="14"/>
      <c r="H173" s="14"/>
    </row>
    <row r="174" spans="3:8" ht="14.25" customHeight="1">
      <c r="C174" s="14"/>
      <c r="D174" s="14"/>
      <c r="E174" s="14"/>
      <c r="F174" s="14"/>
      <c r="G174" s="14"/>
      <c r="H174" s="14"/>
    </row>
    <row r="175" spans="3:8" ht="14.25" customHeight="1">
      <c r="C175" s="14"/>
      <c r="D175" s="14"/>
      <c r="E175" s="14"/>
      <c r="F175" s="14"/>
      <c r="G175" s="14"/>
      <c r="H175" s="14"/>
    </row>
    <row r="176" spans="3:8" ht="14.25" customHeight="1">
      <c r="C176" s="14"/>
      <c r="D176" s="14"/>
      <c r="E176" s="14"/>
      <c r="F176" s="14"/>
      <c r="G176" s="14"/>
      <c r="H176" s="14"/>
    </row>
    <row r="177" spans="3:8" ht="14.25" customHeight="1">
      <c r="C177" s="14"/>
      <c r="D177" s="14"/>
      <c r="E177" s="14"/>
      <c r="F177" s="14"/>
      <c r="G177" s="14"/>
      <c r="H177" s="14"/>
    </row>
    <row r="178" spans="3:8" ht="14.25" customHeight="1">
      <c r="C178" s="14"/>
      <c r="D178" s="14"/>
      <c r="E178" s="14"/>
      <c r="F178" s="14"/>
      <c r="G178" s="14"/>
      <c r="H178" s="14"/>
    </row>
    <row r="179" spans="3:8" ht="14.25" customHeight="1">
      <c r="C179" s="14"/>
      <c r="D179" s="14"/>
      <c r="E179" s="14"/>
      <c r="F179" s="14"/>
      <c r="G179" s="14"/>
      <c r="H179" s="14"/>
    </row>
    <row r="180" spans="3:8" ht="14.25" customHeight="1">
      <c r="C180" s="14"/>
      <c r="D180" s="14"/>
      <c r="E180" s="14"/>
      <c r="F180" s="14"/>
      <c r="G180" s="14"/>
      <c r="H180" s="14"/>
    </row>
    <row r="181" spans="3:8" ht="14.25" customHeight="1">
      <c r="C181" s="14"/>
      <c r="D181" s="14"/>
      <c r="E181" s="14"/>
      <c r="F181" s="14"/>
      <c r="G181" s="14"/>
      <c r="H181" s="14"/>
    </row>
    <row r="182" spans="3:8" ht="14.25" customHeight="1">
      <c r="C182" s="14"/>
      <c r="D182" s="14"/>
      <c r="E182" s="14"/>
      <c r="F182" s="14"/>
      <c r="G182" s="14"/>
      <c r="H182" s="14"/>
    </row>
    <row r="183" spans="3:8" ht="14.25" customHeight="1">
      <c r="C183" s="14"/>
      <c r="D183" s="14"/>
      <c r="E183" s="14"/>
      <c r="F183" s="14"/>
      <c r="G183" s="14"/>
      <c r="H183" s="14"/>
    </row>
    <row r="184" spans="3:8" ht="14.25" customHeight="1">
      <c r="C184" s="14"/>
      <c r="D184" s="14"/>
      <c r="E184" s="14"/>
      <c r="F184" s="14"/>
      <c r="G184" s="14"/>
      <c r="H184" s="14"/>
    </row>
    <row r="185" spans="3:8" ht="14.25" customHeight="1">
      <c r="C185" s="14"/>
      <c r="D185" s="14"/>
      <c r="E185" s="14"/>
      <c r="F185" s="14"/>
      <c r="G185" s="14"/>
      <c r="H185" s="14"/>
    </row>
    <row r="186" spans="3:8" ht="14.25" customHeight="1">
      <c r="C186" s="14"/>
      <c r="D186" s="14"/>
      <c r="E186" s="14"/>
      <c r="F186" s="14"/>
      <c r="G186" s="14"/>
      <c r="H186" s="14"/>
    </row>
    <row r="187" spans="3:8" ht="14.25" customHeight="1">
      <c r="C187" s="14"/>
      <c r="D187" s="14"/>
      <c r="E187" s="14"/>
      <c r="F187" s="14"/>
      <c r="G187" s="14"/>
      <c r="H187" s="14"/>
    </row>
    <row r="188" spans="3:8" ht="14.25" customHeight="1">
      <c r="C188" s="14"/>
      <c r="D188" s="14"/>
      <c r="E188" s="14"/>
      <c r="F188" s="14"/>
      <c r="G188" s="14"/>
      <c r="H188" s="14"/>
    </row>
    <row r="189" spans="3:8" ht="14.25" customHeight="1">
      <c r="C189" s="14"/>
      <c r="D189" s="14"/>
      <c r="E189" s="14"/>
      <c r="F189" s="14"/>
      <c r="G189" s="14"/>
      <c r="H189" s="14"/>
    </row>
    <row r="190" spans="3:8" ht="14.25" customHeight="1">
      <c r="C190" s="14"/>
      <c r="D190" s="14"/>
      <c r="E190" s="14"/>
      <c r="F190" s="14"/>
      <c r="G190" s="14"/>
      <c r="H190" s="14"/>
    </row>
    <row r="191" spans="3:8" ht="14.25" customHeight="1">
      <c r="C191" s="14"/>
      <c r="D191" s="14"/>
      <c r="E191" s="14"/>
      <c r="F191" s="14"/>
      <c r="G191" s="14"/>
      <c r="H191" s="14"/>
    </row>
    <row r="192" spans="3:8" ht="14.25" customHeight="1">
      <c r="C192" s="14"/>
      <c r="D192" s="14"/>
      <c r="E192" s="14"/>
      <c r="F192" s="14"/>
      <c r="G192" s="14"/>
      <c r="H192" s="14"/>
    </row>
    <row r="193" spans="3:8" ht="14.25" customHeight="1">
      <c r="C193" s="14"/>
      <c r="D193" s="14"/>
      <c r="E193" s="14"/>
      <c r="F193" s="14"/>
      <c r="G193" s="14"/>
      <c r="H193" s="14"/>
    </row>
    <row r="194" spans="3:8" ht="14.25" customHeight="1">
      <c r="C194" s="14"/>
      <c r="D194" s="14"/>
      <c r="E194" s="14"/>
      <c r="F194" s="14"/>
      <c r="G194" s="14"/>
      <c r="H194" s="14"/>
    </row>
    <row r="195" spans="3:8" ht="14.25" customHeight="1">
      <c r="C195" s="14"/>
      <c r="D195" s="14"/>
      <c r="E195" s="14"/>
      <c r="F195" s="14"/>
      <c r="G195" s="14"/>
      <c r="H195" s="14"/>
    </row>
    <row r="196" spans="3:8" ht="14.25" customHeight="1">
      <c r="C196" s="14"/>
      <c r="D196" s="14"/>
      <c r="E196" s="14"/>
      <c r="F196" s="14"/>
      <c r="G196" s="14"/>
      <c r="H196" s="14"/>
    </row>
    <row r="197" spans="3:8" ht="14.25" customHeight="1">
      <c r="C197" s="14"/>
      <c r="D197" s="14"/>
      <c r="E197" s="14"/>
      <c r="F197" s="14"/>
      <c r="G197" s="14"/>
      <c r="H197" s="14"/>
    </row>
    <row r="198" spans="3:8" ht="14.25" customHeight="1">
      <c r="C198" s="14"/>
      <c r="D198" s="14"/>
      <c r="E198" s="14"/>
      <c r="F198" s="14"/>
      <c r="G198" s="14"/>
      <c r="H198" s="14"/>
    </row>
    <row r="199" spans="3:8" ht="14.25" customHeight="1">
      <c r="C199" s="14"/>
      <c r="D199" s="14"/>
      <c r="E199" s="14"/>
      <c r="F199" s="14"/>
      <c r="G199" s="14"/>
      <c r="H199" s="14"/>
    </row>
    <row r="200" spans="3:8" ht="14.25" customHeight="1">
      <c r="C200" s="14"/>
      <c r="D200" s="14"/>
      <c r="E200" s="14"/>
      <c r="F200" s="14"/>
      <c r="G200" s="14"/>
      <c r="H200" s="14"/>
    </row>
    <row r="201" spans="3:8" ht="14.25" customHeight="1">
      <c r="C201" s="14"/>
      <c r="D201" s="14"/>
      <c r="E201" s="14"/>
      <c r="F201" s="14"/>
      <c r="G201" s="14"/>
      <c r="H201" s="14"/>
    </row>
    <row r="202" spans="3:8" ht="14.25" customHeight="1">
      <c r="C202" s="14"/>
      <c r="D202" s="14"/>
      <c r="E202" s="14"/>
      <c r="F202" s="14"/>
      <c r="G202" s="14"/>
      <c r="H202" s="14"/>
    </row>
    <row r="203" spans="3:8" ht="14.25" customHeight="1">
      <c r="C203" s="14"/>
      <c r="D203" s="14"/>
      <c r="E203" s="14"/>
      <c r="F203" s="14"/>
      <c r="G203" s="14"/>
      <c r="H203" s="14"/>
    </row>
    <row r="204" spans="3:8" ht="14.25" customHeight="1">
      <c r="C204" s="14"/>
      <c r="D204" s="14"/>
      <c r="E204" s="14"/>
      <c r="F204" s="14"/>
      <c r="G204" s="14"/>
      <c r="H204" s="14"/>
    </row>
    <row r="205" spans="3:8" ht="14.25" customHeight="1">
      <c r="C205" s="14"/>
      <c r="D205" s="14"/>
      <c r="E205" s="14"/>
      <c r="F205" s="14"/>
      <c r="G205" s="14"/>
      <c r="H205" s="14"/>
    </row>
    <row r="206" spans="3:8" ht="14.25" customHeight="1">
      <c r="C206" s="14"/>
      <c r="D206" s="14"/>
      <c r="E206" s="14"/>
      <c r="F206" s="14"/>
      <c r="G206" s="14"/>
      <c r="H206" s="14"/>
    </row>
    <row r="207" spans="3:8" ht="14.25" customHeight="1">
      <c r="C207" s="14"/>
      <c r="D207" s="14"/>
      <c r="E207" s="14"/>
      <c r="F207" s="14"/>
      <c r="G207" s="14"/>
      <c r="H207" s="14"/>
    </row>
    <row r="208" spans="3:8" ht="14.25" customHeight="1">
      <c r="C208" s="14"/>
      <c r="D208" s="14"/>
      <c r="E208" s="14"/>
      <c r="F208" s="14"/>
      <c r="G208" s="14"/>
      <c r="H208" s="14"/>
    </row>
    <row r="209" spans="3:8" ht="14.25" customHeight="1">
      <c r="C209" s="14"/>
      <c r="D209" s="14"/>
      <c r="E209" s="14"/>
      <c r="F209" s="14"/>
      <c r="G209" s="14"/>
      <c r="H209" s="14"/>
    </row>
    <row r="210" spans="3:8" ht="14.25" customHeight="1">
      <c r="C210" s="14"/>
      <c r="D210" s="14"/>
      <c r="E210" s="14"/>
      <c r="F210" s="14"/>
      <c r="G210" s="14"/>
      <c r="H210" s="14"/>
    </row>
    <row r="211" spans="3:8" ht="14.25" customHeight="1">
      <c r="C211" s="14"/>
      <c r="D211" s="14"/>
      <c r="E211" s="14"/>
      <c r="F211" s="14"/>
      <c r="G211" s="14"/>
      <c r="H211" s="14"/>
    </row>
    <row r="212" spans="3:8" ht="14.25" customHeight="1">
      <c r="C212" s="14"/>
      <c r="D212" s="14"/>
      <c r="E212" s="14"/>
      <c r="F212" s="14"/>
      <c r="G212" s="14"/>
      <c r="H212" s="14"/>
    </row>
    <row r="213" spans="3:8" ht="14.25" customHeight="1">
      <c r="C213" s="14"/>
      <c r="D213" s="14"/>
      <c r="E213" s="14"/>
      <c r="F213" s="14"/>
      <c r="G213" s="14"/>
      <c r="H213" s="14"/>
    </row>
    <row r="214" spans="3:8" ht="14.25" customHeight="1">
      <c r="C214" s="14"/>
      <c r="D214" s="14"/>
      <c r="E214" s="14"/>
      <c r="F214" s="14"/>
      <c r="G214" s="14"/>
      <c r="H214" s="14"/>
    </row>
    <row r="215" spans="3:8" ht="14.25" customHeight="1">
      <c r="C215" s="14"/>
      <c r="D215" s="14"/>
      <c r="E215" s="14"/>
      <c r="F215" s="14"/>
      <c r="G215" s="14"/>
      <c r="H215" s="14"/>
    </row>
    <row r="216" spans="3:8" ht="14.25" customHeight="1">
      <c r="C216" s="14"/>
      <c r="D216" s="14"/>
      <c r="E216" s="14"/>
      <c r="F216" s="14"/>
      <c r="G216" s="14"/>
      <c r="H216" s="14"/>
    </row>
    <row r="217" spans="3:8" ht="14.25" customHeight="1">
      <c r="C217" s="14"/>
      <c r="D217" s="14"/>
      <c r="E217" s="14"/>
      <c r="F217" s="14"/>
      <c r="G217" s="14"/>
      <c r="H217" s="14"/>
    </row>
    <row r="218" spans="3:8" ht="14.25" customHeight="1">
      <c r="C218" s="14"/>
      <c r="D218" s="14"/>
      <c r="E218" s="14"/>
      <c r="F218" s="14"/>
      <c r="G218" s="14"/>
      <c r="H218" s="14"/>
    </row>
    <row r="219" spans="3:8" ht="14.25" customHeight="1">
      <c r="C219" s="14"/>
      <c r="D219" s="14"/>
      <c r="E219" s="14"/>
      <c r="F219" s="14"/>
      <c r="G219" s="14"/>
      <c r="H219" s="14"/>
    </row>
    <row r="220" spans="3:8" ht="14.25" customHeight="1">
      <c r="C220" s="14"/>
      <c r="D220" s="14"/>
      <c r="E220" s="14"/>
      <c r="F220" s="14"/>
      <c r="G220" s="14"/>
      <c r="H220" s="14"/>
    </row>
    <row r="221" spans="3:8" ht="14.25" customHeight="1">
      <c r="C221" s="14"/>
      <c r="D221" s="14"/>
      <c r="E221" s="14"/>
      <c r="F221" s="14"/>
      <c r="G221" s="14"/>
      <c r="H221" s="14"/>
    </row>
    <row r="222" spans="3:8" ht="14.25" customHeight="1">
      <c r="C222" s="14"/>
      <c r="D222" s="14"/>
      <c r="E222" s="14"/>
      <c r="F222" s="14"/>
      <c r="G222" s="14"/>
      <c r="H222" s="14"/>
    </row>
    <row r="223" spans="3:8" ht="14.25" customHeight="1">
      <c r="C223" s="14"/>
      <c r="D223" s="14"/>
      <c r="E223" s="14"/>
      <c r="F223" s="14"/>
      <c r="G223" s="14"/>
      <c r="H223" s="14"/>
    </row>
    <row r="224" spans="3:8" ht="14.25" customHeight="1">
      <c r="C224" s="14"/>
      <c r="D224" s="14"/>
      <c r="E224" s="14"/>
      <c r="F224" s="14"/>
      <c r="G224" s="14"/>
      <c r="H224" s="14"/>
    </row>
    <row r="225" spans="3:8" ht="14.25" customHeight="1">
      <c r="C225" s="14"/>
      <c r="D225" s="14"/>
      <c r="E225" s="14"/>
      <c r="F225" s="14"/>
      <c r="G225" s="14"/>
      <c r="H225" s="14"/>
    </row>
    <row r="226" spans="3:8" ht="14.25" customHeight="1">
      <c r="C226" s="14"/>
      <c r="D226" s="14"/>
      <c r="E226" s="14"/>
      <c r="F226" s="14"/>
      <c r="G226" s="14"/>
      <c r="H226" s="14"/>
    </row>
    <row r="227" spans="3:8" ht="14.25" customHeight="1">
      <c r="C227" s="14"/>
      <c r="D227" s="14"/>
      <c r="E227" s="14"/>
      <c r="F227" s="14"/>
      <c r="G227" s="14"/>
      <c r="H227" s="14"/>
    </row>
    <row r="228" spans="3:8" ht="14.25" customHeight="1">
      <c r="C228" s="14"/>
      <c r="D228" s="14"/>
      <c r="E228" s="14"/>
      <c r="F228" s="14"/>
      <c r="G228" s="14"/>
      <c r="H228" s="14"/>
    </row>
    <row r="229" spans="3:8" ht="14.25" customHeight="1">
      <c r="C229" s="14"/>
      <c r="D229" s="14"/>
      <c r="E229" s="14"/>
      <c r="F229" s="14"/>
      <c r="G229" s="14"/>
      <c r="H229" s="14"/>
    </row>
    <row r="230" spans="3:8" ht="14.25" customHeight="1">
      <c r="C230" s="14"/>
      <c r="D230" s="14"/>
      <c r="E230" s="14"/>
      <c r="F230" s="14"/>
      <c r="G230" s="14"/>
      <c r="H230" s="14"/>
    </row>
    <row r="231" spans="3:8" ht="14.25" customHeight="1">
      <c r="C231" s="14"/>
      <c r="D231" s="14"/>
      <c r="E231" s="14"/>
      <c r="F231" s="14"/>
      <c r="G231" s="14"/>
      <c r="H231" s="14"/>
    </row>
    <row r="232" spans="3:8" ht="14.25" customHeight="1">
      <c r="C232" s="14"/>
      <c r="D232" s="14"/>
      <c r="E232" s="14"/>
      <c r="F232" s="14"/>
      <c r="G232" s="14"/>
      <c r="H232" s="14"/>
    </row>
    <row r="233" spans="3:8" ht="14.25" customHeight="1">
      <c r="C233" s="14"/>
      <c r="D233" s="14"/>
      <c r="E233" s="14"/>
      <c r="F233" s="14"/>
      <c r="G233" s="14"/>
      <c r="H233" s="14"/>
    </row>
    <row r="234" spans="3:8" ht="14.25" customHeight="1">
      <c r="C234" s="14"/>
      <c r="D234" s="14"/>
      <c r="E234" s="14"/>
      <c r="F234" s="14"/>
      <c r="G234" s="14"/>
      <c r="H234" s="14"/>
    </row>
    <row r="235" spans="3:8" ht="14.25" customHeight="1">
      <c r="C235" s="14"/>
      <c r="D235" s="14"/>
      <c r="E235" s="14"/>
      <c r="F235" s="14"/>
      <c r="G235" s="14"/>
      <c r="H235" s="14"/>
    </row>
    <row r="236" spans="3:8" ht="14.25" customHeight="1">
      <c r="C236" s="14"/>
      <c r="D236" s="14"/>
      <c r="E236" s="14"/>
      <c r="F236" s="14"/>
      <c r="G236" s="14"/>
      <c r="H236" s="14"/>
    </row>
    <row r="237" spans="3:8" ht="14.25" customHeight="1">
      <c r="C237" s="14"/>
      <c r="D237" s="14"/>
      <c r="E237" s="14"/>
      <c r="F237" s="14"/>
      <c r="G237" s="14"/>
      <c r="H237" s="14"/>
    </row>
    <row r="238" spans="3:8" ht="14.25" customHeight="1">
      <c r="C238" s="14"/>
      <c r="D238" s="14"/>
      <c r="E238" s="14"/>
      <c r="F238" s="14"/>
      <c r="G238" s="14"/>
      <c r="H238" s="14"/>
    </row>
    <row r="239" spans="3:8" ht="14.25" customHeight="1">
      <c r="C239" s="14"/>
      <c r="D239" s="14"/>
      <c r="E239" s="14"/>
      <c r="F239" s="14"/>
      <c r="G239" s="14"/>
      <c r="H239" s="14"/>
    </row>
    <row r="240" spans="3:8" ht="14.25" customHeight="1">
      <c r="C240" s="14"/>
      <c r="D240" s="14"/>
      <c r="E240" s="14"/>
      <c r="F240" s="14"/>
      <c r="G240" s="14"/>
      <c r="H240" s="14"/>
    </row>
    <row r="241" spans="3:8" ht="14.25" customHeight="1">
      <c r="C241" s="14"/>
      <c r="D241" s="14"/>
      <c r="E241" s="14"/>
      <c r="F241" s="14"/>
      <c r="G241" s="14"/>
      <c r="H241" s="14"/>
    </row>
    <row r="242" spans="3:8" ht="14.25" customHeight="1">
      <c r="C242" s="14"/>
      <c r="D242" s="14"/>
      <c r="E242" s="14"/>
      <c r="F242" s="14"/>
      <c r="G242" s="14"/>
      <c r="H242" s="14"/>
    </row>
    <row r="243" spans="3:8" ht="14.25" customHeight="1">
      <c r="C243" s="14"/>
      <c r="D243" s="14"/>
      <c r="E243" s="14"/>
      <c r="F243" s="14"/>
      <c r="G243" s="14"/>
      <c r="H243" s="14"/>
    </row>
    <row r="244" spans="3:8" ht="14.25" customHeight="1">
      <c r="C244" s="14"/>
      <c r="D244" s="14"/>
      <c r="E244" s="14"/>
      <c r="F244" s="14"/>
      <c r="G244" s="14"/>
      <c r="H244" s="14"/>
    </row>
    <row r="245" spans="3:8" ht="14.25" customHeight="1">
      <c r="C245" s="14"/>
      <c r="D245" s="14"/>
      <c r="E245" s="14"/>
      <c r="F245" s="14"/>
      <c r="G245" s="14"/>
      <c r="H245" s="14"/>
    </row>
    <row r="246" spans="3:8" ht="14.25" customHeight="1">
      <c r="C246" s="14"/>
      <c r="D246" s="14"/>
      <c r="E246" s="14"/>
      <c r="F246" s="14"/>
      <c r="G246" s="14"/>
      <c r="H246" s="14"/>
    </row>
    <row r="247" spans="3:8" ht="14.25" customHeight="1">
      <c r="C247" s="14"/>
      <c r="D247" s="14"/>
      <c r="E247" s="14"/>
      <c r="F247" s="14"/>
      <c r="G247" s="14"/>
      <c r="H247" s="14"/>
    </row>
    <row r="248" spans="3:8" ht="14.25" customHeight="1">
      <c r="C248" s="14"/>
      <c r="D248" s="14"/>
      <c r="E248" s="14"/>
      <c r="F248" s="14"/>
      <c r="G248" s="14"/>
      <c r="H248" s="14"/>
    </row>
    <row r="249" spans="3:8" ht="14.25" customHeight="1">
      <c r="C249" s="14"/>
      <c r="D249" s="14"/>
      <c r="E249" s="14"/>
      <c r="F249" s="14"/>
      <c r="G249" s="14"/>
      <c r="H249" s="14"/>
    </row>
    <row r="250" spans="3:8" ht="14.25" customHeight="1">
      <c r="C250" s="14"/>
      <c r="D250" s="14"/>
      <c r="E250" s="14"/>
      <c r="F250" s="14"/>
      <c r="G250" s="14"/>
      <c r="H250" s="14"/>
    </row>
    <row r="251" spans="3:8" ht="14.25" customHeight="1">
      <c r="C251" s="14"/>
      <c r="D251" s="14"/>
      <c r="E251" s="14"/>
      <c r="F251" s="14"/>
      <c r="G251" s="14"/>
      <c r="H251" s="14"/>
    </row>
    <row r="252" spans="3:8" ht="14.25" customHeight="1">
      <c r="C252" s="14"/>
      <c r="D252" s="14"/>
      <c r="E252" s="14"/>
      <c r="F252" s="14"/>
      <c r="G252" s="14"/>
      <c r="H252" s="14"/>
    </row>
    <row r="253" spans="3:8" ht="14.25" customHeight="1">
      <c r="C253" s="14"/>
      <c r="D253" s="14"/>
      <c r="E253" s="14"/>
      <c r="F253" s="14"/>
      <c r="G253" s="14"/>
      <c r="H253" s="14"/>
    </row>
    <row r="254" spans="3:8" ht="14.25" customHeight="1">
      <c r="C254" s="14"/>
      <c r="D254" s="14"/>
      <c r="E254" s="14"/>
      <c r="F254" s="14"/>
      <c r="G254" s="14"/>
      <c r="H254" s="14"/>
    </row>
    <row r="255" spans="3:8" ht="14.25" customHeight="1">
      <c r="C255" s="14"/>
      <c r="D255" s="14"/>
      <c r="E255" s="14"/>
      <c r="F255" s="14"/>
      <c r="G255" s="14"/>
      <c r="H255" s="14"/>
    </row>
    <row r="256" spans="3:8" ht="14.25" customHeight="1">
      <c r="C256" s="14"/>
      <c r="D256" s="14"/>
      <c r="E256" s="14"/>
      <c r="F256" s="14"/>
      <c r="G256" s="14"/>
      <c r="H256" s="14"/>
    </row>
    <row r="257" spans="3:8" ht="14.25" customHeight="1">
      <c r="C257" s="14"/>
      <c r="D257" s="14"/>
      <c r="E257" s="14"/>
      <c r="F257" s="14"/>
      <c r="G257" s="14"/>
      <c r="H257" s="14"/>
    </row>
    <row r="258" spans="3:8" ht="14.25" customHeight="1">
      <c r="C258" s="14"/>
      <c r="D258" s="14"/>
      <c r="E258" s="14"/>
      <c r="F258" s="14"/>
      <c r="G258" s="14"/>
      <c r="H258" s="14"/>
    </row>
    <row r="259" spans="3:8" ht="14.25" customHeight="1">
      <c r="C259" s="14"/>
      <c r="D259" s="14"/>
      <c r="E259" s="14"/>
      <c r="F259" s="14"/>
      <c r="G259" s="14"/>
      <c r="H259" s="14"/>
    </row>
    <row r="260" spans="3:8" ht="14.25" customHeight="1">
      <c r="C260" s="14"/>
      <c r="D260" s="14"/>
      <c r="E260" s="14"/>
      <c r="F260" s="14"/>
      <c r="G260" s="14"/>
      <c r="H260" s="14"/>
    </row>
    <row r="261" spans="3:8" ht="14.25" customHeight="1">
      <c r="C261" s="14"/>
      <c r="D261" s="14"/>
      <c r="E261" s="14"/>
      <c r="F261" s="14"/>
      <c r="G261" s="14"/>
      <c r="H261" s="14"/>
    </row>
    <row r="262" spans="3:8" ht="14.25" customHeight="1">
      <c r="C262" s="14"/>
      <c r="D262" s="14"/>
      <c r="E262" s="14"/>
      <c r="F262" s="14"/>
      <c r="G262" s="14"/>
      <c r="H262" s="14"/>
    </row>
    <row r="263" spans="3:8" ht="14.25" customHeight="1">
      <c r="C263" s="14"/>
      <c r="D263" s="14"/>
      <c r="E263" s="14"/>
      <c r="F263" s="14"/>
      <c r="G263" s="14"/>
      <c r="H263" s="14"/>
    </row>
    <row r="264" spans="3:8" ht="14.25" customHeight="1">
      <c r="C264" s="14"/>
      <c r="D264" s="14"/>
      <c r="E264" s="14"/>
      <c r="F264" s="14"/>
      <c r="G264" s="14"/>
      <c r="H264" s="14"/>
    </row>
    <row r="265" spans="3:8" ht="14.25" customHeight="1">
      <c r="C265" s="14"/>
      <c r="D265" s="14"/>
      <c r="E265" s="14"/>
      <c r="F265" s="14"/>
      <c r="G265" s="14"/>
      <c r="H265" s="14"/>
    </row>
    <row r="266" spans="3:8" ht="14.25" customHeight="1">
      <c r="C266" s="14"/>
      <c r="D266" s="14"/>
      <c r="E266" s="14"/>
      <c r="F266" s="14"/>
      <c r="G266" s="14"/>
      <c r="H266" s="14"/>
    </row>
    <row r="267" spans="3:8" ht="14.25" customHeight="1">
      <c r="C267" s="14"/>
      <c r="D267" s="14"/>
      <c r="E267" s="14"/>
      <c r="F267" s="14"/>
      <c r="G267" s="14"/>
      <c r="H267" s="14"/>
    </row>
    <row r="268" spans="3:8" ht="14.25" customHeight="1">
      <c r="C268" s="14"/>
      <c r="D268" s="14"/>
      <c r="E268" s="14"/>
      <c r="F268" s="14"/>
      <c r="G268" s="14"/>
      <c r="H268" s="14"/>
    </row>
    <row r="269" spans="3:8" ht="14.25" customHeight="1">
      <c r="C269" s="14"/>
      <c r="D269" s="14"/>
      <c r="E269" s="14"/>
      <c r="F269" s="14"/>
      <c r="G269" s="14"/>
      <c r="H269" s="14"/>
    </row>
    <row r="270" spans="3:8" ht="14.25" customHeight="1">
      <c r="C270" s="14"/>
      <c r="D270" s="14"/>
      <c r="E270" s="14"/>
      <c r="F270" s="14"/>
      <c r="G270" s="14"/>
      <c r="H270" s="14"/>
    </row>
    <row r="271" spans="3:8" ht="14.25" customHeight="1">
      <c r="C271" s="14"/>
      <c r="D271" s="14"/>
      <c r="E271" s="14"/>
      <c r="F271" s="14"/>
      <c r="G271" s="14"/>
      <c r="H271" s="14"/>
    </row>
    <row r="272" spans="3:8" ht="14.25" customHeight="1">
      <c r="C272" s="14"/>
      <c r="D272" s="14"/>
      <c r="E272" s="14"/>
      <c r="F272" s="14"/>
      <c r="G272" s="14"/>
      <c r="H272" s="14"/>
    </row>
    <row r="273" spans="3:8" ht="14.25" customHeight="1">
      <c r="C273" s="14"/>
      <c r="D273" s="14"/>
      <c r="E273" s="14"/>
      <c r="F273" s="14"/>
      <c r="G273" s="14"/>
      <c r="H273" s="14"/>
    </row>
    <row r="274" spans="3:8" ht="14.25" customHeight="1">
      <c r="C274" s="14"/>
      <c r="D274" s="14"/>
      <c r="E274" s="14"/>
      <c r="F274" s="14"/>
      <c r="G274" s="14"/>
      <c r="H274" s="14"/>
    </row>
    <row r="275" spans="3:8" ht="14.25" customHeight="1">
      <c r="C275" s="14"/>
      <c r="D275" s="14"/>
      <c r="E275" s="14"/>
      <c r="F275" s="14"/>
      <c r="G275" s="14"/>
      <c r="H275" s="14"/>
    </row>
    <row r="276" spans="3:8" ht="14.25" customHeight="1">
      <c r="C276" s="14"/>
      <c r="D276" s="14"/>
      <c r="E276" s="14"/>
      <c r="F276" s="14"/>
      <c r="G276" s="14"/>
      <c r="H276" s="14"/>
    </row>
    <row r="277" spans="3:8" ht="14.25" customHeight="1">
      <c r="C277" s="14"/>
      <c r="D277" s="14"/>
      <c r="E277" s="14"/>
      <c r="F277" s="14"/>
      <c r="G277" s="14"/>
      <c r="H277" s="14"/>
    </row>
    <row r="278" spans="3:8" ht="14.25" customHeight="1">
      <c r="C278" s="14"/>
      <c r="D278" s="14"/>
      <c r="E278" s="14"/>
      <c r="F278" s="14"/>
      <c r="G278" s="14"/>
      <c r="H278" s="14"/>
    </row>
    <row r="279" spans="3:8" ht="14.25" customHeight="1">
      <c r="C279" s="14"/>
      <c r="D279" s="14"/>
      <c r="E279" s="14"/>
      <c r="F279" s="14"/>
      <c r="G279" s="14"/>
      <c r="H279" s="14"/>
    </row>
    <row r="280" spans="3:8" ht="14.25" customHeight="1">
      <c r="C280" s="14"/>
      <c r="D280" s="14"/>
      <c r="E280" s="14"/>
      <c r="F280" s="14"/>
      <c r="G280" s="14"/>
      <c r="H280" s="14"/>
    </row>
    <row r="281" spans="3:8" ht="14.25" customHeight="1">
      <c r="C281" s="14"/>
      <c r="D281" s="14"/>
      <c r="E281" s="14"/>
      <c r="F281" s="14"/>
      <c r="G281" s="14"/>
      <c r="H281" s="14"/>
    </row>
    <row r="282" spans="3:8" ht="14.25" customHeight="1">
      <c r="C282" s="14"/>
      <c r="D282" s="14"/>
      <c r="E282" s="14"/>
      <c r="F282" s="14"/>
      <c r="G282" s="14"/>
      <c r="H282" s="14"/>
    </row>
    <row r="283" spans="3:8" ht="14.25" customHeight="1">
      <c r="C283" s="14"/>
      <c r="D283" s="14"/>
      <c r="E283" s="14"/>
      <c r="F283" s="14"/>
      <c r="G283" s="14"/>
      <c r="H283" s="14"/>
    </row>
    <row r="284" spans="3:8" ht="14.25" customHeight="1">
      <c r="C284" s="14"/>
      <c r="D284" s="14"/>
      <c r="E284" s="14"/>
      <c r="F284" s="14"/>
      <c r="G284" s="14"/>
      <c r="H284" s="14"/>
    </row>
    <row r="285" spans="3:8" ht="14.25" customHeight="1">
      <c r="C285" s="14"/>
      <c r="D285" s="14"/>
      <c r="E285" s="14"/>
      <c r="F285" s="14"/>
      <c r="G285" s="14"/>
      <c r="H285" s="14"/>
    </row>
    <row r="286" spans="3:8" ht="14.25" customHeight="1">
      <c r="C286" s="14"/>
      <c r="D286" s="14"/>
      <c r="E286" s="14"/>
      <c r="F286" s="14"/>
      <c r="G286" s="14"/>
      <c r="H286" s="14"/>
    </row>
    <row r="287" spans="3:8" ht="14.25" customHeight="1">
      <c r="C287" s="14"/>
      <c r="D287" s="14"/>
      <c r="E287" s="14"/>
      <c r="F287" s="14"/>
      <c r="G287" s="14"/>
      <c r="H287" s="14"/>
    </row>
    <row r="288" spans="3:8" ht="14.25" customHeight="1">
      <c r="C288" s="14"/>
      <c r="D288" s="14"/>
      <c r="E288" s="14"/>
      <c r="F288" s="14"/>
      <c r="G288" s="14"/>
      <c r="H288" s="14"/>
    </row>
    <row r="289" spans="3:8" ht="14.25" customHeight="1">
      <c r="C289" s="14"/>
      <c r="D289" s="14"/>
      <c r="E289" s="14"/>
      <c r="F289" s="14"/>
      <c r="G289" s="14"/>
      <c r="H289" s="14"/>
    </row>
    <row r="290" spans="3:8" ht="14.25" customHeight="1">
      <c r="C290" s="14"/>
      <c r="D290" s="14"/>
      <c r="E290" s="14"/>
      <c r="F290" s="14"/>
      <c r="G290" s="14"/>
      <c r="H290" s="14"/>
    </row>
    <row r="291" spans="3:8" ht="14.25" customHeight="1">
      <c r="C291" s="14"/>
      <c r="D291" s="14"/>
      <c r="E291" s="14"/>
      <c r="F291" s="14"/>
      <c r="G291" s="14"/>
      <c r="H291" s="14"/>
    </row>
    <row r="292" spans="3:8" ht="14.25" customHeight="1">
      <c r="C292" s="14"/>
      <c r="D292" s="14"/>
      <c r="E292" s="14"/>
      <c r="F292" s="14"/>
      <c r="G292" s="14"/>
      <c r="H292" s="14"/>
    </row>
    <row r="293" spans="3:8" ht="14.25" customHeight="1">
      <c r="C293" s="14"/>
      <c r="D293" s="14"/>
      <c r="E293" s="14"/>
      <c r="F293" s="14"/>
      <c r="G293" s="14"/>
      <c r="H293" s="14"/>
    </row>
    <row r="294" spans="3:8" ht="14.25" customHeight="1">
      <c r="C294" s="14"/>
      <c r="D294" s="14"/>
      <c r="E294" s="14"/>
      <c r="F294" s="14"/>
      <c r="G294" s="14"/>
      <c r="H294" s="14"/>
    </row>
    <row r="295" spans="3:8" ht="14.25" customHeight="1">
      <c r="C295" s="14"/>
      <c r="D295" s="14"/>
      <c r="E295" s="14"/>
      <c r="F295" s="14"/>
      <c r="G295" s="14"/>
      <c r="H295" s="14"/>
    </row>
    <row r="296" spans="3:8" ht="14.25" customHeight="1">
      <c r="C296" s="14"/>
      <c r="D296" s="14"/>
      <c r="E296" s="14"/>
      <c r="F296" s="14"/>
      <c r="G296" s="14"/>
      <c r="H296" s="14"/>
    </row>
    <row r="297" spans="3:8" ht="14.25" customHeight="1">
      <c r="C297" s="14"/>
      <c r="D297" s="14"/>
      <c r="E297" s="14"/>
      <c r="F297" s="14"/>
      <c r="G297" s="14"/>
      <c r="H297" s="14"/>
    </row>
    <row r="298" spans="3:8" ht="14.25" customHeight="1">
      <c r="C298" s="14"/>
      <c r="D298" s="14"/>
      <c r="E298" s="14"/>
      <c r="F298" s="14"/>
      <c r="G298" s="14"/>
      <c r="H298" s="14"/>
    </row>
    <row r="299" spans="3:8" ht="14.25" customHeight="1">
      <c r="C299" s="14"/>
      <c r="D299" s="14"/>
      <c r="E299" s="14"/>
      <c r="F299" s="14"/>
      <c r="G299" s="14"/>
      <c r="H299" s="14"/>
    </row>
    <row r="300" spans="3:8" ht="14.25" customHeight="1">
      <c r="C300" s="14"/>
      <c r="D300" s="14"/>
      <c r="E300" s="14"/>
      <c r="F300" s="14"/>
      <c r="G300" s="14"/>
      <c r="H300" s="14"/>
    </row>
    <row r="301" spans="3:8" ht="14.25" customHeight="1">
      <c r="C301" s="14"/>
      <c r="D301" s="14"/>
      <c r="E301" s="14"/>
      <c r="F301" s="14"/>
      <c r="G301" s="14"/>
      <c r="H301" s="14"/>
    </row>
    <row r="302" spans="3:8" ht="14.25" customHeight="1">
      <c r="C302" s="14"/>
      <c r="D302" s="14"/>
      <c r="E302" s="14"/>
      <c r="F302" s="14"/>
      <c r="G302" s="14"/>
      <c r="H302" s="14"/>
    </row>
    <row r="303" spans="3:8" ht="14.25" customHeight="1">
      <c r="C303" s="14"/>
      <c r="D303" s="14"/>
      <c r="E303" s="14"/>
      <c r="F303" s="14"/>
      <c r="G303" s="14"/>
      <c r="H303" s="14"/>
    </row>
    <row r="304" spans="3:8" ht="14.25" customHeight="1">
      <c r="C304" s="14"/>
      <c r="D304" s="14"/>
      <c r="E304" s="14"/>
      <c r="F304" s="14"/>
      <c r="G304" s="14"/>
      <c r="H304" s="14"/>
    </row>
    <row r="305" spans="3:8" ht="14.25" customHeight="1">
      <c r="C305" s="14"/>
      <c r="D305" s="14"/>
      <c r="E305" s="14"/>
      <c r="F305" s="14"/>
      <c r="G305" s="14"/>
      <c r="H305" s="14"/>
    </row>
    <row r="306" spans="3:8" ht="14.25" customHeight="1">
      <c r="C306" s="14"/>
      <c r="D306" s="14"/>
      <c r="E306" s="14"/>
      <c r="F306" s="14"/>
      <c r="G306" s="14"/>
      <c r="H306" s="14"/>
    </row>
    <row r="307" spans="3:8" ht="14.25" customHeight="1">
      <c r="C307" s="14"/>
      <c r="D307" s="14"/>
      <c r="E307" s="14"/>
      <c r="F307" s="14"/>
      <c r="G307" s="14"/>
      <c r="H307" s="14"/>
    </row>
    <row r="308" spans="3:8" ht="14.25" customHeight="1">
      <c r="C308" s="14"/>
      <c r="D308" s="14"/>
      <c r="E308" s="14"/>
      <c r="F308" s="14"/>
      <c r="G308" s="14"/>
      <c r="H308" s="14"/>
    </row>
    <row r="309" spans="3:8" ht="14.25" customHeight="1">
      <c r="C309" s="14"/>
      <c r="D309" s="14"/>
      <c r="E309" s="14"/>
      <c r="F309" s="14"/>
      <c r="G309" s="14"/>
      <c r="H309" s="14"/>
    </row>
    <row r="310" spans="3:8" ht="14.25" customHeight="1">
      <c r="C310" s="14"/>
      <c r="D310" s="14"/>
      <c r="E310" s="14"/>
      <c r="F310" s="14"/>
      <c r="G310" s="14"/>
      <c r="H310" s="14"/>
    </row>
    <row r="311" spans="3:8" ht="14.25" customHeight="1">
      <c r="C311" s="14"/>
      <c r="D311" s="14"/>
      <c r="E311" s="14"/>
      <c r="F311" s="14"/>
      <c r="G311" s="14"/>
      <c r="H311" s="14"/>
    </row>
    <row r="312" spans="3:8" ht="14.25" customHeight="1">
      <c r="C312" s="14"/>
      <c r="D312" s="14"/>
      <c r="E312" s="14"/>
      <c r="F312" s="14"/>
      <c r="G312" s="14"/>
      <c r="H312" s="14"/>
    </row>
    <row r="313" spans="3:8" ht="14.25" customHeight="1">
      <c r="C313" s="14"/>
      <c r="D313" s="14"/>
      <c r="E313" s="14"/>
      <c r="F313" s="14"/>
      <c r="G313" s="14"/>
      <c r="H313" s="14"/>
    </row>
    <row r="314" spans="3:8" ht="14.25" customHeight="1">
      <c r="C314" s="14"/>
      <c r="D314" s="14"/>
      <c r="E314" s="14"/>
      <c r="F314" s="14"/>
      <c r="G314" s="14"/>
      <c r="H314" s="14"/>
    </row>
    <row r="315" spans="3:8" ht="14.25" customHeight="1">
      <c r="C315" s="14"/>
      <c r="D315" s="14"/>
      <c r="E315" s="14"/>
      <c r="F315" s="14"/>
      <c r="G315" s="14"/>
      <c r="H315" s="14"/>
    </row>
    <row r="316" spans="3:8" ht="14.25" customHeight="1">
      <c r="C316" s="14"/>
      <c r="D316" s="14"/>
      <c r="E316" s="14"/>
      <c r="F316" s="14"/>
      <c r="G316" s="14"/>
      <c r="H316" s="14"/>
    </row>
    <row r="317" spans="3:8" ht="14.25" customHeight="1">
      <c r="C317" s="14"/>
      <c r="D317" s="14"/>
      <c r="E317" s="14"/>
      <c r="F317" s="14"/>
      <c r="G317" s="14"/>
      <c r="H317" s="14"/>
    </row>
    <row r="318" spans="3:8" ht="14.25" customHeight="1">
      <c r="C318" s="14"/>
      <c r="D318" s="14"/>
      <c r="E318" s="14"/>
      <c r="F318" s="14"/>
      <c r="G318" s="14"/>
      <c r="H318" s="14"/>
    </row>
    <row r="319" spans="3:8" ht="14.25" customHeight="1">
      <c r="C319" s="14"/>
      <c r="D319" s="14"/>
      <c r="E319" s="14"/>
      <c r="F319" s="14"/>
      <c r="G319" s="14"/>
      <c r="H319" s="14"/>
    </row>
    <row r="320" spans="3:8" ht="14.25" customHeight="1">
      <c r="C320" s="14"/>
      <c r="D320" s="14"/>
      <c r="E320" s="14"/>
      <c r="F320" s="14"/>
      <c r="G320" s="14"/>
      <c r="H320" s="14"/>
    </row>
    <row r="321" spans="3:8" ht="14.25" customHeight="1">
      <c r="C321" s="14"/>
      <c r="D321" s="14"/>
      <c r="E321" s="14"/>
      <c r="F321" s="14"/>
      <c r="G321" s="14"/>
      <c r="H321" s="14"/>
    </row>
    <row r="322" spans="3:8" ht="14.25" customHeight="1">
      <c r="C322" s="14"/>
      <c r="D322" s="14"/>
      <c r="E322" s="14"/>
      <c r="F322" s="14"/>
      <c r="G322" s="14"/>
      <c r="H322" s="14"/>
    </row>
    <row r="323" spans="3:8" ht="14.25" customHeight="1">
      <c r="C323" s="14"/>
      <c r="D323" s="14"/>
      <c r="E323" s="14"/>
      <c r="F323" s="14"/>
      <c r="G323" s="14"/>
      <c r="H323" s="14"/>
    </row>
    <row r="324" spans="3:8" ht="14.25" customHeight="1">
      <c r="C324" s="14"/>
      <c r="D324" s="14"/>
      <c r="E324" s="14"/>
      <c r="F324" s="14"/>
      <c r="G324" s="14"/>
      <c r="H324" s="14"/>
    </row>
    <row r="325" spans="3:8" ht="14.25" customHeight="1">
      <c r="C325" s="14"/>
      <c r="D325" s="14"/>
      <c r="E325" s="14"/>
      <c r="F325" s="14"/>
      <c r="G325" s="14"/>
      <c r="H325" s="14"/>
    </row>
    <row r="326" spans="3:8" ht="14.25" customHeight="1">
      <c r="C326" s="14"/>
      <c r="D326" s="14"/>
      <c r="E326" s="14"/>
      <c r="F326" s="14"/>
      <c r="G326" s="14"/>
      <c r="H326" s="14"/>
    </row>
    <row r="327" spans="3:8" ht="14.25" customHeight="1">
      <c r="C327" s="14"/>
      <c r="D327" s="14"/>
      <c r="E327" s="14"/>
      <c r="F327" s="14"/>
      <c r="G327" s="14"/>
      <c r="H327" s="14"/>
    </row>
    <row r="328" spans="3:8" ht="14.25" customHeight="1">
      <c r="C328" s="14"/>
      <c r="D328" s="14"/>
      <c r="E328" s="14"/>
      <c r="F328" s="14"/>
      <c r="G328" s="14"/>
      <c r="H328" s="14"/>
    </row>
    <row r="329" spans="3:8" ht="14.25" customHeight="1">
      <c r="C329" s="14"/>
      <c r="D329" s="14"/>
      <c r="E329" s="14"/>
      <c r="F329" s="14"/>
      <c r="G329" s="14"/>
      <c r="H329" s="14"/>
    </row>
    <row r="330" spans="3:8" ht="14.25" customHeight="1">
      <c r="C330" s="14"/>
      <c r="D330" s="14"/>
      <c r="E330" s="14"/>
      <c r="F330" s="14"/>
      <c r="G330" s="14"/>
      <c r="H330" s="14"/>
    </row>
    <row r="331" spans="3:8" ht="14.25" customHeight="1">
      <c r="C331" s="14"/>
      <c r="D331" s="14"/>
      <c r="E331" s="14"/>
      <c r="F331" s="14"/>
      <c r="G331" s="14"/>
      <c r="H331" s="14"/>
    </row>
    <row r="332" spans="3:8" ht="14.25" customHeight="1">
      <c r="C332" s="14"/>
      <c r="D332" s="14"/>
      <c r="E332" s="14"/>
      <c r="F332" s="14"/>
      <c r="G332" s="14"/>
      <c r="H332" s="14"/>
    </row>
    <row r="333" spans="3:8" ht="14.25" customHeight="1">
      <c r="C333" s="14"/>
      <c r="D333" s="14"/>
      <c r="E333" s="14"/>
      <c r="F333" s="14"/>
      <c r="G333" s="14"/>
      <c r="H333" s="14"/>
    </row>
    <row r="334" spans="3:8" ht="14.25" customHeight="1">
      <c r="C334" s="14"/>
      <c r="D334" s="14"/>
      <c r="E334" s="14"/>
      <c r="F334" s="14"/>
      <c r="G334" s="14"/>
      <c r="H334" s="14"/>
    </row>
    <row r="335" spans="3:8" ht="14.25" customHeight="1">
      <c r="C335" s="14"/>
      <c r="D335" s="14"/>
      <c r="E335" s="14"/>
      <c r="F335" s="14"/>
      <c r="G335" s="14"/>
      <c r="H335" s="14"/>
    </row>
    <row r="336" spans="3:8" ht="14.25" customHeight="1">
      <c r="C336" s="14"/>
      <c r="D336" s="14"/>
      <c r="E336" s="14"/>
      <c r="F336" s="14"/>
      <c r="G336" s="14"/>
      <c r="H336" s="14"/>
    </row>
    <row r="337" spans="3:8" ht="14.25" customHeight="1">
      <c r="C337" s="14"/>
      <c r="D337" s="14"/>
      <c r="E337" s="14"/>
      <c r="F337" s="14"/>
      <c r="G337" s="14"/>
      <c r="H337" s="14"/>
    </row>
    <row r="338" spans="3:8" ht="14.25" customHeight="1">
      <c r="C338" s="14"/>
      <c r="D338" s="14"/>
      <c r="E338" s="14"/>
      <c r="F338" s="14"/>
      <c r="G338" s="14"/>
      <c r="H338" s="14"/>
    </row>
    <row r="339" spans="3:8" ht="14.25" customHeight="1">
      <c r="C339" s="14"/>
      <c r="D339" s="14"/>
      <c r="E339" s="14"/>
      <c r="F339" s="14"/>
      <c r="G339" s="14"/>
      <c r="H339" s="14"/>
    </row>
    <row r="340" spans="3:8" ht="14.25" customHeight="1">
      <c r="C340" s="14"/>
      <c r="D340" s="14"/>
      <c r="E340" s="14"/>
      <c r="F340" s="14"/>
      <c r="G340" s="14"/>
      <c r="H340" s="14"/>
    </row>
    <row r="341" spans="3:8" ht="14.25" customHeight="1">
      <c r="C341" s="14"/>
      <c r="D341" s="14"/>
      <c r="E341" s="14"/>
      <c r="F341" s="14"/>
      <c r="G341" s="14"/>
      <c r="H341" s="14"/>
    </row>
    <row r="342" spans="3:8" ht="14.25" customHeight="1">
      <c r="C342" s="14"/>
      <c r="D342" s="14"/>
      <c r="E342" s="14"/>
      <c r="F342" s="14"/>
      <c r="G342" s="14"/>
      <c r="H342" s="14"/>
    </row>
    <row r="343" spans="3:8" ht="14.25" customHeight="1">
      <c r="C343" s="14"/>
      <c r="D343" s="14"/>
      <c r="E343" s="14"/>
      <c r="F343" s="14"/>
      <c r="G343" s="14"/>
      <c r="H343" s="14"/>
    </row>
    <row r="344" spans="3:8" ht="14.25" customHeight="1">
      <c r="C344" s="14"/>
      <c r="D344" s="14"/>
      <c r="E344" s="14"/>
      <c r="F344" s="14"/>
      <c r="G344" s="14"/>
      <c r="H344" s="14"/>
    </row>
    <row r="345" spans="3:8" ht="14.25" customHeight="1">
      <c r="C345" s="14"/>
      <c r="D345" s="14"/>
      <c r="E345" s="14"/>
      <c r="F345" s="14"/>
      <c r="G345" s="14"/>
      <c r="H345" s="14"/>
    </row>
    <row r="346" spans="3:8" ht="14.25" customHeight="1">
      <c r="C346" s="14"/>
      <c r="D346" s="14"/>
      <c r="E346" s="14"/>
      <c r="F346" s="14"/>
      <c r="G346" s="14"/>
      <c r="H346" s="14"/>
    </row>
    <row r="347" spans="3:8" ht="14.25" customHeight="1">
      <c r="C347" s="14"/>
      <c r="D347" s="14"/>
      <c r="E347" s="14"/>
      <c r="F347" s="14"/>
      <c r="G347" s="14"/>
      <c r="H347" s="14"/>
    </row>
    <row r="348" spans="3:8" ht="14.25" customHeight="1">
      <c r="C348" s="14"/>
      <c r="D348" s="14"/>
      <c r="E348" s="14"/>
      <c r="F348" s="14"/>
      <c r="G348" s="14"/>
      <c r="H348" s="14"/>
    </row>
    <row r="349" spans="3:8" ht="14.25" customHeight="1">
      <c r="C349" s="14"/>
      <c r="D349" s="14"/>
      <c r="E349" s="14"/>
      <c r="F349" s="14"/>
      <c r="G349" s="14"/>
      <c r="H349" s="14"/>
    </row>
    <row r="350" spans="3:8" ht="14.25" customHeight="1">
      <c r="C350" s="14"/>
      <c r="D350" s="14"/>
      <c r="E350" s="14"/>
      <c r="F350" s="14"/>
      <c r="G350" s="14"/>
      <c r="H350" s="14"/>
    </row>
    <row r="351" spans="3:8" ht="14.25" customHeight="1">
      <c r="C351" s="14"/>
      <c r="D351" s="14"/>
      <c r="E351" s="14"/>
      <c r="F351" s="14"/>
      <c r="G351" s="14"/>
      <c r="H351" s="14"/>
    </row>
    <row r="352" spans="3:8" ht="14.25" customHeight="1">
      <c r="C352" s="14"/>
      <c r="D352" s="14"/>
      <c r="E352" s="14"/>
      <c r="F352" s="14"/>
      <c r="G352" s="14"/>
      <c r="H352" s="14"/>
    </row>
    <row r="353" spans="3:8" ht="14.25" customHeight="1">
      <c r="C353" s="14"/>
      <c r="D353" s="14"/>
      <c r="E353" s="14"/>
      <c r="F353" s="14"/>
      <c r="G353" s="14"/>
      <c r="H353" s="14"/>
    </row>
    <row r="354" spans="3:8" ht="14.25" customHeight="1">
      <c r="C354" s="14"/>
      <c r="D354" s="14"/>
      <c r="E354" s="14"/>
      <c r="F354" s="14"/>
      <c r="G354" s="14"/>
      <c r="H354" s="14"/>
    </row>
    <row r="355" spans="3:8" ht="14.25" customHeight="1">
      <c r="C355" s="14"/>
      <c r="D355" s="14"/>
      <c r="E355" s="14"/>
      <c r="F355" s="14"/>
      <c r="G355" s="14"/>
      <c r="H355" s="14"/>
    </row>
    <row r="356" spans="3:8" ht="14.25" customHeight="1">
      <c r="C356" s="14"/>
      <c r="D356" s="14"/>
      <c r="E356" s="14"/>
      <c r="F356" s="14"/>
      <c r="G356" s="14"/>
      <c r="H356" s="14"/>
    </row>
    <row r="357" spans="3:8" ht="14.25" customHeight="1">
      <c r="C357" s="14"/>
      <c r="D357" s="14"/>
      <c r="E357" s="14"/>
      <c r="F357" s="14"/>
      <c r="G357" s="14"/>
      <c r="H357" s="14"/>
    </row>
    <row r="358" spans="3:8" ht="14.25" customHeight="1">
      <c r="C358" s="14"/>
      <c r="D358" s="14"/>
      <c r="E358" s="14"/>
      <c r="F358" s="14"/>
      <c r="G358" s="14"/>
      <c r="H358" s="14"/>
    </row>
    <row r="359" spans="3:8" ht="14.25" customHeight="1">
      <c r="C359" s="14"/>
      <c r="D359" s="14"/>
      <c r="E359" s="14"/>
      <c r="F359" s="14"/>
      <c r="G359" s="14"/>
      <c r="H359" s="14"/>
    </row>
    <row r="360" spans="3:8" ht="14.25" customHeight="1">
      <c r="C360" s="14"/>
      <c r="D360" s="14"/>
      <c r="E360" s="14"/>
      <c r="F360" s="14"/>
      <c r="G360" s="14"/>
      <c r="H360" s="14"/>
    </row>
    <row r="361" spans="3:8" ht="14.25" customHeight="1">
      <c r="C361" s="14"/>
      <c r="D361" s="14"/>
      <c r="E361" s="14"/>
      <c r="F361" s="14"/>
      <c r="G361" s="14"/>
      <c r="H361" s="14"/>
    </row>
    <row r="362" spans="3:8" ht="14.25" customHeight="1">
      <c r="C362" s="14"/>
      <c r="D362" s="14"/>
      <c r="E362" s="14"/>
      <c r="F362" s="14"/>
      <c r="G362" s="14"/>
      <c r="H362" s="14"/>
    </row>
    <row r="363" spans="3:8" ht="14.25" customHeight="1">
      <c r="C363" s="14"/>
      <c r="D363" s="14"/>
      <c r="E363" s="14"/>
      <c r="F363" s="14"/>
      <c r="G363" s="14"/>
      <c r="H363" s="14"/>
    </row>
    <row r="364" spans="3:8" ht="14.25" customHeight="1">
      <c r="C364" s="14"/>
      <c r="D364" s="14"/>
      <c r="E364" s="14"/>
      <c r="F364" s="14"/>
      <c r="G364" s="14"/>
      <c r="H364" s="14"/>
    </row>
    <row r="365" spans="3:8" ht="14.25" customHeight="1">
      <c r="C365" s="14"/>
      <c r="D365" s="14"/>
      <c r="E365" s="14"/>
      <c r="F365" s="14"/>
      <c r="G365" s="14"/>
      <c r="H365" s="14"/>
    </row>
    <row r="366" spans="3:8" ht="14.25" customHeight="1">
      <c r="C366" s="14"/>
      <c r="D366" s="14"/>
      <c r="E366" s="14"/>
      <c r="F366" s="14"/>
      <c r="G366" s="14"/>
      <c r="H366" s="14"/>
    </row>
    <row r="367" spans="3:8" ht="14.25" customHeight="1">
      <c r="C367" s="14"/>
      <c r="D367" s="14"/>
      <c r="E367" s="14"/>
      <c r="F367" s="14"/>
      <c r="G367" s="14"/>
      <c r="H367" s="14"/>
    </row>
    <row r="368" spans="3:8" ht="14.25" customHeight="1">
      <c r="C368" s="14"/>
      <c r="D368" s="14"/>
      <c r="E368" s="14"/>
      <c r="F368" s="14"/>
      <c r="G368" s="14"/>
      <c r="H368" s="14"/>
    </row>
    <row r="369" spans="3:8" ht="14.25" customHeight="1">
      <c r="C369" s="14"/>
      <c r="D369" s="14"/>
      <c r="E369" s="14"/>
      <c r="F369" s="14"/>
      <c r="G369" s="14"/>
      <c r="H369" s="14"/>
    </row>
    <row r="370" spans="3:8" ht="14.25" customHeight="1">
      <c r="C370" s="14"/>
      <c r="D370" s="14"/>
      <c r="E370" s="14"/>
      <c r="F370" s="14"/>
      <c r="G370" s="14"/>
      <c r="H370" s="14"/>
    </row>
    <row r="371" spans="3:8" ht="14.25" customHeight="1">
      <c r="C371" s="14"/>
      <c r="D371" s="14"/>
      <c r="E371" s="14"/>
      <c r="F371" s="14"/>
      <c r="G371" s="14"/>
      <c r="H371" s="14"/>
    </row>
    <row r="372" spans="3:8" ht="14.25" customHeight="1">
      <c r="C372" s="14"/>
      <c r="D372" s="14"/>
      <c r="E372" s="14"/>
      <c r="F372" s="14"/>
      <c r="G372" s="14"/>
      <c r="H372" s="14"/>
    </row>
    <row r="373" spans="3:8" ht="14.25" customHeight="1">
      <c r="C373" s="14"/>
      <c r="D373" s="14"/>
      <c r="E373" s="14"/>
      <c r="F373" s="14"/>
      <c r="G373" s="14"/>
      <c r="H373" s="14"/>
    </row>
    <row r="374" spans="3:8" ht="14.25" customHeight="1">
      <c r="C374" s="14"/>
      <c r="D374" s="14"/>
      <c r="E374" s="14"/>
      <c r="F374" s="14"/>
      <c r="G374" s="14"/>
      <c r="H374" s="14"/>
    </row>
    <row r="375" spans="3:8" ht="14.25" customHeight="1">
      <c r="C375" s="14"/>
      <c r="D375" s="14"/>
      <c r="E375" s="14"/>
      <c r="F375" s="14"/>
      <c r="G375" s="14"/>
      <c r="H375" s="14"/>
    </row>
    <row r="376" spans="3:8" ht="14.25" customHeight="1">
      <c r="C376" s="14"/>
      <c r="D376" s="14"/>
      <c r="E376" s="14"/>
      <c r="F376" s="14"/>
      <c r="G376" s="14"/>
      <c r="H376" s="14"/>
    </row>
    <row r="377" spans="3:8" ht="14.25" customHeight="1">
      <c r="C377" s="14"/>
      <c r="D377" s="14"/>
      <c r="E377" s="14"/>
      <c r="F377" s="14"/>
      <c r="G377" s="14"/>
      <c r="H377" s="14"/>
    </row>
    <row r="378" spans="3:8" ht="14.25" customHeight="1">
      <c r="C378" s="14"/>
      <c r="D378" s="14"/>
      <c r="E378" s="14"/>
      <c r="F378" s="14"/>
      <c r="G378" s="14"/>
      <c r="H378" s="14"/>
    </row>
    <row r="379" spans="3:8" ht="14.25" customHeight="1">
      <c r="C379" s="14"/>
      <c r="D379" s="14"/>
      <c r="E379" s="14"/>
      <c r="F379" s="14"/>
      <c r="G379" s="14"/>
      <c r="H379" s="14"/>
    </row>
    <row r="380" spans="3:8" ht="14.25" customHeight="1">
      <c r="C380" s="14"/>
      <c r="D380" s="14"/>
      <c r="E380" s="14"/>
      <c r="F380" s="14"/>
      <c r="G380" s="14"/>
      <c r="H380" s="14"/>
    </row>
    <row r="381" spans="3:8" ht="14.25" customHeight="1">
      <c r="C381" s="14"/>
      <c r="D381" s="14"/>
      <c r="E381" s="14"/>
      <c r="F381" s="14"/>
      <c r="G381" s="14"/>
      <c r="H381" s="14"/>
    </row>
    <row r="382" spans="3:8" ht="14.25" customHeight="1">
      <c r="C382" s="14"/>
      <c r="D382" s="14"/>
      <c r="E382" s="14"/>
      <c r="F382" s="14"/>
      <c r="G382" s="14"/>
      <c r="H382" s="14"/>
    </row>
    <row r="383" spans="3:8" ht="14.25" customHeight="1">
      <c r="C383" s="14"/>
      <c r="D383" s="14"/>
      <c r="E383" s="14"/>
      <c r="F383" s="14"/>
      <c r="G383" s="14"/>
      <c r="H383" s="14"/>
    </row>
    <row r="384" spans="3:8" ht="14.25" customHeight="1">
      <c r="C384" s="14"/>
      <c r="D384" s="14"/>
      <c r="E384" s="14"/>
      <c r="F384" s="14"/>
      <c r="G384" s="14"/>
      <c r="H384" s="14"/>
    </row>
    <row r="385" spans="3:8" ht="14.25" customHeight="1">
      <c r="C385" s="14"/>
      <c r="D385" s="14"/>
      <c r="E385" s="14"/>
      <c r="F385" s="14"/>
      <c r="G385" s="14"/>
      <c r="H385" s="14"/>
    </row>
    <row r="386" spans="3:8" ht="14.25" customHeight="1">
      <c r="C386" s="14"/>
      <c r="D386" s="14"/>
      <c r="E386" s="14"/>
      <c r="F386" s="14"/>
      <c r="G386" s="14"/>
      <c r="H386" s="14"/>
    </row>
    <row r="387" spans="3:8" ht="14.25" customHeight="1">
      <c r="C387" s="14"/>
      <c r="D387" s="14"/>
      <c r="E387" s="14"/>
      <c r="F387" s="14"/>
      <c r="G387" s="14"/>
      <c r="H387" s="14"/>
    </row>
    <row r="388" spans="3:8" ht="14.25" customHeight="1">
      <c r="C388" s="14"/>
      <c r="D388" s="14"/>
      <c r="E388" s="14"/>
      <c r="F388" s="14"/>
      <c r="G388" s="14"/>
      <c r="H388" s="14"/>
    </row>
    <row r="389" spans="3:8" ht="14.25" customHeight="1">
      <c r="C389" s="14"/>
      <c r="D389" s="14"/>
      <c r="E389" s="14"/>
      <c r="F389" s="14"/>
      <c r="G389" s="14"/>
      <c r="H389" s="14"/>
    </row>
    <row r="390" spans="3:8" ht="14.25" customHeight="1">
      <c r="C390" s="14"/>
      <c r="D390" s="14"/>
      <c r="E390" s="14"/>
      <c r="F390" s="14"/>
      <c r="G390" s="14"/>
      <c r="H390" s="14"/>
    </row>
    <row r="391" spans="3:8" ht="14.25" customHeight="1">
      <c r="C391" s="14"/>
      <c r="D391" s="14"/>
      <c r="E391" s="14"/>
      <c r="F391" s="14"/>
      <c r="G391" s="14"/>
      <c r="H391" s="14"/>
    </row>
    <row r="392" spans="3:8" ht="14.25" customHeight="1">
      <c r="C392" s="14"/>
      <c r="D392" s="14"/>
      <c r="E392" s="14"/>
      <c r="F392" s="14"/>
      <c r="G392" s="14"/>
      <c r="H392" s="14"/>
    </row>
    <row r="393" spans="3:8" ht="14.25" customHeight="1">
      <c r="C393" s="14"/>
      <c r="D393" s="14"/>
      <c r="E393" s="14"/>
      <c r="F393" s="14"/>
      <c r="G393" s="14"/>
      <c r="H393" s="14"/>
    </row>
    <row r="394" spans="3:8" ht="14.25" customHeight="1">
      <c r="C394" s="14"/>
      <c r="D394" s="14"/>
      <c r="E394" s="14"/>
      <c r="F394" s="14"/>
      <c r="G394" s="14"/>
      <c r="H394" s="14"/>
    </row>
    <row r="395" spans="3:8" ht="14.25" customHeight="1">
      <c r="C395" s="14"/>
      <c r="D395" s="14"/>
      <c r="E395" s="14"/>
      <c r="F395" s="14"/>
      <c r="G395" s="14"/>
      <c r="H395" s="14"/>
    </row>
    <row r="396" spans="3:8" ht="14.25" customHeight="1">
      <c r="C396" s="14"/>
      <c r="D396" s="14"/>
      <c r="E396" s="14"/>
      <c r="F396" s="14"/>
      <c r="G396" s="14"/>
      <c r="H396" s="14"/>
    </row>
    <row r="397" spans="3:8" ht="14.25" customHeight="1">
      <c r="C397" s="14"/>
      <c r="D397" s="14"/>
      <c r="E397" s="14"/>
      <c r="F397" s="14"/>
      <c r="G397" s="14"/>
      <c r="H397" s="14"/>
    </row>
    <row r="398" spans="3:8" ht="14.25" customHeight="1">
      <c r="C398" s="14"/>
      <c r="D398" s="14"/>
      <c r="E398" s="14"/>
      <c r="F398" s="14"/>
      <c r="G398" s="14"/>
      <c r="H398" s="14"/>
    </row>
    <row r="399" spans="3:8" ht="14.25" customHeight="1">
      <c r="C399" s="14"/>
      <c r="D399" s="14"/>
      <c r="E399" s="14"/>
      <c r="F399" s="14"/>
      <c r="G399" s="14"/>
      <c r="H399" s="14"/>
    </row>
    <row r="400" spans="3:8" ht="14.25" customHeight="1">
      <c r="C400" s="14"/>
      <c r="D400" s="14"/>
      <c r="E400" s="14"/>
      <c r="F400" s="14"/>
      <c r="G400" s="14"/>
      <c r="H400" s="14"/>
    </row>
    <row r="401" spans="3:8" ht="14.25" customHeight="1">
      <c r="C401" s="14"/>
      <c r="D401" s="14"/>
      <c r="E401" s="14"/>
      <c r="F401" s="14"/>
      <c r="G401" s="14"/>
      <c r="H401" s="14"/>
    </row>
    <row r="402" spans="3:8" ht="14.25" customHeight="1">
      <c r="C402" s="14"/>
      <c r="D402" s="14"/>
      <c r="E402" s="14"/>
      <c r="F402" s="14"/>
      <c r="G402" s="14"/>
      <c r="H402" s="14"/>
    </row>
    <row r="403" spans="3:8" ht="14.25" customHeight="1">
      <c r="C403" s="14"/>
      <c r="D403" s="14"/>
      <c r="E403" s="14"/>
      <c r="F403" s="14"/>
      <c r="G403" s="14"/>
      <c r="H403" s="14"/>
    </row>
    <row r="404" spans="3:8" ht="14.25" customHeight="1">
      <c r="C404" s="14"/>
      <c r="D404" s="14"/>
      <c r="E404" s="14"/>
      <c r="F404" s="14"/>
      <c r="G404" s="14"/>
      <c r="H404" s="14"/>
    </row>
    <row r="405" spans="3:8" ht="14.25" customHeight="1">
      <c r="C405" s="14"/>
      <c r="D405" s="14"/>
      <c r="E405" s="14"/>
      <c r="F405" s="14"/>
      <c r="G405" s="14"/>
      <c r="H405" s="14"/>
    </row>
    <row r="406" spans="3:8" ht="14.25" customHeight="1">
      <c r="C406" s="14"/>
      <c r="D406" s="14"/>
      <c r="E406" s="14"/>
      <c r="F406" s="14"/>
      <c r="G406" s="14"/>
      <c r="H406" s="14"/>
    </row>
    <row r="407" spans="3:8" ht="14.25" customHeight="1">
      <c r="C407" s="14"/>
      <c r="D407" s="14"/>
      <c r="E407" s="14"/>
      <c r="F407" s="14"/>
      <c r="G407" s="14"/>
      <c r="H407" s="14"/>
    </row>
    <row r="408" spans="3:8" ht="14.25" customHeight="1">
      <c r="C408" s="14"/>
      <c r="D408" s="14"/>
      <c r="E408" s="14"/>
      <c r="F408" s="14"/>
      <c r="G408" s="14"/>
      <c r="H408" s="14"/>
    </row>
    <row r="409" spans="3:8" ht="14.25" customHeight="1">
      <c r="C409" s="14"/>
      <c r="D409" s="14"/>
      <c r="E409" s="14"/>
      <c r="F409" s="14"/>
      <c r="G409" s="14"/>
      <c r="H409" s="14"/>
    </row>
    <row r="410" spans="3:8" ht="14.25" customHeight="1">
      <c r="C410" s="14"/>
      <c r="D410" s="14"/>
      <c r="E410" s="14"/>
      <c r="F410" s="14"/>
      <c r="G410" s="14"/>
      <c r="H410" s="14"/>
    </row>
    <row r="411" spans="3:8" ht="14.25" customHeight="1">
      <c r="C411" s="14"/>
      <c r="D411" s="14"/>
      <c r="E411" s="14"/>
      <c r="F411" s="14"/>
      <c r="G411" s="14"/>
      <c r="H411" s="14"/>
    </row>
    <row r="412" spans="3:8" ht="14.25" customHeight="1">
      <c r="C412" s="14"/>
      <c r="D412" s="14"/>
      <c r="E412" s="14"/>
      <c r="F412" s="14"/>
      <c r="G412" s="14"/>
      <c r="H412" s="14"/>
    </row>
    <row r="413" spans="3:8" ht="14.25" customHeight="1">
      <c r="C413" s="14"/>
      <c r="D413" s="14"/>
      <c r="E413" s="14"/>
      <c r="F413" s="14"/>
      <c r="G413" s="14"/>
      <c r="H413" s="14"/>
    </row>
    <row r="414" spans="3:8" ht="14.25" customHeight="1">
      <c r="C414" s="14"/>
      <c r="D414" s="14"/>
      <c r="E414" s="14"/>
      <c r="F414" s="14"/>
      <c r="G414" s="14"/>
      <c r="H414" s="14"/>
    </row>
    <row r="415" spans="3:8" ht="14.25" customHeight="1">
      <c r="C415" s="14"/>
      <c r="D415" s="14"/>
      <c r="E415" s="14"/>
      <c r="F415" s="14"/>
      <c r="G415" s="14"/>
      <c r="H415" s="14"/>
    </row>
    <row r="416" spans="3:8" ht="14.25" customHeight="1">
      <c r="C416" s="14"/>
      <c r="D416" s="14"/>
      <c r="E416" s="14"/>
      <c r="F416" s="14"/>
      <c r="G416" s="14"/>
      <c r="H416" s="14"/>
    </row>
    <row r="417" spans="3:8" ht="14.25" customHeight="1">
      <c r="C417" s="14"/>
      <c r="D417" s="14"/>
      <c r="E417" s="14"/>
      <c r="F417" s="14"/>
      <c r="G417" s="14"/>
      <c r="H417" s="14"/>
    </row>
    <row r="418" spans="3:8" ht="14.25" customHeight="1">
      <c r="C418" s="14"/>
      <c r="D418" s="14"/>
      <c r="E418" s="14"/>
      <c r="F418" s="14"/>
      <c r="G418" s="14"/>
      <c r="H418" s="14"/>
    </row>
    <row r="419" spans="3:8" ht="14.25" customHeight="1">
      <c r="C419" s="14"/>
      <c r="D419" s="14"/>
      <c r="E419" s="14"/>
      <c r="F419" s="14"/>
      <c r="G419" s="14"/>
      <c r="H419" s="14"/>
    </row>
    <row r="420" spans="3:8" ht="14.25" customHeight="1">
      <c r="C420" s="14"/>
      <c r="D420" s="14"/>
      <c r="E420" s="14"/>
      <c r="F420" s="14"/>
      <c r="G420" s="14"/>
      <c r="H420" s="14"/>
    </row>
    <row r="421" spans="3:8" ht="14.25" customHeight="1">
      <c r="C421" s="14"/>
      <c r="D421" s="14"/>
      <c r="E421" s="14"/>
      <c r="F421" s="14"/>
      <c r="G421" s="14"/>
      <c r="H421" s="14"/>
    </row>
    <row r="422" spans="3:8" ht="14.25" customHeight="1">
      <c r="C422" s="14"/>
      <c r="D422" s="14"/>
      <c r="E422" s="14"/>
      <c r="F422" s="14"/>
      <c r="G422" s="14"/>
      <c r="H422" s="14"/>
    </row>
    <row r="423" spans="3:8" ht="14.25" customHeight="1">
      <c r="C423" s="14"/>
      <c r="D423" s="14"/>
      <c r="E423" s="14"/>
      <c r="F423" s="14"/>
      <c r="G423" s="14"/>
      <c r="H423" s="14"/>
    </row>
    <row r="424" spans="3:8" ht="14.25" customHeight="1">
      <c r="C424" s="14"/>
      <c r="D424" s="14"/>
      <c r="E424" s="14"/>
      <c r="F424" s="14"/>
      <c r="G424" s="14"/>
      <c r="H424" s="14"/>
    </row>
    <row r="425" spans="3:8" ht="14.25" customHeight="1">
      <c r="C425" s="14"/>
      <c r="D425" s="14"/>
      <c r="E425" s="14"/>
      <c r="F425" s="14"/>
      <c r="G425" s="14"/>
      <c r="H425" s="14"/>
    </row>
    <row r="426" spans="3:8" ht="14.25" customHeight="1">
      <c r="C426" s="14"/>
      <c r="D426" s="14"/>
      <c r="E426" s="14"/>
      <c r="F426" s="14"/>
      <c r="G426" s="14"/>
      <c r="H426" s="14"/>
    </row>
    <row r="427" spans="3:8" ht="14.25" customHeight="1">
      <c r="C427" s="14"/>
      <c r="D427" s="14"/>
      <c r="E427" s="14"/>
      <c r="F427" s="14"/>
      <c r="G427" s="14"/>
      <c r="H427" s="14"/>
    </row>
    <row r="428" spans="3:8" ht="14.25" customHeight="1">
      <c r="C428" s="14"/>
      <c r="D428" s="14"/>
      <c r="E428" s="14"/>
      <c r="F428" s="14"/>
      <c r="G428" s="14"/>
      <c r="H428" s="14"/>
    </row>
    <row r="429" spans="3:8" ht="14.25" customHeight="1">
      <c r="C429" s="14"/>
      <c r="D429" s="14"/>
      <c r="E429" s="14"/>
      <c r="F429" s="14"/>
      <c r="G429" s="14"/>
      <c r="H429" s="14"/>
    </row>
    <row r="430" spans="3:8" ht="14.25" customHeight="1">
      <c r="C430" s="14"/>
      <c r="D430" s="14"/>
      <c r="E430" s="14"/>
      <c r="F430" s="14"/>
      <c r="G430" s="14"/>
      <c r="H430" s="14"/>
    </row>
    <row r="431" spans="3:8" ht="14.25" customHeight="1">
      <c r="C431" s="14"/>
      <c r="D431" s="14"/>
      <c r="E431" s="14"/>
      <c r="F431" s="14"/>
      <c r="G431" s="14"/>
      <c r="H431" s="14"/>
    </row>
    <row r="432" spans="3:8" ht="14.25" customHeight="1">
      <c r="C432" s="14"/>
      <c r="D432" s="14"/>
      <c r="E432" s="14"/>
      <c r="F432" s="14"/>
      <c r="G432" s="14"/>
      <c r="H432" s="14"/>
    </row>
    <row r="433" spans="3:8" ht="14.25" customHeight="1">
      <c r="C433" s="14"/>
      <c r="D433" s="14"/>
      <c r="E433" s="14"/>
      <c r="F433" s="14"/>
      <c r="G433" s="14"/>
      <c r="H433" s="14"/>
    </row>
    <row r="434" spans="3:8" ht="14.25" customHeight="1">
      <c r="C434" s="14"/>
      <c r="D434" s="14"/>
      <c r="E434" s="14"/>
      <c r="F434" s="14"/>
      <c r="G434" s="14"/>
      <c r="H434" s="14"/>
    </row>
    <row r="435" spans="3:8" ht="14.25" customHeight="1">
      <c r="C435" s="14"/>
      <c r="D435" s="14"/>
      <c r="E435" s="14"/>
      <c r="F435" s="14"/>
      <c r="G435" s="14"/>
      <c r="H435" s="14"/>
    </row>
    <row r="436" spans="3:8" ht="14.25" customHeight="1">
      <c r="C436" s="14"/>
      <c r="D436" s="14"/>
      <c r="E436" s="14"/>
      <c r="F436" s="14"/>
      <c r="G436" s="14"/>
      <c r="H436" s="14"/>
    </row>
    <row r="437" spans="3:8" ht="14.25" customHeight="1">
      <c r="C437" s="14"/>
      <c r="D437" s="14"/>
      <c r="E437" s="14"/>
      <c r="F437" s="14"/>
      <c r="G437" s="14"/>
      <c r="H437" s="14"/>
    </row>
    <row r="438" spans="3:8" ht="14.25" customHeight="1">
      <c r="C438" s="14"/>
      <c r="D438" s="14"/>
      <c r="E438" s="14"/>
      <c r="F438" s="14"/>
      <c r="G438" s="14"/>
      <c r="H438" s="14"/>
    </row>
    <row r="439" spans="3:8" ht="14.25" customHeight="1">
      <c r="C439" s="14"/>
      <c r="D439" s="14"/>
      <c r="E439" s="14"/>
      <c r="F439" s="14"/>
      <c r="G439" s="14"/>
      <c r="H439" s="14"/>
    </row>
    <row r="440" spans="3:8" ht="14.25" customHeight="1">
      <c r="C440" s="14"/>
      <c r="D440" s="14"/>
      <c r="E440" s="14"/>
      <c r="F440" s="14"/>
      <c r="G440" s="14"/>
      <c r="H440" s="14"/>
    </row>
    <row r="441" spans="3:8" ht="14.25" customHeight="1">
      <c r="C441" s="14"/>
      <c r="D441" s="14"/>
      <c r="E441" s="14"/>
      <c r="F441" s="14"/>
      <c r="G441" s="14"/>
      <c r="H441" s="14"/>
    </row>
    <row r="442" spans="3:8" ht="14.25" customHeight="1">
      <c r="C442" s="14"/>
      <c r="D442" s="14"/>
      <c r="E442" s="14"/>
      <c r="F442" s="14"/>
      <c r="G442" s="14"/>
      <c r="H442" s="14"/>
    </row>
    <row r="443" spans="3:8" ht="14.25" customHeight="1">
      <c r="C443" s="14"/>
      <c r="D443" s="14"/>
      <c r="E443" s="14"/>
      <c r="F443" s="14"/>
      <c r="G443" s="14"/>
      <c r="H443" s="14"/>
    </row>
    <row r="444" spans="3:8" ht="14.25" customHeight="1">
      <c r="C444" s="14"/>
      <c r="D444" s="14"/>
      <c r="E444" s="14"/>
      <c r="F444" s="14"/>
      <c r="G444" s="14"/>
      <c r="H444" s="14"/>
    </row>
    <row r="445" spans="3:8" ht="14.25" customHeight="1">
      <c r="C445" s="14"/>
      <c r="D445" s="14"/>
      <c r="E445" s="14"/>
      <c r="F445" s="14"/>
      <c r="G445" s="14"/>
      <c r="H445" s="14"/>
    </row>
    <row r="446" spans="3:8" ht="14.25" customHeight="1">
      <c r="C446" s="14"/>
      <c r="D446" s="14"/>
      <c r="E446" s="14"/>
      <c r="F446" s="14"/>
      <c r="G446" s="14"/>
      <c r="H446" s="14"/>
    </row>
    <row r="447" spans="3:8" ht="14.25" customHeight="1">
      <c r="C447" s="14"/>
      <c r="D447" s="14"/>
      <c r="E447" s="14"/>
      <c r="F447" s="14"/>
      <c r="G447" s="14"/>
      <c r="H447" s="14"/>
    </row>
    <row r="448" spans="3:8" ht="14.25" customHeight="1">
      <c r="C448" s="14"/>
      <c r="D448" s="14"/>
      <c r="E448" s="14"/>
      <c r="F448" s="14"/>
      <c r="G448" s="14"/>
      <c r="H448" s="14"/>
    </row>
    <row r="449" spans="3:8" ht="14.25" customHeight="1">
      <c r="C449" s="14"/>
      <c r="D449" s="14"/>
      <c r="E449" s="14"/>
      <c r="F449" s="14"/>
      <c r="G449" s="14"/>
      <c r="H449" s="14"/>
    </row>
    <row r="450" spans="3:8" ht="14.25" customHeight="1">
      <c r="C450" s="14"/>
      <c r="D450" s="14"/>
      <c r="E450" s="14"/>
      <c r="F450" s="14"/>
      <c r="G450" s="14"/>
      <c r="H450" s="14"/>
    </row>
    <row r="451" spans="3:8" ht="14.25" customHeight="1">
      <c r="C451" s="14"/>
      <c r="D451" s="14"/>
      <c r="E451" s="14"/>
      <c r="F451" s="14"/>
      <c r="G451" s="14"/>
      <c r="H451" s="14"/>
    </row>
    <row r="452" spans="3:8" ht="14.25" customHeight="1">
      <c r="C452" s="14"/>
      <c r="D452" s="14"/>
      <c r="E452" s="14"/>
      <c r="F452" s="14"/>
      <c r="G452" s="14"/>
      <c r="H452" s="14"/>
    </row>
    <row r="453" spans="3:8" ht="14.25" customHeight="1">
      <c r="C453" s="14"/>
      <c r="D453" s="14"/>
      <c r="E453" s="14"/>
      <c r="F453" s="14"/>
      <c r="G453" s="14"/>
      <c r="H453" s="14"/>
    </row>
    <row r="454" spans="3:8" ht="14.25" customHeight="1">
      <c r="C454" s="14"/>
      <c r="D454" s="14"/>
      <c r="E454" s="14"/>
      <c r="F454" s="14"/>
      <c r="G454" s="14"/>
      <c r="H454" s="14"/>
    </row>
    <row r="455" spans="3:8" ht="14.25" customHeight="1">
      <c r="C455" s="14"/>
      <c r="D455" s="14"/>
      <c r="E455" s="14"/>
      <c r="F455" s="14"/>
      <c r="G455" s="14"/>
      <c r="H455" s="14"/>
    </row>
    <row r="456" spans="3:8" ht="14.25" customHeight="1">
      <c r="C456" s="14"/>
      <c r="D456" s="14"/>
      <c r="E456" s="14"/>
      <c r="F456" s="14"/>
      <c r="G456" s="14"/>
      <c r="H456" s="14"/>
    </row>
    <row r="457" spans="3:8" ht="14.25" customHeight="1">
      <c r="C457" s="14"/>
      <c r="D457" s="14"/>
      <c r="E457" s="14"/>
      <c r="F457" s="14"/>
      <c r="G457" s="14"/>
      <c r="H457" s="14"/>
    </row>
    <row r="458" spans="3:8" ht="14.25" customHeight="1">
      <c r="C458" s="14"/>
      <c r="D458" s="14"/>
      <c r="E458" s="14"/>
      <c r="F458" s="14"/>
      <c r="G458" s="14"/>
      <c r="H458" s="14"/>
    </row>
    <row r="459" spans="3:8" ht="14.25" customHeight="1">
      <c r="C459" s="14"/>
      <c r="D459" s="14"/>
      <c r="E459" s="14"/>
      <c r="F459" s="14"/>
      <c r="G459" s="14"/>
      <c r="H459" s="14"/>
    </row>
    <row r="460" spans="3:8" ht="14.25" customHeight="1">
      <c r="C460" s="14"/>
      <c r="D460" s="14"/>
      <c r="E460" s="14"/>
      <c r="F460" s="14"/>
      <c r="G460" s="14"/>
      <c r="H460" s="14"/>
    </row>
    <row r="461" spans="3:8" ht="14.25" customHeight="1">
      <c r="C461" s="14"/>
      <c r="D461" s="14"/>
      <c r="E461" s="14"/>
      <c r="F461" s="14"/>
      <c r="G461" s="14"/>
      <c r="H461" s="14"/>
    </row>
    <row r="462" spans="3:8" ht="14.25" customHeight="1">
      <c r="C462" s="14"/>
      <c r="D462" s="14"/>
      <c r="E462" s="14"/>
      <c r="F462" s="14"/>
      <c r="G462" s="14"/>
      <c r="H462" s="14"/>
    </row>
    <row r="463" spans="3:8" ht="14.25" customHeight="1">
      <c r="C463" s="14"/>
      <c r="D463" s="14"/>
      <c r="E463" s="14"/>
      <c r="F463" s="14"/>
      <c r="G463" s="14"/>
      <c r="H463" s="14"/>
    </row>
    <row r="464" spans="3:8" ht="14.25" customHeight="1">
      <c r="C464" s="14"/>
      <c r="D464" s="14"/>
      <c r="E464" s="14"/>
      <c r="F464" s="14"/>
      <c r="G464" s="14"/>
      <c r="H464" s="14"/>
    </row>
    <row r="465" spans="3:8" ht="14.25" customHeight="1">
      <c r="C465" s="14"/>
      <c r="D465" s="14"/>
      <c r="E465" s="14"/>
      <c r="F465" s="14"/>
      <c r="G465" s="14"/>
      <c r="H465" s="14"/>
    </row>
    <row r="466" spans="3:8" ht="14.25" customHeight="1">
      <c r="C466" s="14"/>
      <c r="D466" s="14"/>
      <c r="E466" s="14"/>
      <c r="F466" s="14"/>
      <c r="G466" s="14"/>
      <c r="H466" s="14"/>
    </row>
    <row r="467" spans="3:8" ht="14.25" customHeight="1">
      <c r="C467" s="14"/>
      <c r="D467" s="14"/>
      <c r="E467" s="14"/>
      <c r="F467" s="14"/>
      <c r="G467" s="14"/>
      <c r="H467" s="14"/>
    </row>
    <row r="468" spans="3:8" ht="14.25" customHeight="1">
      <c r="C468" s="14"/>
      <c r="D468" s="14"/>
      <c r="E468" s="14"/>
      <c r="F468" s="14"/>
      <c r="G468" s="14"/>
      <c r="H468" s="14"/>
    </row>
    <row r="469" spans="3:8" ht="14.25" customHeight="1">
      <c r="C469" s="14"/>
      <c r="D469" s="14"/>
      <c r="E469" s="14"/>
      <c r="F469" s="14"/>
      <c r="G469" s="14"/>
      <c r="H469" s="14"/>
    </row>
    <row r="470" spans="3:8" ht="14.25" customHeight="1">
      <c r="C470" s="14"/>
      <c r="D470" s="14"/>
      <c r="E470" s="14"/>
      <c r="F470" s="14"/>
      <c r="G470" s="14"/>
      <c r="H470" s="14"/>
    </row>
    <row r="471" spans="3:8" ht="14.25" customHeight="1">
      <c r="C471" s="14"/>
      <c r="D471" s="14"/>
      <c r="E471" s="14"/>
      <c r="F471" s="14"/>
      <c r="G471" s="14"/>
      <c r="H471" s="14"/>
    </row>
    <row r="472" spans="3:8" ht="14.25" customHeight="1">
      <c r="C472" s="14"/>
      <c r="D472" s="14"/>
      <c r="E472" s="14"/>
      <c r="F472" s="14"/>
      <c r="G472" s="14"/>
      <c r="H472" s="14"/>
    </row>
    <row r="473" spans="3:8" ht="14.25" customHeight="1">
      <c r="C473" s="14"/>
      <c r="D473" s="14"/>
      <c r="E473" s="14"/>
      <c r="F473" s="14"/>
      <c r="G473" s="14"/>
      <c r="H473" s="14"/>
    </row>
    <row r="474" spans="3:8" ht="14.25" customHeight="1">
      <c r="C474" s="14"/>
      <c r="D474" s="14"/>
      <c r="E474" s="14"/>
      <c r="F474" s="14"/>
      <c r="G474" s="14"/>
      <c r="H474" s="14"/>
    </row>
    <row r="475" spans="3:8" ht="14.25" customHeight="1">
      <c r="C475" s="14"/>
      <c r="D475" s="14"/>
      <c r="E475" s="14"/>
      <c r="F475" s="14"/>
      <c r="G475" s="14"/>
      <c r="H475" s="14"/>
    </row>
    <row r="476" spans="3:8" ht="14.25" customHeight="1">
      <c r="C476" s="14"/>
      <c r="D476" s="14"/>
      <c r="E476" s="14"/>
      <c r="F476" s="14"/>
      <c r="G476" s="14"/>
      <c r="H476" s="14"/>
    </row>
    <row r="477" spans="3:8" ht="14.25" customHeight="1">
      <c r="C477" s="14"/>
      <c r="D477" s="14"/>
      <c r="E477" s="14"/>
      <c r="F477" s="14"/>
      <c r="G477" s="14"/>
      <c r="H477" s="14"/>
    </row>
    <row r="478" spans="3:8" ht="14.25" customHeight="1">
      <c r="C478" s="14"/>
      <c r="D478" s="14"/>
      <c r="E478" s="14"/>
      <c r="F478" s="14"/>
      <c r="G478" s="14"/>
      <c r="H478" s="14"/>
    </row>
    <row r="479" spans="3:8" ht="14.25" customHeight="1">
      <c r="C479" s="14"/>
      <c r="D479" s="14"/>
      <c r="E479" s="14"/>
      <c r="F479" s="14"/>
      <c r="G479" s="14"/>
      <c r="H479" s="14"/>
    </row>
    <row r="480" spans="3:8" ht="14.25" customHeight="1">
      <c r="C480" s="14"/>
      <c r="D480" s="14"/>
      <c r="E480" s="14"/>
      <c r="F480" s="14"/>
      <c r="G480" s="14"/>
      <c r="H480" s="14"/>
    </row>
    <row r="481" spans="3:8" ht="14.25" customHeight="1">
      <c r="C481" s="14"/>
      <c r="D481" s="14"/>
      <c r="E481" s="14"/>
      <c r="F481" s="14"/>
      <c r="G481" s="14"/>
      <c r="H481" s="14"/>
    </row>
    <row r="482" spans="3:8" ht="14.25" customHeight="1">
      <c r="C482" s="14"/>
      <c r="D482" s="14"/>
      <c r="E482" s="14"/>
      <c r="F482" s="14"/>
      <c r="G482" s="14"/>
      <c r="H482" s="14"/>
    </row>
    <row r="483" spans="3:8" ht="14.25" customHeight="1">
      <c r="C483" s="14"/>
      <c r="D483" s="14"/>
      <c r="E483" s="14"/>
      <c r="F483" s="14"/>
      <c r="G483" s="14"/>
      <c r="H483" s="14"/>
    </row>
    <row r="484" spans="3:8" ht="14.25" customHeight="1">
      <c r="C484" s="14"/>
      <c r="D484" s="14"/>
      <c r="E484" s="14"/>
      <c r="F484" s="14"/>
      <c r="G484" s="14"/>
      <c r="H484" s="14"/>
    </row>
    <row r="485" spans="3:8" ht="14.25" customHeight="1">
      <c r="C485" s="14"/>
      <c r="D485" s="14"/>
      <c r="E485" s="14"/>
      <c r="F485" s="14"/>
      <c r="G485" s="14"/>
      <c r="H485" s="14"/>
    </row>
    <row r="486" spans="3:8" ht="14.25" customHeight="1">
      <c r="C486" s="14"/>
      <c r="D486" s="14"/>
      <c r="E486" s="14"/>
      <c r="F486" s="14"/>
      <c r="G486" s="14"/>
      <c r="H486" s="14"/>
    </row>
    <row r="487" spans="3:8" ht="14.25" customHeight="1">
      <c r="C487" s="14"/>
      <c r="D487" s="14"/>
      <c r="E487" s="14"/>
      <c r="F487" s="14"/>
      <c r="G487" s="14"/>
      <c r="H487" s="14"/>
    </row>
    <row r="488" spans="3:8" ht="14.25" customHeight="1">
      <c r="C488" s="14"/>
      <c r="D488" s="14"/>
      <c r="E488" s="14"/>
      <c r="F488" s="14"/>
      <c r="G488" s="14"/>
      <c r="H488" s="14"/>
    </row>
    <row r="489" spans="3:8" ht="14.25" customHeight="1">
      <c r="C489" s="14"/>
      <c r="D489" s="14"/>
      <c r="E489" s="14"/>
      <c r="F489" s="14"/>
      <c r="G489" s="14"/>
      <c r="H489" s="14"/>
    </row>
    <row r="490" spans="3:8" ht="14.25" customHeight="1">
      <c r="C490" s="14"/>
      <c r="D490" s="14"/>
      <c r="E490" s="14"/>
      <c r="F490" s="14"/>
      <c r="G490" s="14"/>
      <c r="H490" s="14"/>
    </row>
    <row r="491" spans="3:8" ht="14.25" customHeight="1">
      <c r="C491" s="14"/>
      <c r="D491" s="14"/>
      <c r="E491" s="14"/>
      <c r="F491" s="14"/>
      <c r="G491" s="14"/>
      <c r="H491" s="14"/>
    </row>
    <row r="492" spans="3:8" ht="14.25" customHeight="1">
      <c r="C492" s="14"/>
      <c r="D492" s="14"/>
      <c r="E492" s="14"/>
      <c r="F492" s="14"/>
      <c r="G492" s="14"/>
      <c r="H492" s="14"/>
    </row>
    <row r="493" spans="3:8" ht="14.25" customHeight="1">
      <c r="C493" s="14"/>
      <c r="D493" s="14"/>
      <c r="E493" s="14"/>
      <c r="F493" s="14"/>
      <c r="G493" s="14"/>
      <c r="H493" s="14"/>
    </row>
    <row r="494" spans="3:8" ht="14.25" customHeight="1">
      <c r="C494" s="14"/>
      <c r="D494" s="14"/>
      <c r="E494" s="14"/>
      <c r="F494" s="14"/>
      <c r="G494" s="14"/>
      <c r="H494" s="14"/>
    </row>
    <row r="495" spans="3:8" ht="14.25" customHeight="1">
      <c r="C495" s="14"/>
      <c r="D495" s="14"/>
      <c r="E495" s="14"/>
      <c r="F495" s="14"/>
      <c r="G495" s="14"/>
      <c r="H495" s="14"/>
    </row>
    <row r="496" spans="3:8" ht="14.25" customHeight="1">
      <c r="C496" s="14"/>
      <c r="D496" s="14"/>
      <c r="E496" s="14"/>
      <c r="F496" s="14"/>
      <c r="G496" s="14"/>
      <c r="H496" s="14"/>
    </row>
    <row r="497" spans="3:8" ht="14.25" customHeight="1">
      <c r="C497" s="14"/>
      <c r="D497" s="14"/>
      <c r="E497" s="14"/>
      <c r="F497" s="14"/>
      <c r="G497" s="14"/>
      <c r="H497" s="14"/>
    </row>
    <row r="498" spans="3:8" ht="14.25" customHeight="1">
      <c r="C498" s="14"/>
      <c r="D498" s="14"/>
      <c r="E498" s="14"/>
      <c r="F498" s="14"/>
      <c r="G498" s="14"/>
      <c r="H498" s="14"/>
    </row>
    <row r="499" spans="3:8" ht="14.25" customHeight="1">
      <c r="C499" s="14"/>
      <c r="D499" s="14"/>
      <c r="E499" s="14"/>
      <c r="F499" s="14"/>
      <c r="G499" s="14"/>
      <c r="H499" s="14"/>
    </row>
    <row r="500" spans="3:8" ht="14.25" customHeight="1">
      <c r="C500" s="14"/>
      <c r="D500" s="14"/>
      <c r="E500" s="14"/>
      <c r="F500" s="14"/>
      <c r="G500" s="14"/>
      <c r="H500" s="14"/>
    </row>
    <row r="501" spans="3:8" ht="14.25" customHeight="1">
      <c r="C501" s="14"/>
      <c r="D501" s="14"/>
      <c r="E501" s="14"/>
      <c r="F501" s="14"/>
      <c r="G501" s="14"/>
      <c r="H501" s="14"/>
    </row>
    <row r="502" spans="3:8" ht="14.25" customHeight="1">
      <c r="C502" s="14"/>
      <c r="D502" s="14"/>
      <c r="E502" s="14"/>
      <c r="F502" s="14"/>
      <c r="G502" s="14"/>
      <c r="H502" s="14"/>
    </row>
    <row r="503" spans="3:8" ht="14.25" customHeight="1">
      <c r="C503" s="14"/>
      <c r="D503" s="14"/>
      <c r="E503" s="14"/>
      <c r="F503" s="14"/>
      <c r="G503" s="14"/>
      <c r="H503" s="14"/>
    </row>
    <row r="504" spans="3:8" ht="14.25" customHeight="1">
      <c r="C504" s="14"/>
      <c r="D504" s="14"/>
      <c r="E504" s="14"/>
      <c r="F504" s="14"/>
      <c r="G504" s="14"/>
      <c r="H504" s="14"/>
    </row>
    <row r="505" spans="3:8" ht="14.25" customHeight="1">
      <c r="C505" s="14"/>
      <c r="D505" s="14"/>
      <c r="E505" s="14"/>
      <c r="F505" s="14"/>
      <c r="G505" s="14"/>
      <c r="H505" s="14"/>
    </row>
    <row r="506" spans="3:8" ht="14.25" customHeight="1">
      <c r="C506" s="14"/>
      <c r="D506" s="14"/>
      <c r="E506" s="14"/>
      <c r="F506" s="14"/>
      <c r="G506" s="14"/>
      <c r="H506" s="14"/>
    </row>
    <row r="507" spans="3:8" ht="14.25" customHeight="1">
      <c r="C507" s="14"/>
      <c r="D507" s="14"/>
      <c r="E507" s="14"/>
      <c r="F507" s="14"/>
      <c r="G507" s="14"/>
      <c r="H507" s="14"/>
    </row>
    <row r="508" spans="3:8" ht="14.25" customHeight="1">
      <c r="C508" s="14"/>
      <c r="D508" s="14"/>
      <c r="E508" s="14"/>
      <c r="F508" s="14"/>
      <c r="G508" s="14"/>
      <c r="H508" s="14"/>
    </row>
    <row r="509" spans="3:8" ht="14.25" customHeight="1">
      <c r="C509" s="14"/>
      <c r="D509" s="14"/>
      <c r="E509" s="14"/>
      <c r="F509" s="14"/>
      <c r="G509" s="14"/>
      <c r="H509" s="14"/>
    </row>
    <row r="510" spans="3:8" ht="14.25" customHeight="1">
      <c r="C510" s="14"/>
      <c r="D510" s="14"/>
      <c r="E510" s="14"/>
      <c r="F510" s="14"/>
      <c r="G510" s="14"/>
      <c r="H510" s="14"/>
    </row>
    <row r="511" spans="3:8" ht="14.25" customHeight="1">
      <c r="C511" s="14"/>
      <c r="D511" s="14"/>
      <c r="E511" s="14"/>
      <c r="F511" s="14"/>
      <c r="G511" s="14"/>
      <c r="H511" s="14"/>
    </row>
    <row r="512" spans="3:8" ht="14.25" customHeight="1">
      <c r="C512" s="14"/>
      <c r="D512" s="14"/>
      <c r="E512" s="14"/>
      <c r="F512" s="14"/>
      <c r="G512" s="14"/>
      <c r="H512" s="14"/>
    </row>
    <row r="513" spans="3:8" ht="14.25" customHeight="1">
      <c r="C513" s="14"/>
      <c r="D513" s="14"/>
      <c r="E513" s="14"/>
      <c r="F513" s="14"/>
      <c r="G513" s="14"/>
      <c r="H513" s="14"/>
    </row>
    <row r="514" spans="3:8" ht="14.25" customHeight="1">
      <c r="C514" s="14"/>
      <c r="D514" s="14"/>
      <c r="E514" s="14"/>
      <c r="F514" s="14"/>
      <c r="G514" s="14"/>
      <c r="H514" s="14"/>
    </row>
    <row r="515" spans="3:8" ht="14.25" customHeight="1">
      <c r="C515" s="14"/>
      <c r="D515" s="14"/>
      <c r="E515" s="14"/>
      <c r="F515" s="14"/>
      <c r="G515" s="14"/>
      <c r="H515" s="14"/>
    </row>
    <row r="516" spans="3:8" ht="14.25" customHeight="1">
      <c r="C516" s="14"/>
      <c r="D516" s="14"/>
      <c r="E516" s="14"/>
      <c r="F516" s="14"/>
      <c r="G516" s="14"/>
      <c r="H516" s="14"/>
    </row>
    <row r="517" spans="3:8" ht="14.25" customHeight="1">
      <c r="C517" s="14"/>
      <c r="D517" s="14"/>
      <c r="E517" s="14"/>
      <c r="F517" s="14"/>
      <c r="G517" s="14"/>
      <c r="H517" s="14"/>
    </row>
    <row r="518" spans="3:8" ht="14.25" customHeight="1">
      <c r="C518" s="14"/>
      <c r="D518" s="14"/>
      <c r="E518" s="14"/>
      <c r="F518" s="14"/>
      <c r="G518" s="14"/>
      <c r="H518" s="14"/>
    </row>
    <row r="519" spans="3:8" ht="14.25" customHeight="1">
      <c r="C519" s="14"/>
      <c r="D519" s="14"/>
      <c r="E519" s="14"/>
      <c r="F519" s="14"/>
      <c r="G519" s="14"/>
      <c r="H519" s="14"/>
    </row>
    <row r="520" spans="3:8" ht="14.25" customHeight="1">
      <c r="C520" s="14"/>
      <c r="D520" s="14"/>
      <c r="E520" s="14"/>
      <c r="F520" s="14"/>
      <c r="G520" s="14"/>
      <c r="H520" s="14"/>
    </row>
    <row r="521" spans="3:8" ht="14.25" customHeight="1">
      <c r="C521" s="14"/>
      <c r="D521" s="14"/>
      <c r="E521" s="14"/>
      <c r="F521" s="14"/>
      <c r="G521" s="14"/>
      <c r="H521" s="14"/>
    </row>
    <row r="522" spans="3:8" ht="14.25" customHeight="1">
      <c r="C522" s="14"/>
      <c r="D522" s="14"/>
      <c r="E522" s="14"/>
      <c r="F522" s="14"/>
      <c r="G522" s="14"/>
      <c r="H522" s="14"/>
    </row>
    <row r="523" spans="3:8" ht="14.25" customHeight="1">
      <c r="C523" s="14"/>
      <c r="D523" s="14"/>
      <c r="E523" s="14"/>
      <c r="F523" s="14"/>
      <c r="G523" s="14"/>
      <c r="H523" s="14"/>
    </row>
    <row r="524" spans="3:8" ht="14.25" customHeight="1">
      <c r="C524" s="14"/>
      <c r="D524" s="14"/>
      <c r="E524" s="14"/>
      <c r="F524" s="14"/>
      <c r="G524" s="14"/>
      <c r="H524" s="14"/>
    </row>
    <row r="525" spans="3:8" ht="14.25" customHeight="1">
      <c r="C525" s="14"/>
      <c r="D525" s="14"/>
      <c r="E525" s="14"/>
      <c r="F525" s="14"/>
      <c r="G525" s="14"/>
      <c r="H525" s="14"/>
    </row>
    <row r="526" spans="3:8" ht="14.25" customHeight="1">
      <c r="C526" s="14"/>
      <c r="D526" s="14"/>
      <c r="E526" s="14"/>
      <c r="F526" s="14"/>
      <c r="G526" s="14"/>
      <c r="H526" s="14"/>
    </row>
    <row r="527" spans="3:8" ht="14.25" customHeight="1">
      <c r="C527" s="14"/>
      <c r="D527" s="14"/>
      <c r="E527" s="14"/>
      <c r="F527" s="14"/>
      <c r="G527" s="14"/>
      <c r="H527" s="14"/>
    </row>
    <row r="528" spans="3:8" ht="14.25" customHeight="1">
      <c r="C528" s="14"/>
      <c r="D528" s="14"/>
      <c r="E528" s="14"/>
      <c r="F528" s="14"/>
      <c r="G528" s="14"/>
      <c r="H528" s="14"/>
    </row>
    <row r="529" spans="3:8" ht="14.25" customHeight="1">
      <c r="C529" s="14"/>
      <c r="D529" s="14"/>
      <c r="E529" s="14"/>
      <c r="F529" s="14"/>
      <c r="G529" s="14"/>
      <c r="H529" s="14"/>
    </row>
    <row r="530" spans="3:8" ht="14.25" customHeight="1">
      <c r="C530" s="14"/>
      <c r="D530" s="14"/>
      <c r="E530" s="14"/>
      <c r="F530" s="14"/>
      <c r="G530" s="14"/>
      <c r="H530" s="14"/>
    </row>
    <row r="531" spans="3:8" ht="14.25" customHeight="1">
      <c r="C531" s="14"/>
      <c r="D531" s="14"/>
      <c r="E531" s="14"/>
      <c r="F531" s="14"/>
      <c r="G531" s="14"/>
      <c r="H531" s="14"/>
    </row>
    <row r="532" spans="3:8" ht="14.25" customHeight="1">
      <c r="C532" s="14"/>
      <c r="D532" s="14"/>
      <c r="E532" s="14"/>
      <c r="F532" s="14"/>
      <c r="G532" s="14"/>
      <c r="H532" s="14"/>
    </row>
    <row r="533" spans="3:8" ht="14.25" customHeight="1">
      <c r="C533" s="14"/>
      <c r="D533" s="14"/>
      <c r="E533" s="14"/>
      <c r="F533" s="14"/>
      <c r="G533" s="14"/>
      <c r="H533" s="14"/>
    </row>
    <row r="534" spans="3:8" ht="14.25" customHeight="1">
      <c r="C534" s="14"/>
      <c r="D534" s="14"/>
      <c r="E534" s="14"/>
      <c r="F534" s="14"/>
      <c r="G534" s="14"/>
      <c r="H534" s="14"/>
    </row>
    <row r="535" spans="3:8" ht="14.25" customHeight="1">
      <c r="C535" s="14"/>
      <c r="D535" s="14"/>
      <c r="E535" s="14"/>
      <c r="F535" s="14"/>
      <c r="G535" s="14"/>
      <c r="H535" s="14"/>
    </row>
    <row r="536" spans="3:8" ht="14.25" customHeight="1">
      <c r="C536" s="14"/>
      <c r="D536" s="14"/>
      <c r="E536" s="14"/>
      <c r="F536" s="14"/>
      <c r="G536" s="14"/>
      <c r="H536" s="14"/>
    </row>
    <row r="537" spans="3:8" ht="14.25" customHeight="1">
      <c r="C537" s="14"/>
      <c r="D537" s="14"/>
      <c r="E537" s="14"/>
      <c r="F537" s="14"/>
      <c r="G537" s="14"/>
      <c r="H537" s="14"/>
    </row>
    <row r="538" spans="3:8" ht="14.25" customHeight="1">
      <c r="C538" s="14"/>
      <c r="D538" s="14"/>
      <c r="E538" s="14"/>
      <c r="F538" s="14"/>
      <c r="G538" s="14"/>
      <c r="H538" s="14"/>
    </row>
    <row r="539" spans="3:8" ht="14.25" customHeight="1">
      <c r="C539" s="14"/>
      <c r="D539" s="14"/>
      <c r="E539" s="14"/>
      <c r="F539" s="14"/>
      <c r="G539" s="14"/>
      <c r="H539" s="14"/>
    </row>
    <row r="540" spans="3:8" ht="14.25" customHeight="1">
      <c r="C540" s="14"/>
      <c r="D540" s="14"/>
      <c r="E540" s="14"/>
      <c r="F540" s="14"/>
      <c r="G540" s="14"/>
      <c r="H540" s="14"/>
    </row>
    <row r="541" spans="3:8" ht="14.25" customHeight="1">
      <c r="C541" s="14"/>
      <c r="D541" s="14"/>
      <c r="E541" s="14"/>
      <c r="F541" s="14"/>
      <c r="G541" s="14"/>
      <c r="H541" s="14"/>
    </row>
    <row r="542" spans="3:8" ht="14.25" customHeight="1">
      <c r="C542" s="14"/>
      <c r="D542" s="14"/>
      <c r="E542" s="14"/>
      <c r="F542" s="14"/>
      <c r="G542" s="14"/>
      <c r="H542" s="14"/>
    </row>
    <row r="543" spans="3:8" ht="14.25" customHeight="1">
      <c r="C543" s="14"/>
      <c r="D543" s="14"/>
      <c r="E543" s="14"/>
      <c r="F543" s="14"/>
      <c r="G543" s="14"/>
      <c r="H543" s="14"/>
    </row>
    <row r="544" spans="3:8" ht="14.25" customHeight="1">
      <c r="C544" s="14"/>
      <c r="D544" s="14"/>
      <c r="E544" s="14"/>
      <c r="F544" s="14"/>
      <c r="G544" s="14"/>
      <c r="H544" s="14"/>
    </row>
    <row r="545" spans="3:8" ht="14.25" customHeight="1">
      <c r="C545" s="14"/>
      <c r="D545" s="14"/>
      <c r="E545" s="14"/>
      <c r="F545" s="14"/>
      <c r="G545" s="14"/>
      <c r="H545" s="14"/>
    </row>
    <row r="546" spans="3:8" ht="14.25" customHeight="1">
      <c r="C546" s="14"/>
      <c r="D546" s="14"/>
      <c r="E546" s="14"/>
      <c r="F546" s="14"/>
      <c r="G546" s="14"/>
      <c r="H546" s="14"/>
    </row>
    <row r="547" spans="3:8" ht="14.25" customHeight="1">
      <c r="C547" s="14"/>
      <c r="D547" s="14"/>
      <c r="E547" s="14"/>
      <c r="F547" s="14"/>
      <c r="G547" s="14"/>
      <c r="H547" s="14"/>
    </row>
    <row r="548" spans="3:8" ht="14.25" customHeight="1">
      <c r="C548" s="14"/>
      <c r="D548" s="14"/>
      <c r="E548" s="14"/>
      <c r="F548" s="14"/>
      <c r="G548" s="14"/>
      <c r="H548" s="14"/>
    </row>
    <row r="549" spans="3:8" ht="14.25" customHeight="1">
      <c r="C549" s="14"/>
      <c r="D549" s="14"/>
      <c r="E549" s="14"/>
      <c r="F549" s="14"/>
      <c r="G549" s="14"/>
      <c r="H549" s="14"/>
    </row>
    <row r="550" spans="3:8" ht="14.25" customHeight="1">
      <c r="C550" s="14"/>
      <c r="D550" s="14"/>
      <c r="E550" s="14"/>
      <c r="F550" s="14"/>
      <c r="G550" s="14"/>
      <c r="H550" s="14"/>
    </row>
    <row r="551" spans="3:8" ht="14.25" customHeight="1">
      <c r="C551" s="14"/>
      <c r="D551" s="14"/>
      <c r="E551" s="14"/>
      <c r="F551" s="14"/>
      <c r="G551" s="14"/>
      <c r="H551" s="14"/>
    </row>
    <row r="552" spans="3:8" ht="14.25" customHeight="1">
      <c r="C552" s="14"/>
      <c r="D552" s="14"/>
      <c r="E552" s="14"/>
      <c r="F552" s="14"/>
      <c r="G552" s="14"/>
      <c r="H552" s="14"/>
    </row>
    <row r="553" spans="3:8" ht="14.25" customHeight="1">
      <c r="C553" s="14"/>
      <c r="D553" s="14"/>
      <c r="E553" s="14"/>
      <c r="F553" s="14"/>
      <c r="G553" s="14"/>
      <c r="H553" s="14"/>
    </row>
    <row r="554" spans="3:8" ht="14.25" customHeight="1">
      <c r="C554" s="14"/>
      <c r="D554" s="14"/>
      <c r="E554" s="14"/>
      <c r="F554" s="14"/>
      <c r="G554" s="14"/>
      <c r="H554" s="14"/>
    </row>
    <row r="555" spans="3:8" ht="14.25" customHeight="1">
      <c r="C555" s="14"/>
      <c r="D555" s="14"/>
      <c r="E555" s="14"/>
      <c r="F555" s="14"/>
      <c r="G555" s="14"/>
      <c r="H555" s="14"/>
    </row>
    <row r="556" spans="3:8" ht="14.25" customHeight="1">
      <c r="C556" s="14"/>
      <c r="D556" s="14"/>
      <c r="E556" s="14"/>
      <c r="F556" s="14"/>
      <c r="G556" s="14"/>
      <c r="H556" s="14"/>
    </row>
    <row r="557" spans="3:8" ht="14.25" customHeight="1">
      <c r="C557" s="14"/>
      <c r="D557" s="14"/>
      <c r="E557" s="14"/>
      <c r="F557" s="14"/>
      <c r="G557" s="14"/>
      <c r="H557" s="14"/>
    </row>
    <row r="558" spans="3:8" ht="14.25" customHeight="1">
      <c r="C558" s="14"/>
      <c r="D558" s="14"/>
      <c r="E558" s="14"/>
      <c r="F558" s="14"/>
      <c r="G558" s="14"/>
      <c r="H558" s="14"/>
    </row>
    <row r="559" spans="3:8" ht="14.25" customHeight="1">
      <c r="C559" s="14"/>
      <c r="D559" s="14"/>
      <c r="E559" s="14"/>
      <c r="F559" s="14"/>
      <c r="G559" s="14"/>
      <c r="H559" s="14"/>
    </row>
    <row r="560" spans="3:8" ht="14.25" customHeight="1">
      <c r="C560" s="14"/>
      <c r="D560" s="14"/>
      <c r="E560" s="14"/>
      <c r="F560" s="14"/>
      <c r="G560" s="14"/>
      <c r="H560" s="14"/>
    </row>
    <row r="561" spans="3:8" ht="14.25" customHeight="1">
      <c r="C561" s="14"/>
      <c r="D561" s="14"/>
      <c r="E561" s="14"/>
      <c r="F561" s="14"/>
      <c r="G561" s="14"/>
      <c r="H561" s="14"/>
    </row>
    <row r="562" spans="3:8" ht="14.25" customHeight="1">
      <c r="C562" s="14"/>
      <c r="D562" s="14"/>
      <c r="E562" s="14"/>
      <c r="F562" s="14"/>
      <c r="G562" s="14"/>
      <c r="H562" s="14"/>
    </row>
    <row r="563" spans="3:8" ht="14.25" customHeight="1">
      <c r="C563" s="14"/>
      <c r="D563" s="14"/>
      <c r="E563" s="14"/>
      <c r="F563" s="14"/>
      <c r="G563" s="14"/>
      <c r="H563" s="14"/>
    </row>
    <row r="564" spans="3:8" ht="14.25" customHeight="1">
      <c r="C564" s="14"/>
      <c r="D564" s="14"/>
      <c r="E564" s="14"/>
      <c r="F564" s="14"/>
      <c r="G564" s="14"/>
      <c r="H564" s="14"/>
    </row>
    <row r="565" spans="3:8" ht="14.25" customHeight="1">
      <c r="C565" s="14"/>
      <c r="D565" s="14"/>
      <c r="E565" s="14"/>
      <c r="F565" s="14"/>
      <c r="G565" s="14"/>
      <c r="H565" s="14"/>
    </row>
    <row r="566" spans="3:8" ht="14.25" customHeight="1">
      <c r="C566" s="14"/>
      <c r="D566" s="14"/>
      <c r="E566" s="14"/>
      <c r="F566" s="14"/>
      <c r="G566" s="14"/>
      <c r="H566" s="14"/>
    </row>
    <row r="567" spans="3:8" ht="14.25" customHeight="1">
      <c r="C567" s="14"/>
      <c r="D567" s="14"/>
      <c r="E567" s="14"/>
      <c r="F567" s="14"/>
      <c r="G567" s="14"/>
      <c r="H567" s="14"/>
    </row>
    <row r="568" spans="3:8" ht="14.25" customHeight="1">
      <c r="C568" s="14"/>
      <c r="D568" s="14"/>
      <c r="E568" s="14"/>
      <c r="F568" s="14"/>
      <c r="G568" s="14"/>
      <c r="H568" s="14"/>
    </row>
    <row r="569" spans="3:8" ht="14.25" customHeight="1">
      <c r="C569" s="14"/>
      <c r="D569" s="14"/>
      <c r="E569" s="14"/>
      <c r="F569" s="14"/>
      <c r="G569" s="14"/>
      <c r="H569" s="14"/>
    </row>
    <row r="570" spans="3:8" ht="14.25" customHeight="1">
      <c r="C570" s="14"/>
      <c r="D570" s="14"/>
      <c r="E570" s="14"/>
      <c r="F570" s="14"/>
      <c r="G570" s="14"/>
      <c r="H570" s="14"/>
    </row>
    <row r="571" spans="3:8" ht="14.25" customHeight="1">
      <c r="C571" s="14"/>
      <c r="D571" s="14"/>
      <c r="E571" s="14"/>
      <c r="F571" s="14"/>
      <c r="G571" s="14"/>
      <c r="H571" s="14"/>
    </row>
    <row r="572" spans="3:8" ht="14.25" customHeight="1">
      <c r="C572" s="14"/>
      <c r="D572" s="14"/>
      <c r="E572" s="14"/>
      <c r="F572" s="14"/>
      <c r="G572" s="14"/>
      <c r="H572" s="14"/>
    </row>
    <row r="573" spans="3:8" ht="14.25" customHeight="1">
      <c r="C573" s="14"/>
      <c r="D573" s="14"/>
      <c r="E573" s="14"/>
      <c r="F573" s="14"/>
      <c r="G573" s="14"/>
      <c r="H573" s="14"/>
    </row>
    <row r="574" spans="3:8" ht="14.25" customHeight="1">
      <c r="C574" s="14"/>
      <c r="D574" s="14"/>
      <c r="E574" s="14"/>
      <c r="F574" s="14"/>
      <c r="G574" s="14"/>
      <c r="H574" s="14"/>
    </row>
    <row r="575" spans="3:8" ht="14.25" customHeight="1">
      <c r="C575" s="14"/>
      <c r="D575" s="14"/>
      <c r="E575" s="14"/>
      <c r="F575" s="14"/>
      <c r="G575" s="14"/>
      <c r="H575" s="14"/>
    </row>
    <row r="576" spans="3:8" ht="14.25" customHeight="1">
      <c r="C576" s="14"/>
      <c r="D576" s="14"/>
      <c r="E576" s="14"/>
      <c r="F576" s="14"/>
      <c r="G576" s="14"/>
      <c r="H576" s="14"/>
    </row>
    <row r="577" spans="3:8" ht="14.25" customHeight="1">
      <c r="C577" s="14"/>
      <c r="D577" s="14"/>
      <c r="E577" s="14"/>
      <c r="F577" s="14"/>
      <c r="G577" s="14"/>
      <c r="H577" s="14"/>
    </row>
    <row r="578" spans="3:8" ht="14.25" customHeight="1">
      <c r="C578" s="14"/>
      <c r="D578" s="14"/>
      <c r="E578" s="14"/>
      <c r="F578" s="14"/>
      <c r="G578" s="14"/>
      <c r="H578" s="14"/>
    </row>
    <row r="579" spans="3:8" ht="14.25" customHeight="1">
      <c r="C579" s="14"/>
      <c r="D579" s="14"/>
      <c r="E579" s="14"/>
      <c r="F579" s="14"/>
      <c r="G579" s="14"/>
      <c r="H579" s="14"/>
    </row>
    <row r="580" spans="3:8" ht="14.25" customHeight="1">
      <c r="C580" s="14"/>
      <c r="D580" s="14"/>
      <c r="E580" s="14"/>
      <c r="F580" s="14"/>
      <c r="G580" s="14"/>
      <c r="H580" s="14"/>
    </row>
    <row r="581" spans="3:8" ht="14.25" customHeight="1">
      <c r="C581" s="14"/>
      <c r="D581" s="14"/>
      <c r="E581" s="14"/>
      <c r="F581" s="14"/>
      <c r="G581" s="14"/>
      <c r="H581" s="14"/>
    </row>
    <row r="582" spans="3:8" ht="14.25" customHeight="1">
      <c r="C582" s="14"/>
      <c r="D582" s="14"/>
      <c r="E582" s="14"/>
      <c r="F582" s="14"/>
      <c r="G582" s="14"/>
      <c r="H582" s="14"/>
    </row>
    <row r="583" spans="3:8" ht="14.25" customHeight="1">
      <c r="C583" s="14"/>
      <c r="D583" s="14"/>
      <c r="E583" s="14"/>
      <c r="F583" s="14"/>
      <c r="G583" s="14"/>
      <c r="H583" s="14"/>
    </row>
    <row r="584" spans="3:8" ht="14.25" customHeight="1">
      <c r="C584" s="14"/>
      <c r="D584" s="14"/>
      <c r="E584" s="14"/>
      <c r="F584" s="14"/>
      <c r="G584" s="14"/>
      <c r="H584" s="14"/>
    </row>
    <row r="585" spans="3:8" ht="14.25" customHeight="1">
      <c r="C585" s="14"/>
      <c r="D585" s="14"/>
      <c r="E585" s="14"/>
      <c r="F585" s="14"/>
      <c r="G585" s="14"/>
      <c r="H585" s="14"/>
    </row>
    <row r="586" spans="3:8" ht="14.25" customHeight="1">
      <c r="C586" s="14"/>
      <c r="D586" s="14"/>
      <c r="E586" s="14"/>
      <c r="F586" s="14"/>
      <c r="G586" s="14"/>
      <c r="H586" s="14"/>
    </row>
    <row r="587" spans="3:8" ht="14.25" customHeight="1">
      <c r="C587" s="14"/>
      <c r="D587" s="14"/>
      <c r="E587" s="14"/>
      <c r="F587" s="14"/>
      <c r="G587" s="14"/>
      <c r="H587" s="14"/>
    </row>
    <row r="588" spans="3:8" ht="14.25" customHeight="1">
      <c r="C588" s="14"/>
      <c r="D588" s="14"/>
      <c r="E588" s="14"/>
      <c r="F588" s="14"/>
      <c r="G588" s="14"/>
      <c r="H588" s="14"/>
    </row>
    <row r="589" spans="3:8" ht="14.25" customHeight="1">
      <c r="C589" s="14"/>
      <c r="D589" s="14"/>
      <c r="E589" s="14"/>
      <c r="F589" s="14"/>
      <c r="G589" s="14"/>
      <c r="H589" s="14"/>
    </row>
    <row r="590" spans="3:8" ht="14.25" customHeight="1">
      <c r="C590" s="14"/>
      <c r="D590" s="14"/>
      <c r="E590" s="14"/>
      <c r="F590" s="14"/>
      <c r="G590" s="14"/>
      <c r="H590" s="14"/>
    </row>
    <row r="591" spans="3:8" ht="14.25" customHeight="1">
      <c r="C591" s="14"/>
      <c r="D591" s="14"/>
      <c r="E591" s="14"/>
      <c r="F591" s="14"/>
      <c r="G591" s="14"/>
      <c r="H591" s="14"/>
    </row>
    <row r="592" spans="3:8" ht="14.25" customHeight="1">
      <c r="C592" s="14"/>
      <c r="D592" s="14"/>
      <c r="E592" s="14"/>
      <c r="F592" s="14"/>
      <c r="G592" s="14"/>
      <c r="H592" s="14"/>
    </row>
    <row r="593" spans="3:8" ht="14.25" customHeight="1">
      <c r="C593" s="14"/>
      <c r="D593" s="14"/>
      <c r="E593" s="14"/>
      <c r="F593" s="14"/>
      <c r="G593" s="14"/>
      <c r="H593" s="14"/>
    </row>
    <row r="594" spans="3:8" ht="14.25" customHeight="1">
      <c r="C594" s="14"/>
      <c r="D594" s="14"/>
      <c r="E594" s="14"/>
      <c r="F594" s="14"/>
      <c r="G594" s="14"/>
      <c r="H594" s="14"/>
    </row>
    <row r="595" spans="3:8" ht="14.25" customHeight="1">
      <c r="C595" s="14"/>
      <c r="D595" s="14"/>
      <c r="E595" s="14"/>
      <c r="F595" s="14"/>
      <c r="G595" s="14"/>
      <c r="H595" s="14"/>
    </row>
    <row r="596" spans="3:8" ht="14.25" customHeight="1">
      <c r="C596" s="14"/>
      <c r="D596" s="14"/>
      <c r="E596" s="14"/>
      <c r="F596" s="14"/>
      <c r="G596" s="14"/>
      <c r="H596" s="14"/>
    </row>
    <row r="597" spans="3:8" ht="14.25" customHeight="1">
      <c r="C597" s="14"/>
      <c r="D597" s="14"/>
      <c r="E597" s="14"/>
      <c r="F597" s="14"/>
      <c r="G597" s="14"/>
      <c r="H597" s="14"/>
    </row>
    <row r="598" spans="3:8" ht="14.25" customHeight="1">
      <c r="C598" s="14"/>
      <c r="D598" s="14"/>
      <c r="E598" s="14"/>
      <c r="F598" s="14"/>
      <c r="G598" s="14"/>
      <c r="H598" s="14"/>
    </row>
    <row r="599" spans="3:8" ht="14.25" customHeight="1">
      <c r="C599" s="14"/>
      <c r="D599" s="14"/>
      <c r="E599" s="14"/>
      <c r="F599" s="14"/>
      <c r="G599" s="14"/>
      <c r="H599" s="14"/>
    </row>
    <row r="600" spans="3:8" ht="14.25" customHeight="1">
      <c r="C600" s="14"/>
      <c r="D600" s="14"/>
      <c r="E600" s="14"/>
      <c r="F600" s="14"/>
      <c r="G600" s="14"/>
      <c r="H600" s="14"/>
    </row>
    <row r="601" spans="3:8" ht="14.25" customHeight="1">
      <c r="C601" s="14"/>
      <c r="D601" s="14"/>
      <c r="E601" s="14"/>
      <c r="F601" s="14"/>
      <c r="G601" s="14"/>
      <c r="H601" s="14"/>
    </row>
    <row r="602" spans="3:8" ht="14.25" customHeight="1">
      <c r="C602" s="14"/>
      <c r="D602" s="14"/>
      <c r="E602" s="14"/>
      <c r="F602" s="14"/>
      <c r="G602" s="14"/>
      <c r="H602" s="14"/>
    </row>
    <row r="603" spans="3:8" ht="14.25" customHeight="1">
      <c r="C603" s="14"/>
      <c r="D603" s="14"/>
      <c r="E603" s="14"/>
      <c r="F603" s="14"/>
      <c r="G603" s="14"/>
      <c r="H603" s="14"/>
    </row>
    <row r="604" spans="3:8" ht="14.25" customHeight="1">
      <c r="C604" s="14"/>
      <c r="D604" s="14"/>
      <c r="E604" s="14"/>
      <c r="F604" s="14"/>
      <c r="G604" s="14"/>
      <c r="H604" s="14"/>
    </row>
    <row r="605" spans="3:8" ht="14.25" customHeight="1">
      <c r="C605" s="14"/>
      <c r="D605" s="14"/>
      <c r="E605" s="14"/>
      <c r="F605" s="14"/>
      <c r="G605" s="14"/>
      <c r="H605" s="14"/>
    </row>
    <row r="606" spans="3:8" ht="14.25" customHeight="1">
      <c r="C606" s="14"/>
      <c r="D606" s="14"/>
      <c r="E606" s="14"/>
      <c r="F606" s="14"/>
      <c r="G606" s="14"/>
      <c r="H606" s="14"/>
    </row>
    <row r="607" spans="3:8" ht="14.25" customHeight="1">
      <c r="C607" s="14"/>
      <c r="D607" s="14"/>
      <c r="E607" s="14"/>
      <c r="F607" s="14"/>
      <c r="G607" s="14"/>
      <c r="H607" s="14"/>
    </row>
    <row r="608" spans="3:8" ht="14.25" customHeight="1">
      <c r="C608" s="14"/>
      <c r="D608" s="14"/>
      <c r="E608" s="14"/>
      <c r="F608" s="14"/>
      <c r="G608" s="14"/>
      <c r="H608" s="14"/>
    </row>
    <row r="609" spans="3:8" ht="14.25" customHeight="1">
      <c r="C609" s="14"/>
      <c r="D609" s="14"/>
      <c r="E609" s="14"/>
      <c r="F609" s="14"/>
      <c r="G609" s="14"/>
      <c r="H609" s="14"/>
    </row>
    <row r="610" spans="3:8" ht="14.25" customHeight="1">
      <c r="C610" s="14"/>
      <c r="D610" s="14"/>
      <c r="E610" s="14"/>
      <c r="F610" s="14"/>
      <c r="G610" s="14"/>
      <c r="H610" s="14"/>
    </row>
    <row r="611" spans="3:8" ht="14.25" customHeight="1">
      <c r="C611" s="14"/>
      <c r="D611" s="14"/>
      <c r="E611" s="14"/>
      <c r="F611" s="14"/>
      <c r="G611" s="14"/>
      <c r="H611" s="14"/>
    </row>
    <row r="612" spans="3:8" ht="14.25" customHeight="1">
      <c r="C612" s="14"/>
      <c r="D612" s="14"/>
      <c r="E612" s="14"/>
      <c r="F612" s="14"/>
      <c r="G612" s="14"/>
      <c r="H612" s="14"/>
    </row>
    <row r="613" spans="3:8" ht="14.25" customHeight="1">
      <c r="C613" s="14"/>
      <c r="D613" s="14"/>
      <c r="E613" s="14"/>
      <c r="F613" s="14"/>
      <c r="G613" s="14"/>
      <c r="H613" s="14"/>
    </row>
    <row r="614" spans="3:8" ht="14.25" customHeight="1">
      <c r="C614" s="14"/>
      <c r="D614" s="14"/>
      <c r="E614" s="14"/>
      <c r="F614" s="14"/>
      <c r="G614" s="14"/>
      <c r="H614" s="14"/>
    </row>
    <row r="615" spans="3:8" ht="14.25" customHeight="1">
      <c r="C615" s="14"/>
      <c r="D615" s="14"/>
      <c r="E615" s="14"/>
      <c r="F615" s="14"/>
      <c r="G615" s="14"/>
      <c r="H615" s="14"/>
    </row>
    <row r="616" spans="3:8" ht="14.25" customHeight="1">
      <c r="C616" s="14"/>
      <c r="D616" s="14"/>
      <c r="E616" s="14"/>
      <c r="F616" s="14"/>
      <c r="G616" s="14"/>
      <c r="H616" s="14"/>
    </row>
    <row r="617" spans="3:8" ht="14.25" customHeight="1">
      <c r="C617" s="14"/>
      <c r="D617" s="14"/>
      <c r="E617" s="14"/>
      <c r="F617" s="14"/>
      <c r="G617" s="14"/>
      <c r="H617" s="14"/>
    </row>
    <row r="618" spans="3:8" ht="14.25" customHeight="1">
      <c r="C618" s="14"/>
      <c r="D618" s="14"/>
      <c r="E618" s="14"/>
      <c r="F618" s="14"/>
      <c r="G618" s="14"/>
      <c r="H618" s="14"/>
    </row>
    <row r="619" spans="3:8" ht="14.25" customHeight="1">
      <c r="C619" s="14"/>
      <c r="D619" s="14"/>
      <c r="E619" s="14"/>
      <c r="F619" s="14"/>
      <c r="G619" s="14"/>
      <c r="H619" s="14"/>
    </row>
    <row r="620" spans="3:8" ht="14.25" customHeight="1">
      <c r="C620" s="14"/>
      <c r="D620" s="14"/>
      <c r="E620" s="14"/>
      <c r="F620" s="14"/>
      <c r="G620" s="14"/>
      <c r="H620" s="14"/>
    </row>
    <row r="621" spans="3:8" ht="14.25" customHeight="1">
      <c r="C621" s="14"/>
      <c r="D621" s="14"/>
      <c r="E621" s="14"/>
      <c r="F621" s="14"/>
      <c r="G621" s="14"/>
      <c r="H621" s="14"/>
    </row>
    <row r="622" spans="3:8" ht="14.25" customHeight="1">
      <c r="C622" s="14"/>
      <c r="D622" s="14"/>
      <c r="E622" s="14"/>
      <c r="F622" s="14"/>
      <c r="G622" s="14"/>
      <c r="H622" s="14"/>
    </row>
    <row r="623" spans="3:8" ht="14.25" customHeight="1">
      <c r="C623" s="14"/>
      <c r="D623" s="14"/>
      <c r="E623" s="14"/>
      <c r="F623" s="14"/>
      <c r="G623" s="14"/>
      <c r="H623" s="14"/>
    </row>
    <row r="624" spans="3:8" ht="14.25" customHeight="1">
      <c r="C624" s="14"/>
      <c r="D624" s="14"/>
      <c r="E624" s="14"/>
      <c r="F624" s="14"/>
      <c r="G624" s="14"/>
      <c r="H624" s="14"/>
    </row>
    <row r="625" spans="3:8" ht="14.25" customHeight="1">
      <c r="C625" s="14"/>
      <c r="D625" s="14"/>
      <c r="E625" s="14"/>
      <c r="F625" s="14"/>
      <c r="G625" s="14"/>
      <c r="H625" s="14"/>
    </row>
    <row r="626" spans="3:8" ht="14.25" customHeight="1">
      <c r="C626" s="14"/>
      <c r="D626" s="14"/>
      <c r="E626" s="14"/>
      <c r="F626" s="14"/>
      <c r="G626" s="14"/>
      <c r="H626" s="14"/>
    </row>
    <row r="627" spans="3:8" ht="14.25" customHeight="1">
      <c r="C627" s="14"/>
      <c r="D627" s="14"/>
      <c r="E627" s="14"/>
      <c r="F627" s="14"/>
      <c r="G627" s="14"/>
      <c r="H627" s="14"/>
    </row>
    <row r="628" spans="3:8" ht="14.25" customHeight="1">
      <c r="C628" s="14"/>
      <c r="D628" s="14"/>
      <c r="E628" s="14"/>
      <c r="F628" s="14"/>
      <c r="G628" s="14"/>
      <c r="H628" s="14"/>
    </row>
    <row r="629" spans="3:8" ht="14.25" customHeight="1">
      <c r="C629" s="14"/>
      <c r="D629" s="14"/>
      <c r="E629" s="14"/>
      <c r="F629" s="14"/>
      <c r="G629" s="14"/>
      <c r="H629" s="14"/>
    </row>
    <row r="630" spans="3:8" ht="14.25" customHeight="1">
      <c r="C630" s="14"/>
      <c r="D630" s="14"/>
      <c r="E630" s="14"/>
      <c r="F630" s="14"/>
      <c r="G630" s="14"/>
      <c r="H630" s="14"/>
    </row>
    <row r="631" spans="3:8" ht="14.25" customHeight="1">
      <c r="C631" s="14"/>
      <c r="D631" s="14"/>
      <c r="E631" s="14"/>
      <c r="F631" s="14"/>
      <c r="G631" s="14"/>
      <c r="H631" s="14"/>
    </row>
    <row r="632" spans="3:8" ht="14.25" customHeight="1">
      <c r="C632" s="14"/>
      <c r="D632" s="14"/>
      <c r="E632" s="14"/>
      <c r="F632" s="14"/>
      <c r="G632" s="14"/>
      <c r="H632" s="14"/>
    </row>
    <row r="633" spans="3:8" ht="14.25" customHeight="1">
      <c r="C633" s="14"/>
      <c r="D633" s="14"/>
      <c r="E633" s="14"/>
      <c r="F633" s="14"/>
      <c r="G633" s="14"/>
      <c r="H633" s="14"/>
    </row>
    <row r="634" spans="3:8" ht="14.25" customHeight="1">
      <c r="C634" s="14"/>
      <c r="D634" s="14"/>
      <c r="E634" s="14"/>
      <c r="F634" s="14"/>
      <c r="G634" s="14"/>
      <c r="H634" s="14"/>
    </row>
    <row r="635" spans="3:8" ht="14.25" customHeight="1">
      <c r="C635" s="14"/>
      <c r="D635" s="14"/>
      <c r="E635" s="14"/>
      <c r="F635" s="14"/>
      <c r="G635" s="14"/>
      <c r="H635" s="14"/>
    </row>
    <row r="636" spans="3:8" ht="14.25" customHeight="1">
      <c r="C636" s="14"/>
      <c r="D636" s="14"/>
      <c r="E636" s="14"/>
      <c r="F636" s="14"/>
      <c r="G636" s="14"/>
      <c r="H636" s="14"/>
    </row>
    <row r="637" spans="3:8" ht="14.25" customHeight="1">
      <c r="C637" s="14"/>
      <c r="D637" s="14"/>
      <c r="E637" s="14"/>
      <c r="F637" s="14"/>
      <c r="G637" s="14"/>
      <c r="H637" s="14"/>
    </row>
    <row r="638" spans="3:8" ht="14.25" customHeight="1">
      <c r="C638" s="14"/>
      <c r="D638" s="14"/>
      <c r="E638" s="14"/>
      <c r="F638" s="14"/>
      <c r="G638" s="14"/>
      <c r="H638" s="14"/>
    </row>
    <row r="639" spans="3:8" ht="14.25" customHeight="1">
      <c r="C639" s="14"/>
      <c r="D639" s="14"/>
      <c r="E639" s="14"/>
      <c r="F639" s="14"/>
      <c r="G639" s="14"/>
      <c r="H639" s="14"/>
    </row>
    <row r="640" spans="3:8" ht="14.25" customHeight="1">
      <c r="C640" s="14"/>
      <c r="D640" s="14"/>
      <c r="E640" s="14"/>
      <c r="F640" s="14"/>
      <c r="G640" s="14"/>
      <c r="H640" s="14"/>
    </row>
    <row r="641" spans="3:8" ht="14.25" customHeight="1">
      <c r="C641" s="14"/>
      <c r="D641" s="14"/>
      <c r="E641" s="14"/>
      <c r="F641" s="14"/>
      <c r="G641" s="14"/>
      <c r="H641" s="14"/>
    </row>
    <row r="642" spans="3:8" ht="14.25" customHeight="1">
      <c r="C642" s="14"/>
      <c r="D642" s="14"/>
      <c r="E642" s="14"/>
      <c r="F642" s="14"/>
      <c r="G642" s="14"/>
      <c r="H642" s="14"/>
    </row>
    <row r="643" spans="3:8" ht="14.25" customHeight="1">
      <c r="C643" s="14"/>
      <c r="D643" s="14"/>
      <c r="E643" s="14"/>
      <c r="F643" s="14"/>
      <c r="G643" s="14"/>
      <c r="H643" s="14"/>
    </row>
    <row r="644" spans="3:8" ht="14.25" customHeight="1">
      <c r="C644" s="14"/>
      <c r="D644" s="14"/>
      <c r="E644" s="14"/>
      <c r="F644" s="14"/>
      <c r="G644" s="14"/>
      <c r="H644" s="14"/>
    </row>
    <row r="645" spans="3:8" ht="14.25" customHeight="1">
      <c r="C645" s="14"/>
      <c r="D645" s="14"/>
      <c r="E645" s="14"/>
      <c r="F645" s="14"/>
      <c r="G645" s="14"/>
      <c r="H645" s="14"/>
    </row>
    <row r="646" spans="3:8" ht="14.25" customHeight="1">
      <c r="C646" s="14"/>
      <c r="D646" s="14"/>
      <c r="E646" s="14"/>
      <c r="F646" s="14"/>
      <c r="G646" s="14"/>
      <c r="H646" s="14"/>
    </row>
    <row r="647" spans="3:8" ht="14.25" customHeight="1">
      <c r="C647" s="14"/>
      <c r="D647" s="14"/>
      <c r="E647" s="14"/>
      <c r="F647" s="14"/>
      <c r="G647" s="14"/>
      <c r="H647" s="14"/>
    </row>
    <row r="648" spans="3:8" ht="14.25" customHeight="1">
      <c r="C648" s="14"/>
      <c r="D648" s="14"/>
      <c r="E648" s="14"/>
      <c r="F648" s="14"/>
      <c r="G648" s="14"/>
      <c r="H648" s="14"/>
    </row>
    <row r="649" spans="3:8" ht="14.25" customHeight="1">
      <c r="C649" s="14"/>
      <c r="D649" s="14"/>
      <c r="E649" s="14"/>
      <c r="F649" s="14"/>
      <c r="G649" s="14"/>
      <c r="H649" s="14"/>
    </row>
    <row r="650" spans="3:8" ht="14.25" customHeight="1">
      <c r="C650" s="14"/>
      <c r="D650" s="14"/>
      <c r="E650" s="14"/>
      <c r="F650" s="14"/>
      <c r="G650" s="14"/>
      <c r="H650" s="14"/>
    </row>
    <row r="651" spans="3:8" ht="14.25" customHeight="1">
      <c r="C651" s="14"/>
      <c r="D651" s="14"/>
      <c r="E651" s="14"/>
      <c r="F651" s="14"/>
      <c r="G651" s="14"/>
      <c r="H651" s="14"/>
    </row>
    <row r="652" spans="3:8" ht="14.25" customHeight="1">
      <c r="C652" s="14"/>
      <c r="D652" s="14"/>
      <c r="E652" s="14"/>
      <c r="F652" s="14"/>
      <c r="G652" s="14"/>
      <c r="H652" s="14"/>
    </row>
    <row r="653" spans="3:8" ht="14.25" customHeight="1">
      <c r="C653" s="14"/>
      <c r="D653" s="14"/>
      <c r="E653" s="14"/>
      <c r="F653" s="14"/>
      <c r="G653" s="14"/>
      <c r="H653" s="14"/>
    </row>
    <row r="654" spans="3:8" ht="14.25" customHeight="1">
      <c r="C654" s="14"/>
      <c r="D654" s="14"/>
      <c r="E654" s="14"/>
      <c r="F654" s="14"/>
      <c r="G654" s="14"/>
      <c r="H654" s="14"/>
    </row>
    <row r="655" spans="3:8" ht="14.25" customHeight="1">
      <c r="C655" s="14"/>
      <c r="D655" s="14"/>
      <c r="E655" s="14"/>
      <c r="F655" s="14"/>
      <c r="G655" s="14"/>
      <c r="H655" s="14"/>
    </row>
    <row r="656" spans="3:8" ht="14.25" customHeight="1">
      <c r="C656" s="14"/>
      <c r="D656" s="14"/>
      <c r="E656" s="14"/>
      <c r="F656" s="14"/>
      <c r="G656" s="14"/>
      <c r="H656" s="14"/>
    </row>
    <row r="657" spans="3:8" ht="14.25" customHeight="1">
      <c r="C657" s="14"/>
      <c r="D657" s="14"/>
      <c r="E657" s="14"/>
      <c r="F657" s="14"/>
      <c r="G657" s="14"/>
      <c r="H657" s="14"/>
    </row>
    <row r="658" spans="3:8" ht="14.25" customHeight="1">
      <c r="C658" s="14"/>
      <c r="D658" s="14"/>
      <c r="E658" s="14"/>
      <c r="F658" s="14"/>
      <c r="G658" s="14"/>
      <c r="H658" s="14"/>
    </row>
    <row r="659" spans="3:8" ht="14.25" customHeight="1">
      <c r="C659" s="14"/>
      <c r="D659" s="14"/>
      <c r="E659" s="14"/>
      <c r="F659" s="14"/>
      <c r="G659" s="14"/>
      <c r="H659" s="14"/>
    </row>
    <row r="660" spans="3:8" ht="14.25" customHeight="1">
      <c r="C660" s="14"/>
      <c r="D660" s="14"/>
      <c r="E660" s="14"/>
      <c r="F660" s="14"/>
      <c r="G660" s="14"/>
      <c r="H660" s="14"/>
    </row>
    <row r="661" spans="3:8" ht="14.25" customHeight="1">
      <c r="C661" s="14"/>
      <c r="D661" s="14"/>
      <c r="E661" s="14"/>
      <c r="F661" s="14"/>
      <c r="G661" s="14"/>
      <c r="H661" s="14"/>
    </row>
    <row r="662" spans="3:8" ht="14.25" customHeight="1">
      <c r="C662" s="14"/>
      <c r="D662" s="14"/>
      <c r="E662" s="14"/>
      <c r="F662" s="14"/>
      <c r="G662" s="14"/>
      <c r="H662" s="14"/>
    </row>
    <row r="663" spans="3:8" ht="14.25" customHeight="1">
      <c r="C663" s="14"/>
      <c r="D663" s="14"/>
      <c r="E663" s="14"/>
      <c r="F663" s="14"/>
      <c r="G663" s="14"/>
      <c r="H663" s="14"/>
    </row>
    <row r="664" spans="3:8" ht="14.25" customHeight="1">
      <c r="C664" s="14"/>
      <c r="D664" s="14"/>
      <c r="E664" s="14"/>
      <c r="F664" s="14"/>
      <c r="G664" s="14"/>
      <c r="H664" s="14"/>
    </row>
    <row r="665" spans="3:8" ht="14.25" customHeight="1">
      <c r="C665" s="14"/>
      <c r="D665" s="14"/>
      <c r="E665" s="14"/>
      <c r="F665" s="14"/>
      <c r="G665" s="14"/>
      <c r="H665" s="14"/>
    </row>
    <row r="666" spans="3:8" ht="14.25" customHeight="1">
      <c r="C666" s="14"/>
      <c r="D666" s="14"/>
      <c r="E666" s="14"/>
      <c r="F666" s="14"/>
      <c r="G666" s="14"/>
      <c r="H666" s="14"/>
    </row>
    <row r="667" spans="3:8" ht="14.25" customHeight="1">
      <c r="C667" s="14"/>
      <c r="D667" s="14"/>
      <c r="E667" s="14"/>
      <c r="F667" s="14"/>
      <c r="G667" s="14"/>
      <c r="H667" s="14"/>
    </row>
    <row r="668" spans="3:8" ht="14.25" customHeight="1">
      <c r="C668" s="14"/>
      <c r="D668" s="14"/>
      <c r="E668" s="14"/>
      <c r="F668" s="14"/>
      <c r="G668" s="14"/>
      <c r="H668" s="14"/>
    </row>
    <row r="669" spans="3:8" ht="14.25" customHeight="1">
      <c r="C669" s="14"/>
      <c r="D669" s="14"/>
      <c r="E669" s="14"/>
      <c r="F669" s="14"/>
      <c r="G669" s="14"/>
      <c r="H669" s="14"/>
    </row>
    <row r="670" spans="3:8" ht="14.25" customHeight="1">
      <c r="C670" s="14"/>
      <c r="D670" s="14"/>
      <c r="E670" s="14"/>
      <c r="F670" s="14"/>
      <c r="G670" s="14"/>
      <c r="H670" s="14"/>
    </row>
    <row r="671" spans="3:8" ht="14.25" customHeight="1">
      <c r="C671" s="14"/>
      <c r="D671" s="14"/>
      <c r="E671" s="14"/>
      <c r="F671" s="14"/>
      <c r="G671" s="14"/>
      <c r="H671" s="14"/>
    </row>
    <row r="672" spans="3:8" ht="14.25" customHeight="1">
      <c r="C672" s="14"/>
      <c r="D672" s="14"/>
      <c r="E672" s="14"/>
      <c r="F672" s="14"/>
      <c r="G672" s="14"/>
      <c r="H672" s="14"/>
    </row>
    <row r="673" spans="3:8" ht="14.25" customHeight="1">
      <c r="C673" s="14"/>
      <c r="D673" s="14"/>
      <c r="E673" s="14"/>
      <c r="F673" s="14"/>
      <c r="G673" s="14"/>
      <c r="H673" s="14"/>
    </row>
    <row r="674" spans="3:8" ht="14.25" customHeight="1">
      <c r="C674" s="14"/>
      <c r="D674" s="14"/>
      <c r="E674" s="14"/>
      <c r="F674" s="14"/>
      <c r="G674" s="14"/>
      <c r="H674" s="14"/>
    </row>
    <row r="675" spans="3:8" ht="14.25" customHeight="1">
      <c r="C675" s="14"/>
      <c r="D675" s="14"/>
      <c r="E675" s="14"/>
      <c r="F675" s="14"/>
      <c r="G675" s="14"/>
      <c r="H675" s="14"/>
    </row>
    <row r="676" spans="3:8" ht="14.25" customHeight="1">
      <c r="C676" s="14"/>
      <c r="D676" s="14"/>
      <c r="E676" s="14"/>
      <c r="F676" s="14"/>
      <c r="G676" s="14"/>
      <c r="H676" s="14"/>
    </row>
    <row r="677" spans="3:8" ht="14.25" customHeight="1">
      <c r="C677" s="14"/>
      <c r="D677" s="14"/>
      <c r="E677" s="14"/>
      <c r="F677" s="14"/>
      <c r="G677" s="14"/>
      <c r="H677" s="14"/>
    </row>
    <row r="678" spans="3:8" ht="14.25" customHeight="1">
      <c r="C678" s="14"/>
      <c r="D678" s="14"/>
      <c r="E678" s="14"/>
      <c r="F678" s="14"/>
      <c r="G678" s="14"/>
      <c r="H678" s="14"/>
    </row>
    <row r="679" spans="3:8" ht="14.25" customHeight="1">
      <c r="C679" s="14"/>
      <c r="D679" s="14"/>
      <c r="E679" s="14"/>
      <c r="F679" s="14"/>
      <c r="G679" s="14"/>
      <c r="H679" s="14"/>
    </row>
    <row r="680" spans="3:8" ht="14.25" customHeight="1">
      <c r="C680" s="14"/>
      <c r="D680" s="14"/>
      <c r="E680" s="14"/>
      <c r="F680" s="14"/>
      <c r="G680" s="14"/>
      <c r="H680" s="14"/>
    </row>
    <row r="681" spans="3:8" ht="14.25" customHeight="1">
      <c r="C681" s="14"/>
      <c r="D681" s="14"/>
      <c r="E681" s="14"/>
      <c r="F681" s="14"/>
      <c r="G681" s="14"/>
      <c r="H681" s="14"/>
    </row>
    <row r="682" spans="3:8" ht="14.25" customHeight="1">
      <c r="C682" s="14"/>
      <c r="D682" s="14"/>
      <c r="E682" s="14"/>
      <c r="F682" s="14"/>
      <c r="G682" s="14"/>
      <c r="H682" s="14"/>
    </row>
    <row r="683" spans="3:8" ht="14.25" customHeight="1">
      <c r="C683" s="14"/>
      <c r="D683" s="14"/>
      <c r="E683" s="14"/>
      <c r="F683" s="14"/>
      <c r="G683" s="14"/>
      <c r="H683" s="14"/>
    </row>
    <row r="684" spans="3:8" ht="14.25" customHeight="1">
      <c r="C684" s="14"/>
      <c r="D684" s="14"/>
      <c r="E684" s="14"/>
      <c r="F684" s="14"/>
      <c r="G684" s="14"/>
      <c r="H684" s="14"/>
    </row>
    <row r="685" spans="3:8" ht="14.25" customHeight="1">
      <c r="C685" s="14"/>
      <c r="D685" s="14"/>
      <c r="E685" s="14"/>
      <c r="F685" s="14"/>
      <c r="G685" s="14"/>
      <c r="H685" s="14"/>
    </row>
    <row r="686" spans="3:8" ht="14.25" customHeight="1">
      <c r="C686" s="14"/>
      <c r="D686" s="14"/>
      <c r="E686" s="14"/>
      <c r="F686" s="14"/>
      <c r="G686" s="14"/>
      <c r="H686" s="14"/>
    </row>
    <row r="687" spans="3:8" ht="14.25" customHeight="1">
      <c r="C687" s="14"/>
      <c r="D687" s="14"/>
      <c r="E687" s="14"/>
      <c r="F687" s="14"/>
      <c r="G687" s="14"/>
      <c r="H687" s="14"/>
    </row>
    <row r="688" spans="3:8" ht="14.25" customHeight="1">
      <c r="C688" s="14"/>
      <c r="D688" s="14"/>
      <c r="E688" s="14"/>
      <c r="F688" s="14"/>
      <c r="G688" s="14"/>
      <c r="H688" s="14"/>
    </row>
    <row r="689" spans="3:8" ht="14.25" customHeight="1">
      <c r="C689" s="14"/>
      <c r="D689" s="14"/>
      <c r="E689" s="14"/>
      <c r="F689" s="14"/>
      <c r="G689" s="14"/>
      <c r="H689" s="14"/>
    </row>
    <row r="690" spans="3:8" ht="14.25" customHeight="1">
      <c r="C690" s="14"/>
      <c r="D690" s="14"/>
      <c r="E690" s="14"/>
      <c r="F690" s="14"/>
      <c r="G690" s="14"/>
      <c r="H690" s="14"/>
    </row>
    <row r="691" spans="3:8" ht="14.25" customHeight="1">
      <c r="C691" s="14"/>
      <c r="D691" s="14"/>
      <c r="E691" s="14"/>
      <c r="F691" s="14"/>
      <c r="G691" s="14"/>
      <c r="H691" s="14"/>
    </row>
    <row r="692" spans="3:8" ht="14.25" customHeight="1">
      <c r="C692" s="14"/>
      <c r="D692" s="14"/>
      <c r="E692" s="14"/>
      <c r="F692" s="14"/>
      <c r="G692" s="14"/>
      <c r="H692" s="14"/>
    </row>
    <row r="693" spans="3:8" ht="14.25" customHeight="1">
      <c r="C693" s="14"/>
      <c r="D693" s="14"/>
      <c r="E693" s="14"/>
      <c r="F693" s="14"/>
      <c r="G693" s="14"/>
      <c r="H693" s="14"/>
    </row>
    <row r="694" spans="3:8" ht="14.25" customHeight="1">
      <c r="C694" s="14"/>
      <c r="D694" s="14"/>
      <c r="E694" s="14"/>
      <c r="F694" s="14"/>
      <c r="G694" s="14"/>
      <c r="H694" s="14"/>
    </row>
    <row r="695" spans="3:8" ht="14.25" customHeight="1">
      <c r="C695" s="14"/>
      <c r="D695" s="14"/>
      <c r="E695" s="14"/>
      <c r="F695" s="14"/>
      <c r="G695" s="14"/>
      <c r="H695" s="14"/>
    </row>
    <row r="696" spans="3:8" ht="14.25" customHeight="1">
      <c r="C696" s="14"/>
      <c r="D696" s="14"/>
      <c r="E696" s="14"/>
      <c r="F696" s="14"/>
      <c r="G696" s="14"/>
      <c r="H696" s="14"/>
    </row>
    <row r="697" spans="3:8" ht="14.25" customHeight="1">
      <c r="C697" s="14"/>
      <c r="D697" s="14"/>
      <c r="E697" s="14"/>
      <c r="F697" s="14"/>
      <c r="G697" s="14"/>
      <c r="H697" s="14"/>
    </row>
    <row r="698" spans="3:8" ht="14.25" customHeight="1">
      <c r="C698" s="14"/>
      <c r="D698" s="14"/>
      <c r="E698" s="14"/>
      <c r="F698" s="14"/>
      <c r="G698" s="14"/>
      <c r="H698" s="14"/>
    </row>
    <row r="699" spans="3:8" ht="14.25" customHeight="1">
      <c r="C699" s="14"/>
      <c r="D699" s="14"/>
      <c r="E699" s="14"/>
      <c r="F699" s="14"/>
      <c r="G699" s="14"/>
      <c r="H699" s="14"/>
    </row>
    <row r="700" spans="3:8" ht="14.25" customHeight="1">
      <c r="C700" s="14"/>
      <c r="D700" s="14"/>
      <c r="E700" s="14"/>
      <c r="F700" s="14"/>
      <c r="G700" s="14"/>
      <c r="H700" s="14"/>
    </row>
    <row r="701" spans="3:8" ht="14.25" customHeight="1">
      <c r="C701" s="14"/>
      <c r="D701" s="14"/>
      <c r="E701" s="14"/>
      <c r="F701" s="14"/>
      <c r="G701" s="14"/>
      <c r="H701" s="14"/>
    </row>
    <row r="702" spans="3:8" ht="14.25" customHeight="1">
      <c r="C702" s="14"/>
      <c r="D702" s="14"/>
      <c r="E702" s="14"/>
      <c r="F702" s="14"/>
      <c r="G702" s="14"/>
      <c r="H702" s="14"/>
    </row>
    <row r="703" spans="3:8" ht="14.25" customHeight="1">
      <c r="C703" s="14"/>
      <c r="D703" s="14"/>
      <c r="E703" s="14"/>
      <c r="F703" s="14"/>
      <c r="G703" s="14"/>
      <c r="H703" s="14"/>
    </row>
    <row r="704" spans="3:8" ht="14.25" customHeight="1">
      <c r="C704" s="14"/>
      <c r="D704" s="14"/>
      <c r="E704" s="14"/>
      <c r="F704" s="14"/>
      <c r="G704" s="14"/>
      <c r="H704" s="14"/>
    </row>
    <row r="705" spans="3:8" ht="14.25" customHeight="1">
      <c r="C705" s="14"/>
      <c r="D705" s="14"/>
      <c r="E705" s="14"/>
      <c r="F705" s="14"/>
      <c r="G705" s="14"/>
      <c r="H705" s="14"/>
    </row>
    <row r="706" spans="3:8" ht="14.25" customHeight="1">
      <c r="C706" s="14"/>
      <c r="D706" s="14"/>
      <c r="E706" s="14"/>
      <c r="F706" s="14"/>
      <c r="G706" s="14"/>
      <c r="H706" s="14"/>
    </row>
    <row r="707" spans="3:8" ht="14.25" customHeight="1">
      <c r="C707" s="14"/>
      <c r="D707" s="14"/>
      <c r="E707" s="14"/>
      <c r="F707" s="14"/>
      <c r="G707" s="14"/>
      <c r="H707" s="14"/>
    </row>
    <row r="708" spans="3:8" ht="14.25" customHeight="1">
      <c r="C708" s="14"/>
      <c r="D708" s="14"/>
      <c r="E708" s="14"/>
      <c r="F708" s="14"/>
      <c r="G708" s="14"/>
      <c r="H708" s="14"/>
    </row>
    <row r="709" spans="3:8" ht="14.25" customHeight="1">
      <c r="C709" s="14"/>
      <c r="D709" s="14"/>
      <c r="E709" s="14"/>
      <c r="F709" s="14"/>
      <c r="G709" s="14"/>
      <c r="H709" s="14"/>
    </row>
    <row r="710" spans="3:8" ht="14.25" customHeight="1">
      <c r="C710" s="14"/>
      <c r="D710" s="14"/>
      <c r="E710" s="14"/>
      <c r="F710" s="14"/>
      <c r="G710" s="14"/>
      <c r="H710" s="14"/>
    </row>
    <row r="711" spans="3:8" ht="14.25" customHeight="1">
      <c r="C711" s="14"/>
      <c r="D711" s="14"/>
      <c r="E711" s="14"/>
      <c r="F711" s="14"/>
      <c r="G711" s="14"/>
      <c r="H711" s="14"/>
    </row>
    <row r="712" spans="3:8" ht="14.25" customHeight="1">
      <c r="C712" s="14"/>
      <c r="D712" s="14"/>
      <c r="E712" s="14"/>
      <c r="F712" s="14"/>
      <c r="G712" s="14"/>
      <c r="H712" s="14"/>
    </row>
    <row r="713" spans="3:8" ht="14.25" customHeight="1">
      <c r="C713" s="14"/>
      <c r="D713" s="14"/>
      <c r="E713" s="14"/>
      <c r="F713" s="14"/>
      <c r="G713" s="14"/>
      <c r="H713" s="14"/>
    </row>
    <row r="714" spans="3:8" ht="14.25" customHeight="1">
      <c r="C714" s="14"/>
      <c r="D714" s="14"/>
      <c r="E714" s="14"/>
      <c r="F714" s="14"/>
      <c r="G714" s="14"/>
      <c r="H714" s="14"/>
    </row>
    <row r="715" spans="3:8" ht="14.25" customHeight="1">
      <c r="C715" s="14"/>
      <c r="D715" s="14"/>
      <c r="E715" s="14"/>
      <c r="F715" s="14"/>
      <c r="G715" s="14"/>
      <c r="H715" s="14"/>
    </row>
    <row r="716" spans="3:8" ht="14.25" customHeight="1">
      <c r="C716" s="14"/>
      <c r="D716" s="14"/>
      <c r="E716" s="14"/>
      <c r="F716" s="14"/>
      <c r="G716" s="14"/>
      <c r="H716" s="14"/>
    </row>
    <row r="717" spans="3:8" ht="14.25" customHeight="1">
      <c r="C717" s="14"/>
      <c r="D717" s="14"/>
      <c r="E717" s="14"/>
      <c r="F717" s="14"/>
      <c r="G717" s="14"/>
      <c r="H717" s="14"/>
    </row>
    <row r="718" spans="3:8" ht="14.25" customHeight="1">
      <c r="C718" s="14"/>
      <c r="D718" s="14"/>
      <c r="E718" s="14"/>
      <c r="F718" s="14"/>
      <c r="G718" s="14"/>
      <c r="H718" s="14"/>
    </row>
    <row r="719" spans="3:8" ht="14.25" customHeight="1">
      <c r="C719" s="14"/>
      <c r="D719" s="14"/>
      <c r="E719" s="14"/>
      <c r="F719" s="14"/>
      <c r="G719" s="14"/>
      <c r="H719" s="14"/>
    </row>
    <row r="720" spans="3:8" ht="14.25" customHeight="1">
      <c r="C720" s="14"/>
      <c r="D720" s="14"/>
      <c r="E720" s="14"/>
      <c r="F720" s="14"/>
      <c r="G720" s="14"/>
      <c r="H720" s="14"/>
    </row>
    <row r="721" spans="3:8" ht="14.25" customHeight="1">
      <c r="C721" s="14"/>
      <c r="D721" s="14"/>
      <c r="E721" s="14"/>
      <c r="F721" s="14"/>
      <c r="G721" s="14"/>
      <c r="H721" s="14"/>
    </row>
    <row r="722" spans="3:8" ht="14.25" customHeight="1">
      <c r="C722" s="14"/>
      <c r="D722" s="14"/>
      <c r="E722" s="14"/>
      <c r="F722" s="14"/>
      <c r="G722" s="14"/>
      <c r="H722" s="14"/>
    </row>
    <row r="723" spans="3:8" ht="14.25" customHeight="1">
      <c r="C723" s="14"/>
      <c r="D723" s="14"/>
      <c r="E723" s="14"/>
      <c r="F723" s="14"/>
      <c r="G723" s="14"/>
      <c r="H723" s="14"/>
    </row>
    <row r="724" spans="3:8" ht="14.25" customHeight="1">
      <c r="C724" s="14"/>
      <c r="D724" s="14"/>
      <c r="E724" s="14"/>
      <c r="F724" s="14"/>
      <c r="G724" s="14"/>
      <c r="H724" s="14"/>
    </row>
    <row r="725" spans="3:8" ht="14.25" customHeight="1">
      <c r="C725" s="14"/>
      <c r="D725" s="14"/>
      <c r="E725" s="14"/>
      <c r="F725" s="14"/>
      <c r="G725" s="14"/>
      <c r="H725" s="14"/>
    </row>
    <row r="726" spans="3:8" ht="14.25" customHeight="1">
      <c r="C726" s="14"/>
      <c r="D726" s="14"/>
      <c r="E726" s="14"/>
      <c r="F726" s="14"/>
      <c r="G726" s="14"/>
      <c r="H726" s="14"/>
    </row>
    <row r="727" spans="3:8" ht="14.25" customHeight="1">
      <c r="C727" s="14"/>
      <c r="D727" s="14"/>
      <c r="E727" s="14"/>
      <c r="F727" s="14"/>
      <c r="G727" s="14"/>
      <c r="H727" s="14"/>
    </row>
    <row r="728" spans="3:8" ht="14.25" customHeight="1">
      <c r="C728" s="14"/>
      <c r="D728" s="14"/>
      <c r="E728" s="14"/>
      <c r="F728" s="14"/>
      <c r="G728" s="14"/>
      <c r="H728" s="14"/>
    </row>
    <row r="729" spans="3:8" ht="14.25" customHeight="1">
      <c r="C729" s="14"/>
      <c r="D729" s="14"/>
      <c r="E729" s="14"/>
      <c r="F729" s="14"/>
      <c r="G729" s="14"/>
      <c r="H729" s="14"/>
    </row>
    <row r="730" spans="3:8" ht="14.25" customHeight="1">
      <c r="C730" s="14"/>
      <c r="D730" s="14"/>
      <c r="E730" s="14"/>
      <c r="F730" s="14"/>
      <c r="G730" s="14"/>
      <c r="H730" s="14"/>
    </row>
    <row r="731" spans="3:8" ht="14.25" customHeight="1">
      <c r="C731" s="14"/>
      <c r="D731" s="14"/>
      <c r="E731" s="14"/>
      <c r="F731" s="14"/>
      <c r="G731" s="14"/>
      <c r="H731" s="14"/>
    </row>
    <row r="732" spans="3:8" ht="14.25" customHeight="1">
      <c r="C732" s="14"/>
      <c r="D732" s="14"/>
      <c r="E732" s="14"/>
      <c r="F732" s="14"/>
      <c r="G732" s="14"/>
      <c r="H732" s="14"/>
    </row>
    <row r="733" spans="3:8" ht="14.25" customHeight="1">
      <c r="C733" s="14"/>
      <c r="D733" s="14"/>
      <c r="E733" s="14"/>
      <c r="F733" s="14"/>
      <c r="G733" s="14"/>
      <c r="H733" s="14"/>
    </row>
    <row r="734" spans="3:8" ht="14.25" customHeight="1">
      <c r="C734" s="14"/>
      <c r="D734" s="14"/>
      <c r="E734" s="14"/>
      <c r="F734" s="14"/>
      <c r="G734" s="14"/>
      <c r="H734" s="14"/>
    </row>
    <row r="735" spans="3:8" ht="14.25" customHeight="1">
      <c r="C735" s="14"/>
      <c r="D735" s="14"/>
      <c r="E735" s="14"/>
      <c r="F735" s="14"/>
      <c r="G735" s="14"/>
      <c r="H735" s="14"/>
    </row>
    <row r="736" spans="3:8" ht="14.25" customHeight="1">
      <c r="C736" s="14"/>
      <c r="D736" s="14"/>
      <c r="E736" s="14"/>
      <c r="F736" s="14"/>
      <c r="G736" s="14"/>
      <c r="H736" s="14"/>
    </row>
    <row r="737" spans="3:8" ht="14.25" customHeight="1">
      <c r="C737" s="14"/>
      <c r="D737" s="14"/>
      <c r="E737" s="14"/>
      <c r="F737" s="14"/>
      <c r="G737" s="14"/>
      <c r="H737" s="14"/>
    </row>
    <row r="738" spans="3:8" ht="14.25" customHeight="1">
      <c r="C738" s="14"/>
      <c r="D738" s="14"/>
      <c r="E738" s="14"/>
      <c r="F738" s="14"/>
      <c r="G738" s="14"/>
      <c r="H738" s="14"/>
    </row>
    <row r="739" spans="3:8" ht="14.25" customHeight="1">
      <c r="C739" s="14"/>
      <c r="D739" s="14"/>
      <c r="E739" s="14"/>
      <c r="F739" s="14"/>
      <c r="G739" s="14"/>
      <c r="H739" s="14"/>
    </row>
    <row r="740" spans="3:8" ht="14.25" customHeight="1">
      <c r="C740" s="14"/>
      <c r="D740" s="14"/>
      <c r="E740" s="14"/>
      <c r="F740" s="14"/>
      <c r="G740" s="14"/>
      <c r="H740" s="14"/>
    </row>
    <row r="741" spans="3:8" ht="14.25" customHeight="1">
      <c r="C741" s="14"/>
      <c r="D741" s="14"/>
      <c r="E741" s="14"/>
      <c r="F741" s="14"/>
      <c r="G741" s="14"/>
      <c r="H741" s="14"/>
    </row>
    <row r="742" spans="3:8" ht="14.25" customHeight="1">
      <c r="C742" s="14"/>
      <c r="D742" s="14"/>
      <c r="E742" s="14"/>
      <c r="F742" s="14"/>
      <c r="G742" s="14"/>
      <c r="H742" s="14"/>
    </row>
    <row r="743" spans="3:8" ht="14.25" customHeight="1">
      <c r="C743" s="14"/>
      <c r="D743" s="14"/>
      <c r="E743" s="14"/>
      <c r="F743" s="14"/>
      <c r="G743" s="14"/>
      <c r="H743" s="14"/>
    </row>
    <row r="744" spans="3:8" ht="14.25" customHeight="1">
      <c r="C744" s="14"/>
      <c r="D744" s="14"/>
      <c r="E744" s="14"/>
      <c r="F744" s="14"/>
      <c r="G744" s="14"/>
      <c r="H744" s="14"/>
    </row>
    <row r="745" spans="3:8" ht="14.25" customHeight="1">
      <c r="C745" s="14"/>
      <c r="D745" s="14"/>
      <c r="E745" s="14"/>
      <c r="F745" s="14"/>
      <c r="G745" s="14"/>
      <c r="H745" s="14"/>
    </row>
    <row r="746" spans="3:8" ht="14.25" customHeight="1">
      <c r="C746" s="14"/>
      <c r="D746" s="14"/>
      <c r="E746" s="14"/>
      <c r="F746" s="14"/>
      <c r="G746" s="14"/>
      <c r="H746" s="14"/>
    </row>
    <row r="747" spans="3:8" ht="14.25" customHeight="1">
      <c r="C747" s="14"/>
      <c r="D747" s="14"/>
      <c r="E747" s="14"/>
      <c r="F747" s="14"/>
      <c r="G747" s="14"/>
      <c r="H747" s="14"/>
    </row>
    <row r="748" spans="3:8" ht="14.25" customHeight="1">
      <c r="C748" s="14"/>
      <c r="D748" s="14"/>
      <c r="E748" s="14"/>
      <c r="F748" s="14"/>
      <c r="G748" s="14"/>
      <c r="H748" s="14"/>
    </row>
    <row r="749" spans="3:8" ht="14.25" customHeight="1">
      <c r="C749" s="14"/>
      <c r="D749" s="14"/>
      <c r="E749" s="14"/>
      <c r="F749" s="14"/>
      <c r="G749" s="14"/>
      <c r="H749" s="14"/>
    </row>
    <row r="750" spans="3:8" ht="14.25" customHeight="1">
      <c r="C750" s="14"/>
      <c r="D750" s="14"/>
      <c r="E750" s="14"/>
      <c r="F750" s="14"/>
      <c r="G750" s="14"/>
      <c r="H750" s="14"/>
    </row>
    <row r="751" spans="3:8" ht="14.25" customHeight="1">
      <c r="C751" s="14"/>
      <c r="D751" s="14"/>
      <c r="E751" s="14"/>
      <c r="F751" s="14"/>
      <c r="G751" s="14"/>
      <c r="H751" s="14"/>
    </row>
    <row r="752" spans="3:8" ht="14.25" customHeight="1">
      <c r="C752" s="14"/>
      <c r="D752" s="14"/>
      <c r="E752" s="14"/>
      <c r="F752" s="14"/>
      <c r="G752" s="14"/>
      <c r="H752" s="14"/>
    </row>
    <row r="753" spans="3:8" ht="14.25" customHeight="1">
      <c r="C753" s="14"/>
      <c r="D753" s="14"/>
      <c r="E753" s="14"/>
      <c r="F753" s="14"/>
      <c r="G753" s="14"/>
      <c r="H753" s="14"/>
    </row>
    <row r="754" spans="3:8" ht="14.25" customHeight="1">
      <c r="C754" s="14"/>
      <c r="D754" s="14"/>
      <c r="E754" s="14"/>
      <c r="F754" s="14"/>
      <c r="G754" s="14"/>
      <c r="H754" s="14"/>
    </row>
    <row r="755" spans="3:8" ht="14.25" customHeight="1">
      <c r="C755" s="14"/>
      <c r="D755" s="14"/>
      <c r="E755" s="14"/>
      <c r="F755" s="14"/>
      <c r="G755" s="14"/>
      <c r="H755" s="14"/>
    </row>
    <row r="756" spans="3:8" ht="14.25" customHeight="1">
      <c r="C756" s="14"/>
      <c r="D756" s="14"/>
      <c r="E756" s="14"/>
      <c r="F756" s="14"/>
      <c r="G756" s="14"/>
      <c r="H756" s="14"/>
    </row>
    <row r="757" spans="3:8" ht="14.25" customHeight="1">
      <c r="C757" s="14"/>
      <c r="D757" s="14"/>
      <c r="E757" s="14"/>
      <c r="F757" s="14"/>
      <c r="G757" s="14"/>
      <c r="H757" s="14"/>
    </row>
    <row r="758" spans="3:8" ht="14.25" customHeight="1">
      <c r="C758" s="14"/>
      <c r="D758" s="14"/>
      <c r="E758" s="14"/>
      <c r="F758" s="14"/>
      <c r="G758" s="14"/>
      <c r="H758" s="14"/>
    </row>
    <row r="759" spans="3:8" ht="14.25" customHeight="1">
      <c r="C759" s="14"/>
      <c r="D759" s="14"/>
      <c r="E759" s="14"/>
      <c r="F759" s="14"/>
      <c r="G759" s="14"/>
      <c r="H759" s="14"/>
    </row>
    <row r="760" spans="3:8" ht="14.25" customHeight="1">
      <c r="C760" s="14"/>
      <c r="D760" s="14"/>
      <c r="E760" s="14"/>
      <c r="F760" s="14"/>
      <c r="G760" s="14"/>
      <c r="H760" s="14"/>
    </row>
    <row r="761" spans="3:8" ht="14.25" customHeight="1">
      <c r="C761" s="14"/>
      <c r="D761" s="14"/>
      <c r="E761" s="14"/>
      <c r="F761" s="14"/>
      <c r="G761" s="14"/>
      <c r="H761" s="14"/>
    </row>
    <row r="762" spans="3:8" ht="14.25" customHeight="1">
      <c r="C762" s="14"/>
      <c r="D762" s="14"/>
      <c r="E762" s="14"/>
      <c r="F762" s="14"/>
      <c r="G762" s="14"/>
      <c r="H762" s="14"/>
    </row>
    <row r="763" spans="3:8" ht="14.25" customHeight="1">
      <c r="C763" s="14"/>
      <c r="D763" s="14"/>
      <c r="E763" s="14"/>
      <c r="F763" s="14"/>
      <c r="G763" s="14"/>
      <c r="H763" s="14"/>
    </row>
    <row r="764" spans="3:8" ht="14.25" customHeight="1">
      <c r="C764" s="14"/>
      <c r="D764" s="14"/>
      <c r="E764" s="14"/>
      <c r="F764" s="14"/>
      <c r="G764" s="14"/>
      <c r="H764" s="14"/>
    </row>
    <row r="765" spans="3:8" ht="14.25" customHeight="1">
      <c r="C765" s="14"/>
      <c r="D765" s="14"/>
      <c r="E765" s="14"/>
      <c r="F765" s="14"/>
      <c r="G765" s="14"/>
      <c r="H765" s="14"/>
    </row>
    <row r="766" spans="3:8" ht="14.25" customHeight="1">
      <c r="C766" s="14"/>
      <c r="D766" s="14"/>
      <c r="E766" s="14"/>
      <c r="F766" s="14"/>
      <c r="G766" s="14"/>
      <c r="H766" s="14"/>
    </row>
    <row r="767" spans="3:8" ht="14.25" customHeight="1">
      <c r="C767" s="14"/>
      <c r="D767" s="14"/>
      <c r="E767" s="14"/>
      <c r="F767" s="14"/>
      <c r="G767" s="14"/>
      <c r="H767" s="14"/>
    </row>
    <row r="768" spans="3:8" ht="14.25" customHeight="1">
      <c r="C768" s="14"/>
      <c r="D768" s="14"/>
      <c r="E768" s="14"/>
      <c r="F768" s="14"/>
      <c r="G768" s="14"/>
      <c r="H768" s="14"/>
    </row>
    <row r="769" spans="3:8" ht="14.25" customHeight="1">
      <c r="C769" s="14"/>
      <c r="D769" s="14"/>
      <c r="E769" s="14"/>
      <c r="F769" s="14"/>
      <c r="G769" s="14"/>
      <c r="H769" s="14"/>
    </row>
    <row r="770" spans="3:8" ht="14.25" customHeight="1">
      <c r="C770" s="14"/>
      <c r="D770" s="14"/>
      <c r="E770" s="14"/>
      <c r="F770" s="14"/>
      <c r="G770" s="14"/>
      <c r="H770" s="14"/>
    </row>
    <row r="771" spans="3:8" ht="14.25" customHeight="1">
      <c r="C771" s="14"/>
      <c r="D771" s="14"/>
      <c r="E771" s="14"/>
      <c r="F771" s="14"/>
      <c r="G771" s="14"/>
      <c r="H771" s="14"/>
    </row>
    <row r="772" spans="3:8" ht="14.25" customHeight="1">
      <c r="C772" s="14"/>
      <c r="D772" s="14"/>
      <c r="E772" s="14"/>
      <c r="F772" s="14"/>
      <c r="G772" s="14"/>
      <c r="H772" s="14"/>
    </row>
    <row r="773" spans="3:8" ht="14.25" customHeight="1">
      <c r="C773" s="14"/>
      <c r="D773" s="14"/>
      <c r="E773" s="14"/>
      <c r="F773" s="14"/>
      <c r="G773" s="14"/>
      <c r="H773" s="14"/>
    </row>
    <row r="774" spans="3:8" ht="14.25" customHeight="1">
      <c r="C774" s="14"/>
      <c r="D774" s="14"/>
      <c r="E774" s="14"/>
      <c r="F774" s="14"/>
      <c r="G774" s="14"/>
      <c r="H774" s="14"/>
    </row>
    <row r="775" spans="3:8" ht="14.25" customHeight="1">
      <c r="C775" s="14"/>
      <c r="D775" s="14"/>
      <c r="E775" s="14"/>
      <c r="F775" s="14"/>
      <c r="G775" s="14"/>
      <c r="H775" s="14"/>
    </row>
    <row r="776" spans="3:8" ht="14.25" customHeight="1">
      <c r="C776" s="14"/>
      <c r="D776" s="14"/>
      <c r="E776" s="14"/>
      <c r="F776" s="14"/>
      <c r="G776" s="14"/>
      <c r="H776" s="14"/>
    </row>
    <row r="777" spans="3:8" ht="14.25" customHeight="1">
      <c r="C777" s="14"/>
      <c r="D777" s="14"/>
      <c r="E777" s="14"/>
      <c r="F777" s="14"/>
      <c r="G777" s="14"/>
      <c r="H777" s="14"/>
    </row>
    <row r="778" spans="3:8" ht="14.25" customHeight="1">
      <c r="C778" s="14"/>
      <c r="D778" s="14"/>
      <c r="E778" s="14"/>
      <c r="F778" s="14"/>
      <c r="G778" s="14"/>
      <c r="H778" s="14"/>
    </row>
    <row r="779" spans="3:8" ht="14.25" customHeight="1">
      <c r="C779" s="14"/>
      <c r="D779" s="14"/>
      <c r="E779" s="14"/>
      <c r="F779" s="14"/>
      <c r="G779" s="14"/>
      <c r="H779" s="14"/>
    </row>
    <row r="780" spans="3:8" ht="14.25" customHeight="1">
      <c r="C780" s="14"/>
      <c r="D780" s="14"/>
      <c r="E780" s="14"/>
      <c r="F780" s="14"/>
      <c r="G780" s="14"/>
      <c r="H780" s="14"/>
    </row>
    <row r="781" spans="3:8" ht="14.25" customHeight="1">
      <c r="C781" s="14"/>
      <c r="D781" s="14"/>
      <c r="E781" s="14"/>
      <c r="F781" s="14"/>
      <c r="G781" s="14"/>
      <c r="H781" s="14"/>
    </row>
    <row r="782" spans="3:8" ht="14.25" customHeight="1">
      <c r="C782" s="14"/>
      <c r="D782" s="14"/>
      <c r="E782" s="14"/>
      <c r="F782" s="14"/>
      <c r="G782" s="14"/>
      <c r="H782" s="14"/>
    </row>
    <row r="783" spans="3:8" ht="14.25" customHeight="1">
      <c r="C783" s="14"/>
      <c r="D783" s="14"/>
      <c r="E783" s="14"/>
      <c r="F783" s="14"/>
      <c r="G783" s="14"/>
      <c r="H783" s="14"/>
    </row>
    <row r="784" spans="3:8" ht="14.25" customHeight="1">
      <c r="C784" s="14"/>
      <c r="D784" s="14"/>
      <c r="E784" s="14"/>
      <c r="F784" s="14"/>
      <c r="G784" s="14"/>
      <c r="H784" s="14"/>
    </row>
    <row r="785" spans="3:8" ht="14.25" customHeight="1">
      <c r="C785" s="14"/>
      <c r="D785" s="14"/>
      <c r="E785" s="14"/>
      <c r="F785" s="14"/>
      <c r="G785" s="14"/>
      <c r="H785" s="14"/>
    </row>
    <row r="786" spans="3:8" ht="14.25" customHeight="1">
      <c r="C786" s="14"/>
      <c r="D786" s="14"/>
      <c r="E786" s="14"/>
      <c r="F786" s="14"/>
      <c r="G786" s="14"/>
      <c r="H786" s="14"/>
    </row>
    <row r="787" spans="3:8" ht="14.25" customHeight="1">
      <c r="C787" s="14"/>
      <c r="D787" s="14"/>
      <c r="E787" s="14"/>
      <c r="F787" s="14"/>
      <c r="G787" s="14"/>
      <c r="H787" s="14"/>
    </row>
    <row r="788" spans="3:8" ht="14.25" customHeight="1">
      <c r="C788" s="14"/>
      <c r="D788" s="14"/>
      <c r="E788" s="14"/>
      <c r="F788" s="14"/>
      <c r="G788" s="14"/>
      <c r="H788" s="14"/>
    </row>
    <row r="789" spans="3:8" ht="14.25" customHeight="1">
      <c r="C789" s="14"/>
      <c r="D789" s="14"/>
      <c r="E789" s="14"/>
      <c r="F789" s="14"/>
      <c r="G789" s="14"/>
      <c r="H789" s="14"/>
    </row>
    <row r="790" spans="3:8" ht="14.25" customHeight="1">
      <c r="C790" s="14"/>
      <c r="D790" s="14"/>
      <c r="E790" s="14"/>
      <c r="F790" s="14"/>
      <c r="G790" s="14"/>
      <c r="H790" s="14"/>
    </row>
    <row r="791" spans="3:8" ht="14.25" customHeight="1">
      <c r="C791" s="14"/>
      <c r="D791" s="14"/>
      <c r="E791" s="14"/>
      <c r="F791" s="14"/>
      <c r="G791" s="14"/>
      <c r="H791" s="14"/>
    </row>
    <row r="792" spans="3:8" ht="14.25" customHeight="1">
      <c r="C792" s="14"/>
      <c r="D792" s="14"/>
      <c r="E792" s="14"/>
      <c r="F792" s="14"/>
      <c r="G792" s="14"/>
      <c r="H792" s="14"/>
    </row>
    <row r="793" spans="3:8" ht="14.25" customHeight="1">
      <c r="C793" s="14"/>
      <c r="D793" s="14"/>
      <c r="E793" s="14"/>
      <c r="F793" s="14"/>
      <c r="G793" s="14"/>
      <c r="H793" s="14"/>
    </row>
    <row r="794" spans="3:8" ht="14.25" customHeight="1">
      <c r="C794" s="14"/>
      <c r="D794" s="14"/>
      <c r="E794" s="14"/>
      <c r="F794" s="14"/>
      <c r="G794" s="14"/>
      <c r="H794" s="14"/>
    </row>
    <row r="795" spans="3:8" ht="14.25" customHeight="1">
      <c r="C795" s="14"/>
      <c r="D795" s="14"/>
      <c r="E795" s="14"/>
      <c r="F795" s="14"/>
      <c r="G795" s="14"/>
      <c r="H795" s="14"/>
    </row>
    <row r="796" spans="3:8" ht="14.25" customHeight="1">
      <c r="C796" s="14"/>
      <c r="D796" s="14"/>
      <c r="E796" s="14"/>
      <c r="F796" s="14"/>
      <c r="G796" s="14"/>
      <c r="H796" s="14"/>
    </row>
    <row r="797" spans="3:8" ht="14.25" customHeight="1">
      <c r="C797" s="14"/>
      <c r="D797" s="14"/>
      <c r="E797" s="14"/>
      <c r="F797" s="14"/>
      <c r="G797" s="14"/>
      <c r="H797" s="14"/>
    </row>
    <row r="798" spans="3:8" ht="14.25" customHeight="1">
      <c r="C798" s="14"/>
      <c r="D798" s="14"/>
      <c r="E798" s="14"/>
      <c r="F798" s="14"/>
      <c r="G798" s="14"/>
      <c r="H798" s="14"/>
    </row>
    <row r="799" spans="3:8" ht="14.25" customHeight="1">
      <c r="C799" s="14"/>
      <c r="D799" s="14"/>
      <c r="E799" s="14"/>
      <c r="F799" s="14"/>
      <c r="G799" s="14"/>
      <c r="H799" s="14"/>
    </row>
    <row r="800" spans="3:8" ht="14.25" customHeight="1">
      <c r="C800" s="14"/>
      <c r="D800" s="14"/>
      <c r="E800" s="14"/>
      <c r="F800" s="14"/>
      <c r="G800" s="14"/>
      <c r="H800" s="14"/>
    </row>
    <row r="801" spans="3:8" ht="14.25" customHeight="1">
      <c r="C801" s="14"/>
      <c r="D801" s="14"/>
      <c r="E801" s="14"/>
      <c r="F801" s="14"/>
      <c r="G801" s="14"/>
      <c r="H801" s="14"/>
    </row>
    <row r="802" spans="3:8" ht="14.25" customHeight="1">
      <c r="C802" s="14"/>
      <c r="D802" s="14"/>
      <c r="E802" s="14"/>
      <c r="F802" s="14"/>
      <c r="G802" s="14"/>
      <c r="H802" s="14"/>
    </row>
    <row r="803" spans="3:8" ht="14.25" customHeight="1">
      <c r="C803" s="14"/>
      <c r="D803" s="14"/>
      <c r="E803" s="14"/>
      <c r="F803" s="14"/>
      <c r="G803" s="14"/>
      <c r="H803" s="14"/>
    </row>
    <row r="804" spans="3:8" ht="14.25" customHeight="1">
      <c r="C804" s="14"/>
      <c r="D804" s="14"/>
      <c r="E804" s="14"/>
      <c r="F804" s="14"/>
      <c r="G804" s="14"/>
      <c r="H804" s="14"/>
    </row>
    <row r="805" spans="3:8" ht="14.25" customHeight="1">
      <c r="C805" s="14"/>
      <c r="D805" s="14"/>
      <c r="E805" s="14"/>
      <c r="F805" s="14"/>
      <c r="G805" s="14"/>
      <c r="H805" s="14"/>
    </row>
    <row r="806" spans="3:8" ht="14.25" customHeight="1">
      <c r="C806" s="14"/>
      <c r="D806" s="14"/>
      <c r="E806" s="14"/>
      <c r="F806" s="14"/>
      <c r="G806" s="14"/>
      <c r="H806" s="14"/>
    </row>
    <row r="807" spans="3:8" ht="14.25" customHeight="1">
      <c r="C807" s="14"/>
      <c r="D807" s="14"/>
      <c r="E807" s="14"/>
      <c r="F807" s="14"/>
      <c r="G807" s="14"/>
      <c r="H807" s="14"/>
    </row>
    <row r="808" spans="3:8" ht="14.25" customHeight="1">
      <c r="C808" s="14"/>
      <c r="D808" s="14"/>
      <c r="E808" s="14"/>
      <c r="F808" s="14"/>
      <c r="G808" s="14"/>
      <c r="H808" s="14"/>
    </row>
    <row r="809" spans="3:8" ht="14.25" customHeight="1">
      <c r="C809" s="14"/>
      <c r="D809" s="14"/>
      <c r="E809" s="14"/>
      <c r="F809" s="14"/>
      <c r="G809" s="14"/>
      <c r="H809" s="14"/>
    </row>
    <row r="810" spans="3:8" ht="14.25" customHeight="1">
      <c r="C810" s="14"/>
      <c r="D810" s="14"/>
      <c r="E810" s="14"/>
      <c r="F810" s="14"/>
      <c r="G810" s="14"/>
      <c r="H810" s="14"/>
    </row>
    <row r="811" spans="3:8" ht="14.25" customHeight="1">
      <c r="C811" s="14"/>
      <c r="D811" s="14"/>
      <c r="E811" s="14"/>
      <c r="F811" s="14"/>
      <c r="G811" s="14"/>
      <c r="H811" s="14"/>
    </row>
    <row r="812" spans="3:8" ht="14.25" customHeight="1">
      <c r="C812" s="14"/>
      <c r="D812" s="14"/>
      <c r="E812" s="14"/>
      <c r="F812" s="14"/>
      <c r="G812" s="14"/>
      <c r="H812" s="14"/>
    </row>
    <row r="813" spans="3:8" ht="14.25" customHeight="1">
      <c r="C813" s="14"/>
      <c r="D813" s="14"/>
      <c r="E813" s="14"/>
      <c r="F813" s="14"/>
      <c r="G813" s="14"/>
      <c r="H813" s="14"/>
    </row>
    <row r="814" spans="3:8" ht="14.25" customHeight="1">
      <c r="C814" s="14"/>
      <c r="D814" s="14"/>
      <c r="E814" s="14"/>
      <c r="F814" s="14"/>
      <c r="G814" s="14"/>
      <c r="H814" s="14"/>
    </row>
    <row r="815" spans="3:8" ht="14.25" customHeight="1">
      <c r="C815" s="14"/>
      <c r="D815" s="14"/>
      <c r="E815" s="14"/>
      <c r="F815" s="14"/>
      <c r="G815" s="14"/>
      <c r="H815" s="14"/>
    </row>
    <row r="816" spans="3:8" ht="14.25" customHeight="1">
      <c r="C816" s="14"/>
      <c r="D816" s="14"/>
      <c r="E816" s="14"/>
      <c r="F816" s="14"/>
      <c r="G816" s="14"/>
      <c r="H816" s="14"/>
    </row>
    <row r="817" spans="3:8" ht="14.25" customHeight="1">
      <c r="C817" s="14"/>
      <c r="D817" s="14"/>
      <c r="E817" s="14"/>
      <c r="F817" s="14"/>
      <c r="G817" s="14"/>
      <c r="H817" s="14"/>
    </row>
    <row r="818" spans="3:8" ht="14.25" customHeight="1">
      <c r="C818" s="14"/>
      <c r="D818" s="14"/>
      <c r="E818" s="14"/>
      <c r="F818" s="14"/>
      <c r="G818" s="14"/>
      <c r="H818" s="14"/>
    </row>
    <row r="819" spans="3:8" ht="14.25" customHeight="1">
      <c r="C819" s="14"/>
      <c r="D819" s="14"/>
      <c r="E819" s="14"/>
      <c r="F819" s="14"/>
      <c r="G819" s="14"/>
      <c r="H819" s="14"/>
    </row>
    <row r="820" spans="3:8" ht="14.25" customHeight="1">
      <c r="C820" s="14"/>
      <c r="D820" s="14"/>
      <c r="E820" s="14"/>
      <c r="F820" s="14"/>
      <c r="G820" s="14"/>
      <c r="H820" s="14"/>
    </row>
    <row r="821" spans="3:8" ht="14.25" customHeight="1">
      <c r="C821" s="14"/>
      <c r="D821" s="14"/>
      <c r="E821" s="14"/>
      <c r="F821" s="14"/>
      <c r="G821" s="14"/>
      <c r="H821" s="14"/>
    </row>
    <row r="822" spans="3:8" ht="14.25" customHeight="1">
      <c r="C822" s="14"/>
      <c r="D822" s="14"/>
      <c r="E822" s="14"/>
      <c r="F822" s="14"/>
      <c r="G822" s="14"/>
      <c r="H822" s="14"/>
    </row>
    <row r="823" spans="3:8" ht="14.25" customHeight="1">
      <c r="C823" s="14"/>
      <c r="D823" s="14"/>
      <c r="E823" s="14"/>
      <c r="F823" s="14"/>
      <c r="G823" s="14"/>
      <c r="H823" s="14"/>
    </row>
    <row r="824" spans="3:8" ht="14.25" customHeight="1">
      <c r="C824" s="14"/>
      <c r="D824" s="14"/>
      <c r="E824" s="14"/>
      <c r="F824" s="14"/>
      <c r="G824" s="14"/>
      <c r="H824" s="14"/>
    </row>
    <row r="825" spans="3:8" ht="14.25" customHeight="1">
      <c r="C825" s="14"/>
      <c r="D825" s="14"/>
      <c r="E825" s="14"/>
      <c r="F825" s="14"/>
      <c r="G825" s="14"/>
      <c r="H825" s="14"/>
    </row>
    <row r="826" spans="3:8" ht="14.25" customHeight="1">
      <c r="C826" s="14"/>
      <c r="D826" s="14"/>
      <c r="E826" s="14"/>
      <c r="F826" s="14"/>
      <c r="G826" s="14"/>
      <c r="H826" s="14"/>
    </row>
    <row r="827" spans="3:8" ht="14.25" customHeight="1">
      <c r="C827" s="14"/>
      <c r="D827" s="14"/>
      <c r="E827" s="14"/>
      <c r="F827" s="14"/>
      <c r="G827" s="14"/>
      <c r="H827" s="14"/>
    </row>
    <row r="828" spans="3:8" ht="14.25" customHeight="1">
      <c r="C828" s="14"/>
      <c r="D828" s="14"/>
      <c r="E828" s="14"/>
      <c r="F828" s="14"/>
      <c r="G828" s="14"/>
      <c r="H828" s="14"/>
    </row>
    <row r="829" spans="3:8" ht="14.25" customHeight="1">
      <c r="C829" s="14"/>
      <c r="D829" s="14"/>
      <c r="E829" s="14"/>
      <c r="F829" s="14"/>
      <c r="G829" s="14"/>
      <c r="H829" s="14"/>
    </row>
    <row r="830" spans="3:8" ht="14.25" customHeight="1">
      <c r="C830" s="14"/>
      <c r="D830" s="14"/>
      <c r="E830" s="14"/>
      <c r="F830" s="14"/>
      <c r="G830" s="14"/>
      <c r="H830" s="14"/>
    </row>
    <row r="831" spans="3:8" ht="14.25" customHeight="1">
      <c r="C831" s="14"/>
      <c r="D831" s="14"/>
      <c r="E831" s="14"/>
      <c r="F831" s="14"/>
      <c r="G831" s="14"/>
      <c r="H831" s="14"/>
    </row>
    <row r="832" spans="3:8" ht="14.25" customHeight="1">
      <c r="C832" s="14"/>
      <c r="D832" s="14"/>
      <c r="E832" s="14"/>
      <c r="F832" s="14"/>
      <c r="G832" s="14"/>
      <c r="H832" s="14"/>
    </row>
    <row r="833" spans="3:8" ht="14.25" customHeight="1">
      <c r="C833" s="14"/>
      <c r="D833" s="14"/>
      <c r="E833" s="14"/>
      <c r="F833" s="14"/>
      <c r="G833" s="14"/>
      <c r="H833" s="14"/>
    </row>
    <row r="834" spans="3:8" ht="14.25" customHeight="1">
      <c r="C834" s="14"/>
      <c r="D834" s="14"/>
      <c r="E834" s="14"/>
      <c r="F834" s="14"/>
      <c r="G834" s="14"/>
      <c r="H834" s="14"/>
    </row>
    <row r="835" spans="3:8" ht="14.25" customHeight="1">
      <c r="C835" s="14"/>
      <c r="D835" s="14"/>
      <c r="E835" s="14"/>
      <c r="F835" s="14"/>
      <c r="G835" s="14"/>
      <c r="H835" s="14"/>
    </row>
    <row r="836" spans="3:8" ht="14.25" customHeight="1">
      <c r="C836" s="14"/>
      <c r="D836" s="14"/>
      <c r="E836" s="14"/>
      <c r="F836" s="14"/>
      <c r="G836" s="14"/>
      <c r="H836" s="14"/>
    </row>
    <row r="837" spans="3:8" ht="14.25" customHeight="1">
      <c r="C837" s="14"/>
      <c r="D837" s="14"/>
      <c r="E837" s="14"/>
      <c r="F837" s="14"/>
      <c r="G837" s="14"/>
      <c r="H837" s="14"/>
    </row>
    <row r="838" spans="3:8" ht="14.25" customHeight="1">
      <c r="C838" s="14"/>
      <c r="D838" s="14"/>
      <c r="E838" s="14"/>
      <c r="F838" s="14"/>
      <c r="G838" s="14"/>
      <c r="H838" s="14"/>
    </row>
    <row r="839" spans="3:8" ht="14.25" customHeight="1">
      <c r="C839" s="14"/>
      <c r="D839" s="14"/>
      <c r="E839" s="14"/>
      <c r="F839" s="14"/>
      <c r="G839" s="14"/>
      <c r="H839" s="14"/>
    </row>
    <row r="840" spans="3:8" ht="14.25" customHeight="1">
      <c r="C840" s="14"/>
      <c r="D840" s="14"/>
      <c r="E840" s="14"/>
      <c r="F840" s="14"/>
      <c r="G840" s="14"/>
      <c r="H840" s="14"/>
    </row>
    <row r="841" spans="3:8" ht="14.25" customHeight="1">
      <c r="C841" s="14"/>
      <c r="D841" s="14"/>
      <c r="E841" s="14"/>
      <c r="F841" s="14"/>
      <c r="G841" s="14"/>
      <c r="H841" s="14"/>
    </row>
    <row r="842" spans="3:8" ht="14.25" customHeight="1">
      <c r="C842" s="14"/>
      <c r="D842" s="14"/>
      <c r="E842" s="14"/>
      <c r="F842" s="14"/>
      <c r="G842" s="14"/>
      <c r="H842" s="14"/>
    </row>
    <row r="843" spans="3:8" ht="14.25" customHeight="1">
      <c r="C843" s="14"/>
      <c r="D843" s="14"/>
      <c r="E843" s="14"/>
      <c r="F843" s="14"/>
      <c r="G843" s="14"/>
      <c r="H843" s="14"/>
    </row>
    <row r="844" spans="3:8" ht="14.25" customHeight="1">
      <c r="C844" s="14"/>
      <c r="D844" s="14"/>
      <c r="E844" s="14"/>
      <c r="F844" s="14"/>
      <c r="G844" s="14"/>
      <c r="H844" s="14"/>
    </row>
    <row r="845" spans="3:8" ht="14.25" customHeight="1">
      <c r="C845" s="14"/>
      <c r="D845" s="14"/>
      <c r="E845" s="14"/>
      <c r="F845" s="14"/>
      <c r="G845" s="14"/>
      <c r="H845" s="14"/>
    </row>
    <row r="846" spans="3:8" ht="14.25" customHeight="1">
      <c r="C846" s="14"/>
      <c r="D846" s="14"/>
      <c r="E846" s="14"/>
      <c r="F846" s="14"/>
      <c r="G846" s="14"/>
      <c r="H846" s="14"/>
    </row>
    <row r="847" spans="3:8" ht="14.25" customHeight="1">
      <c r="C847" s="14"/>
      <c r="D847" s="14"/>
      <c r="E847" s="14"/>
      <c r="F847" s="14"/>
      <c r="G847" s="14"/>
      <c r="H847" s="14"/>
    </row>
    <row r="848" spans="3:8" ht="14.25" customHeight="1">
      <c r="C848" s="14"/>
      <c r="D848" s="14"/>
      <c r="E848" s="14"/>
      <c r="F848" s="14"/>
      <c r="G848" s="14"/>
      <c r="H848" s="14"/>
    </row>
    <row r="849" spans="3:8" ht="14.25" customHeight="1">
      <c r="C849" s="14"/>
      <c r="D849" s="14"/>
      <c r="E849" s="14"/>
      <c r="F849" s="14"/>
      <c r="G849" s="14"/>
      <c r="H849" s="14"/>
    </row>
    <row r="850" spans="3:8" ht="14.25" customHeight="1">
      <c r="C850" s="14"/>
      <c r="D850" s="14"/>
      <c r="E850" s="14"/>
      <c r="F850" s="14"/>
      <c r="G850" s="14"/>
      <c r="H850" s="14"/>
    </row>
    <row r="851" spans="3:8" ht="14.25" customHeight="1">
      <c r="C851" s="14"/>
      <c r="D851" s="14"/>
      <c r="E851" s="14"/>
      <c r="F851" s="14"/>
      <c r="G851" s="14"/>
      <c r="H851" s="14"/>
    </row>
    <row r="852" spans="3:8" ht="14.25" customHeight="1">
      <c r="C852" s="14"/>
      <c r="D852" s="14"/>
      <c r="E852" s="14"/>
      <c r="F852" s="14"/>
      <c r="G852" s="14"/>
      <c r="H852" s="14"/>
    </row>
    <row r="853" spans="3:8" ht="14.25" customHeight="1">
      <c r="C853" s="14"/>
      <c r="D853" s="14"/>
      <c r="E853" s="14"/>
      <c r="F853" s="14"/>
      <c r="G853" s="14"/>
      <c r="H853" s="14"/>
    </row>
    <row r="854" spans="3:8" ht="14.25" customHeight="1">
      <c r="C854" s="14"/>
      <c r="D854" s="14"/>
      <c r="E854" s="14"/>
      <c r="F854" s="14"/>
      <c r="G854" s="14"/>
      <c r="H854" s="14"/>
    </row>
    <row r="855" spans="3:8" ht="14.25" customHeight="1">
      <c r="C855" s="14"/>
      <c r="D855" s="14"/>
      <c r="E855" s="14"/>
      <c r="F855" s="14"/>
      <c r="G855" s="14"/>
      <c r="H855" s="14"/>
    </row>
    <row r="856" spans="3:8" ht="14.25" customHeight="1">
      <c r="C856" s="14"/>
      <c r="D856" s="14"/>
      <c r="E856" s="14"/>
      <c r="F856" s="14"/>
      <c r="G856" s="14"/>
      <c r="H856" s="14"/>
    </row>
    <row r="857" spans="3:8" ht="14.25" customHeight="1">
      <c r="C857" s="14"/>
      <c r="D857" s="14"/>
      <c r="E857" s="14"/>
      <c r="F857" s="14"/>
      <c r="G857" s="14"/>
      <c r="H857" s="14"/>
    </row>
    <row r="858" spans="3:8" ht="14.25" customHeight="1">
      <c r="C858" s="14"/>
      <c r="D858" s="14"/>
      <c r="E858" s="14"/>
      <c r="F858" s="14"/>
      <c r="G858" s="14"/>
      <c r="H858" s="14"/>
    </row>
    <row r="859" spans="3:8" ht="14.25" customHeight="1">
      <c r="C859" s="14"/>
      <c r="D859" s="14"/>
      <c r="E859" s="14"/>
      <c r="F859" s="14"/>
      <c r="G859" s="14"/>
      <c r="H859" s="14"/>
    </row>
    <row r="860" spans="3:8" ht="14.25" customHeight="1">
      <c r="C860" s="14"/>
      <c r="D860" s="14"/>
      <c r="E860" s="14"/>
      <c r="F860" s="14"/>
      <c r="G860" s="14"/>
      <c r="H860" s="14"/>
    </row>
    <row r="861" spans="3:8" ht="14.25" customHeight="1">
      <c r="C861" s="14"/>
      <c r="D861" s="14"/>
      <c r="E861" s="14"/>
      <c r="F861" s="14"/>
      <c r="G861" s="14"/>
      <c r="H861" s="14"/>
    </row>
    <row r="862" spans="3:8" ht="14.25" customHeight="1">
      <c r="C862" s="14"/>
      <c r="D862" s="14"/>
      <c r="E862" s="14"/>
      <c r="F862" s="14"/>
      <c r="G862" s="14"/>
      <c r="H862" s="14"/>
    </row>
    <row r="863" spans="3:8" ht="14.25" customHeight="1">
      <c r="C863" s="14"/>
      <c r="D863" s="14"/>
      <c r="E863" s="14"/>
      <c r="F863" s="14"/>
      <c r="G863" s="14"/>
      <c r="H863" s="14"/>
    </row>
    <row r="864" spans="3:8" ht="14.25" customHeight="1">
      <c r="C864" s="14"/>
      <c r="D864" s="14"/>
      <c r="E864" s="14"/>
      <c r="F864" s="14"/>
      <c r="G864" s="14"/>
      <c r="H864" s="14"/>
    </row>
    <row r="865" spans="3:8" ht="14.25" customHeight="1">
      <c r="C865" s="14"/>
      <c r="D865" s="14"/>
      <c r="E865" s="14"/>
      <c r="F865" s="14"/>
      <c r="G865" s="14"/>
      <c r="H865" s="14"/>
    </row>
    <row r="866" spans="3:8" ht="14.25" customHeight="1">
      <c r="C866" s="14"/>
      <c r="D866" s="14"/>
      <c r="E866" s="14"/>
      <c r="F866" s="14"/>
      <c r="G866" s="14"/>
      <c r="H866" s="14"/>
    </row>
    <row r="867" spans="3:8" ht="14.25" customHeight="1">
      <c r="C867" s="14"/>
      <c r="D867" s="14"/>
      <c r="E867" s="14"/>
      <c r="F867" s="14"/>
      <c r="G867" s="14"/>
      <c r="H867" s="14"/>
    </row>
    <row r="868" spans="3:8" ht="14.25" customHeight="1">
      <c r="C868" s="14"/>
      <c r="D868" s="14"/>
      <c r="E868" s="14"/>
      <c r="F868" s="14"/>
      <c r="G868" s="14"/>
      <c r="H868" s="14"/>
    </row>
    <row r="869" spans="3:8" ht="14.25" customHeight="1">
      <c r="C869" s="14"/>
      <c r="D869" s="14"/>
      <c r="E869" s="14"/>
      <c r="F869" s="14"/>
      <c r="G869" s="14"/>
      <c r="H869" s="14"/>
    </row>
    <row r="870" spans="3:8" ht="14.25" customHeight="1">
      <c r="C870" s="14"/>
      <c r="D870" s="14"/>
      <c r="E870" s="14"/>
      <c r="F870" s="14"/>
      <c r="G870" s="14"/>
      <c r="H870" s="14"/>
    </row>
    <row r="871" spans="3:8" ht="14.25" customHeight="1">
      <c r="C871" s="14"/>
      <c r="D871" s="14"/>
      <c r="E871" s="14"/>
      <c r="F871" s="14"/>
      <c r="G871" s="14"/>
      <c r="H871" s="14"/>
    </row>
    <row r="872" spans="3:8" ht="14.25" customHeight="1">
      <c r="C872" s="14"/>
      <c r="D872" s="14"/>
      <c r="E872" s="14"/>
      <c r="F872" s="14"/>
      <c r="G872" s="14"/>
      <c r="H872" s="14"/>
    </row>
    <row r="873" spans="3:8" ht="14.25" customHeight="1">
      <c r="C873" s="14"/>
      <c r="D873" s="14"/>
      <c r="E873" s="14"/>
      <c r="F873" s="14"/>
      <c r="G873" s="14"/>
      <c r="H873" s="14"/>
    </row>
    <row r="874" spans="3:8" ht="14.25" customHeight="1">
      <c r="C874" s="14"/>
      <c r="D874" s="14"/>
      <c r="E874" s="14"/>
      <c r="F874" s="14"/>
      <c r="G874" s="14"/>
      <c r="H874" s="14"/>
    </row>
    <row r="875" spans="3:8" ht="14.25" customHeight="1">
      <c r="C875" s="14"/>
      <c r="D875" s="14"/>
      <c r="E875" s="14"/>
      <c r="F875" s="14"/>
      <c r="G875" s="14"/>
      <c r="H875" s="14"/>
    </row>
    <row r="876" spans="3:8" ht="14.25" customHeight="1">
      <c r="C876" s="14"/>
      <c r="D876" s="14"/>
      <c r="E876" s="14"/>
      <c r="F876" s="14"/>
      <c r="G876" s="14"/>
      <c r="H876" s="14"/>
    </row>
    <row r="877" spans="3:8" ht="14.25" customHeight="1">
      <c r="C877" s="14"/>
      <c r="D877" s="14"/>
      <c r="E877" s="14"/>
      <c r="F877" s="14"/>
      <c r="G877" s="14"/>
      <c r="H877" s="14"/>
    </row>
    <row r="878" spans="3:8" ht="14.25" customHeight="1">
      <c r="C878" s="14"/>
      <c r="D878" s="14"/>
      <c r="E878" s="14"/>
      <c r="F878" s="14"/>
      <c r="G878" s="14"/>
      <c r="H878" s="14"/>
    </row>
    <row r="879" spans="3:8" ht="14.25" customHeight="1">
      <c r="C879" s="14"/>
      <c r="D879" s="14"/>
      <c r="E879" s="14"/>
      <c r="F879" s="14"/>
      <c r="G879" s="14"/>
      <c r="H879" s="14"/>
    </row>
    <row r="880" spans="3:8" ht="14.25" customHeight="1">
      <c r="C880" s="14"/>
      <c r="D880" s="14"/>
      <c r="E880" s="14"/>
      <c r="F880" s="14"/>
      <c r="G880" s="14"/>
      <c r="H880" s="14"/>
    </row>
    <row r="881" spans="3:8" ht="14.25" customHeight="1">
      <c r="C881" s="14"/>
      <c r="D881" s="14"/>
      <c r="E881" s="14"/>
      <c r="F881" s="14"/>
      <c r="G881" s="14"/>
      <c r="H881" s="14"/>
    </row>
    <row r="882" spans="3:8" ht="14.25" customHeight="1">
      <c r="C882" s="14"/>
      <c r="D882" s="14"/>
      <c r="E882" s="14"/>
      <c r="F882" s="14"/>
      <c r="G882" s="14"/>
      <c r="H882" s="14"/>
    </row>
    <row r="883" spans="3:8" ht="14.25" customHeight="1">
      <c r="C883" s="14"/>
      <c r="D883" s="14"/>
      <c r="E883" s="14"/>
      <c r="F883" s="14"/>
      <c r="G883" s="14"/>
      <c r="H883" s="14"/>
    </row>
    <row r="884" spans="3:8" ht="14.25" customHeight="1">
      <c r="C884" s="14"/>
      <c r="D884" s="14"/>
      <c r="E884" s="14"/>
      <c r="F884" s="14"/>
      <c r="G884" s="14"/>
      <c r="H884" s="14"/>
    </row>
    <row r="885" spans="3:8" ht="14.25" customHeight="1">
      <c r="C885" s="14"/>
      <c r="D885" s="14"/>
      <c r="E885" s="14"/>
      <c r="F885" s="14"/>
      <c r="G885" s="14"/>
      <c r="H885" s="14"/>
    </row>
    <row r="886" spans="3:8" ht="14.25" customHeight="1">
      <c r="C886" s="14"/>
      <c r="D886" s="14"/>
      <c r="E886" s="14"/>
      <c r="F886" s="14"/>
      <c r="G886" s="14"/>
      <c r="H886" s="14"/>
    </row>
    <row r="887" spans="3:8" ht="14.25" customHeight="1">
      <c r="C887" s="14"/>
      <c r="D887" s="14"/>
      <c r="E887" s="14"/>
      <c r="F887" s="14"/>
      <c r="G887" s="14"/>
      <c r="H887" s="14"/>
    </row>
    <row r="888" spans="3:8" ht="14.25" customHeight="1">
      <c r="C888" s="14"/>
      <c r="D888" s="14"/>
      <c r="E888" s="14"/>
      <c r="F888" s="14"/>
      <c r="G888" s="14"/>
      <c r="H888" s="14"/>
    </row>
    <row r="889" spans="3:8" ht="14.25" customHeight="1">
      <c r="C889" s="14"/>
      <c r="D889" s="14"/>
      <c r="E889" s="14"/>
      <c r="F889" s="14"/>
      <c r="G889" s="14"/>
      <c r="H889" s="14"/>
    </row>
    <row r="890" spans="3:8" ht="14.25" customHeight="1">
      <c r="C890" s="14"/>
      <c r="D890" s="14"/>
      <c r="E890" s="14"/>
      <c r="F890" s="14"/>
      <c r="G890" s="14"/>
      <c r="H890" s="14"/>
    </row>
    <row r="891" spans="3:8" ht="14.25" customHeight="1">
      <c r="C891" s="14"/>
      <c r="D891" s="14"/>
      <c r="E891" s="14"/>
      <c r="F891" s="14"/>
      <c r="G891" s="14"/>
      <c r="H891" s="14"/>
    </row>
    <row r="892" spans="3:8" ht="14.25" customHeight="1">
      <c r="C892" s="14"/>
      <c r="D892" s="14"/>
      <c r="E892" s="14"/>
      <c r="F892" s="14"/>
      <c r="G892" s="14"/>
      <c r="H892" s="14"/>
    </row>
    <row r="893" spans="3:8" ht="14.25" customHeight="1">
      <c r="C893" s="14"/>
      <c r="D893" s="14"/>
      <c r="E893" s="14"/>
      <c r="F893" s="14"/>
      <c r="G893" s="14"/>
      <c r="H893" s="14"/>
    </row>
    <row r="894" spans="3:8" ht="14.25" customHeight="1">
      <c r="C894" s="14"/>
      <c r="D894" s="14"/>
      <c r="E894" s="14"/>
      <c r="F894" s="14"/>
      <c r="G894" s="14"/>
      <c r="H894" s="14"/>
    </row>
    <row r="895" spans="3:8" ht="14.25" customHeight="1">
      <c r="C895" s="14"/>
      <c r="D895" s="14"/>
      <c r="E895" s="14"/>
      <c r="F895" s="14"/>
      <c r="G895" s="14"/>
      <c r="H895" s="14"/>
    </row>
    <row r="896" spans="3:8" ht="14.25" customHeight="1">
      <c r="C896" s="14"/>
      <c r="D896" s="14"/>
      <c r="E896" s="14"/>
      <c r="F896" s="14"/>
      <c r="G896" s="14"/>
      <c r="H896" s="14"/>
    </row>
    <row r="897" spans="3:8" ht="14.25" customHeight="1">
      <c r="C897" s="14"/>
      <c r="D897" s="14"/>
      <c r="E897" s="14"/>
      <c r="F897" s="14"/>
      <c r="G897" s="14"/>
      <c r="H897" s="14"/>
    </row>
    <row r="898" spans="3:8" ht="14.25" customHeight="1">
      <c r="C898" s="14"/>
      <c r="D898" s="14"/>
      <c r="E898" s="14"/>
      <c r="F898" s="14"/>
      <c r="G898" s="14"/>
      <c r="H898" s="14"/>
    </row>
    <row r="899" spans="3:8" ht="14.25" customHeight="1">
      <c r="C899" s="14"/>
      <c r="D899" s="14"/>
      <c r="E899" s="14"/>
      <c r="F899" s="14"/>
      <c r="G899" s="14"/>
      <c r="H899" s="14"/>
    </row>
    <row r="900" spans="3:8" ht="14.25" customHeight="1">
      <c r="C900" s="14"/>
      <c r="D900" s="14"/>
      <c r="E900" s="14"/>
      <c r="F900" s="14"/>
      <c r="G900" s="14"/>
      <c r="H900" s="14"/>
    </row>
    <row r="901" spans="3:8" ht="14.25" customHeight="1">
      <c r="C901" s="14"/>
      <c r="D901" s="14"/>
      <c r="E901" s="14"/>
      <c r="F901" s="14"/>
      <c r="G901" s="14"/>
      <c r="H901" s="14"/>
    </row>
    <row r="902" spans="3:8" ht="14.25" customHeight="1">
      <c r="C902" s="14"/>
      <c r="D902" s="14"/>
      <c r="E902" s="14"/>
      <c r="F902" s="14"/>
      <c r="G902" s="14"/>
      <c r="H902" s="14"/>
    </row>
    <row r="903" spans="3:8" ht="14.25" customHeight="1">
      <c r="C903" s="14"/>
      <c r="D903" s="14"/>
      <c r="E903" s="14"/>
      <c r="F903" s="14"/>
      <c r="G903" s="14"/>
      <c r="H903" s="14"/>
    </row>
    <row r="904" spans="3:8" ht="14.25" customHeight="1">
      <c r="C904" s="14"/>
      <c r="D904" s="14"/>
      <c r="E904" s="14"/>
      <c r="F904" s="14"/>
      <c r="G904" s="14"/>
      <c r="H904" s="14"/>
    </row>
    <row r="905" spans="3:8" ht="14.25" customHeight="1">
      <c r="C905" s="14"/>
      <c r="D905" s="14"/>
      <c r="E905" s="14"/>
      <c r="F905" s="14"/>
      <c r="G905" s="14"/>
      <c r="H905" s="14"/>
    </row>
    <row r="906" spans="3:8" ht="14.25" customHeight="1">
      <c r="C906" s="14"/>
      <c r="D906" s="14"/>
      <c r="E906" s="14"/>
      <c r="F906" s="14"/>
      <c r="G906" s="14"/>
      <c r="H906" s="14"/>
    </row>
    <row r="907" spans="3:8" ht="14.25" customHeight="1">
      <c r="C907" s="14"/>
      <c r="D907" s="14"/>
      <c r="E907" s="14"/>
      <c r="F907" s="14"/>
      <c r="G907" s="14"/>
      <c r="H907" s="14"/>
    </row>
    <row r="908" spans="3:8" ht="14.25" customHeight="1">
      <c r="C908" s="14"/>
      <c r="D908" s="14"/>
      <c r="E908" s="14"/>
      <c r="F908" s="14"/>
      <c r="G908" s="14"/>
      <c r="H908" s="14"/>
    </row>
    <row r="909" spans="3:8" ht="14.25" customHeight="1">
      <c r="C909" s="14"/>
      <c r="D909" s="14"/>
      <c r="E909" s="14"/>
      <c r="F909" s="14"/>
      <c r="G909" s="14"/>
      <c r="H909" s="14"/>
    </row>
    <row r="910" spans="3:8" ht="14.25" customHeight="1">
      <c r="C910" s="14"/>
      <c r="D910" s="14"/>
      <c r="E910" s="14"/>
      <c r="F910" s="14"/>
      <c r="G910" s="14"/>
      <c r="H910" s="14"/>
    </row>
    <row r="911" spans="3:8" ht="14.25" customHeight="1">
      <c r="C911" s="14"/>
      <c r="D911" s="14"/>
      <c r="E911" s="14"/>
      <c r="F911" s="14"/>
      <c r="G911" s="14"/>
      <c r="H911" s="14"/>
    </row>
    <row r="912" spans="3:8" ht="14.25" customHeight="1">
      <c r="C912" s="14"/>
      <c r="D912" s="14"/>
      <c r="E912" s="14"/>
      <c r="F912" s="14"/>
      <c r="G912" s="14"/>
      <c r="H912" s="14"/>
    </row>
    <row r="913" spans="3:8" ht="14.25" customHeight="1">
      <c r="C913" s="14"/>
      <c r="D913" s="14"/>
      <c r="E913" s="14"/>
      <c r="F913" s="14"/>
      <c r="G913" s="14"/>
      <c r="H913" s="14"/>
    </row>
    <row r="914" spans="3:8" ht="14.25" customHeight="1">
      <c r="C914" s="14"/>
      <c r="D914" s="14"/>
      <c r="E914" s="14"/>
      <c r="F914" s="14"/>
      <c r="G914" s="14"/>
      <c r="H914" s="14"/>
    </row>
    <row r="915" spans="3:8" ht="14.25" customHeight="1">
      <c r="C915" s="14"/>
      <c r="D915" s="14"/>
      <c r="E915" s="14"/>
      <c r="F915" s="14"/>
      <c r="G915" s="14"/>
      <c r="H915" s="14"/>
    </row>
    <row r="916" spans="3:8" ht="14.25" customHeight="1">
      <c r="C916" s="14"/>
      <c r="D916" s="14"/>
      <c r="E916" s="14"/>
      <c r="F916" s="14"/>
      <c r="G916" s="14"/>
      <c r="H916" s="14"/>
    </row>
    <row r="917" spans="3:8" ht="14.25" customHeight="1">
      <c r="C917" s="14"/>
      <c r="D917" s="14"/>
      <c r="E917" s="14"/>
      <c r="F917" s="14"/>
      <c r="G917" s="14"/>
      <c r="H917" s="14"/>
    </row>
    <row r="918" spans="3:8" ht="14.25" customHeight="1">
      <c r="C918" s="14"/>
      <c r="D918" s="14"/>
      <c r="E918" s="14"/>
      <c r="F918" s="14"/>
      <c r="G918" s="14"/>
      <c r="H918" s="14"/>
    </row>
    <row r="919" spans="3:8" ht="14.25" customHeight="1">
      <c r="C919" s="14"/>
      <c r="D919" s="14"/>
      <c r="E919" s="14"/>
      <c r="F919" s="14"/>
      <c r="G919" s="14"/>
      <c r="H919" s="14"/>
    </row>
    <row r="920" spans="3:8" ht="14.25" customHeight="1">
      <c r="C920" s="14"/>
      <c r="D920" s="14"/>
      <c r="E920" s="14"/>
      <c r="F920" s="14"/>
      <c r="G920" s="14"/>
      <c r="H920" s="14"/>
    </row>
    <row r="921" spans="3:8" ht="14.25" customHeight="1">
      <c r="C921" s="14"/>
      <c r="D921" s="14"/>
      <c r="E921" s="14"/>
      <c r="F921" s="14"/>
      <c r="G921" s="14"/>
      <c r="H921" s="14"/>
    </row>
    <row r="922" spans="3:8" ht="14.25" customHeight="1">
      <c r="C922" s="14"/>
      <c r="D922" s="14"/>
      <c r="E922" s="14"/>
      <c r="F922" s="14"/>
      <c r="G922" s="14"/>
      <c r="H922" s="14"/>
    </row>
    <row r="923" spans="3:8" ht="14.25" customHeight="1">
      <c r="C923" s="14"/>
      <c r="D923" s="14"/>
      <c r="E923" s="14"/>
      <c r="F923" s="14"/>
      <c r="G923" s="14"/>
      <c r="H923" s="14"/>
    </row>
    <row r="924" spans="3:8" ht="14.25" customHeight="1">
      <c r="C924" s="14"/>
      <c r="D924" s="14"/>
      <c r="E924" s="14"/>
      <c r="F924" s="14"/>
      <c r="G924" s="14"/>
      <c r="H924" s="14"/>
    </row>
    <row r="925" spans="3:8" ht="14.25" customHeight="1">
      <c r="C925" s="14"/>
      <c r="D925" s="14"/>
      <c r="E925" s="14"/>
      <c r="F925" s="14"/>
      <c r="G925" s="14"/>
      <c r="H925" s="14"/>
    </row>
    <row r="926" spans="3:8" ht="14.25" customHeight="1">
      <c r="C926" s="14"/>
      <c r="D926" s="14"/>
      <c r="E926" s="14"/>
      <c r="F926" s="14"/>
      <c r="G926" s="14"/>
      <c r="H926" s="14"/>
    </row>
    <row r="927" spans="3:8" ht="14.25" customHeight="1">
      <c r="C927" s="14"/>
      <c r="D927" s="14"/>
      <c r="E927" s="14"/>
      <c r="F927" s="14"/>
      <c r="G927" s="14"/>
      <c r="H927" s="14"/>
    </row>
    <row r="928" spans="3:8" ht="14.25" customHeight="1">
      <c r="C928" s="14"/>
      <c r="D928" s="14"/>
      <c r="E928" s="14"/>
      <c r="F928" s="14"/>
      <c r="G928" s="14"/>
      <c r="H928" s="14"/>
    </row>
    <row r="929" spans="3:8" ht="14.25" customHeight="1">
      <c r="C929" s="14"/>
      <c r="D929" s="14"/>
      <c r="E929" s="14"/>
      <c r="F929" s="14"/>
      <c r="G929" s="14"/>
      <c r="H929" s="14"/>
    </row>
    <row r="930" spans="3:8" ht="14.25" customHeight="1">
      <c r="C930" s="14"/>
      <c r="D930" s="14"/>
      <c r="E930" s="14"/>
      <c r="F930" s="14"/>
      <c r="G930" s="14"/>
      <c r="H930" s="14"/>
    </row>
    <row r="931" spans="3:8" ht="14.25" customHeight="1">
      <c r="C931" s="14"/>
      <c r="D931" s="14"/>
      <c r="E931" s="14"/>
      <c r="F931" s="14"/>
      <c r="G931" s="14"/>
      <c r="H931" s="14"/>
    </row>
    <row r="932" spans="3:8" ht="14.25" customHeight="1">
      <c r="C932" s="14"/>
      <c r="D932" s="14"/>
      <c r="E932" s="14"/>
      <c r="F932" s="14"/>
      <c r="G932" s="14"/>
      <c r="H932" s="14"/>
    </row>
    <row r="933" spans="3:8" ht="14.25" customHeight="1">
      <c r="C933" s="14"/>
      <c r="D933" s="14"/>
      <c r="E933" s="14"/>
      <c r="F933" s="14"/>
      <c r="G933" s="14"/>
      <c r="H933" s="14"/>
    </row>
    <row r="934" spans="3:8" ht="14.25" customHeight="1">
      <c r="C934" s="14"/>
      <c r="D934" s="14"/>
      <c r="E934" s="14"/>
      <c r="F934" s="14"/>
      <c r="G934" s="14"/>
      <c r="H934" s="14"/>
    </row>
    <row r="935" spans="3:8" ht="14.25" customHeight="1">
      <c r="C935" s="14"/>
      <c r="D935" s="14"/>
      <c r="E935" s="14"/>
      <c r="F935" s="14"/>
      <c r="G935" s="14"/>
      <c r="H935" s="14"/>
    </row>
    <row r="936" spans="3:8" ht="14.25" customHeight="1">
      <c r="C936" s="14"/>
      <c r="D936" s="14"/>
      <c r="E936" s="14"/>
      <c r="F936" s="14"/>
      <c r="G936" s="14"/>
      <c r="H936" s="14"/>
    </row>
    <row r="937" spans="3:8" ht="14.25" customHeight="1">
      <c r="C937" s="14"/>
      <c r="D937" s="14"/>
      <c r="E937" s="14"/>
      <c r="F937" s="14"/>
      <c r="G937" s="14"/>
      <c r="H937" s="14"/>
    </row>
    <row r="938" spans="3:8" ht="14.25" customHeight="1">
      <c r="C938" s="14"/>
      <c r="D938" s="14"/>
      <c r="E938" s="14"/>
      <c r="F938" s="14"/>
      <c r="G938" s="14"/>
      <c r="H938" s="14"/>
    </row>
    <row r="939" spans="3:8" ht="14.25" customHeight="1">
      <c r="C939" s="14"/>
      <c r="D939" s="14"/>
      <c r="E939" s="14"/>
      <c r="F939" s="14"/>
      <c r="G939" s="14"/>
      <c r="H939" s="14"/>
    </row>
    <row r="940" spans="3:8" ht="14.25" customHeight="1">
      <c r="C940" s="14"/>
      <c r="D940" s="14"/>
      <c r="E940" s="14"/>
      <c r="F940" s="14"/>
      <c r="G940" s="14"/>
      <c r="H940" s="14"/>
    </row>
    <row r="941" spans="3:8" ht="14.25" customHeight="1">
      <c r="C941" s="14"/>
      <c r="D941" s="14"/>
      <c r="E941" s="14"/>
      <c r="F941" s="14"/>
      <c r="G941" s="14"/>
      <c r="H941" s="14"/>
    </row>
    <row r="942" spans="3:8" ht="14.25" customHeight="1">
      <c r="C942" s="14"/>
      <c r="D942" s="14"/>
      <c r="E942" s="14"/>
      <c r="F942" s="14"/>
      <c r="G942" s="14"/>
      <c r="H942" s="14"/>
    </row>
    <row r="943" spans="3:8" ht="14.25" customHeight="1">
      <c r="C943" s="14"/>
      <c r="D943" s="14"/>
      <c r="E943" s="14"/>
      <c r="F943" s="14"/>
      <c r="G943" s="14"/>
      <c r="H943" s="14"/>
    </row>
    <row r="944" spans="3:8" ht="14.25" customHeight="1">
      <c r="C944" s="14"/>
      <c r="D944" s="14"/>
      <c r="E944" s="14"/>
      <c r="F944" s="14"/>
      <c r="G944" s="14"/>
      <c r="H944" s="14"/>
    </row>
    <row r="945" spans="3:8" ht="14.25" customHeight="1">
      <c r="C945" s="14"/>
      <c r="D945" s="14"/>
      <c r="E945" s="14"/>
      <c r="F945" s="14"/>
      <c r="G945" s="14"/>
      <c r="H945" s="14"/>
    </row>
    <row r="946" spans="3:8" ht="14.25" customHeight="1">
      <c r="C946" s="14"/>
      <c r="D946" s="14"/>
      <c r="E946" s="14"/>
      <c r="F946" s="14"/>
      <c r="G946" s="14"/>
      <c r="H946" s="14"/>
    </row>
    <row r="947" spans="3:8" ht="14.25" customHeight="1">
      <c r="C947" s="14"/>
      <c r="D947" s="14"/>
      <c r="E947" s="14"/>
      <c r="F947" s="14"/>
      <c r="G947" s="14"/>
      <c r="H947" s="14"/>
    </row>
    <row r="948" spans="3:8" ht="14.25" customHeight="1">
      <c r="C948" s="14"/>
      <c r="D948" s="14"/>
      <c r="E948" s="14"/>
      <c r="F948" s="14"/>
      <c r="G948" s="14"/>
      <c r="H948" s="14"/>
    </row>
    <row r="949" spans="3:8" ht="14.25" customHeight="1">
      <c r="C949" s="14"/>
      <c r="D949" s="14"/>
      <c r="E949" s="14"/>
      <c r="F949" s="14"/>
      <c r="G949" s="14"/>
      <c r="H949" s="14"/>
    </row>
    <row r="950" spans="3:8" ht="14.25" customHeight="1">
      <c r="C950" s="14"/>
      <c r="D950" s="14"/>
      <c r="E950" s="14"/>
      <c r="F950" s="14"/>
      <c r="G950" s="14"/>
      <c r="H950" s="14"/>
    </row>
    <row r="951" spans="3:8" ht="14.25" customHeight="1">
      <c r="C951" s="14"/>
      <c r="D951" s="14"/>
      <c r="E951" s="14"/>
      <c r="F951" s="14"/>
      <c r="G951" s="14"/>
      <c r="H951" s="14"/>
    </row>
    <row r="952" spans="3:8" ht="14.25" customHeight="1">
      <c r="C952" s="14"/>
      <c r="D952" s="14"/>
      <c r="E952" s="14"/>
      <c r="F952" s="14"/>
      <c r="G952" s="14"/>
      <c r="H952" s="14"/>
    </row>
    <row r="953" spans="3:8" ht="14.25" customHeight="1">
      <c r="C953" s="14"/>
      <c r="D953" s="14"/>
      <c r="E953" s="14"/>
      <c r="F953" s="14"/>
      <c r="G953" s="14"/>
      <c r="H953" s="14"/>
    </row>
    <row r="954" spans="3:8" ht="14.25" customHeight="1">
      <c r="C954" s="14"/>
      <c r="D954" s="14"/>
      <c r="E954" s="14"/>
      <c r="F954" s="14"/>
      <c r="G954" s="14"/>
      <c r="H954" s="14"/>
    </row>
    <row r="955" spans="3:8" ht="14.25" customHeight="1">
      <c r="C955" s="14"/>
      <c r="D955" s="14"/>
      <c r="E955" s="14"/>
      <c r="F955" s="14"/>
      <c r="G955" s="14"/>
      <c r="H955" s="14"/>
    </row>
    <row r="956" spans="3:8" ht="14.25" customHeight="1">
      <c r="C956" s="14"/>
      <c r="D956" s="14"/>
      <c r="E956" s="14"/>
      <c r="F956" s="14"/>
      <c r="G956" s="14"/>
      <c r="H956" s="14"/>
    </row>
    <row r="957" spans="3:8" ht="14.25" customHeight="1">
      <c r="C957" s="14"/>
      <c r="D957" s="14"/>
      <c r="E957" s="14"/>
      <c r="F957" s="14"/>
      <c r="G957" s="14"/>
      <c r="H957" s="14"/>
    </row>
    <row r="958" spans="3:8" ht="14.25" customHeight="1">
      <c r="C958" s="14"/>
      <c r="D958" s="14"/>
      <c r="E958" s="14"/>
      <c r="F958" s="14"/>
      <c r="G958" s="14"/>
      <c r="H958" s="14"/>
    </row>
    <row r="959" spans="3:8" ht="14.25" customHeight="1">
      <c r="C959" s="14"/>
      <c r="D959" s="14"/>
      <c r="E959" s="14"/>
      <c r="F959" s="14"/>
      <c r="G959" s="14"/>
      <c r="H959" s="14"/>
    </row>
    <row r="960" spans="3:8" ht="14.25" customHeight="1">
      <c r="C960" s="14"/>
      <c r="D960" s="14"/>
      <c r="E960" s="14"/>
      <c r="F960" s="14"/>
      <c r="G960" s="14"/>
      <c r="H960" s="14"/>
    </row>
    <row r="961" spans="3:8" ht="14.25" customHeight="1">
      <c r="C961" s="14"/>
      <c r="D961" s="14"/>
      <c r="E961" s="14"/>
      <c r="F961" s="14"/>
      <c r="G961" s="14"/>
      <c r="H961" s="14"/>
    </row>
    <row r="962" spans="3:8" ht="14.25" customHeight="1">
      <c r="C962" s="14"/>
      <c r="D962" s="14"/>
      <c r="E962" s="14"/>
      <c r="F962" s="14"/>
      <c r="G962" s="14"/>
      <c r="H962" s="14"/>
    </row>
    <row r="963" spans="3:8" ht="14.25" customHeight="1">
      <c r="C963" s="14"/>
      <c r="D963" s="14"/>
      <c r="E963" s="14"/>
      <c r="F963" s="14"/>
      <c r="G963" s="14"/>
      <c r="H963" s="14"/>
    </row>
    <row r="964" spans="3:8" ht="14.25" customHeight="1">
      <c r="C964" s="14"/>
      <c r="D964" s="14"/>
      <c r="E964" s="14"/>
      <c r="F964" s="14"/>
      <c r="G964" s="14"/>
      <c r="H964" s="14"/>
    </row>
    <row r="965" spans="3:8" ht="14.25" customHeight="1">
      <c r="C965" s="14"/>
      <c r="D965" s="14"/>
      <c r="E965" s="14"/>
      <c r="F965" s="14"/>
      <c r="G965" s="14"/>
      <c r="H965" s="14"/>
    </row>
    <row r="966" spans="3:8" ht="14.25" customHeight="1">
      <c r="C966" s="14"/>
      <c r="D966" s="14"/>
      <c r="E966" s="14"/>
      <c r="F966" s="14"/>
      <c r="G966" s="14"/>
      <c r="H966" s="14"/>
    </row>
    <row r="967" spans="3:8" ht="14.25" customHeight="1">
      <c r="C967" s="14"/>
      <c r="D967" s="14"/>
      <c r="E967" s="14"/>
      <c r="F967" s="14"/>
      <c r="G967" s="14"/>
      <c r="H967" s="14"/>
    </row>
    <row r="968" spans="3:8" ht="14.25" customHeight="1">
      <c r="C968" s="14"/>
      <c r="D968" s="14"/>
      <c r="E968" s="14"/>
      <c r="F968" s="14"/>
      <c r="G968" s="14"/>
      <c r="H968" s="14"/>
    </row>
    <row r="969" spans="3:8" ht="14.25" customHeight="1">
      <c r="C969" s="14"/>
      <c r="D969" s="14"/>
      <c r="E969" s="14"/>
      <c r="F969" s="14"/>
      <c r="G969" s="14"/>
      <c r="H969" s="14"/>
    </row>
    <row r="970" spans="3:8" ht="14.25" customHeight="1">
      <c r="C970" s="14"/>
      <c r="D970" s="14"/>
      <c r="E970" s="14"/>
      <c r="F970" s="14"/>
      <c r="G970" s="14"/>
      <c r="H970" s="14"/>
    </row>
    <row r="971" spans="3:8" ht="14.25" customHeight="1">
      <c r="C971" s="14"/>
      <c r="D971" s="14"/>
      <c r="E971" s="14"/>
      <c r="F971" s="14"/>
      <c r="G971" s="14"/>
      <c r="H971" s="14"/>
    </row>
    <row r="972" spans="3:8" ht="14.25" customHeight="1">
      <c r="C972" s="14"/>
      <c r="D972" s="14"/>
      <c r="E972" s="14"/>
      <c r="F972" s="14"/>
      <c r="G972" s="14"/>
      <c r="H972" s="14"/>
    </row>
    <row r="973" spans="3:8" ht="14.25" customHeight="1">
      <c r="C973" s="14"/>
      <c r="D973" s="14"/>
      <c r="E973" s="14"/>
      <c r="F973" s="14"/>
      <c r="G973" s="14"/>
      <c r="H973" s="14"/>
    </row>
    <row r="974" spans="3:8" ht="14.25" customHeight="1">
      <c r="C974" s="14"/>
      <c r="D974" s="14"/>
      <c r="E974" s="14"/>
      <c r="F974" s="14"/>
      <c r="G974" s="14"/>
      <c r="H974" s="14"/>
    </row>
    <row r="975" spans="3:8" ht="14.25" customHeight="1">
      <c r="C975" s="14"/>
      <c r="D975" s="14"/>
      <c r="E975" s="14"/>
      <c r="F975" s="14"/>
      <c r="G975" s="14"/>
      <c r="H975" s="14"/>
    </row>
    <row r="976" spans="3:8" ht="14.25" customHeight="1">
      <c r="C976" s="14"/>
      <c r="D976" s="14"/>
      <c r="E976" s="14"/>
      <c r="F976" s="14"/>
      <c r="G976" s="14"/>
      <c r="H976" s="14"/>
    </row>
    <row r="977" spans="3:8" ht="14.25" customHeight="1">
      <c r="C977" s="14"/>
      <c r="D977" s="14"/>
      <c r="E977" s="14"/>
      <c r="F977" s="14"/>
      <c r="G977" s="14"/>
      <c r="H977" s="14"/>
    </row>
    <row r="978" spans="3:8" ht="14.25" customHeight="1">
      <c r="C978" s="14"/>
      <c r="D978" s="14"/>
      <c r="E978" s="14"/>
      <c r="F978" s="14"/>
      <c r="G978" s="14"/>
      <c r="H978" s="14"/>
    </row>
    <row r="979" spans="3:8" ht="14.25" customHeight="1">
      <c r="C979" s="14"/>
      <c r="D979" s="14"/>
      <c r="E979" s="14"/>
      <c r="F979" s="14"/>
      <c r="G979" s="14"/>
      <c r="H979" s="14"/>
    </row>
    <row r="980" spans="3:8" ht="14.25" customHeight="1">
      <c r="C980" s="14"/>
      <c r="D980" s="14"/>
      <c r="E980" s="14"/>
      <c r="F980" s="14"/>
      <c r="G980" s="14"/>
      <c r="H980" s="14"/>
    </row>
    <row r="981" spans="3:8" ht="14.25" customHeight="1">
      <c r="C981" s="14"/>
      <c r="D981" s="14"/>
      <c r="E981" s="14"/>
      <c r="F981" s="14"/>
      <c r="G981" s="14"/>
      <c r="H981" s="14"/>
    </row>
    <row r="982" spans="3:8" ht="14.25" customHeight="1">
      <c r="C982" s="14"/>
      <c r="D982" s="14"/>
      <c r="E982" s="14"/>
      <c r="F982" s="14"/>
      <c r="G982" s="14"/>
      <c r="H982" s="14"/>
    </row>
    <row r="983" spans="3:8" ht="14.25" customHeight="1">
      <c r="C983" s="14"/>
      <c r="D983" s="14"/>
      <c r="E983" s="14"/>
      <c r="F983" s="14"/>
      <c r="G983" s="14"/>
      <c r="H983" s="14"/>
    </row>
    <row r="984" spans="3:8" ht="14.25" customHeight="1">
      <c r="C984" s="14"/>
      <c r="D984" s="14"/>
      <c r="E984" s="14"/>
      <c r="F984" s="14"/>
      <c r="G984" s="14"/>
      <c r="H984" s="14"/>
    </row>
    <row r="985" spans="3:8" ht="14.25" customHeight="1">
      <c r="C985" s="14"/>
      <c r="D985" s="14"/>
      <c r="E985" s="14"/>
      <c r="F985" s="14"/>
      <c r="G985" s="14"/>
      <c r="H985" s="14"/>
    </row>
    <row r="986" spans="3:8" ht="14.25" customHeight="1">
      <c r="C986" s="14"/>
      <c r="D986" s="14"/>
      <c r="E986" s="14"/>
      <c r="F986" s="14"/>
      <c r="G986" s="14"/>
      <c r="H986" s="14"/>
    </row>
    <row r="987" spans="3:8" ht="14.25" customHeight="1">
      <c r="C987" s="14"/>
      <c r="D987" s="14"/>
      <c r="E987" s="14"/>
      <c r="F987" s="14"/>
      <c r="G987" s="14"/>
      <c r="H987" s="14"/>
    </row>
    <row r="988" spans="3:8" ht="14.25" customHeight="1">
      <c r="C988" s="14"/>
      <c r="D988" s="14"/>
      <c r="E988" s="14"/>
      <c r="F988" s="14"/>
      <c r="G988" s="14"/>
      <c r="H988" s="14"/>
    </row>
    <row r="989" spans="3:8" ht="14.25" customHeight="1">
      <c r="C989" s="14"/>
      <c r="D989" s="14"/>
      <c r="E989" s="14"/>
      <c r="F989" s="14"/>
      <c r="G989" s="14"/>
      <c r="H989" s="14"/>
    </row>
    <row r="990" spans="3:8" ht="14.25" customHeight="1">
      <c r="C990" s="14"/>
      <c r="D990" s="14"/>
      <c r="E990" s="14"/>
      <c r="F990" s="14"/>
      <c r="G990" s="14"/>
      <c r="H990" s="14"/>
    </row>
    <row r="991" spans="3:8" ht="14.25" customHeight="1">
      <c r="C991" s="14"/>
      <c r="D991" s="14"/>
      <c r="E991" s="14"/>
      <c r="F991" s="14"/>
      <c r="G991" s="14"/>
      <c r="H991" s="14"/>
    </row>
    <row r="992" spans="3:8" ht="14.25" customHeight="1">
      <c r="C992" s="14"/>
      <c r="D992" s="14"/>
      <c r="E992" s="14"/>
      <c r="F992" s="14"/>
      <c r="G992" s="14"/>
      <c r="H992" s="14"/>
    </row>
    <row r="993" spans="3:8" ht="14.25" customHeight="1">
      <c r="C993" s="14"/>
      <c r="D993" s="14"/>
      <c r="E993" s="14"/>
      <c r="F993" s="14"/>
      <c r="G993" s="14"/>
      <c r="H993" s="14"/>
    </row>
    <row r="994" spans="3:8" ht="14.25" customHeight="1">
      <c r="C994" s="14"/>
      <c r="D994" s="14"/>
      <c r="E994" s="14"/>
      <c r="F994" s="14"/>
      <c r="G994" s="14"/>
      <c r="H994" s="14"/>
    </row>
    <row r="995" spans="3:8" ht="14.25" customHeight="1">
      <c r="C995" s="14"/>
      <c r="D995" s="14"/>
      <c r="E995" s="14"/>
      <c r="F995" s="14"/>
      <c r="G995" s="14"/>
      <c r="H995" s="14"/>
    </row>
    <row r="996" spans="3:8" ht="14.25" customHeight="1">
      <c r="C996" s="14"/>
      <c r="D996" s="14"/>
      <c r="E996" s="14"/>
      <c r="F996" s="14"/>
      <c r="G996" s="14"/>
      <c r="H996" s="14"/>
    </row>
    <row r="997" spans="3:8" ht="14.25" customHeight="1">
      <c r="C997" s="14"/>
      <c r="D997" s="14"/>
      <c r="E997" s="14"/>
      <c r="F997" s="14"/>
      <c r="G997" s="14"/>
      <c r="H997" s="14"/>
    </row>
    <row r="998" spans="3:8" ht="14.25" customHeight="1">
      <c r="C998" s="14"/>
      <c r="D998" s="14"/>
      <c r="E998" s="14"/>
      <c r="F998" s="14"/>
      <c r="G998" s="14"/>
      <c r="H998" s="14"/>
    </row>
    <row r="999" spans="3:8" ht="14.25" customHeight="1">
      <c r="C999" s="14"/>
      <c r="D999" s="14"/>
      <c r="E999" s="14"/>
      <c r="F999" s="14"/>
      <c r="G999" s="14"/>
      <c r="H999" s="14"/>
    </row>
    <row r="1000" spans="3:8" ht="14.25" customHeight="1">
      <c r="C1000" s="14"/>
      <c r="D1000" s="14"/>
      <c r="E1000" s="14"/>
      <c r="F1000" s="14"/>
      <c r="G1000" s="14"/>
      <c r="H1000" s="14"/>
    </row>
  </sheetData>
  <mergeCells count="45">
    <mergeCell ref="AG23:AJ23"/>
    <mergeCell ref="C23:C25"/>
    <mergeCell ref="E24:H24"/>
    <mergeCell ref="E25:H25"/>
    <mergeCell ref="C18:H19"/>
    <mergeCell ref="C20:C22"/>
    <mergeCell ref="E21:H21"/>
    <mergeCell ref="E22:H22"/>
    <mergeCell ref="E20:H20"/>
    <mergeCell ref="E23:H23"/>
    <mergeCell ref="J23:J25"/>
    <mergeCell ref="L23:O23"/>
    <mergeCell ref="L24:O24"/>
    <mergeCell ref="L25:O25"/>
    <mergeCell ref="Q23:Q25"/>
    <mergeCell ref="AE23:AE25"/>
    <mergeCell ref="L21:O21"/>
    <mergeCell ref="S21:V21"/>
    <mergeCell ref="Z21:AC21"/>
    <mergeCell ref="L22:O22"/>
    <mergeCell ref="S22:V22"/>
    <mergeCell ref="Z22:AC22"/>
    <mergeCell ref="S23:V23"/>
    <mergeCell ref="S24:V24"/>
    <mergeCell ref="S25:V25"/>
    <mergeCell ref="X23:X25"/>
    <mergeCell ref="Z23:AC23"/>
    <mergeCell ref="Z24:AC24"/>
    <mergeCell ref="Z25:AC25"/>
    <mergeCell ref="AG24:AJ24"/>
    <mergeCell ref="AG25:AJ25"/>
    <mergeCell ref="J18:O19"/>
    <mergeCell ref="L20:O20"/>
    <mergeCell ref="Q18:V19"/>
    <mergeCell ref="S20:V20"/>
    <mergeCell ref="AE18:AJ19"/>
    <mergeCell ref="AG20:AJ20"/>
    <mergeCell ref="J20:J22"/>
    <mergeCell ref="Q20:Q22"/>
    <mergeCell ref="X20:X22"/>
    <mergeCell ref="AE20:AE22"/>
    <mergeCell ref="X18:AC19"/>
    <mergeCell ref="Z20:AC20"/>
    <mergeCell ref="AG21:AJ21"/>
    <mergeCell ref="AG22:AJ22"/>
  </mergeCells>
  <conditionalFormatting sqref="S23:V23 AG23:AJ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4:V24 AG24:AJ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5:V25 AG25:AJ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3:AL2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4:AL2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5:AL2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:D67">
    <cfRule type="cellIs" dxfId="15" priority="21" operator="lessThan">
      <formula>0</formula>
    </cfRule>
  </conditionalFormatting>
  <conditionalFormatting sqref="E23:H2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4:H2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:H2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8:AF67">
    <cfRule type="cellIs" dxfId="14" priority="1" operator="lessThan">
      <formula>0</formula>
    </cfRule>
  </conditionalFormatting>
  <conditionalFormatting sqref="K28:K67">
    <cfRule type="cellIs" dxfId="13" priority="13" operator="lessThan">
      <formula>0</formula>
    </cfRule>
  </conditionalFormatting>
  <conditionalFormatting sqref="R28:R67">
    <cfRule type="cellIs" dxfId="12" priority="12" operator="lessThan">
      <formula>0</formula>
    </cfRule>
  </conditionalFormatting>
  <conditionalFormatting sqref="L23:O2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4:O2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5:O2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8:Y67">
    <cfRule type="cellIs" dxfId="11" priority="8" operator="lessThan">
      <formula>0</formula>
    </cfRule>
  </conditionalFormatting>
  <conditionalFormatting sqref="Z23:AC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4:AC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:AC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42D3-A78E-4562-AE11-ECE14DE8B081}">
  <sheetPr>
    <tabColor rgb="FF4472C4"/>
  </sheetPr>
  <dimension ref="B1:BA1020"/>
  <sheetViews>
    <sheetView showGridLines="0" zoomScale="54" zoomScaleNormal="100" workbookViewId="0">
      <selection activeCell="B23" sqref="B23:AZ30"/>
    </sheetView>
  </sheetViews>
  <sheetFormatPr defaultColWidth="14.42578125" defaultRowHeight="15" customHeight="1"/>
  <cols>
    <col min="1" max="1" width="8.7109375" style="105" customWidth="1"/>
    <col min="2" max="13" width="12.42578125" style="105" customWidth="1"/>
    <col min="14" max="14" width="8.7109375" style="105" customWidth="1"/>
    <col min="15" max="15" width="11.7109375" style="105" customWidth="1"/>
    <col min="16" max="26" width="12.28515625" style="105" customWidth="1"/>
    <col min="27" max="27" width="8.7109375" style="105" customWidth="1"/>
    <col min="28" max="28" width="11.7109375" style="105" customWidth="1"/>
    <col min="29" max="29" width="8.42578125" style="105" customWidth="1"/>
    <col min="30" max="30" width="13.28515625" style="105" customWidth="1"/>
    <col min="31" max="31" width="8.7109375" style="105" customWidth="1"/>
    <col min="32" max="32" width="16.28515625" style="105" customWidth="1"/>
    <col min="33" max="52" width="12.7109375" style="105" customWidth="1"/>
    <col min="53" max="53" width="8.7109375" style="105" customWidth="1"/>
    <col min="54" max="16384" width="14.42578125" style="105"/>
  </cols>
  <sheetData>
    <row r="1" spans="2:52" ht="14.25" customHeight="1">
      <c r="B1" s="194" t="s">
        <v>119</v>
      </c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</row>
    <row r="2" spans="2:52" ht="14.25" customHeight="1"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</row>
    <row r="3" spans="2:52" ht="14.25" customHeight="1"/>
    <row r="4" spans="2:52" ht="14.25" customHeight="1"/>
    <row r="5" spans="2:52" ht="14.25" customHeight="1"/>
    <row r="6" spans="2:52" ht="14.25" customHeight="1"/>
    <row r="7" spans="2:52" ht="14.25" customHeight="1"/>
    <row r="8" spans="2:52" ht="14.25" customHeight="1"/>
    <row r="9" spans="2:52" ht="14.25" customHeight="1"/>
    <row r="10" spans="2:52" ht="14.25" customHeight="1"/>
    <row r="11" spans="2:52" ht="14.25" customHeight="1"/>
    <row r="12" spans="2:52" ht="14.25" customHeight="1"/>
    <row r="13" spans="2:52" ht="14.25" customHeight="1"/>
    <row r="14" spans="2:52" ht="14.25" customHeight="1"/>
    <row r="15" spans="2:52" ht="14.25" customHeight="1"/>
    <row r="16" spans="2:52" ht="14.25" customHeight="1"/>
    <row r="17" spans="2:52" ht="14.25" customHeight="1"/>
    <row r="18" spans="2:52" ht="14.25" customHeight="1"/>
    <row r="19" spans="2:52" ht="14.25" customHeight="1">
      <c r="B19" s="193" t="s">
        <v>120</v>
      </c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</row>
    <row r="20" spans="2:52" ht="14.25" customHeight="1">
      <c r="B20" s="192" t="s">
        <v>121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06"/>
      <c r="O20" s="192" t="s">
        <v>121</v>
      </c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06"/>
      <c r="AB20" s="192" t="s">
        <v>121</v>
      </c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06"/>
      <c r="AO20" s="192" t="s">
        <v>121</v>
      </c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06"/>
    </row>
    <row r="21" spans="2:52" ht="14.25" customHeight="1">
      <c r="B21" s="192" t="s">
        <v>122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06"/>
      <c r="O21" s="192" t="s">
        <v>122</v>
      </c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06"/>
      <c r="AB21" s="192" t="s">
        <v>122</v>
      </c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06"/>
      <c r="AO21" s="192" t="s">
        <v>122</v>
      </c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06"/>
    </row>
    <row r="22" spans="2:52" ht="14.25" customHeight="1"/>
    <row r="23" spans="2:52" ht="14.25" customHeight="1">
      <c r="B23" s="194" t="s">
        <v>123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</row>
    <row r="24" spans="2:52" ht="14.2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</row>
    <row r="25" spans="2:52" ht="14.25" customHeight="1"/>
    <row r="26" spans="2:52" ht="14.25" customHeight="1"/>
    <row r="27" spans="2:52" ht="14.25" customHeight="1"/>
    <row r="28" spans="2:52" ht="14.25" customHeight="1"/>
    <row r="29" spans="2:52" ht="14.25" customHeight="1"/>
    <row r="30" spans="2:52" ht="14.25" customHeight="1"/>
    <row r="31" spans="2:52" ht="14.25" customHeight="1"/>
    <row r="32" spans="2:52" ht="14.25" customHeight="1"/>
    <row r="33" spans="2:52" ht="14.25" customHeight="1"/>
    <row r="34" spans="2:52" ht="14.25" customHeight="1"/>
    <row r="35" spans="2:52" ht="14.25" customHeight="1"/>
    <row r="36" spans="2:52" ht="14.25" customHeight="1"/>
    <row r="37" spans="2:52" ht="14.25" customHeight="1"/>
    <row r="38" spans="2:52" ht="14.25" customHeight="1"/>
    <row r="39" spans="2:52" ht="14.25" customHeight="1"/>
    <row r="40" spans="2:52" ht="14.25" customHeight="1"/>
    <row r="41" spans="2:52" ht="14.25" customHeight="1">
      <c r="B41" s="193" t="s">
        <v>120</v>
      </c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O41" s="193" t="s">
        <v>120</v>
      </c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B41" s="193" t="s">
        <v>120</v>
      </c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O41" s="193" t="s">
        <v>120</v>
      </c>
      <c r="AP41" s="193"/>
      <c r="AQ41" s="193"/>
      <c r="AR41" s="193"/>
      <c r="AS41" s="193"/>
      <c r="AT41" s="193"/>
      <c r="AU41" s="193"/>
      <c r="AV41" s="193"/>
      <c r="AW41" s="193"/>
      <c r="AX41" s="193"/>
      <c r="AY41" s="193"/>
      <c r="AZ41" s="193"/>
    </row>
    <row r="42" spans="2:52" ht="14.25" customHeight="1">
      <c r="B42" s="192" t="s">
        <v>124</v>
      </c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06"/>
      <c r="O42" s="192" t="s">
        <v>124</v>
      </c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06"/>
      <c r="AB42" s="192" t="s">
        <v>124</v>
      </c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06"/>
      <c r="AO42" s="192" t="s">
        <v>124</v>
      </c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06"/>
    </row>
    <row r="43" spans="2:52" ht="14.25" customHeight="1">
      <c r="B43" s="192" t="s">
        <v>125</v>
      </c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06"/>
      <c r="O43" s="192" t="s">
        <v>125</v>
      </c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06"/>
      <c r="AB43" s="192" t="s">
        <v>125</v>
      </c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06"/>
      <c r="AO43" s="192" t="s">
        <v>125</v>
      </c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06"/>
    </row>
    <row r="44" spans="2:52" ht="14.25" customHeight="1">
      <c r="B44" s="192" t="s">
        <v>126</v>
      </c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06"/>
      <c r="O44" s="192" t="s">
        <v>126</v>
      </c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06"/>
      <c r="AB44" s="192" t="s">
        <v>126</v>
      </c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06"/>
      <c r="AO44" s="192" t="s">
        <v>126</v>
      </c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06"/>
    </row>
    <row r="45" spans="2:52" ht="14.25" customHeight="1">
      <c r="B45" s="202" t="s">
        <v>127</v>
      </c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O45" s="202" t="s">
        <v>127</v>
      </c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AB45" s="202" t="s">
        <v>127</v>
      </c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O45" s="202" t="s">
        <v>127</v>
      </c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</row>
    <row r="46" spans="2:52" ht="14.25" customHeight="1">
      <c r="B46" s="203" t="s">
        <v>156</v>
      </c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O46" s="203" t="s">
        <v>155</v>
      </c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B46" s="203" t="s">
        <v>154</v>
      </c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124"/>
      <c r="AO46" s="203" t="s">
        <v>153</v>
      </c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</row>
    <row r="47" spans="2:52" ht="14.25" customHeight="1"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124"/>
      <c r="AO47" s="204"/>
      <c r="AP47" s="204"/>
      <c r="AQ47" s="204"/>
      <c r="AR47" s="204"/>
      <c r="AS47" s="204"/>
      <c r="AT47" s="204"/>
      <c r="AU47" s="204"/>
      <c r="AV47" s="204"/>
      <c r="AW47" s="204"/>
      <c r="AX47" s="204"/>
      <c r="AY47" s="204"/>
      <c r="AZ47" s="204"/>
    </row>
    <row r="48" spans="2:52" ht="14.25" customHeight="1">
      <c r="B48" s="200" t="s">
        <v>128</v>
      </c>
      <c r="C48" s="106" t="s">
        <v>129</v>
      </c>
      <c r="D48" s="197">
        <f>AVERAGE(C54:C93)</f>
        <v>-67.841696398107345</v>
      </c>
      <c r="E48" s="197"/>
      <c r="F48" s="197"/>
      <c r="G48" s="197"/>
      <c r="H48" s="197"/>
      <c r="I48" s="197"/>
      <c r="J48" s="197"/>
      <c r="K48" s="197"/>
      <c r="L48" s="197"/>
      <c r="M48" s="197"/>
      <c r="N48" s="105">
        <v>209</v>
      </c>
      <c r="O48" s="200" t="s">
        <v>128</v>
      </c>
      <c r="P48" s="106" t="s">
        <v>129</v>
      </c>
      <c r="Q48" s="197">
        <f>AVERAGE(P54:P93)</f>
        <v>2.2737367544323207E-14</v>
      </c>
      <c r="R48" s="197"/>
      <c r="S48" s="197"/>
      <c r="T48" s="197"/>
      <c r="U48" s="197"/>
      <c r="V48" s="197"/>
      <c r="W48" s="197"/>
      <c r="X48" s="197"/>
      <c r="Y48" s="197"/>
      <c r="Z48" s="197"/>
      <c r="AB48" s="200" t="s">
        <v>128</v>
      </c>
      <c r="AC48" s="106" t="s">
        <v>129</v>
      </c>
      <c r="AD48" s="197">
        <f>AVERAGE(AC54:AC81)</f>
        <v>-14.966254865023009</v>
      </c>
      <c r="AE48" s="197"/>
      <c r="AF48" s="197"/>
      <c r="AG48" s="197"/>
      <c r="AH48" s="197"/>
      <c r="AI48" s="197"/>
      <c r="AJ48" s="197"/>
      <c r="AK48" s="197"/>
      <c r="AL48" s="197"/>
      <c r="AM48" s="197"/>
      <c r="AN48" s="107"/>
      <c r="AO48" s="200" t="s">
        <v>128</v>
      </c>
      <c r="AP48" s="106" t="s">
        <v>129</v>
      </c>
      <c r="AQ48" s="205">
        <f>AVERAGE(AP54:AP91)</f>
        <v>73.587719298245972</v>
      </c>
      <c r="AR48" s="205"/>
      <c r="AS48" s="205"/>
      <c r="AT48" s="205"/>
      <c r="AU48" s="205"/>
      <c r="AV48" s="205"/>
      <c r="AW48" s="205"/>
      <c r="AX48" s="205"/>
      <c r="AY48" s="205"/>
      <c r="AZ48" s="205"/>
    </row>
    <row r="49" spans="2:53" ht="14.25" customHeight="1">
      <c r="B49" s="201"/>
      <c r="C49" s="106" t="s">
        <v>130</v>
      </c>
      <c r="D49" s="198">
        <f>AVERAGE(D55:D93)</f>
        <v>279.01984265382526</v>
      </c>
      <c r="E49" s="198"/>
      <c r="F49" s="198"/>
      <c r="G49" s="198"/>
      <c r="H49" s="198"/>
      <c r="I49" s="198"/>
      <c r="J49" s="198"/>
      <c r="K49" s="198"/>
      <c r="L49" s="198"/>
      <c r="M49" s="198"/>
      <c r="N49" s="105">
        <v>260.14999999999998</v>
      </c>
      <c r="O49" s="201"/>
      <c r="P49" s="106" t="s">
        <v>130</v>
      </c>
      <c r="Q49" s="198">
        <f>AVERAGE(Q55:Q93)</f>
        <v>295.20741809784926</v>
      </c>
      <c r="R49" s="198"/>
      <c r="S49" s="198"/>
      <c r="T49" s="198"/>
      <c r="U49" s="198"/>
      <c r="V49" s="198"/>
      <c r="W49" s="198"/>
      <c r="X49" s="198"/>
      <c r="Y49" s="198"/>
      <c r="Z49" s="198"/>
      <c r="AB49" s="201"/>
      <c r="AC49" s="106" t="s">
        <v>130</v>
      </c>
      <c r="AD49" s="198">
        <f>AVERAGE(AD55:AD81)</f>
        <v>485.35100144660726</v>
      </c>
      <c r="AE49" s="198"/>
      <c r="AF49" s="198"/>
      <c r="AG49" s="198"/>
      <c r="AH49" s="198"/>
      <c r="AI49" s="198"/>
      <c r="AJ49" s="198"/>
      <c r="AK49" s="198"/>
      <c r="AL49" s="198"/>
      <c r="AM49" s="198"/>
      <c r="AN49" s="113"/>
      <c r="AO49" s="201"/>
      <c r="AP49" s="106" t="s">
        <v>130</v>
      </c>
      <c r="AQ49" s="198">
        <f>AVERAGE(AQ55:AQ92)</f>
        <v>6006.3815789473701</v>
      </c>
      <c r="AR49" s="198"/>
      <c r="AS49" s="198"/>
      <c r="AT49" s="198"/>
      <c r="AU49" s="198"/>
      <c r="AV49" s="198"/>
      <c r="AW49" s="198"/>
      <c r="AX49" s="198"/>
      <c r="AY49" s="198"/>
      <c r="AZ49" s="198"/>
    </row>
    <row r="50" spans="2:53" ht="14.25" customHeight="1">
      <c r="B50" s="201"/>
      <c r="C50" s="106" t="s">
        <v>131</v>
      </c>
      <c r="D50" s="199">
        <v>1.1279999999999999</v>
      </c>
      <c r="E50" s="199"/>
      <c r="F50" s="199"/>
      <c r="G50" s="199"/>
      <c r="H50" s="199"/>
      <c r="I50" s="199"/>
      <c r="J50" s="199"/>
      <c r="K50" s="199"/>
      <c r="L50" s="199"/>
      <c r="M50" s="199"/>
      <c r="N50" s="105">
        <v>1.1279999999999999</v>
      </c>
      <c r="O50" s="201"/>
      <c r="P50" s="106" t="s">
        <v>131</v>
      </c>
      <c r="Q50" s="199">
        <v>1.1279999999999999</v>
      </c>
      <c r="R50" s="199"/>
      <c r="S50" s="199"/>
      <c r="T50" s="199"/>
      <c r="U50" s="199"/>
      <c r="V50" s="199"/>
      <c r="W50" s="199"/>
      <c r="X50" s="199"/>
      <c r="Y50" s="199"/>
      <c r="Z50" s="199"/>
      <c r="AB50" s="201"/>
      <c r="AC50" s="106" t="s">
        <v>131</v>
      </c>
      <c r="AD50" s="199">
        <v>1.1279999999999999</v>
      </c>
      <c r="AE50" s="199"/>
      <c r="AF50" s="199"/>
      <c r="AG50" s="199"/>
      <c r="AH50" s="199"/>
      <c r="AI50" s="199"/>
      <c r="AJ50" s="199"/>
      <c r="AK50" s="199"/>
      <c r="AL50" s="199"/>
      <c r="AM50" s="199"/>
      <c r="AN50" s="106"/>
      <c r="AO50" s="201"/>
      <c r="AP50" s="106" t="s">
        <v>131</v>
      </c>
      <c r="AQ50" s="199">
        <v>1.1279999999999999</v>
      </c>
      <c r="AR50" s="199"/>
      <c r="AS50" s="199"/>
      <c r="AT50" s="199"/>
      <c r="AU50" s="199"/>
      <c r="AV50" s="199"/>
      <c r="AW50" s="199"/>
      <c r="AX50" s="199"/>
      <c r="AY50" s="199"/>
      <c r="AZ50" s="199"/>
      <c r="BA50" s="123"/>
    </row>
    <row r="51" spans="2:53" ht="14.25" customHeight="1">
      <c r="B51" s="201"/>
      <c r="C51" s="106" t="s">
        <v>132</v>
      </c>
      <c r="D51" s="196">
        <v>3.2669999999999999</v>
      </c>
      <c r="E51" s="196"/>
      <c r="F51" s="196"/>
      <c r="G51" s="196"/>
      <c r="H51" s="196"/>
      <c r="I51" s="196"/>
      <c r="J51" s="196"/>
      <c r="K51" s="196"/>
      <c r="L51" s="196"/>
      <c r="M51" s="196"/>
      <c r="N51" s="105">
        <v>3.2669999999999999</v>
      </c>
      <c r="O51" s="201"/>
      <c r="P51" s="106" t="s">
        <v>132</v>
      </c>
      <c r="Q51" s="196">
        <v>3.2669999999999999</v>
      </c>
      <c r="R51" s="196"/>
      <c r="S51" s="196"/>
      <c r="T51" s="196"/>
      <c r="U51" s="196"/>
      <c r="V51" s="196"/>
      <c r="W51" s="196"/>
      <c r="X51" s="196"/>
      <c r="Y51" s="196"/>
      <c r="Z51" s="196"/>
      <c r="AB51" s="201"/>
      <c r="AC51" s="106" t="s">
        <v>132</v>
      </c>
      <c r="AD51" s="196">
        <v>3.2669999999999999</v>
      </c>
      <c r="AE51" s="196"/>
      <c r="AF51" s="196"/>
      <c r="AG51" s="196"/>
      <c r="AH51" s="196"/>
      <c r="AI51" s="196"/>
      <c r="AJ51" s="196"/>
      <c r="AK51" s="196"/>
      <c r="AL51" s="196"/>
      <c r="AM51" s="196"/>
      <c r="AN51" s="106"/>
      <c r="AO51" s="201"/>
      <c r="AP51" s="106" t="s">
        <v>132</v>
      </c>
      <c r="AQ51" s="196">
        <v>3.2669999999999999</v>
      </c>
      <c r="AR51" s="196"/>
      <c r="AS51" s="196"/>
      <c r="AT51" s="196"/>
      <c r="AU51" s="196"/>
      <c r="AV51" s="196"/>
      <c r="AW51" s="196"/>
      <c r="AX51" s="196"/>
      <c r="AY51" s="196"/>
      <c r="AZ51" s="196"/>
      <c r="BA51" s="123"/>
    </row>
    <row r="52" spans="2:53" ht="14.25" customHeight="1">
      <c r="B52" s="121"/>
      <c r="C52" s="121"/>
      <c r="D52" s="121"/>
      <c r="E52" s="121"/>
      <c r="F52" s="121"/>
      <c r="G52" s="122"/>
      <c r="H52" s="121"/>
      <c r="I52" s="121"/>
      <c r="J52" s="121"/>
      <c r="K52" s="122"/>
      <c r="L52" s="121"/>
      <c r="M52" s="121"/>
      <c r="O52" s="121"/>
      <c r="P52" s="121"/>
      <c r="Q52" s="121"/>
      <c r="R52" s="121"/>
      <c r="S52" s="121"/>
      <c r="T52" s="121"/>
      <c r="U52" s="122"/>
      <c r="V52" s="121"/>
      <c r="W52" s="121"/>
      <c r="X52" s="121"/>
      <c r="Y52" s="121"/>
      <c r="Z52" s="121"/>
      <c r="AB52" s="119"/>
      <c r="AC52" s="119"/>
      <c r="AD52" s="119"/>
      <c r="AE52" s="119"/>
      <c r="AF52" s="119"/>
      <c r="AG52" s="120"/>
      <c r="AH52" s="119"/>
      <c r="AI52" s="119"/>
      <c r="AJ52" s="119"/>
      <c r="AK52" s="119"/>
      <c r="AL52" s="120"/>
      <c r="AM52" s="119"/>
      <c r="AO52" s="119"/>
      <c r="AP52" s="119"/>
      <c r="AQ52" s="119"/>
      <c r="AR52" s="119"/>
      <c r="AS52" s="119"/>
      <c r="AT52" s="119"/>
      <c r="AU52" s="120"/>
      <c r="AV52" s="119"/>
      <c r="AW52" s="119"/>
      <c r="AX52" s="119"/>
      <c r="AY52" s="120"/>
      <c r="AZ52" s="119"/>
      <c r="BA52" s="118"/>
    </row>
    <row r="53" spans="2:53" ht="14.25" customHeight="1">
      <c r="B53" s="114" t="s">
        <v>27</v>
      </c>
      <c r="C53" s="114" t="s">
        <v>133</v>
      </c>
      <c r="D53" s="116" t="s">
        <v>134</v>
      </c>
      <c r="E53" s="115" t="s">
        <v>129</v>
      </c>
      <c r="F53" s="114" t="s">
        <v>152</v>
      </c>
      <c r="G53" s="117" t="s">
        <v>151</v>
      </c>
      <c r="H53" s="114" t="s">
        <v>150</v>
      </c>
      <c r="I53" s="114" t="s">
        <v>149</v>
      </c>
      <c r="J53" s="114" t="s">
        <v>148</v>
      </c>
      <c r="K53" s="116" t="s">
        <v>147</v>
      </c>
      <c r="L53" s="114" t="s">
        <v>136</v>
      </c>
      <c r="M53" s="114" t="s">
        <v>135</v>
      </c>
      <c r="O53" s="114" t="s">
        <v>27</v>
      </c>
      <c r="P53" s="114" t="s">
        <v>133</v>
      </c>
      <c r="Q53" s="114" t="s">
        <v>134</v>
      </c>
      <c r="R53" s="115" t="s">
        <v>129</v>
      </c>
      <c r="S53" s="114" t="s">
        <v>152</v>
      </c>
      <c r="T53" s="117" t="s">
        <v>151</v>
      </c>
      <c r="U53" s="114" t="s">
        <v>150</v>
      </c>
      <c r="V53" s="114" t="s">
        <v>149</v>
      </c>
      <c r="W53" s="114" t="s">
        <v>148</v>
      </c>
      <c r="X53" s="116" t="s">
        <v>147</v>
      </c>
      <c r="Y53" s="114" t="s">
        <v>136</v>
      </c>
      <c r="Z53" s="114" t="s">
        <v>135</v>
      </c>
      <c r="AB53" s="114" t="s">
        <v>27</v>
      </c>
      <c r="AC53" s="114" t="s">
        <v>133</v>
      </c>
      <c r="AD53" s="114" t="s">
        <v>134</v>
      </c>
      <c r="AE53" s="115" t="s">
        <v>129</v>
      </c>
      <c r="AF53" s="114" t="s">
        <v>152</v>
      </c>
      <c r="AG53" s="117" t="s">
        <v>151</v>
      </c>
      <c r="AH53" s="114" t="s">
        <v>150</v>
      </c>
      <c r="AI53" s="114" t="s">
        <v>149</v>
      </c>
      <c r="AJ53" s="114" t="s">
        <v>148</v>
      </c>
      <c r="AK53" s="116" t="s">
        <v>147</v>
      </c>
      <c r="AL53" s="115" t="s">
        <v>136</v>
      </c>
      <c r="AM53" s="114" t="s">
        <v>135</v>
      </c>
      <c r="AN53" s="106"/>
      <c r="AO53" s="114" t="s">
        <v>27</v>
      </c>
      <c r="AP53" s="114" t="s">
        <v>133</v>
      </c>
      <c r="AQ53" s="114" t="s">
        <v>134</v>
      </c>
      <c r="AR53" s="115" t="s">
        <v>129</v>
      </c>
      <c r="AS53" s="114" t="s">
        <v>152</v>
      </c>
      <c r="AT53" s="117" t="s">
        <v>151</v>
      </c>
      <c r="AU53" s="114" t="s">
        <v>150</v>
      </c>
      <c r="AV53" s="114" t="s">
        <v>149</v>
      </c>
      <c r="AW53" s="114" t="s">
        <v>148</v>
      </c>
      <c r="AX53" s="116" t="s">
        <v>147</v>
      </c>
      <c r="AY53" s="115" t="s">
        <v>136</v>
      </c>
      <c r="AZ53" s="114" t="s">
        <v>135</v>
      </c>
    </row>
    <row r="54" spans="2:53" ht="14.25" customHeight="1">
      <c r="B54" s="106">
        <v>1</v>
      </c>
      <c r="C54" s="107">
        <v>0</v>
      </c>
      <c r="D54" s="110"/>
      <c r="E54" s="111">
        <f>D48</f>
        <v>-67.841696398107345</v>
      </c>
      <c r="F54" s="107">
        <f xml:space="preserve"> $D$48 + 3*($D$49/$D$50)</f>
        <v>674.23235321313007</v>
      </c>
      <c r="G54" s="107">
        <f xml:space="preserve"> $D$48 - 3*($D$49/$D$50)</f>
        <v>-809.91574600934484</v>
      </c>
      <c r="H54" s="107">
        <f xml:space="preserve"> $D$48 + 2*($D$49/$D$50)</f>
        <v>426.87433667605097</v>
      </c>
      <c r="I54" s="107">
        <f xml:space="preserve"> $D$48 - 2*($D$49/$D$50)</f>
        <v>-562.55772947226569</v>
      </c>
      <c r="J54" s="107">
        <f xml:space="preserve"> $D$48 + 1*($D$49/$D$50)</f>
        <v>179.51632013897182</v>
      </c>
      <c r="K54" s="107">
        <f xml:space="preserve"> $D$48 - 1*($D$49/$D$50)</f>
        <v>-315.19971293518648</v>
      </c>
      <c r="L54" s="107"/>
      <c r="M54" s="107"/>
      <c r="O54" s="106">
        <v>1</v>
      </c>
      <c r="P54" s="107">
        <f>'B - Forecast'!C29-'B - Forecast'!D29</f>
        <v>-416.41951219512157</v>
      </c>
      <c r="Q54" s="110"/>
      <c r="R54" s="111">
        <f>Q48</f>
        <v>2.2737367544323207E-14</v>
      </c>
      <c r="S54" s="107">
        <f xml:space="preserve"> $Q$48 + 3*($Q$49/$Q$50)</f>
        <v>785.12611196236526</v>
      </c>
      <c r="T54" s="107">
        <f xml:space="preserve"> $Q$48 - 3*($Q$49/$Q$50)</f>
        <v>-785.12611196236526</v>
      </c>
      <c r="U54" s="107">
        <f xml:space="preserve"> $Q$48 + 2*($Q$49/$Q$50)</f>
        <v>523.41740797491013</v>
      </c>
      <c r="V54" s="107">
        <f xml:space="preserve"> $Q$48 - 2*($Q$49/$Q$50)</f>
        <v>-523.41740797491013</v>
      </c>
      <c r="W54" s="107">
        <f xml:space="preserve"> $Q$48 + 1*($Q$49/$Q$50)</f>
        <v>261.70870398745507</v>
      </c>
      <c r="X54" s="107">
        <f xml:space="preserve"> $Q$48 - 1*($Q$49/$Q$50)</f>
        <v>-261.70870398745507</v>
      </c>
      <c r="Y54" s="107"/>
      <c r="Z54" s="107"/>
      <c r="AB54" s="106">
        <v>1</v>
      </c>
      <c r="AC54" s="107">
        <f>'C - Forecast'!D45-'C - Forecast'!E45</f>
        <v>-67.289176636386401</v>
      </c>
      <c r="AD54" s="113"/>
      <c r="AE54" s="111">
        <f>AD$48</f>
        <v>-14.966254865023009</v>
      </c>
      <c r="AF54" s="107">
        <f>$AD$48+3*$AD$49/$AD$50</f>
        <v>1275.8608766419111</v>
      </c>
      <c r="AG54" s="107">
        <f>$AD$48-3*$AD$49/$AD$50</f>
        <v>-1305.7933863719572</v>
      </c>
      <c r="AH54" s="107">
        <f>$AD$48+2*$AD$49/$AD$50</f>
        <v>845.58516613959989</v>
      </c>
      <c r="AI54" s="107">
        <f>$AD$48-2*$AD$49/$AD$50</f>
        <v>-875.51767586964581</v>
      </c>
      <c r="AJ54" s="107">
        <f>$AD$48+1*$AD$49/$AD$50</f>
        <v>415.30945563728841</v>
      </c>
      <c r="AK54" s="107">
        <f>$AD$48-1*$AD$49/$AD$50</f>
        <v>-445.24196536733444</v>
      </c>
      <c r="AL54" s="111"/>
      <c r="AM54" s="107"/>
      <c r="AN54" s="112"/>
      <c r="AO54" s="106">
        <v>1</v>
      </c>
      <c r="AP54" s="107">
        <f>'D - Forecast'!AF31-'D - Forecast'!AG31</f>
        <v>13922.5</v>
      </c>
      <c r="AR54" s="111">
        <f>AQ$48</f>
        <v>73.587719298245972</v>
      </c>
      <c r="AS54" s="107">
        <f>$AQ$48+3*$AQ$49/$AQ$50</f>
        <v>16048.00681224338</v>
      </c>
      <c r="AT54" s="107">
        <f>$AQ$48-3*$AQ$49/$AQ$50</f>
        <v>-15900.831373646888</v>
      </c>
      <c r="AU54" s="107">
        <f>$AQ$48+2*$AQ$49/$AQ$50</f>
        <v>10723.200447928337</v>
      </c>
      <c r="AV54" s="107">
        <f>$AQ$48-2*$AQ$49/$AQ$50</f>
        <v>-10576.025009331845</v>
      </c>
      <c r="AW54" s="107">
        <f>$AQ$48+1*$AQ$49/$AQ$50</f>
        <v>5398.3940836132915</v>
      </c>
      <c r="AX54" s="107">
        <f>$AQ$48-1*$AQ$49/$AQ$50</f>
        <v>-5251.2186450167992</v>
      </c>
      <c r="AY54" s="111"/>
      <c r="AZ54" s="107"/>
    </row>
    <row r="55" spans="2:53" ht="14.25" customHeight="1">
      <c r="B55" s="106">
        <v>2</v>
      </c>
      <c r="C55" s="107">
        <f>'A - Forecast'!Q29-'A - Forecast'!R29</f>
        <v>-340</v>
      </c>
      <c r="D55" s="110">
        <f>ABS(C55-C54)</f>
        <v>340</v>
      </c>
      <c r="E55" s="111">
        <f>$D$48</f>
        <v>-67.841696398107345</v>
      </c>
      <c r="F55" s="107">
        <f t="shared" ref="F55:F93" si="0" xml:space="preserve"> $D$48 + 3*($D$49/$D$50)</f>
        <v>674.23235321313007</v>
      </c>
      <c r="G55" s="107">
        <f t="shared" ref="G55:G86" si="1" xml:space="preserve"> $D$48 - 3*($D$49/$D$50)</f>
        <v>-809.91574600934484</v>
      </c>
      <c r="H55" s="107">
        <f t="shared" ref="H55:H93" si="2" xml:space="preserve"> $D$48 + 2*($D$49/$D$50)</f>
        <v>426.87433667605097</v>
      </c>
      <c r="I55" s="107">
        <f t="shared" ref="I55:I93" si="3" xml:space="preserve"> $D$48 - 2*($D$49/$D$50)</f>
        <v>-562.55772947226569</v>
      </c>
      <c r="J55" s="107">
        <f t="shared" ref="J55:J86" si="4" xml:space="preserve"> $D$48 + 1*($D$49/$D$50)</f>
        <v>179.51632013897182</v>
      </c>
      <c r="K55" s="107">
        <f t="shared" ref="K55:K93" si="5" xml:space="preserve"> $D$48 - 1*($D$49/$D$50)</f>
        <v>-315.19971293518648</v>
      </c>
      <c r="L55" s="107">
        <f>$D$49</f>
        <v>279.01984265382526</v>
      </c>
      <c r="M55" s="107">
        <f>$D$49*$D$51</f>
        <v>911.55782595004712</v>
      </c>
      <c r="O55" s="106">
        <v>2</v>
      </c>
      <c r="P55" s="107">
        <f>'B - Forecast'!C30-'B - Forecast'!D30</f>
        <v>116.88405253283327</v>
      </c>
      <c r="Q55" s="107">
        <f>ABS(P55-P54)</f>
        <v>533.30356472795484</v>
      </c>
      <c r="R55" s="111">
        <f>$Q$48</f>
        <v>2.2737367544323207E-14</v>
      </c>
      <c r="S55" s="107">
        <f t="shared" ref="S55:S93" si="6" xml:space="preserve"> $Q$48 + 3*($Q$49/$Q$50)</f>
        <v>785.12611196236526</v>
      </c>
      <c r="T55" s="107">
        <f t="shared" ref="T55:T93" si="7" xml:space="preserve"> $Q$48 - 3*($Q$49/$Q$50)</f>
        <v>-785.12611196236526</v>
      </c>
      <c r="U55" s="107">
        <f t="shared" ref="U55:U93" si="8" xml:space="preserve"> $Q$48 + 2*($Q$49/$Q$50)</f>
        <v>523.41740797491013</v>
      </c>
      <c r="V55" s="107">
        <f t="shared" ref="V55:V93" si="9" xml:space="preserve"> $Q$48 - 2*($Q$49/$Q$50)</f>
        <v>-523.41740797491013</v>
      </c>
      <c r="W55" s="107">
        <f t="shared" ref="W55:W93" si="10" xml:space="preserve"> $Q$48 + 1*($Q$49/$Q$50)</f>
        <v>261.70870398745507</v>
      </c>
      <c r="X55" s="107">
        <f t="shared" ref="X55:X93" si="11" xml:space="preserve"> $Q$48 - 1*($Q$49/$Q$50)</f>
        <v>-261.70870398745507</v>
      </c>
      <c r="Y55" s="107">
        <f>$Q$49</f>
        <v>295.20741809784926</v>
      </c>
      <c r="Z55" s="107">
        <f>$Q$49*$Q$51</f>
        <v>964.44263492567347</v>
      </c>
      <c r="AB55" s="106">
        <v>2</v>
      </c>
      <c r="AC55" s="107">
        <f>'C - Forecast'!D46-'C - Forecast'!E46</f>
        <v>103.0341349651053</v>
      </c>
      <c r="AD55" s="107">
        <f>ABS(AC55-AC54)</f>
        <v>170.3233116014917</v>
      </c>
      <c r="AE55" s="111">
        <f t="shared" ref="AE55:AE93" si="12">AD$48</f>
        <v>-14.966254865023009</v>
      </c>
      <c r="AF55" s="107">
        <f t="shared" ref="AF55:AF93" si="13">$AD$48+3*$AD$49/$AD$50</f>
        <v>1275.8608766419111</v>
      </c>
      <c r="AG55" s="107">
        <f t="shared" ref="AG55:AG93" si="14">$AD$48-3*$AD$49/$AD$50</f>
        <v>-1305.7933863719572</v>
      </c>
      <c r="AH55" s="107">
        <f t="shared" ref="AH55:AH93" si="15">$AD$48+2*$AD$49/$AD$50</f>
        <v>845.58516613959989</v>
      </c>
      <c r="AI55" s="107">
        <f t="shared" ref="AI55:AI93" si="16">$AD$48-2*$AD$49/$AD$50</f>
        <v>-875.51767586964581</v>
      </c>
      <c r="AJ55" s="107">
        <f t="shared" ref="AJ55:AJ93" si="17">$AD$48+1*$AD$49/$AD$50</f>
        <v>415.30945563728841</v>
      </c>
      <c r="AK55" s="107">
        <f t="shared" ref="AK55:AK93" si="18">$AD$48-1*$AD$49/$AD$50</f>
        <v>-445.24196536733444</v>
      </c>
      <c r="AL55" s="111">
        <f>$AD$49</f>
        <v>485.35100144660726</v>
      </c>
      <c r="AM55" s="107">
        <f>$AD$49*$AD$51</f>
        <v>1585.641721726066</v>
      </c>
      <c r="AN55" s="107"/>
      <c r="AO55" s="106">
        <v>2</v>
      </c>
      <c r="AP55" s="107">
        <f>'D - Forecast'!AF32-'D - Forecast'!AG32</f>
        <v>7293.6666666666679</v>
      </c>
      <c r="AQ55" s="107">
        <f>ABS(AP54-AP55)</f>
        <v>6628.8333333333321</v>
      </c>
      <c r="AR55" s="111">
        <f t="shared" ref="AR55:AR87" si="19">AQ$48</f>
        <v>73.587719298245972</v>
      </c>
      <c r="AS55" s="107">
        <f t="shared" ref="AS55:AS87" si="20">$AQ$48+3*$AQ$49/$AQ$50</f>
        <v>16048.00681224338</v>
      </c>
      <c r="AT55" s="107">
        <f t="shared" ref="AT55:AT87" si="21">$AQ$48-3*$AQ$49/$AQ$50</f>
        <v>-15900.831373646888</v>
      </c>
      <c r="AU55" s="107">
        <f t="shared" ref="AU55:AU87" si="22">$AQ$48+2*$AQ$49/$AQ$50</f>
        <v>10723.200447928337</v>
      </c>
      <c r="AV55" s="107">
        <f t="shared" ref="AV55:AV87" si="23">$AQ$48-2*$AQ$49/$AQ$50</f>
        <v>-10576.025009331845</v>
      </c>
      <c r="AW55" s="107">
        <f t="shared" ref="AW55:AW87" si="24">$AQ$48+1*$AQ$49/$AQ$50</f>
        <v>5398.3940836132915</v>
      </c>
      <c r="AX55" s="107">
        <f t="shared" ref="AX55:AX87" si="25">$AQ$48-1*$AQ$49/$AQ$50</f>
        <v>-5251.2186450167992</v>
      </c>
      <c r="AY55" s="111">
        <f>$AQ$49</f>
        <v>6006.3815789473701</v>
      </c>
      <c r="AZ55" s="107">
        <f>$AQ$49*$AQ$51</f>
        <v>19622.848618421056</v>
      </c>
    </row>
    <row r="56" spans="2:53" ht="14.25" customHeight="1">
      <c r="B56" s="106">
        <v>3</v>
      </c>
      <c r="C56" s="107">
        <f>'A - Forecast'!Q30-'A - Forecast'!R30</f>
        <v>140</v>
      </c>
      <c r="D56" s="110">
        <f t="shared" ref="D56:D93" si="26">ABS(C56-C55)</f>
        <v>480</v>
      </c>
      <c r="E56" s="111">
        <f t="shared" ref="E56:E93" si="27">$D$48</f>
        <v>-67.841696398107345</v>
      </c>
      <c r="F56" s="107">
        <f t="shared" si="0"/>
        <v>674.23235321313007</v>
      </c>
      <c r="G56" s="107">
        <f t="shared" si="1"/>
        <v>-809.91574600934484</v>
      </c>
      <c r="H56" s="107">
        <f t="shared" si="2"/>
        <v>426.87433667605097</v>
      </c>
      <c r="I56" s="107">
        <f t="shared" si="3"/>
        <v>-562.55772947226569</v>
      </c>
      <c r="J56" s="107">
        <f t="shared" si="4"/>
        <v>179.51632013897182</v>
      </c>
      <c r="K56" s="107">
        <f t="shared" si="5"/>
        <v>-315.19971293518648</v>
      </c>
      <c r="L56" s="107">
        <f t="shared" ref="L56:L93" si="28">$D$49</f>
        <v>279.01984265382526</v>
      </c>
      <c r="M56" s="107">
        <f t="shared" ref="M56:M93" si="29">$D$49*$D$51</f>
        <v>911.55782595004712</v>
      </c>
      <c r="O56" s="106">
        <v>3</v>
      </c>
      <c r="P56" s="107">
        <f>'B - Forecast'!C31-'B - Forecast'!D31</f>
        <v>234.1876172607881</v>
      </c>
      <c r="Q56" s="107">
        <f t="shared" ref="Q56:Q93" si="30">ABS(P56-P55)</f>
        <v>117.30356472795484</v>
      </c>
      <c r="R56" s="111">
        <f t="shared" ref="R56:R93" si="31">$Q$48</f>
        <v>2.2737367544323207E-14</v>
      </c>
      <c r="S56" s="107">
        <f t="shared" si="6"/>
        <v>785.12611196236526</v>
      </c>
      <c r="T56" s="107">
        <f t="shared" si="7"/>
        <v>-785.12611196236526</v>
      </c>
      <c r="U56" s="107">
        <f t="shared" si="8"/>
        <v>523.41740797491013</v>
      </c>
      <c r="V56" s="107">
        <f t="shared" si="9"/>
        <v>-523.41740797491013</v>
      </c>
      <c r="W56" s="107">
        <f t="shared" si="10"/>
        <v>261.70870398745507</v>
      </c>
      <c r="X56" s="107">
        <f t="shared" si="11"/>
        <v>-261.70870398745507</v>
      </c>
      <c r="Y56" s="107">
        <f t="shared" ref="Y56:Y93" si="32">$Q$49</f>
        <v>295.20741809784926</v>
      </c>
      <c r="Z56" s="107">
        <f t="shared" ref="Z56:Z93" si="33">$Q$49*$Q$51</f>
        <v>964.44263492567347</v>
      </c>
      <c r="AB56" s="106">
        <v>3</v>
      </c>
      <c r="AC56" s="107">
        <f>'C - Forecast'!D47-'C - Forecast'!E47</f>
        <v>-518.68836927405391</v>
      </c>
      <c r="AD56" s="107">
        <f t="shared" ref="AD56:AD93" si="34">ABS(AC56-AC55)</f>
        <v>621.72250423915921</v>
      </c>
      <c r="AE56" s="111">
        <f t="shared" si="12"/>
        <v>-14.966254865023009</v>
      </c>
      <c r="AF56" s="107">
        <f t="shared" si="13"/>
        <v>1275.8608766419111</v>
      </c>
      <c r="AG56" s="107">
        <f t="shared" si="14"/>
        <v>-1305.7933863719572</v>
      </c>
      <c r="AH56" s="107">
        <f t="shared" si="15"/>
        <v>845.58516613959989</v>
      </c>
      <c r="AI56" s="107">
        <f t="shared" si="16"/>
        <v>-875.51767586964581</v>
      </c>
      <c r="AJ56" s="107">
        <f t="shared" si="17"/>
        <v>415.30945563728841</v>
      </c>
      <c r="AK56" s="107">
        <f t="shared" si="18"/>
        <v>-445.24196536733444</v>
      </c>
      <c r="AL56" s="111">
        <f t="shared" ref="AL56:AL93" si="35">$AD$49</f>
        <v>485.35100144660726</v>
      </c>
      <c r="AM56" s="107">
        <f t="shared" ref="AM56:AM93" si="36">$AD$49*$AD$51</f>
        <v>1585.641721726066</v>
      </c>
      <c r="AN56" s="107"/>
      <c r="AO56" s="106">
        <v>3</v>
      </c>
      <c r="AP56" s="107">
        <f>'D - Forecast'!AF33-'D - Forecast'!AG33</f>
        <v>-3356.5</v>
      </c>
      <c r="AQ56" s="107">
        <f t="shared" ref="AQ56:AQ93" si="37">ABS(AP55-AP56)</f>
        <v>10650.166666666668</v>
      </c>
      <c r="AR56" s="111">
        <f t="shared" si="19"/>
        <v>73.587719298245972</v>
      </c>
      <c r="AS56" s="107">
        <f t="shared" si="20"/>
        <v>16048.00681224338</v>
      </c>
      <c r="AT56" s="107">
        <f t="shared" si="21"/>
        <v>-15900.831373646888</v>
      </c>
      <c r="AU56" s="107">
        <f t="shared" si="22"/>
        <v>10723.200447928337</v>
      </c>
      <c r="AV56" s="107">
        <f t="shared" si="23"/>
        <v>-10576.025009331845</v>
      </c>
      <c r="AW56" s="107">
        <f t="shared" si="24"/>
        <v>5398.3940836132915</v>
      </c>
      <c r="AX56" s="107">
        <f t="shared" si="25"/>
        <v>-5251.2186450167992</v>
      </c>
      <c r="AY56" s="111">
        <f t="shared" ref="AY56:AY87" si="38">$AQ$49</f>
        <v>6006.3815789473701</v>
      </c>
      <c r="AZ56" s="107">
        <f t="shared" ref="AZ56:AZ87" si="39">$AQ$49*$AQ$51</f>
        <v>19622.848618421056</v>
      </c>
    </row>
    <row r="57" spans="2:53" ht="14.25" customHeight="1">
      <c r="B57" s="106">
        <v>4</v>
      </c>
      <c r="C57" s="107">
        <f>'A - Forecast'!Q31-'A - Forecast'!R31</f>
        <v>-427.99999999999818</v>
      </c>
      <c r="D57" s="110">
        <f t="shared" si="26"/>
        <v>567.99999999999818</v>
      </c>
      <c r="E57" s="111">
        <f t="shared" si="27"/>
        <v>-67.841696398107345</v>
      </c>
      <c r="F57" s="107">
        <f t="shared" si="0"/>
        <v>674.23235321313007</v>
      </c>
      <c r="G57" s="107">
        <f t="shared" si="1"/>
        <v>-809.91574600934484</v>
      </c>
      <c r="H57" s="107">
        <f t="shared" si="2"/>
        <v>426.87433667605097</v>
      </c>
      <c r="I57" s="107">
        <f t="shared" si="3"/>
        <v>-562.55772947226569</v>
      </c>
      <c r="J57" s="107">
        <f t="shared" si="4"/>
        <v>179.51632013897182</v>
      </c>
      <c r="K57" s="107">
        <f t="shared" si="5"/>
        <v>-315.19971293518648</v>
      </c>
      <c r="L57" s="107">
        <f t="shared" si="28"/>
        <v>279.01984265382526</v>
      </c>
      <c r="M57" s="107">
        <f t="shared" si="29"/>
        <v>911.55782595004712</v>
      </c>
      <c r="O57" s="106">
        <v>4</v>
      </c>
      <c r="P57" s="107">
        <f>'B - Forecast'!C32-'B - Forecast'!D32</f>
        <v>-354.50881801125615</v>
      </c>
      <c r="Q57" s="107">
        <f t="shared" si="30"/>
        <v>588.69643527204425</v>
      </c>
      <c r="R57" s="111">
        <f t="shared" si="31"/>
        <v>2.2737367544323207E-14</v>
      </c>
      <c r="S57" s="107">
        <f t="shared" si="6"/>
        <v>785.12611196236526</v>
      </c>
      <c r="T57" s="107">
        <f t="shared" si="7"/>
        <v>-785.12611196236526</v>
      </c>
      <c r="U57" s="107">
        <f t="shared" si="8"/>
        <v>523.41740797491013</v>
      </c>
      <c r="V57" s="107">
        <f t="shared" si="9"/>
        <v>-523.41740797491013</v>
      </c>
      <c r="W57" s="107">
        <f t="shared" si="10"/>
        <v>261.70870398745507</v>
      </c>
      <c r="X57" s="107">
        <f t="shared" si="11"/>
        <v>-261.70870398745507</v>
      </c>
      <c r="Y57" s="107">
        <f t="shared" si="32"/>
        <v>295.20741809784926</v>
      </c>
      <c r="Z57" s="107">
        <f t="shared" si="33"/>
        <v>964.44263492567347</v>
      </c>
      <c r="AB57" s="106">
        <v>4</v>
      </c>
      <c r="AC57" s="107">
        <f>'C - Forecast'!D48-'C - Forecast'!E48</f>
        <v>116.84439733216732</v>
      </c>
      <c r="AD57" s="107">
        <f t="shared" si="34"/>
        <v>635.53276660622123</v>
      </c>
      <c r="AE57" s="111">
        <f t="shared" si="12"/>
        <v>-14.966254865023009</v>
      </c>
      <c r="AF57" s="107">
        <f t="shared" si="13"/>
        <v>1275.8608766419111</v>
      </c>
      <c r="AG57" s="107">
        <f t="shared" si="14"/>
        <v>-1305.7933863719572</v>
      </c>
      <c r="AH57" s="107">
        <f t="shared" si="15"/>
        <v>845.58516613959989</v>
      </c>
      <c r="AI57" s="107">
        <f t="shared" si="16"/>
        <v>-875.51767586964581</v>
      </c>
      <c r="AJ57" s="107">
        <f t="shared" si="17"/>
        <v>415.30945563728841</v>
      </c>
      <c r="AK57" s="107">
        <f t="shared" si="18"/>
        <v>-445.24196536733444</v>
      </c>
      <c r="AL57" s="111">
        <f t="shared" si="35"/>
        <v>485.35100144660726</v>
      </c>
      <c r="AM57" s="107">
        <f t="shared" si="36"/>
        <v>1585.641721726066</v>
      </c>
      <c r="AN57" s="107"/>
      <c r="AO57" s="106">
        <v>4</v>
      </c>
      <c r="AP57" s="107">
        <f>'D - Forecast'!AF34-'D - Forecast'!AG34</f>
        <v>-6273.3333333333321</v>
      </c>
      <c r="AQ57" s="107">
        <f t="shared" si="37"/>
        <v>2916.8333333333321</v>
      </c>
      <c r="AR57" s="111">
        <f t="shared" si="19"/>
        <v>73.587719298245972</v>
      </c>
      <c r="AS57" s="107">
        <f t="shared" si="20"/>
        <v>16048.00681224338</v>
      </c>
      <c r="AT57" s="107">
        <f t="shared" si="21"/>
        <v>-15900.831373646888</v>
      </c>
      <c r="AU57" s="107">
        <f t="shared" si="22"/>
        <v>10723.200447928337</v>
      </c>
      <c r="AV57" s="107">
        <f t="shared" si="23"/>
        <v>-10576.025009331845</v>
      </c>
      <c r="AW57" s="107">
        <f t="shared" si="24"/>
        <v>5398.3940836132915</v>
      </c>
      <c r="AX57" s="107">
        <f t="shared" si="25"/>
        <v>-5251.2186450167992</v>
      </c>
      <c r="AY57" s="111">
        <f t="shared" si="38"/>
        <v>6006.3815789473701</v>
      </c>
      <c r="AZ57" s="107">
        <f t="shared" si="39"/>
        <v>19622.848618421056</v>
      </c>
    </row>
    <row r="58" spans="2:53" ht="14.25" customHeight="1">
      <c r="B58" s="106">
        <v>5</v>
      </c>
      <c r="C58" s="107">
        <f>'A - Forecast'!Q32-'A - Forecast'!R32</f>
        <v>-9.5999999999985448</v>
      </c>
      <c r="D58" s="110">
        <f t="shared" si="26"/>
        <v>418.39999999999964</v>
      </c>
      <c r="E58" s="111">
        <f t="shared" si="27"/>
        <v>-67.841696398107345</v>
      </c>
      <c r="F58" s="107">
        <f t="shared" si="0"/>
        <v>674.23235321313007</v>
      </c>
      <c r="G58" s="107">
        <f t="shared" si="1"/>
        <v>-809.91574600934484</v>
      </c>
      <c r="H58" s="107">
        <f t="shared" si="2"/>
        <v>426.87433667605097</v>
      </c>
      <c r="I58" s="107">
        <f t="shared" si="3"/>
        <v>-562.55772947226569</v>
      </c>
      <c r="J58" s="107">
        <f t="shared" si="4"/>
        <v>179.51632013897182</v>
      </c>
      <c r="K58" s="107">
        <f t="shared" si="5"/>
        <v>-315.19971293518648</v>
      </c>
      <c r="L58" s="107">
        <f t="shared" si="28"/>
        <v>279.01984265382526</v>
      </c>
      <c r="M58" s="107">
        <f t="shared" si="29"/>
        <v>911.55782595004712</v>
      </c>
      <c r="O58" s="106">
        <v>5</v>
      </c>
      <c r="P58" s="107">
        <f>'B - Forecast'!C33-'B - Forecast'!D33</f>
        <v>185.79474671669777</v>
      </c>
      <c r="Q58" s="107">
        <f t="shared" si="30"/>
        <v>540.30356472795393</v>
      </c>
      <c r="R58" s="111">
        <f t="shared" si="31"/>
        <v>2.2737367544323207E-14</v>
      </c>
      <c r="S58" s="107">
        <f t="shared" si="6"/>
        <v>785.12611196236526</v>
      </c>
      <c r="T58" s="107">
        <f t="shared" si="7"/>
        <v>-785.12611196236526</v>
      </c>
      <c r="U58" s="107">
        <f t="shared" si="8"/>
        <v>523.41740797491013</v>
      </c>
      <c r="V58" s="107">
        <f t="shared" si="9"/>
        <v>-523.41740797491013</v>
      </c>
      <c r="W58" s="107">
        <f t="shared" si="10"/>
        <v>261.70870398745507</v>
      </c>
      <c r="X58" s="107">
        <f t="shared" si="11"/>
        <v>-261.70870398745507</v>
      </c>
      <c r="Y58" s="107">
        <f t="shared" si="32"/>
        <v>295.20741809784926</v>
      </c>
      <c r="Z58" s="107">
        <f t="shared" si="33"/>
        <v>964.44263492567347</v>
      </c>
      <c r="AB58" s="106">
        <v>5</v>
      </c>
      <c r="AC58" s="107">
        <f>'C - Forecast'!D49-'C - Forecast'!E49</f>
        <v>52.283627670960414</v>
      </c>
      <c r="AD58" s="107">
        <f t="shared" si="34"/>
        <v>64.560769661206905</v>
      </c>
      <c r="AE58" s="111">
        <f t="shared" si="12"/>
        <v>-14.966254865023009</v>
      </c>
      <c r="AF58" s="107">
        <f t="shared" si="13"/>
        <v>1275.8608766419111</v>
      </c>
      <c r="AG58" s="107">
        <f t="shared" si="14"/>
        <v>-1305.7933863719572</v>
      </c>
      <c r="AH58" s="107">
        <f t="shared" si="15"/>
        <v>845.58516613959989</v>
      </c>
      <c r="AI58" s="107">
        <f t="shared" si="16"/>
        <v>-875.51767586964581</v>
      </c>
      <c r="AJ58" s="107">
        <f t="shared" si="17"/>
        <v>415.30945563728841</v>
      </c>
      <c r="AK58" s="107">
        <f t="shared" si="18"/>
        <v>-445.24196536733444</v>
      </c>
      <c r="AL58" s="111">
        <f t="shared" si="35"/>
        <v>485.35100144660726</v>
      </c>
      <c r="AM58" s="107">
        <f t="shared" si="36"/>
        <v>1585.641721726066</v>
      </c>
      <c r="AN58" s="107"/>
      <c r="AO58" s="106">
        <v>5</v>
      </c>
      <c r="AP58" s="107">
        <f>'D - Forecast'!AF35-'D - Forecast'!AG35</f>
        <v>-8086.5</v>
      </c>
      <c r="AQ58" s="107">
        <f t="shared" si="37"/>
        <v>1813.1666666666679</v>
      </c>
      <c r="AR58" s="111">
        <f t="shared" si="19"/>
        <v>73.587719298245972</v>
      </c>
      <c r="AS58" s="107">
        <f t="shared" si="20"/>
        <v>16048.00681224338</v>
      </c>
      <c r="AT58" s="107">
        <f t="shared" si="21"/>
        <v>-15900.831373646888</v>
      </c>
      <c r="AU58" s="107">
        <f t="shared" si="22"/>
        <v>10723.200447928337</v>
      </c>
      <c r="AV58" s="107">
        <f t="shared" si="23"/>
        <v>-10576.025009331845</v>
      </c>
      <c r="AW58" s="107">
        <f t="shared" si="24"/>
        <v>5398.3940836132915</v>
      </c>
      <c r="AX58" s="107">
        <f t="shared" si="25"/>
        <v>-5251.2186450167992</v>
      </c>
      <c r="AY58" s="111">
        <f t="shared" si="38"/>
        <v>6006.3815789473701</v>
      </c>
      <c r="AZ58" s="107">
        <f t="shared" si="39"/>
        <v>19622.848618421056</v>
      </c>
    </row>
    <row r="59" spans="2:53" ht="14.25" customHeight="1">
      <c r="B59" s="106">
        <v>6</v>
      </c>
      <c r="C59" s="107">
        <f>'A - Forecast'!Q33-'A - Forecast'!R33</f>
        <v>311.88000000000102</v>
      </c>
      <c r="D59" s="110">
        <f t="shared" si="26"/>
        <v>321.47999999999956</v>
      </c>
      <c r="E59" s="111">
        <f t="shared" si="27"/>
        <v>-67.841696398107345</v>
      </c>
      <c r="F59" s="107">
        <f t="shared" si="0"/>
        <v>674.23235321313007</v>
      </c>
      <c r="G59" s="107">
        <f t="shared" si="1"/>
        <v>-809.91574600934484</v>
      </c>
      <c r="H59" s="107">
        <f t="shared" si="2"/>
        <v>426.87433667605097</v>
      </c>
      <c r="I59" s="107">
        <f t="shared" si="3"/>
        <v>-562.55772947226569</v>
      </c>
      <c r="J59" s="107">
        <f t="shared" si="4"/>
        <v>179.51632013897182</v>
      </c>
      <c r="K59" s="107">
        <f t="shared" si="5"/>
        <v>-315.19971293518648</v>
      </c>
      <c r="L59" s="107">
        <f t="shared" si="28"/>
        <v>279.01984265382526</v>
      </c>
      <c r="M59" s="107">
        <f t="shared" si="29"/>
        <v>911.55782595004712</v>
      </c>
      <c r="O59" s="106">
        <v>6</v>
      </c>
      <c r="P59" s="107">
        <f>'B - Forecast'!C34-'B - Forecast'!D34</f>
        <v>26.098311444653518</v>
      </c>
      <c r="Q59" s="107">
        <f t="shared" si="30"/>
        <v>159.69643527204425</v>
      </c>
      <c r="R59" s="111">
        <f t="shared" si="31"/>
        <v>2.2737367544323207E-14</v>
      </c>
      <c r="S59" s="107">
        <f t="shared" si="6"/>
        <v>785.12611196236526</v>
      </c>
      <c r="T59" s="107">
        <f t="shared" si="7"/>
        <v>-785.12611196236526</v>
      </c>
      <c r="U59" s="107">
        <f t="shared" si="8"/>
        <v>523.41740797491013</v>
      </c>
      <c r="V59" s="107">
        <f t="shared" si="9"/>
        <v>-523.41740797491013</v>
      </c>
      <c r="W59" s="107">
        <f t="shared" si="10"/>
        <v>261.70870398745507</v>
      </c>
      <c r="X59" s="107">
        <f t="shared" si="11"/>
        <v>-261.70870398745507</v>
      </c>
      <c r="Y59" s="107">
        <f t="shared" si="32"/>
        <v>295.20741809784926</v>
      </c>
      <c r="Z59" s="107">
        <f t="shared" si="33"/>
        <v>964.44263492567347</v>
      </c>
      <c r="AB59" s="106">
        <v>6</v>
      </c>
      <c r="AC59" s="107">
        <f>'C - Forecast'!D50-'C - Forecast'!E50</f>
        <v>227.33813959260806</v>
      </c>
      <c r="AD59" s="107">
        <f t="shared" si="34"/>
        <v>175.05451192164765</v>
      </c>
      <c r="AE59" s="111">
        <f t="shared" si="12"/>
        <v>-14.966254865023009</v>
      </c>
      <c r="AF59" s="107">
        <f t="shared" si="13"/>
        <v>1275.8608766419111</v>
      </c>
      <c r="AG59" s="107">
        <f t="shared" si="14"/>
        <v>-1305.7933863719572</v>
      </c>
      <c r="AH59" s="107">
        <f t="shared" si="15"/>
        <v>845.58516613959989</v>
      </c>
      <c r="AI59" s="107">
        <f t="shared" si="16"/>
        <v>-875.51767586964581</v>
      </c>
      <c r="AJ59" s="107">
        <f t="shared" si="17"/>
        <v>415.30945563728841</v>
      </c>
      <c r="AK59" s="107">
        <f t="shared" si="18"/>
        <v>-445.24196536733444</v>
      </c>
      <c r="AL59" s="111">
        <f t="shared" si="35"/>
        <v>485.35100144660726</v>
      </c>
      <c r="AM59" s="107">
        <f t="shared" si="36"/>
        <v>1585.641721726066</v>
      </c>
      <c r="AN59" s="107"/>
      <c r="AO59" s="106">
        <v>6</v>
      </c>
      <c r="AP59" s="107">
        <f>'D - Forecast'!AF36-'D - Forecast'!AG36</f>
        <v>-2783.5</v>
      </c>
      <c r="AQ59" s="107">
        <f t="shared" si="37"/>
        <v>5303</v>
      </c>
      <c r="AR59" s="111">
        <f t="shared" si="19"/>
        <v>73.587719298245972</v>
      </c>
      <c r="AS59" s="107">
        <f t="shared" si="20"/>
        <v>16048.00681224338</v>
      </c>
      <c r="AT59" s="107">
        <f t="shared" si="21"/>
        <v>-15900.831373646888</v>
      </c>
      <c r="AU59" s="107">
        <f t="shared" si="22"/>
        <v>10723.200447928337</v>
      </c>
      <c r="AV59" s="107">
        <f t="shared" si="23"/>
        <v>-10576.025009331845</v>
      </c>
      <c r="AW59" s="107">
        <f t="shared" si="24"/>
        <v>5398.3940836132915</v>
      </c>
      <c r="AX59" s="107">
        <f t="shared" si="25"/>
        <v>-5251.2186450167992</v>
      </c>
      <c r="AY59" s="111">
        <f t="shared" si="38"/>
        <v>6006.3815789473701</v>
      </c>
      <c r="AZ59" s="107">
        <f t="shared" si="39"/>
        <v>19622.848618421056</v>
      </c>
    </row>
    <row r="60" spans="2:53" ht="14.25" customHeight="1">
      <c r="B60" s="106">
        <v>7</v>
      </c>
      <c r="C60" s="107">
        <f>'A - Forecast'!Q34-'A - Forecast'!R34</f>
        <v>-339.71399999999812</v>
      </c>
      <c r="D60" s="110">
        <f t="shared" si="26"/>
        <v>651.59399999999914</v>
      </c>
      <c r="E60" s="111">
        <f t="shared" si="27"/>
        <v>-67.841696398107345</v>
      </c>
      <c r="F60" s="107">
        <f t="shared" si="0"/>
        <v>674.23235321313007</v>
      </c>
      <c r="G60" s="107">
        <f t="shared" si="1"/>
        <v>-809.91574600934484</v>
      </c>
      <c r="H60" s="107">
        <f t="shared" si="2"/>
        <v>426.87433667605097</v>
      </c>
      <c r="I60" s="107">
        <f t="shared" si="3"/>
        <v>-562.55772947226569</v>
      </c>
      <c r="J60" s="107">
        <f t="shared" si="4"/>
        <v>179.51632013897182</v>
      </c>
      <c r="K60" s="107">
        <f t="shared" si="5"/>
        <v>-315.19971293518648</v>
      </c>
      <c r="L60" s="107">
        <f t="shared" si="28"/>
        <v>279.01984265382526</v>
      </c>
      <c r="M60" s="107">
        <f t="shared" si="29"/>
        <v>911.55782595004712</v>
      </c>
      <c r="O60" s="106">
        <v>7</v>
      </c>
      <c r="P60" s="107">
        <f>'B - Forecast'!C35-'B - Forecast'!D35</f>
        <v>154.40187617260835</v>
      </c>
      <c r="Q60" s="107">
        <f t="shared" si="30"/>
        <v>128.30356472795484</v>
      </c>
      <c r="R60" s="111">
        <f t="shared" si="31"/>
        <v>2.2737367544323207E-14</v>
      </c>
      <c r="S60" s="107">
        <f t="shared" si="6"/>
        <v>785.12611196236526</v>
      </c>
      <c r="T60" s="107">
        <f t="shared" si="7"/>
        <v>-785.12611196236526</v>
      </c>
      <c r="U60" s="107">
        <f t="shared" si="8"/>
        <v>523.41740797491013</v>
      </c>
      <c r="V60" s="107">
        <f t="shared" si="9"/>
        <v>-523.41740797491013</v>
      </c>
      <c r="W60" s="107">
        <f t="shared" si="10"/>
        <v>261.70870398745507</v>
      </c>
      <c r="X60" s="107">
        <f t="shared" si="11"/>
        <v>-261.70870398745507</v>
      </c>
      <c r="Y60" s="107">
        <f t="shared" si="32"/>
        <v>295.20741809784926</v>
      </c>
      <c r="Z60" s="107">
        <f t="shared" si="33"/>
        <v>964.44263492567347</v>
      </c>
      <c r="AB60" s="106">
        <v>7</v>
      </c>
      <c r="AC60" s="107">
        <f>'C - Forecast'!D51-'C - Forecast'!E51</f>
        <v>110.45906863943492</v>
      </c>
      <c r="AD60" s="107">
        <f t="shared" si="34"/>
        <v>116.87907095317314</v>
      </c>
      <c r="AE60" s="111">
        <f t="shared" si="12"/>
        <v>-14.966254865023009</v>
      </c>
      <c r="AF60" s="107">
        <f t="shared" si="13"/>
        <v>1275.8608766419111</v>
      </c>
      <c r="AG60" s="107">
        <f t="shared" si="14"/>
        <v>-1305.7933863719572</v>
      </c>
      <c r="AH60" s="107">
        <f t="shared" si="15"/>
        <v>845.58516613959989</v>
      </c>
      <c r="AI60" s="107">
        <f t="shared" si="16"/>
        <v>-875.51767586964581</v>
      </c>
      <c r="AJ60" s="107">
        <f t="shared" si="17"/>
        <v>415.30945563728841</v>
      </c>
      <c r="AK60" s="107">
        <f t="shared" si="18"/>
        <v>-445.24196536733444</v>
      </c>
      <c r="AL60" s="111">
        <f t="shared" si="35"/>
        <v>485.35100144660726</v>
      </c>
      <c r="AM60" s="107">
        <f t="shared" si="36"/>
        <v>1585.641721726066</v>
      </c>
      <c r="AN60" s="107"/>
      <c r="AO60" s="106">
        <v>7</v>
      </c>
      <c r="AP60" s="107">
        <f>'D - Forecast'!AF37-'D - Forecast'!AG37</f>
        <v>4888.3333333333339</v>
      </c>
      <c r="AQ60" s="107">
        <f t="shared" si="37"/>
        <v>7671.8333333333339</v>
      </c>
      <c r="AR60" s="111">
        <f t="shared" si="19"/>
        <v>73.587719298245972</v>
      </c>
      <c r="AS60" s="107">
        <f t="shared" si="20"/>
        <v>16048.00681224338</v>
      </c>
      <c r="AT60" s="107">
        <f t="shared" si="21"/>
        <v>-15900.831373646888</v>
      </c>
      <c r="AU60" s="107">
        <f t="shared" si="22"/>
        <v>10723.200447928337</v>
      </c>
      <c r="AV60" s="107">
        <f t="shared" si="23"/>
        <v>-10576.025009331845</v>
      </c>
      <c r="AW60" s="107">
        <f t="shared" si="24"/>
        <v>5398.3940836132915</v>
      </c>
      <c r="AX60" s="107">
        <f t="shared" si="25"/>
        <v>-5251.2186450167992</v>
      </c>
      <c r="AY60" s="111">
        <f t="shared" si="38"/>
        <v>6006.3815789473701</v>
      </c>
      <c r="AZ60" s="107">
        <f t="shared" si="39"/>
        <v>19622.848618421056</v>
      </c>
    </row>
    <row r="61" spans="2:53" ht="14.25" customHeight="1">
      <c r="B61" s="106">
        <v>8</v>
      </c>
      <c r="C61" s="107">
        <f>'A - Forecast'!Q35-'A - Forecast'!R35</f>
        <v>-237.72829999999885</v>
      </c>
      <c r="D61" s="110">
        <f t="shared" si="26"/>
        <v>101.98569999999927</v>
      </c>
      <c r="E61" s="111">
        <f t="shared" si="27"/>
        <v>-67.841696398107345</v>
      </c>
      <c r="F61" s="107">
        <f t="shared" si="0"/>
        <v>674.23235321313007</v>
      </c>
      <c r="G61" s="107">
        <f t="shared" si="1"/>
        <v>-809.91574600934484</v>
      </c>
      <c r="H61" s="107">
        <f t="shared" si="2"/>
        <v>426.87433667605097</v>
      </c>
      <c r="I61" s="107">
        <f t="shared" si="3"/>
        <v>-562.55772947226569</v>
      </c>
      <c r="J61" s="107">
        <f t="shared" si="4"/>
        <v>179.51632013897182</v>
      </c>
      <c r="K61" s="107">
        <f t="shared" si="5"/>
        <v>-315.19971293518648</v>
      </c>
      <c r="L61" s="107">
        <f t="shared" si="28"/>
        <v>279.01984265382526</v>
      </c>
      <c r="M61" s="107">
        <f t="shared" si="29"/>
        <v>911.55782595004712</v>
      </c>
      <c r="O61" s="106">
        <v>8</v>
      </c>
      <c r="P61" s="107">
        <f>'B - Forecast'!C36-'B - Forecast'!D36</f>
        <v>481.70544090056319</v>
      </c>
      <c r="Q61" s="107">
        <f t="shared" si="30"/>
        <v>327.30356472795484</v>
      </c>
      <c r="R61" s="111">
        <f t="shared" si="31"/>
        <v>2.2737367544323207E-14</v>
      </c>
      <c r="S61" s="107">
        <f t="shared" si="6"/>
        <v>785.12611196236526</v>
      </c>
      <c r="T61" s="107">
        <f t="shared" si="7"/>
        <v>-785.12611196236526</v>
      </c>
      <c r="U61" s="107">
        <f t="shared" si="8"/>
        <v>523.41740797491013</v>
      </c>
      <c r="V61" s="107">
        <f t="shared" si="9"/>
        <v>-523.41740797491013</v>
      </c>
      <c r="W61" s="107">
        <f t="shared" si="10"/>
        <v>261.70870398745507</v>
      </c>
      <c r="X61" s="107">
        <f t="shared" si="11"/>
        <v>-261.70870398745507</v>
      </c>
      <c r="Y61" s="107">
        <f t="shared" si="32"/>
        <v>295.20741809784926</v>
      </c>
      <c r="Z61" s="107">
        <f t="shared" si="33"/>
        <v>964.44263492567347</v>
      </c>
      <c r="AB61" s="106">
        <v>8</v>
      </c>
      <c r="AC61" s="107">
        <f>'C - Forecast'!D52-'C - Forecast'!E52</f>
        <v>173.93358022303619</v>
      </c>
      <c r="AD61" s="107">
        <f t="shared" si="34"/>
        <v>63.47451158360127</v>
      </c>
      <c r="AE61" s="111">
        <f t="shared" si="12"/>
        <v>-14.966254865023009</v>
      </c>
      <c r="AF61" s="107">
        <f t="shared" si="13"/>
        <v>1275.8608766419111</v>
      </c>
      <c r="AG61" s="107">
        <f t="shared" si="14"/>
        <v>-1305.7933863719572</v>
      </c>
      <c r="AH61" s="107">
        <f t="shared" si="15"/>
        <v>845.58516613959989</v>
      </c>
      <c r="AI61" s="107">
        <f t="shared" si="16"/>
        <v>-875.51767586964581</v>
      </c>
      <c r="AJ61" s="107">
        <f t="shared" si="17"/>
        <v>415.30945563728841</v>
      </c>
      <c r="AK61" s="107">
        <f t="shared" si="18"/>
        <v>-445.24196536733444</v>
      </c>
      <c r="AL61" s="111">
        <f t="shared" si="35"/>
        <v>485.35100144660726</v>
      </c>
      <c r="AM61" s="107">
        <f t="shared" si="36"/>
        <v>1585.641721726066</v>
      </c>
      <c r="AN61" s="107"/>
      <c r="AO61" s="106">
        <v>8</v>
      </c>
      <c r="AP61" s="107">
        <f>'D - Forecast'!AF38-'D - Forecast'!AG38</f>
        <v>7781.166666666667</v>
      </c>
      <c r="AQ61" s="107">
        <f t="shared" si="37"/>
        <v>2892.833333333333</v>
      </c>
      <c r="AR61" s="111">
        <f t="shared" si="19"/>
        <v>73.587719298245972</v>
      </c>
      <c r="AS61" s="107">
        <f t="shared" si="20"/>
        <v>16048.00681224338</v>
      </c>
      <c r="AT61" s="107">
        <f t="shared" si="21"/>
        <v>-15900.831373646888</v>
      </c>
      <c r="AU61" s="107">
        <f t="shared" si="22"/>
        <v>10723.200447928337</v>
      </c>
      <c r="AV61" s="107">
        <f t="shared" si="23"/>
        <v>-10576.025009331845</v>
      </c>
      <c r="AW61" s="107">
        <f t="shared" si="24"/>
        <v>5398.3940836132915</v>
      </c>
      <c r="AX61" s="107">
        <f t="shared" si="25"/>
        <v>-5251.2186450167992</v>
      </c>
      <c r="AY61" s="111">
        <f t="shared" si="38"/>
        <v>6006.3815789473701</v>
      </c>
      <c r="AZ61" s="107">
        <f t="shared" si="39"/>
        <v>19622.848618421056</v>
      </c>
    </row>
    <row r="62" spans="2:53" ht="14.25" customHeight="1">
      <c r="B62" s="106">
        <v>9</v>
      </c>
      <c r="C62" s="107">
        <f>'A - Forecast'!Q36-'A - Forecast'!R36</f>
        <v>-92.841884999998001</v>
      </c>
      <c r="D62" s="110">
        <f t="shared" si="26"/>
        <v>144.88641500000085</v>
      </c>
      <c r="E62" s="111">
        <f t="shared" si="27"/>
        <v>-67.841696398107345</v>
      </c>
      <c r="F62" s="107">
        <f t="shared" si="0"/>
        <v>674.23235321313007</v>
      </c>
      <c r="G62" s="107">
        <f t="shared" si="1"/>
        <v>-809.91574600934484</v>
      </c>
      <c r="H62" s="107">
        <f t="shared" si="2"/>
        <v>426.87433667605097</v>
      </c>
      <c r="I62" s="107">
        <f t="shared" si="3"/>
        <v>-562.55772947226569</v>
      </c>
      <c r="J62" s="107">
        <f t="shared" si="4"/>
        <v>179.51632013897182</v>
      </c>
      <c r="K62" s="107">
        <f t="shared" si="5"/>
        <v>-315.19971293518648</v>
      </c>
      <c r="L62" s="107">
        <f t="shared" si="28"/>
        <v>279.01984265382526</v>
      </c>
      <c r="M62" s="107">
        <f t="shared" si="29"/>
        <v>911.55782595004712</v>
      </c>
      <c r="O62" s="106">
        <v>9</v>
      </c>
      <c r="P62" s="107">
        <f>'B - Forecast'!C37-'B - Forecast'!D37</f>
        <v>-154.99099437148197</v>
      </c>
      <c r="Q62" s="107">
        <f t="shared" si="30"/>
        <v>636.69643527204516</v>
      </c>
      <c r="R62" s="111">
        <f t="shared" si="31"/>
        <v>2.2737367544323207E-14</v>
      </c>
      <c r="S62" s="107">
        <f t="shared" si="6"/>
        <v>785.12611196236526</v>
      </c>
      <c r="T62" s="107">
        <f t="shared" si="7"/>
        <v>-785.12611196236526</v>
      </c>
      <c r="U62" s="107">
        <f t="shared" si="8"/>
        <v>523.41740797491013</v>
      </c>
      <c r="V62" s="107">
        <f t="shared" si="9"/>
        <v>-523.41740797491013</v>
      </c>
      <c r="W62" s="107">
        <f t="shared" si="10"/>
        <v>261.70870398745507</v>
      </c>
      <c r="X62" s="107">
        <f t="shared" si="11"/>
        <v>-261.70870398745507</v>
      </c>
      <c r="Y62" s="107">
        <f t="shared" si="32"/>
        <v>295.20741809784926</v>
      </c>
      <c r="Z62" s="107">
        <f t="shared" si="33"/>
        <v>964.44263492567347</v>
      </c>
      <c r="AB62" s="106">
        <v>9</v>
      </c>
      <c r="AC62" s="107">
        <f>'C - Forecast'!D53-'C - Forecast'!E53</f>
        <v>-676.74777151027229</v>
      </c>
      <c r="AD62" s="107">
        <f t="shared" si="34"/>
        <v>850.68135173330847</v>
      </c>
      <c r="AE62" s="111">
        <f t="shared" si="12"/>
        <v>-14.966254865023009</v>
      </c>
      <c r="AF62" s="107">
        <f t="shared" si="13"/>
        <v>1275.8608766419111</v>
      </c>
      <c r="AG62" s="107">
        <f t="shared" si="14"/>
        <v>-1305.7933863719572</v>
      </c>
      <c r="AH62" s="107">
        <f t="shared" si="15"/>
        <v>845.58516613959989</v>
      </c>
      <c r="AI62" s="107">
        <f t="shared" si="16"/>
        <v>-875.51767586964581</v>
      </c>
      <c r="AJ62" s="107">
        <f t="shared" si="17"/>
        <v>415.30945563728841</v>
      </c>
      <c r="AK62" s="107">
        <f t="shared" si="18"/>
        <v>-445.24196536733444</v>
      </c>
      <c r="AL62" s="111">
        <f t="shared" si="35"/>
        <v>485.35100144660726</v>
      </c>
      <c r="AM62" s="107">
        <f t="shared" si="36"/>
        <v>1585.641721726066</v>
      </c>
      <c r="AN62" s="107"/>
      <c r="AO62" s="106">
        <v>9</v>
      </c>
      <c r="AP62" s="107">
        <f>'D - Forecast'!AF39-'D - Forecast'!AG39</f>
        <v>562.66666666666788</v>
      </c>
      <c r="AQ62" s="107">
        <f t="shared" si="37"/>
        <v>7218.4999999999991</v>
      </c>
      <c r="AR62" s="111">
        <f t="shared" si="19"/>
        <v>73.587719298245972</v>
      </c>
      <c r="AS62" s="107">
        <f t="shared" si="20"/>
        <v>16048.00681224338</v>
      </c>
      <c r="AT62" s="107">
        <f t="shared" si="21"/>
        <v>-15900.831373646888</v>
      </c>
      <c r="AU62" s="107">
        <f t="shared" si="22"/>
        <v>10723.200447928337</v>
      </c>
      <c r="AV62" s="107">
        <f t="shared" si="23"/>
        <v>-10576.025009331845</v>
      </c>
      <c r="AW62" s="107">
        <f t="shared" si="24"/>
        <v>5398.3940836132915</v>
      </c>
      <c r="AX62" s="107">
        <f t="shared" si="25"/>
        <v>-5251.2186450167992</v>
      </c>
      <c r="AY62" s="111">
        <f t="shared" si="38"/>
        <v>6006.3815789473701</v>
      </c>
      <c r="AZ62" s="107">
        <f t="shared" si="39"/>
        <v>19622.848618421056</v>
      </c>
    </row>
    <row r="63" spans="2:53" ht="14.25" customHeight="1">
      <c r="B63" s="106">
        <v>10</v>
      </c>
      <c r="C63" s="107">
        <f>'A - Forecast'!Q37-'A - Forecast'!R37</f>
        <v>-209.19979074999719</v>
      </c>
      <c r="D63" s="110">
        <f t="shared" si="26"/>
        <v>116.35790574999919</v>
      </c>
      <c r="E63" s="111">
        <f t="shared" si="27"/>
        <v>-67.841696398107345</v>
      </c>
      <c r="F63" s="107">
        <f t="shared" si="0"/>
        <v>674.23235321313007</v>
      </c>
      <c r="G63" s="107">
        <f t="shared" si="1"/>
        <v>-809.91574600934484</v>
      </c>
      <c r="H63" s="107">
        <f t="shared" si="2"/>
        <v>426.87433667605097</v>
      </c>
      <c r="I63" s="107">
        <f t="shared" si="3"/>
        <v>-562.55772947226569</v>
      </c>
      <c r="J63" s="107">
        <f t="shared" si="4"/>
        <v>179.51632013897182</v>
      </c>
      <c r="K63" s="107">
        <f t="shared" si="5"/>
        <v>-315.19971293518648</v>
      </c>
      <c r="L63" s="107">
        <f t="shared" si="28"/>
        <v>279.01984265382526</v>
      </c>
      <c r="M63" s="107">
        <f t="shared" si="29"/>
        <v>911.55782595004712</v>
      </c>
      <c r="O63" s="106">
        <v>10</v>
      </c>
      <c r="P63" s="107">
        <f>'B - Forecast'!C38-'B - Forecast'!D38</f>
        <v>-302.68742964352714</v>
      </c>
      <c r="Q63" s="107">
        <f t="shared" si="30"/>
        <v>147.69643527204516</v>
      </c>
      <c r="R63" s="111">
        <f t="shared" si="31"/>
        <v>2.2737367544323207E-14</v>
      </c>
      <c r="S63" s="107">
        <f t="shared" si="6"/>
        <v>785.12611196236526</v>
      </c>
      <c r="T63" s="107">
        <f t="shared" si="7"/>
        <v>-785.12611196236526</v>
      </c>
      <c r="U63" s="107">
        <f t="shared" si="8"/>
        <v>523.41740797491013</v>
      </c>
      <c r="V63" s="107">
        <f t="shared" si="9"/>
        <v>-523.41740797491013</v>
      </c>
      <c r="W63" s="107">
        <f t="shared" si="10"/>
        <v>261.70870398745507</v>
      </c>
      <c r="X63" s="107">
        <f t="shared" si="11"/>
        <v>-261.70870398745507</v>
      </c>
      <c r="Y63" s="107">
        <f t="shared" si="32"/>
        <v>295.20741809784926</v>
      </c>
      <c r="Z63" s="107">
        <f t="shared" si="33"/>
        <v>964.44263492567347</v>
      </c>
      <c r="AB63" s="106">
        <v>10</v>
      </c>
      <c r="AC63" s="107">
        <f>'C - Forecast'!D54-'C - Forecast'!E54</f>
        <v>239.7506507715625</v>
      </c>
      <c r="AD63" s="107">
        <f t="shared" si="34"/>
        <v>916.49842228183479</v>
      </c>
      <c r="AE63" s="111">
        <f t="shared" si="12"/>
        <v>-14.966254865023009</v>
      </c>
      <c r="AF63" s="107">
        <f t="shared" si="13"/>
        <v>1275.8608766419111</v>
      </c>
      <c r="AG63" s="107">
        <f t="shared" si="14"/>
        <v>-1305.7933863719572</v>
      </c>
      <c r="AH63" s="107">
        <f t="shared" si="15"/>
        <v>845.58516613959989</v>
      </c>
      <c r="AI63" s="107">
        <f t="shared" si="16"/>
        <v>-875.51767586964581</v>
      </c>
      <c r="AJ63" s="107">
        <f t="shared" si="17"/>
        <v>415.30945563728841</v>
      </c>
      <c r="AK63" s="107">
        <f t="shared" si="18"/>
        <v>-445.24196536733444</v>
      </c>
      <c r="AL63" s="111">
        <f t="shared" si="35"/>
        <v>485.35100144660726</v>
      </c>
      <c r="AM63" s="107">
        <f t="shared" si="36"/>
        <v>1585.641721726066</v>
      </c>
      <c r="AN63" s="107"/>
      <c r="AO63" s="106">
        <v>10</v>
      </c>
      <c r="AP63" s="107">
        <f>'D - Forecast'!AF40-'D - Forecast'!AG40</f>
        <v>2779.6666666666679</v>
      </c>
      <c r="AQ63" s="107">
        <f t="shared" si="37"/>
        <v>2217</v>
      </c>
      <c r="AR63" s="111">
        <f t="shared" si="19"/>
        <v>73.587719298245972</v>
      </c>
      <c r="AS63" s="107">
        <f t="shared" si="20"/>
        <v>16048.00681224338</v>
      </c>
      <c r="AT63" s="107">
        <f t="shared" si="21"/>
        <v>-15900.831373646888</v>
      </c>
      <c r="AU63" s="107">
        <f t="shared" si="22"/>
        <v>10723.200447928337</v>
      </c>
      <c r="AV63" s="107">
        <f t="shared" si="23"/>
        <v>-10576.025009331845</v>
      </c>
      <c r="AW63" s="107">
        <f t="shared" si="24"/>
        <v>5398.3940836132915</v>
      </c>
      <c r="AX63" s="107">
        <f t="shared" si="25"/>
        <v>-5251.2186450167992</v>
      </c>
      <c r="AY63" s="111">
        <f t="shared" si="38"/>
        <v>6006.3815789473701</v>
      </c>
      <c r="AZ63" s="107">
        <f t="shared" si="39"/>
        <v>19622.848618421056</v>
      </c>
    </row>
    <row r="64" spans="2:53" ht="14.25" customHeight="1">
      <c r="B64" s="106">
        <v>11</v>
      </c>
      <c r="C64" s="107">
        <f>'A - Forecast'!Q38-'A - Forecast'!R38</f>
        <v>-407.7398012124977</v>
      </c>
      <c r="D64" s="110">
        <f t="shared" si="26"/>
        <v>198.5400104625005</v>
      </c>
      <c r="E64" s="111">
        <f t="shared" si="27"/>
        <v>-67.841696398107345</v>
      </c>
      <c r="F64" s="107">
        <f t="shared" si="0"/>
        <v>674.23235321313007</v>
      </c>
      <c r="G64" s="107">
        <f t="shared" si="1"/>
        <v>-809.91574600934484</v>
      </c>
      <c r="H64" s="107">
        <f t="shared" si="2"/>
        <v>426.87433667605097</v>
      </c>
      <c r="I64" s="107">
        <f t="shared" si="3"/>
        <v>-562.55772947226569</v>
      </c>
      <c r="J64" s="107">
        <f t="shared" si="4"/>
        <v>179.51632013897182</v>
      </c>
      <c r="K64" s="107">
        <f t="shared" si="5"/>
        <v>-315.19971293518648</v>
      </c>
      <c r="L64" s="107">
        <f t="shared" si="28"/>
        <v>279.01984265382526</v>
      </c>
      <c r="M64" s="107">
        <f t="shared" si="29"/>
        <v>911.55782595004712</v>
      </c>
      <c r="O64" s="106">
        <v>11</v>
      </c>
      <c r="P64" s="107">
        <f>'B - Forecast'!C39-'B - Forecast'!D39</f>
        <v>-337.38386491557139</v>
      </c>
      <c r="Q64" s="107">
        <f t="shared" si="30"/>
        <v>34.696435272044255</v>
      </c>
      <c r="R64" s="111">
        <f t="shared" si="31"/>
        <v>2.2737367544323207E-14</v>
      </c>
      <c r="S64" s="107">
        <f t="shared" si="6"/>
        <v>785.12611196236526</v>
      </c>
      <c r="T64" s="107">
        <f t="shared" si="7"/>
        <v>-785.12611196236526</v>
      </c>
      <c r="U64" s="107">
        <f t="shared" si="8"/>
        <v>523.41740797491013</v>
      </c>
      <c r="V64" s="107">
        <f t="shared" si="9"/>
        <v>-523.41740797491013</v>
      </c>
      <c r="W64" s="107">
        <f t="shared" si="10"/>
        <v>261.70870398745507</v>
      </c>
      <c r="X64" s="107">
        <f t="shared" si="11"/>
        <v>-261.70870398745507</v>
      </c>
      <c r="Y64" s="107">
        <f t="shared" si="32"/>
        <v>295.20741809784926</v>
      </c>
      <c r="Z64" s="107">
        <f t="shared" si="33"/>
        <v>964.44263492567347</v>
      </c>
      <c r="AB64" s="106">
        <v>11</v>
      </c>
      <c r="AC64" s="107">
        <f>'C - Forecast'!D55-'C - Forecast'!E55</f>
        <v>144.95077035835493</v>
      </c>
      <c r="AD64" s="107">
        <f t="shared" si="34"/>
        <v>94.799880413207575</v>
      </c>
      <c r="AE64" s="111">
        <f t="shared" si="12"/>
        <v>-14.966254865023009</v>
      </c>
      <c r="AF64" s="107">
        <f t="shared" si="13"/>
        <v>1275.8608766419111</v>
      </c>
      <c r="AG64" s="107">
        <f t="shared" si="14"/>
        <v>-1305.7933863719572</v>
      </c>
      <c r="AH64" s="107">
        <f t="shared" si="15"/>
        <v>845.58516613959989</v>
      </c>
      <c r="AI64" s="107">
        <f t="shared" si="16"/>
        <v>-875.51767586964581</v>
      </c>
      <c r="AJ64" s="107">
        <f t="shared" si="17"/>
        <v>415.30945563728841</v>
      </c>
      <c r="AK64" s="107">
        <f t="shared" si="18"/>
        <v>-445.24196536733444</v>
      </c>
      <c r="AL64" s="111">
        <f t="shared" si="35"/>
        <v>485.35100144660726</v>
      </c>
      <c r="AM64" s="107">
        <f t="shared" si="36"/>
        <v>1585.641721726066</v>
      </c>
      <c r="AN64" s="107"/>
      <c r="AO64" s="106">
        <v>11</v>
      </c>
      <c r="AP64" s="107">
        <f>'D - Forecast'!AF41-'D - Forecast'!AG41</f>
        <v>-6870.1666666666661</v>
      </c>
      <c r="AQ64" s="107">
        <f t="shared" si="37"/>
        <v>9649.8333333333339</v>
      </c>
      <c r="AR64" s="111">
        <f t="shared" si="19"/>
        <v>73.587719298245972</v>
      </c>
      <c r="AS64" s="107">
        <f t="shared" si="20"/>
        <v>16048.00681224338</v>
      </c>
      <c r="AT64" s="107">
        <f t="shared" si="21"/>
        <v>-15900.831373646888</v>
      </c>
      <c r="AU64" s="107">
        <f t="shared" si="22"/>
        <v>10723.200447928337</v>
      </c>
      <c r="AV64" s="107">
        <f t="shared" si="23"/>
        <v>-10576.025009331845</v>
      </c>
      <c r="AW64" s="107">
        <f t="shared" si="24"/>
        <v>5398.3940836132915</v>
      </c>
      <c r="AX64" s="107">
        <f t="shared" si="25"/>
        <v>-5251.2186450167992</v>
      </c>
      <c r="AY64" s="111">
        <f t="shared" si="38"/>
        <v>6006.3815789473701</v>
      </c>
      <c r="AZ64" s="107">
        <f t="shared" si="39"/>
        <v>19622.848618421056</v>
      </c>
    </row>
    <row r="65" spans="2:52" ht="14.25" customHeight="1">
      <c r="B65" s="106">
        <v>12</v>
      </c>
      <c r="C65" s="107">
        <f>'A - Forecast'!Q39-'A - Forecast'!R39</f>
        <v>-63.35281115187172</v>
      </c>
      <c r="D65" s="110">
        <f t="shared" si="26"/>
        <v>344.38699006062598</v>
      </c>
      <c r="E65" s="111">
        <f t="shared" si="27"/>
        <v>-67.841696398107345</v>
      </c>
      <c r="F65" s="107">
        <f t="shared" si="0"/>
        <v>674.23235321313007</v>
      </c>
      <c r="G65" s="107">
        <f t="shared" si="1"/>
        <v>-809.91574600934484</v>
      </c>
      <c r="H65" s="107">
        <f t="shared" si="2"/>
        <v>426.87433667605097</v>
      </c>
      <c r="I65" s="107">
        <f t="shared" si="3"/>
        <v>-562.55772947226569</v>
      </c>
      <c r="J65" s="107">
        <f t="shared" si="4"/>
        <v>179.51632013897182</v>
      </c>
      <c r="K65" s="107">
        <f t="shared" si="5"/>
        <v>-315.19971293518648</v>
      </c>
      <c r="L65" s="107">
        <f t="shared" si="28"/>
        <v>279.01984265382526</v>
      </c>
      <c r="M65" s="107">
        <f t="shared" si="29"/>
        <v>911.55782595004712</v>
      </c>
      <c r="O65" s="106">
        <v>12</v>
      </c>
      <c r="P65" s="107">
        <f>'B - Forecast'!C40-'B - Forecast'!D40</f>
        <v>-310.08030018761747</v>
      </c>
      <c r="Q65" s="107">
        <f t="shared" si="30"/>
        <v>27.303564727953926</v>
      </c>
      <c r="R65" s="111">
        <f t="shared" si="31"/>
        <v>2.2737367544323207E-14</v>
      </c>
      <c r="S65" s="107">
        <f t="shared" si="6"/>
        <v>785.12611196236526</v>
      </c>
      <c r="T65" s="107">
        <f t="shared" si="7"/>
        <v>-785.12611196236526</v>
      </c>
      <c r="U65" s="107">
        <f t="shared" si="8"/>
        <v>523.41740797491013</v>
      </c>
      <c r="V65" s="107">
        <f t="shared" si="9"/>
        <v>-523.41740797491013</v>
      </c>
      <c r="W65" s="107">
        <f t="shared" si="10"/>
        <v>261.70870398745507</v>
      </c>
      <c r="X65" s="107">
        <f t="shared" si="11"/>
        <v>-261.70870398745507</v>
      </c>
      <c r="Y65" s="107">
        <f t="shared" si="32"/>
        <v>295.20741809784926</v>
      </c>
      <c r="Z65" s="107">
        <f t="shared" si="33"/>
        <v>964.44263492567347</v>
      </c>
      <c r="AB65" s="106">
        <v>12</v>
      </c>
      <c r="AC65" s="107">
        <f>'C - Forecast'!D56-'C - Forecast'!E56</f>
        <v>228.5670809992298</v>
      </c>
      <c r="AD65" s="107">
        <f t="shared" si="34"/>
        <v>83.616310640874872</v>
      </c>
      <c r="AE65" s="111">
        <f t="shared" si="12"/>
        <v>-14.966254865023009</v>
      </c>
      <c r="AF65" s="107">
        <f t="shared" si="13"/>
        <v>1275.8608766419111</v>
      </c>
      <c r="AG65" s="107">
        <f t="shared" si="14"/>
        <v>-1305.7933863719572</v>
      </c>
      <c r="AH65" s="107">
        <f t="shared" si="15"/>
        <v>845.58516613959989</v>
      </c>
      <c r="AI65" s="107">
        <f t="shared" si="16"/>
        <v>-875.51767586964581</v>
      </c>
      <c r="AJ65" s="107">
        <f t="shared" si="17"/>
        <v>415.30945563728841</v>
      </c>
      <c r="AK65" s="107">
        <f t="shared" si="18"/>
        <v>-445.24196536733444</v>
      </c>
      <c r="AL65" s="111">
        <f t="shared" si="35"/>
        <v>485.35100144660726</v>
      </c>
      <c r="AM65" s="107">
        <f t="shared" si="36"/>
        <v>1585.641721726066</v>
      </c>
      <c r="AN65" s="107"/>
      <c r="AO65" s="106">
        <v>12</v>
      </c>
      <c r="AP65" s="107">
        <f>'D - Forecast'!AF42-'D - Forecast'!AG42</f>
        <v>7319.3333333333339</v>
      </c>
      <c r="AQ65" s="107">
        <f t="shared" si="37"/>
        <v>14189.5</v>
      </c>
      <c r="AR65" s="111">
        <f t="shared" si="19"/>
        <v>73.587719298245972</v>
      </c>
      <c r="AS65" s="107">
        <f t="shared" si="20"/>
        <v>16048.00681224338</v>
      </c>
      <c r="AT65" s="107">
        <f t="shared" si="21"/>
        <v>-15900.831373646888</v>
      </c>
      <c r="AU65" s="107">
        <f t="shared" si="22"/>
        <v>10723.200447928337</v>
      </c>
      <c r="AV65" s="107">
        <f t="shared" si="23"/>
        <v>-10576.025009331845</v>
      </c>
      <c r="AW65" s="107">
        <f t="shared" si="24"/>
        <v>5398.3940836132915</v>
      </c>
      <c r="AX65" s="107">
        <f t="shared" si="25"/>
        <v>-5251.2186450167992</v>
      </c>
      <c r="AY65" s="111">
        <f t="shared" si="38"/>
        <v>6006.3815789473701</v>
      </c>
      <c r="AZ65" s="107">
        <f t="shared" si="39"/>
        <v>19622.848618421056</v>
      </c>
    </row>
    <row r="66" spans="2:52" ht="14.25" customHeight="1">
      <c r="B66" s="106">
        <v>13</v>
      </c>
      <c r="C66" s="107">
        <f>'A - Forecast'!Q40-'A - Forecast'!R40</f>
        <v>-286.18517059427722</v>
      </c>
      <c r="D66" s="110">
        <f t="shared" si="26"/>
        <v>222.8323594424055</v>
      </c>
      <c r="E66" s="111">
        <f t="shared" si="27"/>
        <v>-67.841696398107345</v>
      </c>
      <c r="F66" s="107">
        <f t="shared" si="0"/>
        <v>674.23235321313007</v>
      </c>
      <c r="G66" s="107">
        <f t="shared" si="1"/>
        <v>-809.91574600934484</v>
      </c>
      <c r="H66" s="107">
        <f t="shared" si="2"/>
        <v>426.87433667605097</v>
      </c>
      <c r="I66" s="107">
        <f t="shared" si="3"/>
        <v>-562.55772947226569</v>
      </c>
      <c r="J66" s="107">
        <f t="shared" si="4"/>
        <v>179.51632013897182</v>
      </c>
      <c r="K66" s="107">
        <f t="shared" si="5"/>
        <v>-315.19971293518648</v>
      </c>
      <c r="L66" s="107">
        <f t="shared" si="28"/>
        <v>279.01984265382526</v>
      </c>
      <c r="M66" s="107">
        <f t="shared" si="29"/>
        <v>911.55782595004712</v>
      </c>
      <c r="O66" s="106">
        <v>13</v>
      </c>
      <c r="P66" s="107">
        <f>'B - Forecast'!C41-'B - Forecast'!D41</f>
        <v>-83.776735459661722</v>
      </c>
      <c r="Q66" s="107">
        <f t="shared" si="30"/>
        <v>226.30356472795575</v>
      </c>
      <c r="R66" s="111">
        <f t="shared" si="31"/>
        <v>2.2737367544323207E-14</v>
      </c>
      <c r="S66" s="107">
        <f t="shared" si="6"/>
        <v>785.12611196236526</v>
      </c>
      <c r="T66" s="107">
        <f t="shared" si="7"/>
        <v>-785.12611196236526</v>
      </c>
      <c r="U66" s="107">
        <f t="shared" si="8"/>
        <v>523.41740797491013</v>
      </c>
      <c r="V66" s="107">
        <f t="shared" si="9"/>
        <v>-523.41740797491013</v>
      </c>
      <c r="W66" s="107">
        <f t="shared" si="10"/>
        <v>261.70870398745507</v>
      </c>
      <c r="X66" s="107">
        <f t="shared" si="11"/>
        <v>-261.70870398745507</v>
      </c>
      <c r="Y66" s="107">
        <f t="shared" si="32"/>
        <v>295.20741809784926</v>
      </c>
      <c r="Z66" s="107">
        <f t="shared" si="33"/>
        <v>964.44263492567347</v>
      </c>
      <c r="AB66" s="106">
        <v>13</v>
      </c>
      <c r="AC66" s="107">
        <f>'C - Forecast'!D57-'C - Forecast'!E57</f>
        <v>155.97354332836221</v>
      </c>
      <c r="AD66" s="107">
        <f t="shared" si="34"/>
        <v>72.59353767086759</v>
      </c>
      <c r="AE66" s="111">
        <f t="shared" si="12"/>
        <v>-14.966254865023009</v>
      </c>
      <c r="AF66" s="107">
        <f t="shared" si="13"/>
        <v>1275.8608766419111</v>
      </c>
      <c r="AG66" s="107">
        <f t="shared" si="14"/>
        <v>-1305.7933863719572</v>
      </c>
      <c r="AH66" s="107">
        <f t="shared" si="15"/>
        <v>845.58516613959989</v>
      </c>
      <c r="AI66" s="107">
        <f t="shared" si="16"/>
        <v>-875.51767586964581</v>
      </c>
      <c r="AJ66" s="107">
        <f t="shared" si="17"/>
        <v>415.30945563728841</v>
      </c>
      <c r="AK66" s="107">
        <f t="shared" si="18"/>
        <v>-445.24196536733444</v>
      </c>
      <c r="AL66" s="111">
        <f t="shared" si="35"/>
        <v>485.35100144660726</v>
      </c>
      <c r="AM66" s="107">
        <f t="shared" si="36"/>
        <v>1585.641721726066</v>
      </c>
      <c r="AN66" s="107"/>
      <c r="AO66" s="106">
        <v>13</v>
      </c>
      <c r="AP66" s="107">
        <f>'D - Forecast'!AF43-'D - Forecast'!AG43</f>
        <v>-207.5</v>
      </c>
      <c r="AQ66" s="107">
        <f t="shared" si="37"/>
        <v>7526.8333333333339</v>
      </c>
      <c r="AR66" s="111">
        <f t="shared" si="19"/>
        <v>73.587719298245972</v>
      </c>
      <c r="AS66" s="107">
        <f t="shared" si="20"/>
        <v>16048.00681224338</v>
      </c>
      <c r="AT66" s="107">
        <f t="shared" si="21"/>
        <v>-15900.831373646888</v>
      </c>
      <c r="AU66" s="107">
        <f t="shared" si="22"/>
        <v>10723.200447928337</v>
      </c>
      <c r="AV66" s="107">
        <f t="shared" si="23"/>
        <v>-10576.025009331845</v>
      </c>
      <c r="AW66" s="107">
        <f t="shared" si="24"/>
        <v>5398.3940836132915</v>
      </c>
      <c r="AX66" s="107">
        <f t="shared" si="25"/>
        <v>-5251.2186450167992</v>
      </c>
      <c r="AY66" s="111">
        <f t="shared" si="38"/>
        <v>6006.3815789473701</v>
      </c>
      <c r="AZ66" s="107">
        <f t="shared" si="39"/>
        <v>19622.848618421056</v>
      </c>
    </row>
    <row r="67" spans="2:52" ht="14.25" customHeight="1">
      <c r="B67" s="106">
        <v>14</v>
      </c>
      <c r="C67" s="107">
        <f>'A - Forecast'!Q41-'A - Forecast'!R41</f>
        <v>35.124087935437274</v>
      </c>
      <c r="D67" s="110">
        <f t="shared" si="26"/>
        <v>321.3092585297145</v>
      </c>
      <c r="E67" s="111">
        <f t="shared" si="27"/>
        <v>-67.841696398107345</v>
      </c>
      <c r="F67" s="107">
        <f t="shared" si="0"/>
        <v>674.23235321313007</v>
      </c>
      <c r="G67" s="107">
        <f t="shared" si="1"/>
        <v>-809.91574600934484</v>
      </c>
      <c r="H67" s="107">
        <f t="shared" si="2"/>
        <v>426.87433667605097</v>
      </c>
      <c r="I67" s="107">
        <f t="shared" si="3"/>
        <v>-562.55772947226569</v>
      </c>
      <c r="J67" s="107">
        <f t="shared" si="4"/>
        <v>179.51632013897182</v>
      </c>
      <c r="K67" s="107">
        <f t="shared" si="5"/>
        <v>-315.19971293518648</v>
      </c>
      <c r="L67" s="107">
        <f t="shared" si="28"/>
        <v>279.01984265382526</v>
      </c>
      <c r="M67" s="107">
        <f t="shared" si="29"/>
        <v>911.55782595004712</v>
      </c>
      <c r="O67" s="106">
        <v>14</v>
      </c>
      <c r="P67" s="107">
        <f>'B - Forecast'!C42-'B - Forecast'!D42</f>
        <v>47.526829268292204</v>
      </c>
      <c r="Q67" s="107">
        <f t="shared" si="30"/>
        <v>131.30356472795393</v>
      </c>
      <c r="R67" s="111">
        <f t="shared" si="31"/>
        <v>2.2737367544323207E-14</v>
      </c>
      <c r="S67" s="107">
        <f t="shared" si="6"/>
        <v>785.12611196236526</v>
      </c>
      <c r="T67" s="107">
        <f t="shared" si="7"/>
        <v>-785.12611196236526</v>
      </c>
      <c r="U67" s="107">
        <f t="shared" si="8"/>
        <v>523.41740797491013</v>
      </c>
      <c r="V67" s="107">
        <f t="shared" si="9"/>
        <v>-523.41740797491013</v>
      </c>
      <c r="W67" s="107">
        <f t="shared" si="10"/>
        <v>261.70870398745507</v>
      </c>
      <c r="X67" s="107">
        <f t="shared" si="11"/>
        <v>-261.70870398745507</v>
      </c>
      <c r="Y67" s="107">
        <f t="shared" si="32"/>
        <v>295.20741809784926</v>
      </c>
      <c r="Z67" s="107">
        <f t="shared" si="33"/>
        <v>964.44263492567347</v>
      </c>
      <c r="AB67" s="106">
        <v>14</v>
      </c>
      <c r="AC67" s="107">
        <f>'C - Forecast'!D58-'C - Forecast'!E58</f>
        <v>180.4166325302067</v>
      </c>
      <c r="AD67" s="107">
        <f t="shared" si="34"/>
        <v>24.443089201844487</v>
      </c>
      <c r="AE67" s="111">
        <f t="shared" si="12"/>
        <v>-14.966254865023009</v>
      </c>
      <c r="AF67" s="107">
        <f t="shared" si="13"/>
        <v>1275.8608766419111</v>
      </c>
      <c r="AG67" s="107">
        <f t="shared" si="14"/>
        <v>-1305.7933863719572</v>
      </c>
      <c r="AH67" s="107">
        <f t="shared" si="15"/>
        <v>845.58516613959989</v>
      </c>
      <c r="AI67" s="107">
        <f t="shared" si="16"/>
        <v>-875.51767586964581</v>
      </c>
      <c r="AJ67" s="107">
        <f t="shared" si="17"/>
        <v>415.30945563728841</v>
      </c>
      <c r="AK67" s="107">
        <f t="shared" si="18"/>
        <v>-445.24196536733444</v>
      </c>
      <c r="AL67" s="111">
        <f t="shared" si="35"/>
        <v>485.35100144660726</v>
      </c>
      <c r="AM67" s="107">
        <f t="shared" si="36"/>
        <v>1585.641721726066</v>
      </c>
      <c r="AN67" s="107"/>
      <c r="AO67" s="106">
        <v>14</v>
      </c>
      <c r="AP67" s="107">
        <f>'D - Forecast'!AF44-'D - Forecast'!AG44</f>
        <v>-637</v>
      </c>
      <c r="AQ67" s="107">
        <f t="shared" si="37"/>
        <v>429.5</v>
      </c>
      <c r="AR67" s="111">
        <f t="shared" si="19"/>
        <v>73.587719298245972</v>
      </c>
      <c r="AS67" s="107">
        <f t="shared" si="20"/>
        <v>16048.00681224338</v>
      </c>
      <c r="AT67" s="107">
        <f t="shared" si="21"/>
        <v>-15900.831373646888</v>
      </c>
      <c r="AU67" s="107">
        <f t="shared" si="22"/>
        <v>10723.200447928337</v>
      </c>
      <c r="AV67" s="107">
        <f t="shared" si="23"/>
        <v>-10576.025009331845</v>
      </c>
      <c r="AW67" s="107">
        <f t="shared" si="24"/>
        <v>5398.3940836132915</v>
      </c>
      <c r="AX67" s="107">
        <f t="shared" si="25"/>
        <v>-5251.2186450167992</v>
      </c>
      <c r="AY67" s="111">
        <f t="shared" si="38"/>
        <v>6006.3815789473701</v>
      </c>
      <c r="AZ67" s="107">
        <f t="shared" si="39"/>
        <v>19622.848618421056</v>
      </c>
    </row>
    <row r="68" spans="2:52" ht="14.25" customHeight="1">
      <c r="B68" s="106">
        <v>15</v>
      </c>
      <c r="C68" s="107">
        <f>'A - Forecast'!Q42-'A - Forecast'!R42</f>
        <v>-245.63211646133459</v>
      </c>
      <c r="D68" s="110">
        <f t="shared" si="26"/>
        <v>280.75620439677186</v>
      </c>
      <c r="E68" s="111">
        <f t="shared" si="27"/>
        <v>-67.841696398107345</v>
      </c>
      <c r="F68" s="107">
        <f t="shared" si="0"/>
        <v>674.23235321313007</v>
      </c>
      <c r="G68" s="107">
        <f t="shared" si="1"/>
        <v>-809.91574600934484</v>
      </c>
      <c r="H68" s="107">
        <f t="shared" si="2"/>
        <v>426.87433667605097</v>
      </c>
      <c r="I68" s="107">
        <f t="shared" si="3"/>
        <v>-562.55772947226569</v>
      </c>
      <c r="J68" s="107">
        <f t="shared" si="4"/>
        <v>179.51632013897182</v>
      </c>
      <c r="K68" s="107">
        <f t="shared" si="5"/>
        <v>-315.19971293518648</v>
      </c>
      <c r="L68" s="107">
        <f t="shared" si="28"/>
        <v>279.01984265382526</v>
      </c>
      <c r="M68" s="107">
        <f t="shared" si="29"/>
        <v>911.55782595004712</v>
      </c>
      <c r="O68" s="106">
        <v>15</v>
      </c>
      <c r="P68" s="107">
        <f>'B - Forecast'!C43-'B - Forecast'!D43</f>
        <v>33.830393996247949</v>
      </c>
      <c r="Q68" s="107">
        <f t="shared" si="30"/>
        <v>13.696435272044255</v>
      </c>
      <c r="R68" s="111">
        <f t="shared" si="31"/>
        <v>2.2737367544323207E-14</v>
      </c>
      <c r="S68" s="107">
        <f t="shared" si="6"/>
        <v>785.12611196236526</v>
      </c>
      <c r="T68" s="107">
        <f t="shared" si="7"/>
        <v>-785.12611196236526</v>
      </c>
      <c r="U68" s="107">
        <f t="shared" si="8"/>
        <v>523.41740797491013</v>
      </c>
      <c r="V68" s="107">
        <f t="shared" si="9"/>
        <v>-523.41740797491013</v>
      </c>
      <c r="W68" s="107">
        <f t="shared" si="10"/>
        <v>261.70870398745507</v>
      </c>
      <c r="X68" s="107">
        <f t="shared" si="11"/>
        <v>-261.70870398745507</v>
      </c>
      <c r="Y68" s="107">
        <f t="shared" si="32"/>
        <v>295.20741809784926</v>
      </c>
      <c r="Z68" s="107">
        <f t="shared" si="33"/>
        <v>964.44263492567347</v>
      </c>
      <c r="AB68" s="106">
        <v>15</v>
      </c>
      <c r="AC68" s="107">
        <f>'C - Forecast'!D59-'C - Forecast'!E59</f>
        <v>-929.53900219945353</v>
      </c>
      <c r="AD68" s="107">
        <f t="shared" si="34"/>
        <v>1109.9556347296602</v>
      </c>
      <c r="AE68" s="111">
        <f t="shared" si="12"/>
        <v>-14.966254865023009</v>
      </c>
      <c r="AF68" s="107">
        <f t="shared" si="13"/>
        <v>1275.8608766419111</v>
      </c>
      <c r="AG68" s="107">
        <f t="shared" si="14"/>
        <v>-1305.7933863719572</v>
      </c>
      <c r="AH68" s="107">
        <f t="shared" si="15"/>
        <v>845.58516613959989</v>
      </c>
      <c r="AI68" s="107">
        <f t="shared" si="16"/>
        <v>-875.51767586964581</v>
      </c>
      <c r="AJ68" s="107">
        <f t="shared" si="17"/>
        <v>415.30945563728841</v>
      </c>
      <c r="AK68" s="107">
        <f t="shared" si="18"/>
        <v>-445.24196536733444</v>
      </c>
      <c r="AL68" s="111">
        <f t="shared" si="35"/>
        <v>485.35100144660726</v>
      </c>
      <c r="AM68" s="107">
        <f t="shared" si="36"/>
        <v>1585.641721726066</v>
      </c>
      <c r="AN68" s="107"/>
      <c r="AO68" s="106">
        <v>15</v>
      </c>
      <c r="AP68" s="107">
        <f>'D - Forecast'!AF45-'D - Forecast'!AG45</f>
        <v>-1767.5</v>
      </c>
      <c r="AQ68" s="107">
        <f t="shared" si="37"/>
        <v>1130.5</v>
      </c>
      <c r="AR68" s="111">
        <f t="shared" si="19"/>
        <v>73.587719298245972</v>
      </c>
      <c r="AS68" s="107">
        <f t="shared" si="20"/>
        <v>16048.00681224338</v>
      </c>
      <c r="AT68" s="107">
        <f t="shared" si="21"/>
        <v>-15900.831373646888</v>
      </c>
      <c r="AU68" s="107">
        <f t="shared" si="22"/>
        <v>10723.200447928337</v>
      </c>
      <c r="AV68" s="107">
        <f t="shared" si="23"/>
        <v>-10576.025009331845</v>
      </c>
      <c r="AW68" s="107">
        <f t="shared" si="24"/>
        <v>5398.3940836132915</v>
      </c>
      <c r="AX68" s="107">
        <f t="shared" si="25"/>
        <v>-5251.2186450167992</v>
      </c>
      <c r="AY68" s="111">
        <f t="shared" si="38"/>
        <v>6006.3815789473701</v>
      </c>
      <c r="AZ68" s="107">
        <f t="shared" si="39"/>
        <v>19622.848618421056</v>
      </c>
    </row>
    <row r="69" spans="2:52" ht="14.25" customHeight="1">
      <c r="B69" s="106">
        <v>16</v>
      </c>
      <c r="C69" s="107">
        <f>'A - Forecast'!Q43-'A - Forecast'!R43</f>
        <v>260.64948936173278</v>
      </c>
      <c r="D69" s="110">
        <f t="shared" si="26"/>
        <v>506.28160582306737</v>
      </c>
      <c r="E69" s="111">
        <f t="shared" si="27"/>
        <v>-67.841696398107345</v>
      </c>
      <c r="F69" s="107">
        <f t="shared" si="0"/>
        <v>674.23235321313007</v>
      </c>
      <c r="G69" s="107">
        <f t="shared" si="1"/>
        <v>-809.91574600934484</v>
      </c>
      <c r="H69" s="107">
        <f t="shared" si="2"/>
        <v>426.87433667605097</v>
      </c>
      <c r="I69" s="107">
        <f t="shared" si="3"/>
        <v>-562.55772947226569</v>
      </c>
      <c r="J69" s="107">
        <f t="shared" si="4"/>
        <v>179.51632013897182</v>
      </c>
      <c r="K69" s="107">
        <f t="shared" si="5"/>
        <v>-315.19971293518648</v>
      </c>
      <c r="L69" s="107">
        <f t="shared" si="28"/>
        <v>279.01984265382526</v>
      </c>
      <c r="M69" s="107">
        <f t="shared" si="29"/>
        <v>911.55782595004712</v>
      </c>
      <c r="O69" s="106">
        <v>16</v>
      </c>
      <c r="P69" s="107">
        <f>'B - Forecast'!C44-'B - Forecast'!D44</f>
        <v>204.13395872420369</v>
      </c>
      <c r="Q69" s="107">
        <f t="shared" si="30"/>
        <v>170.30356472795575</v>
      </c>
      <c r="R69" s="111">
        <f t="shared" si="31"/>
        <v>2.2737367544323207E-14</v>
      </c>
      <c r="S69" s="107">
        <f t="shared" si="6"/>
        <v>785.12611196236526</v>
      </c>
      <c r="T69" s="107">
        <f t="shared" si="7"/>
        <v>-785.12611196236526</v>
      </c>
      <c r="U69" s="107">
        <f t="shared" si="8"/>
        <v>523.41740797491013</v>
      </c>
      <c r="V69" s="107">
        <f t="shared" si="9"/>
        <v>-523.41740797491013</v>
      </c>
      <c r="W69" s="107">
        <f t="shared" si="10"/>
        <v>261.70870398745507</v>
      </c>
      <c r="X69" s="107">
        <f t="shared" si="11"/>
        <v>-261.70870398745507</v>
      </c>
      <c r="Y69" s="107">
        <f t="shared" si="32"/>
        <v>295.20741809784926</v>
      </c>
      <c r="Z69" s="107">
        <f t="shared" si="33"/>
        <v>964.44263492567347</v>
      </c>
      <c r="AB69" s="106">
        <v>16</v>
      </c>
      <c r="AC69" s="107">
        <f>'C - Forecast'!D60-'C - Forecast'!E60</f>
        <v>128.80055345298751</v>
      </c>
      <c r="AD69" s="107">
        <f t="shared" si="34"/>
        <v>1058.339555652441</v>
      </c>
      <c r="AE69" s="111">
        <f t="shared" si="12"/>
        <v>-14.966254865023009</v>
      </c>
      <c r="AF69" s="107">
        <f t="shared" si="13"/>
        <v>1275.8608766419111</v>
      </c>
      <c r="AG69" s="107">
        <f t="shared" si="14"/>
        <v>-1305.7933863719572</v>
      </c>
      <c r="AH69" s="107">
        <f t="shared" si="15"/>
        <v>845.58516613959989</v>
      </c>
      <c r="AI69" s="107">
        <f t="shared" si="16"/>
        <v>-875.51767586964581</v>
      </c>
      <c r="AJ69" s="107">
        <f t="shared" si="17"/>
        <v>415.30945563728841</v>
      </c>
      <c r="AK69" s="107">
        <f t="shared" si="18"/>
        <v>-445.24196536733444</v>
      </c>
      <c r="AL69" s="111">
        <f t="shared" si="35"/>
        <v>485.35100144660726</v>
      </c>
      <c r="AM69" s="107">
        <f t="shared" si="36"/>
        <v>1585.641721726066</v>
      </c>
      <c r="AN69" s="107"/>
      <c r="AO69" s="106">
        <v>16</v>
      </c>
      <c r="AP69" s="107">
        <f>'D - Forecast'!AF46-'D - Forecast'!AG46</f>
        <v>-4088.1666666666661</v>
      </c>
      <c r="AQ69" s="107">
        <f t="shared" si="37"/>
        <v>2320.6666666666661</v>
      </c>
      <c r="AR69" s="111">
        <f t="shared" si="19"/>
        <v>73.587719298245972</v>
      </c>
      <c r="AS69" s="107">
        <f t="shared" si="20"/>
        <v>16048.00681224338</v>
      </c>
      <c r="AT69" s="107">
        <f t="shared" si="21"/>
        <v>-15900.831373646888</v>
      </c>
      <c r="AU69" s="107">
        <f t="shared" si="22"/>
        <v>10723.200447928337</v>
      </c>
      <c r="AV69" s="107">
        <f t="shared" si="23"/>
        <v>-10576.025009331845</v>
      </c>
      <c r="AW69" s="107">
        <f t="shared" si="24"/>
        <v>5398.3940836132915</v>
      </c>
      <c r="AX69" s="107">
        <f t="shared" si="25"/>
        <v>-5251.2186450167992</v>
      </c>
      <c r="AY69" s="111">
        <f t="shared" si="38"/>
        <v>6006.3815789473701</v>
      </c>
      <c r="AZ69" s="107">
        <f t="shared" si="39"/>
        <v>19622.848618421056</v>
      </c>
    </row>
    <row r="70" spans="2:52" ht="14.25" customHeight="1">
      <c r="B70" s="106">
        <v>17</v>
      </c>
      <c r="C70" s="107">
        <f>'A - Forecast'!Q44-'A - Forecast'!R44</f>
        <v>-219.38298510635286</v>
      </c>
      <c r="D70" s="110">
        <f t="shared" si="26"/>
        <v>480.03247446808564</v>
      </c>
      <c r="E70" s="111">
        <f t="shared" si="27"/>
        <v>-67.841696398107345</v>
      </c>
      <c r="F70" s="107">
        <f t="shared" si="0"/>
        <v>674.23235321313007</v>
      </c>
      <c r="G70" s="107">
        <f t="shared" si="1"/>
        <v>-809.91574600934484</v>
      </c>
      <c r="H70" s="107">
        <f t="shared" si="2"/>
        <v>426.87433667605097</v>
      </c>
      <c r="I70" s="107">
        <f t="shared" si="3"/>
        <v>-562.55772947226569</v>
      </c>
      <c r="J70" s="107">
        <f t="shared" si="4"/>
        <v>179.51632013897182</v>
      </c>
      <c r="K70" s="107">
        <f t="shared" si="5"/>
        <v>-315.19971293518648</v>
      </c>
      <c r="L70" s="107">
        <f t="shared" si="28"/>
        <v>279.01984265382526</v>
      </c>
      <c r="M70" s="107">
        <f t="shared" si="29"/>
        <v>911.55782595004712</v>
      </c>
      <c r="O70" s="106">
        <v>17</v>
      </c>
      <c r="P70" s="107">
        <f>'B - Forecast'!C45-'B - Forecast'!D45</f>
        <v>-34.56247654784238</v>
      </c>
      <c r="Q70" s="107">
        <f t="shared" si="30"/>
        <v>238.69643527204607</v>
      </c>
      <c r="R70" s="111">
        <f t="shared" si="31"/>
        <v>2.2737367544323207E-14</v>
      </c>
      <c r="S70" s="107">
        <f t="shared" si="6"/>
        <v>785.12611196236526</v>
      </c>
      <c r="T70" s="107">
        <f t="shared" si="7"/>
        <v>-785.12611196236526</v>
      </c>
      <c r="U70" s="107">
        <f t="shared" si="8"/>
        <v>523.41740797491013</v>
      </c>
      <c r="V70" s="107">
        <f t="shared" si="9"/>
        <v>-523.41740797491013</v>
      </c>
      <c r="W70" s="107">
        <f t="shared" si="10"/>
        <v>261.70870398745507</v>
      </c>
      <c r="X70" s="107">
        <f t="shared" si="11"/>
        <v>-261.70870398745507</v>
      </c>
      <c r="Y70" s="107">
        <f t="shared" si="32"/>
        <v>295.20741809784926</v>
      </c>
      <c r="Z70" s="107">
        <f t="shared" si="33"/>
        <v>964.44263492567347</v>
      </c>
      <c r="AB70" s="106">
        <v>17</v>
      </c>
      <c r="AC70" s="107">
        <f>'C - Forecast'!D61-'C - Forecast'!E61</f>
        <v>74.459753361512412</v>
      </c>
      <c r="AD70" s="107">
        <f t="shared" si="34"/>
        <v>54.340800091475103</v>
      </c>
      <c r="AE70" s="111">
        <f t="shared" si="12"/>
        <v>-14.966254865023009</v>
      </c>
      <c r="AF70" s="107">
        <f t="shared" si="13"/>
        <v>1275.8608766419111</v>
      </c>
      <c r="AG70" s="107">
        <f t="shared" si="14"/>
        <v>-1305.7933863719572</v>
      </c>
      <c r="AH70" s="107">
        <f t="shared" si="15"/>
        <v>845.58516613959989</v>
      </c>
      <c r="AI70" s="107">
        <f t="shared" si="16"/>
        <v>-875.51767586964581</v>
      </c>
      <c r="AJ70" s="107">
        <f t="shared" si="17"/>
        <v>415.30945563728841</v>
      </c>
      <c r="AK70" s="107">
        <f t="shared" si="18"/>
        <v>-445.24196536733444</v>
      </c>
      <c r="AL70" s="111">
        <f t="shared" si="35"/>
        <v>485.35100144660726</v>
      </c>
      <c r="AM70" s="107">
        <f t="shared" si="36"/>
        <v>1585.641721726066</v>
      </c>
      <c r="AN70" s="107"/>
      <c r="AO70" s="106">
        <v>17</v>
      </c>
      <c r="AP70" s="107">
        <f>'D - Forecast'!AF47-'D - Forecast'!AG47</f>
        <v>-2228.1666666666661</v>
      </c>
      <c r="AQ70" s="107">
        <f t="shared" si="37"/>
        <v>1860</v>
      </c>
      <c r="AR70" s="111">
        <f t="shared" si="19"/>
        <v>73.587719298245972</v>
      </c>
      <c r="AS70" s="107">
        <f t="shared" si="20"/>
        <v>16048.00681224338</v>
      </c>
      <c r="AT70" s="107">
        <f t="shared" si="21"/>
        <v>-15900.831373646888</v>
      </c>
      <c r="AU70" s="107">
        <f t="shared" si="22"/>
        <v>10723.200447928337</v>
      </c>
      <c r="AV70" s="107">
        <f t="shared" si="23"/>
        <v>-10576.025009331845</v>
      </c>
      <c r="AW70" s="107">
        <f t="shared" si="24"/>
        <v>5398.3940836132915</v>
      </c>
      <c r="AX70" s="107">
        <f t="shared" si="25"/>
        <v>-5251.2186450167992</v>
      </c>
      <c r="AY70" s="111">
        <f t="shared" si="38"/>
        <v>6006.3815789473701</v>
      </c>
      <c r="AZ70" s="107">
        <f t="shared" si="39"/>
        <v>19622.848618421056</v>
      </c>
    </row>
    <row r="71" spans="2:52" ht="14.25" customHeight="1">
      <c r="B71" s="106">
        <v>18</v>
      </c>
      <c r="C71" s="107">
        <f>'A - Forecast'!Q45-'A - Forecast'!R45</f>
        <v>-115.4138358510354</v>
      </c>
      <c r="D71" s="110">
        <f t="shared" si="26"/>
        <v>103.96914925531746</v>
      </c>
      <c r="E71" s="111">
        <f t="shared" si="27"/>
        <v>-67.841696398107345</v>
      </c>
      <c r="F71" s="107">
        <f t="shared" si="0"/>
        <v>674.23235321313007</v>
      </c>
      <c r="G71" s="107">
        <f t="shared" si="1"/>
        <v>-809.91574600934484</v>
      </c>
      <c r="H71" s="107">
        <f t="shared" si="2"/>
        <v>426.87433667605097</v>
      </c>
      <c r="I71" s="107">
        <f t="shared" si="3"/>
        <v>-562.55772947226569</v>
      </c>
      <c r="J71" s="107">
        <f t="shared" si="4"/>
        <v>179.51632013897182</v>
      </c>
      <c r="K71" s="107">
        <f t="shared" si="5"/>
        <v>-315.19971293518648</v>
      </c>
      <c r="L71" s="107">
        <f t="shared" si="28"/>
        <v>279.01984265382526</v>
      </c>
      <c r="M71" s="107">
        <f t="shared" si="29"/>
        <v>911.55782595004712</v>
      </c>
      <c r="O71" s="106">
        <v>18</v>
      </c>
      <c r="P71" s="107">
        <f>'B - Forecast'!C46-'B - Forecast'!D46</f>
        <v>402.74108818011155</v>
      </c>
      <c r="Q71" s="107">
        <f t="shared" si="30"/>
        <v>437.30356472795393</v>
      </c>
      <c r="R71" s="111">
        <f t="shared" si="31"/>
        <v>2.2737367544323207E-14</v>
      </c>
      <c r="S71" s="107">
        <f t="shared" si="6"/>
        <v>785.12611196236526</v>
      </c>
      <c r="T71" s="107">
        <f t="shared" si="7"/>
        <v>-785.12611196236526</v>
      </c>
      <c r="U71" s="107">
        <f t="shared" si="8"/>
        <v>523.41740797491013</v>
      </c>
      <c r="V71" s="107">
        <f t="shared" si="9"/>
        <v>-523.41740797491013</v>
      </c>
      <c r="W71" s="107">
        <f t="shared" si="10"/>
        <v>261.70870398745507</v>
      </c>
      <c r="X71" s="107">
        <f t="shared" si="11"/>
        <v>-261.70870398745507</v>
      </c>
      <c r="Y71" s="107">
        <f t="shared" si="32"/>
        <v>295.20741809784926</v>
      </c>
      <c r="Z71" s="107">
        <f t="shared" si="33"/>
        <v>964.44263492567347</v>
      </c>
      <c r="AB71" s="106">
        <v>18</v>
      </c>
      <c r="AC71" s="107">
        <f>'C - Forecast'!D62-'C - Forecast'!E62</f>
        <v>136.57253753493387</v>
      </c>
      <c r="AD71" s="107">
        <f t="shared" si="34"/>
        <v>62.11278417342146</v>
      </c>
      <c r="AE71" s="111">
        <f t="shared" si="12"/>
        <v>-14.966254865023009</v>
      </c>
      <c r="AF71" s="107">
        <f t="shared" si="13"/>
        <v>1275.8608766419111</v>
      </c>
      <c r="AG71" s="107">
        <f t="shared" si="14"/>
        <v>-1305.7933863719572</v>
      </c>
      <c r="AH71" s="107">
        <f t="shared" si="15"/>
        <v>845.58516613959989</v>
      </c>
      <c r="AI71" s="107">
        <f t="shared" si="16"/>
        <v>-875.51767586964581</v>
      </c>
      <c r="AJ71" s="107">
        <f t="shared" si="17"/>
        <v>415.30945563728841</v>
      </c>
      <c r="AK71" s="107">
        <f t="shared" si="18"/>
        <v>-445.24196536733444</v>
      </c>
      <c r="AL71" s="111">
        <f t="shared" si="35"/>
        <v>485.35100144660726</v>
      </c>
      <c r="AM71" s="107">
        <f t="shared" si="36"/>
        <v>1585.641721726066</v>
      </c>
      <c r="AN71" s="107"/>
      <c r="AO71" s="106">
        <v>18</v>
      </c>
      <c r="AP71" s="107">
        <f>'D - Forecast'!AF48-'D - Forecast'!AG48</f>
        <v>-836</v>
      </c>
      <c r="AQ71" s="107">
        <f t="shared" si="37"/>
        <v>1392.1666666666661</v>
      </c>
      <c r="AR71" s="111">
        <f t="shared" si="19"/>
        <v>73.587719298245972</v>
      </c>
      <c r="AS71" s="107">
        <f t="shared" si="20"/>
        <v>16048.00681224338</v>
      </c>
      <c r="AT71" s="107">
        <f t="shared" si="21"/>
        <v>-15900.831373646888</v>
      </c>
      <c r="AU71" s="107">
        <f t="shared" si="22"/>
        <v>10723.200447928337</v>
      </c>
      <c r="AV71" s="107">
        <f t="shared" si="23"/>
        <v>-10576.025009331845</v>
      </c>
      <c r="AW71" s="107">
        <f t="shared" si="24"/>
        <v>5398.3940836132915</v>
      </c>
      <c r="AX71" s="107">
        <f t="shared" si="25"/>
        <v>-5251.2186450167992</v>
      </c>
      <c r="AY71" s="111">
        <f t="shared" si="38"/>
        <v>6006.3815789473701</v>
      </c>
      <c r="AZ71" s="107">
        <f t="shared" si="39"/>
        <v>19622.848618421056</v>
      </c>
    </row>
    <row r="72" spans="2:52" ht="14.25" customHeight="1">
      <c r="B72" s="106">
        <v>19</v>
      </c>
      <c r="C72" s="107">
        <f>'A - Forecast'!Q46-'A - Forecast'!R46</f>
        <v>117.35685594151619</v>
      </c>
      <c r="D72" s="110">
        <f t="shared" si="26"/>
        <v>232.77069179255159</v>
      </c>
      <c r="E72" s="111">
        <f t="shared" si="27"/>
        <v>-67.841696398107345</v>
      </c>
      <c r="F72" s="107">
        <f t="shared" si="0"/>
        <v>674.23235321313007</v>
      </c>
      <c r="G72" s="107">
        <f t="shared" si="1"/>
        <v>-809.91574600934484</v>
      </c>
      <c r="H72" s="107">
        <f t="shared" si="2"/>
        <v>426.87433667605097</v>
      </c>
      <c r="I72" s="107">
        <f t="shared" si="3"/>
        <v>-562.55772947226569</v>
      </c>
      <c r="J72" s="107">
        <f t="shared" si="4"/>
        <v>179.51632013897182</v>
      </c>
      <c r="K72" s="107">
        <f t="shared" si="5"/>
        <v>-315.19971293518648</v>
      </c>
      <c r="L72" s="107">
        <f t="shared" si="28"/>
        <v>279.01984265382526</v>
      </c>
      <c r="M72" s="107">
        <f t="shared" si="29"/>
        <v>911.55782595004712</v>
      </c>
      <c r="O72" s="106">
        <v>19</v>
      </c>
      <c r="P72" s="107">
        <f>'B - Forecast'!C47-'B - Forecast'!D47</f>
        <v>-106.95534709193271</v>
      </c>
      <c r="Q72" s="107">
        <f t="shared" si="30"/>
        <v>509.69643527204425</v>
      </c>
      <c r="R72" s="111">
        <f t="shared" si="31"/>
        <v>2.2737367544323207E-14</v>
      </c>
      <c r="S72" s="107">
        <f t="shared" si="6"/>
        <v>785.12611196236526</v>
      </c>
      <c r="T72" s="107">
        <f t="shared" si="7"/>
        <v>-785.12611196236526</v>
      </c>
      <c r="U72" s="107">
        <f t="shared" si="8"/>
        <v>523.41740797491013</v>
      </c>
      <c r="V72" s="107">
        <f t="shared" si="9"/>
        <v>-523.41740797491013</v>
      </c>
      <c r="W72" s="107">
        <f t="shared" si="10"/>
        <v>261.70870398745507</v>
      </c>
      <c r="X72" s="107">
        <f t="shared" si="11"/>
        <v>-261.70870398745507</v>
      </c>
      <c r="Y72" s="107">
        <f t="shared" si="32"/>
        <v>295.20741809784926</v>
      </c>
      <c r="Z72" s="107">
        <f t="shared" si="33"/>
        <v>964.44263492567347</v>
      </c>
      <c r="AB72" s="106">
        <v>19</v>
      </c>
      <c r="AC72" s="107">
        <f>'C - Forecast'!D63-'C - Forecast'!E63</f>
        <v>58.000738780750908</v>
      </c>
      <c r="AD72" s="107">
        <f t="shared" si="34"/>
        <v>78.571798754182964</v>
      </c>
      <c r="AE72" s="111">
        <f t="shared" si="12"/>
        <v>-14.966254865023009</v>
      </c>
      <c r="AF72" s="107">
        <f t="shared" si="13"/>
        <v>1275.8608766419111</v>
      </c>
      <c r="AG72" s="107">
        <f t="shared" si="14"/>
        <v>-1305.7933863719572</v>
      </c>
      <c r="AH72" s="107">
        <f t="shared" si="15"/>
        <v>845.58516613959989</v>
      </c>
      <c r="AI72" s="107">
        <f t="shared" si="16"/>
        <v>-875.51767586964581</v>
      </c>
      <c r="AJ72" s="107">
        <f t="shared" si="17"/>
        <v>415.30945563728841</v>
      </c>
      <c r="AK72" s="107">
        <f t="shared" si="18"/>
        <v>-445.24196536733444</v>
      </c>
      <c r="AL72" s="111">
        <f t="shared" si="35"/>
        <v>485.35100144660726</v>
      </c>
      <c r="AM72" s="107">
        <f t="shared" si="36"/>
        <v>1585.641721726066</v>
      </c>
      <c r="AN72" s="107"/>
      <c r="AO72" s="106">
        <v>19</v>
      </c>
      <c r="AP72" s="107">
        <f>'D - Forecast'!AF49-'D - Forecast'!AG49</f>
        <v>5343.5</v>
      </c>
      <c r="AQ72" s="107">
        <f t="shared" si="37"/>
        <v>6179.5</v>
      </c>
      <c r="AR72" s="111">
        <f t="shared" si="19"/>
        <v>73.587719298245972</v>
      </c>
      <c r="AS72" s="107">
        <f t="shared" si="20"/>
        <v>16048.00681224338</v>
      </c>
      <c r="AT72" s="107">
        <f t="shared" si="21"/>
        <v>-15900.831373646888</v>
      </c>
      <c r="AU72" s="107">
        <f t="shared" si="22"/>
        <v>10723.200447928337</v>
      </c>
      <c r="AV72" s="107">
        <f t="shared" si="23"/>
        <v>-10576.025009331845</v>
      </c>
      <c r="AW72" s="107">
        <f t="shared" si="24"/>
        <v>5398.3940836132915</v>
      </c>
      <c r="AX72" s="107">
        <f t="shared" si="25"/>
        <v>-5251.2186450167992</v>
      </c>
      <c r="AY72" s="111">
        <f t="shared" si="38"/>
        <v>6006.3815789473701</v>
      </c>
      <c r="AZ72" s="107">
        <f t="shared" si="39"/>
        <v>19622.848618421056</v>
      </c>
    </row>
    <row r="73" spans="2:52" ht="14.25" customHeight="1">
      <c r="B73" s="106">
        <v>20</v>
      </c>
      <c r="C73" s="107">
        <f>'A - Forecast'!Q47-'A - Forecast'!R47</f>
        <v>-297.51098685555917</v>
      </c>
      <c r="D73" s="110">
        <f t="shared" si="26"/>
        <v>414.86784279707535</v>
      </c>
      <c r="E73" s="111">
        <f t="shared" si="27"/>
        <v>-67.841696398107345</v>
      </c>
      <c r="F73" s="107">
        <f t="shared" si="0"/>
        <v>674.23235321313007</v>
      </c>
      <c r="G73" s="107">
        <f t="shared" si="1"/>
        <v>-809.91574600934484</v>
      </c>
      <c r="H73" s="107">
        <f t="shared" si="2"/>
        <v>426.87433667605097</v>
      </c>
      <c r="I73" s="107">
        <f t="shared" si="3"/>
        <v>-562.55772947226569</v>
      </c>
      <c r="J73" s="107">
        <f t="shared" si="4"/>
        <v>179.51632013897182</v>
      </c>
      <c r="K73" s="107">
        <f t="shared" si="5"/>
        <v>-315.19971293518648</v>
      </c>
      <c r="L73" s="107">
        <f t="shared" si="28"/>
        <v>279.01984265382526</v>
      </c>
      <c r="M73" s="107">
        <f t="shared" si="29"/>
        <v>911.55782595004712</v>
      </c>
      <c r="O73" s="106">
        <v>20</v>
      </c>
      <c r="P73" s="107">
        <f>'B - Forecast'!C48-'B - Forecast'!D48</f>
        <v>793.34821763602304</v>
      </c>
      <c r="Q73" s="107">
        <f t="shared" si="30"/>
        <v>900.30356472795575</v>
      </c>
      <c r="R73" s="111">
        <f t="shared" si="31"/>
        <v>2.2737367544323207E-14</v>
      </c>
      <c r="S73" s="107">
        <f t="shared" si="6"/>
        <v>785.12611196236526</v>
      </c>
      <c r="T73" s="107">
        <f t="shared" si="7"/>
        <v>-785.12611196236526</v>
      </c>
      <c r="U73" s="107">
        <f t="shared" si="8"/>
        <v>523.41740797491013</v>
      </c>
      <c r="V73" s="107">
        <f t="shared" si="9"/>
        <v>-523.41740797491013</v>
      </c>
      <c r="W73" s="107">
        <f t="shared" si="10"/>
        <v>261.70870398745507</v>
      </c>
      <c r="X73" s="107">
        <f t="shared" si="11"/>
        <v>-261.70870398745507</v>
      </c>
      <c r="Y73" s="107">
        <f t="shared" si="32"/>
        <v>295.20741809784926</v>
      </c>
      <c r="Z73" s="107">
        <f t="shared" si="33"/>
        <v>964.44263492567347</v>
      </c>
      <c r="AB73" s="106">
        <v>20</v>
      </c>
      <c r="AC73" s="107">
        <f>'C - Forecast'!D64-'C - Forecast'!E64</f>
        <v>209.42719547141496</v>
      </c>
      <c r="AD73" s="107">
        <f t="shared" si="34"/>
        <v>151.42645669066405</v>
      </c>
      <c r="AE73" s="111">
        <f t="shared" si="12"/>
        <v>-14.966254865023009</v>
      </c>
      <c r="AF73" s="107">
        <f t="shared" si="13"/>
        <v>1275.8608766419111</v>
      </c>
      <c r="AG73" s="107">
        <f t="shared" si="14"/>
        <v>-1305.7933863719572</v>
      </c>
      <c r="AH73" s="107">
        <f t="shared" si="15"/>
        <v>845.58516613959989</v>
      </c>
      <c r="AI73" s="107">
        <f t="shared" si="16"/>
        <v>-875.51767586964581</v>
      </c>
      <c r="AJ73" s="107">
        <f t="shared" si="17"/>
        <v>415.30945563728841</v>
      </c>
      <c r="AK73" s="107">
        <f t="shared" si="18"/>
        <v>-445.24196536733444</v>
      </c>
      <c r="AL73" s="111">
        <f t="shared" si="35"/>
        <v>485.35100144660726</v>
      </c>
      <c r="AM73" s="107">
        <f t="shared" si="36"/>
        <v>1585.641721726066</v>
      </c>
      <c r="AN73" s="107"/>
      <c r="AO73" s="106">
        <v>20</v>
      </c>
      <c r="AP73" s="107">
        <f>'D - Forecast'!AF50-'D - Forecast'!AG50</f>
        <v>-6789.5</v>
      </c>
      <c r="AQ73" s="107">
        <f t="shared" si="37"/>
        <v>12133</v>
      </c>
      <c r="AR73" s="111">
        <f t="shared" si="19"/>
        <v>73.587719298245972</v>
      </c>
      <c r="AS73" s="107">
        <f t="shared" si="20"/>
        <v>16048.00681224338</v>
      </c>
      <c r="AT73" s="107">
        <f t="shared" si="21"/>
        <v>-15900.831373646888</v>
      </c>
      <c r="AU73" s="107">
        <f t="shared" si="22"/>
        <v>10723.200447928337</v>
      </c>
      <c r="AV73" s="107">
        <f t="shared" si="23"/>
        <v>-10576.025009331845</v>
      </c>
      <c r="AW73" s="107">
        <f t="shared" si="24"/>
        <v>5398.3940836132915</v>
      </c>
      <c r="AX73" s="107">
        <f t="shared" si="25"/>
        <v>-5251.2186450167992</v>
      </c>
      <c r="AY73" s="111">
        <f t="shared" si="38"/>
        <v>6006.3815789473701</v>
      </c>
      <c r="AZ73" s="107">
        <f t="shared" si="39"/>
        <v>19622.848618421056</v>
      </c>
    </row>
    <row r="74" spans="2:52" ht="14.25" customHeight="1">
      <c r="B74" s="106">
        <v>21</v>
      </c>
      <c r="C74" s="107">
        <f>'A - Forecast'!Q48-'A - Forecast'!R48</f>
        <v>8.3645624872187909</v>
      </c>
      <c r="D74" s="110">
        <f t="shared" si="26"/>
        <v>305.87554934277796</v>
      </c>
      <c r="E74" s="111">
        <f t="shared" si="27"/>
        <v>-67.841696398107345</v>
      </c>
      <c r="F74" s="107">
        <f t="shared" si="0"/>
        <v>674.23235321313007</v>
      </c>
      <c r="G74" s="107">
        <f t="shared" si="1"/>
        <v>-809.91574600934484</v>
      </c>
      <c r="H74" s="107">
        <f t="shared" si="2"/>
        <v>426.87433667605097</v>
      </c>
      <c r="I74" s="107">
        <f t="shared" si="3"/>
        <v>-562.55772947226569</v>
      </c>
      <c r="J74" s="107">
        <f t="shared" si="4"/>
        <v>179.51632013897182</v>
      </c>
      <c r="K74" s="107">
        <f t="shared" si="5"/>
        <v>-315.19971293518648</v>
      </c>
      <c r="L74" s="107">
        <f t="shared" si="28"/>
        <v>279.01984265382526</v>
      </c>
      <c r="M74" s="107">
        <f t="shared" si="29"/>
        <v>911.55782595004712</v>
      </c>
      <c r="O74" s="106">
        <v>21</v>
      </c>
      <c r="P74" s="107">
        <f>'B - Forecast'!C49-'B - Forecast'!D49</f>
        <v>170.65178236397696</v>
      </c>
      <c r="Q74" s="107">
        <f t="shared" si="30"/>
        <v>622.69643527204607</v>
      </c>
      <c r="R74" s="111">
        <f t="shared" si="31"/>
        <v>2.2737367544323207E-14</v>
      </c>
      <c r="S74" s="107">
        <f t="shared" si="6"/>
        <v>785.12611196236526</v>
      </c>
      <c r="T74" s="107">
        <f t="shared" si="7"/>
        <v>-785.12611196236526</v>
      </c>
      <c r="U74" s="107">
        <f t="shared" si="8"/>
        <v>523.41740797491013</v>
      </c>
      <c r="V74" s="107">
        <f t="shared" si="9"/>
        <v>-523.41740797491013</v>
      </c>
      <c r="W74" s="107">
        <f t="shared" si="10"/>
        <v>261.70870398745507</v>
      </c>
      <c r="X74" s="107">
        <f t="shared" si="11"/>
        <v>-261.70870398745507</v>
      </c>
      <c r="Y74" s="107">
        <f t="shared" si="32"/>
        <v>295.20741809784926</v>
      </c>
      <c r="Z74" s="107">
        <f t="shared" si="33"/>
        <v>964.44263492567347</v>
      </c>
      <c r="AB74" s="106">
        <v>21</v>
      </c>
      <c r="AC74" s="107">
        <f>'C - Forecast'!D65-'C - Forecast'!E65</f>
        <v>-890.31220184299309</v>
      </c>
      <c r="AD74" s="107">
        <f t="shared" si="34"/>
        <v>1099.7393973144081</v>
      </c>
      <c r="AE74" s="111">
        <f t="shared" si="12"/>
        <v>-14.966254865023009</v>
      </c>
      <c r="AF74" s="107">
        <f t="shared" si="13"/>
        <v>1275.8608766419111</v>
      </c>
      <c r="AG74" s="107">
        <f t="shared" si="14"/>
        <v>-1305.7933863719572</v>
      </c>
      <c r="AH74" s="107">
        <f t="shared" si="15"/>
        <v>845.58516613959989</v>
      </c>
      <c r="AI74" s="107">
        <f t="shared" si="16"/>
        <v>-875.51767586964581</v>
      </c>
      <c r="AJ74" s="107">
        <f t="shared" si="17"/>
        <v>415.30945563728841</v>
      </c>
      <c r="AK74" s="107">
        <f t="shared" si="18"/>
        <v>-445.24196536733444</v>
      </c>
      <c r="AL74" s="111">
        <f t="shared" si="35"/>
        <v>485.35100144660726</v>
      </c>
      <c r="AM74" s="107">
        <f t="shared" si="36"/>
        <v>1585.641721726066</v>
      </c>
      <c r="AN74" s="107"/>
      <c r="AO74" s="106">
        <v>21</v>
      </c>
      <c r="AP74" s="107">
        <f>'D - Forecast'!AF51-'D - Forecast'!AG51</f>
        <v>-4890</v>
      </c>
      <c r="AQ74" s="107">
        <f t="shared" si="37"/>
        <v>1899.5</v>
      </c>
      <c r="AR74" s="111">
        <f t="shared" si="19"/>
        <v>73.587719298245972</v>
      </c>
      <c r="AS74" s="107">
        <f t="shared" si="20"/>
        <v>16048.00681224338</v>
      </c>
      <c r="AT74" s="107">
        <f t="shared" si="21"/>
        <v>-15900.831373646888</v>
      </c>
      <c r="AU74" s="107">
        <f t="shared" si="22"/>
        <v>10723.200447928337</v>
      </c>
      <c r="AV74" s="107">
        <f t="shared" si="23"/>
        <v>-10576.025009331845</v>
      </c>
      <c r="AW74" s="107">
        <f t="shared" si="24"/>
        <v>5398.3940836132915</v>
      </c>
      <c r="AX74" s="107">
        <f t="shared" si="25"/>
        <v>-5251.2186450167992</v>
      </c>
      <c r="AY74" s="111">
        <f t="shared" si="38"/>
        <v>6006.3815789473701</v>
      </c>
      <c r="AZ74" s="107">
        <f t="shared" si="39"/>
        <v>19622.848618421056</v>
      </c>
    </row>
    <row r="75" spans="2:52" ht="14.25" customHeight="1">
      <c r="B75" s="106">
        <v>22</v>
      </c>
      <c r="C75" s="107">
        <f>'A - Forecast'!Q49-'A - Forecast'!R49</f>
        <v>223.94633436285949</v>
      </c>
      <c r="D75" s="110">
        <f t="shared" si="26"/>
        <v>215.5817718756407</v>
      </c>
      <c r="E75" s="111">
        <f t="shared" si="27"/>
        <v>-67.841696398107345</v>
      </c>
      <c r="F75" s="107">
        <f t="shared" si="0"/>
        <v>674.23235321313007</v>
      </c>
      <c r="G75" s="107">
        <f t="shared" si="1"/>
        <v>-809.91574600934484</v>
      </c>
      <c r="H75" s="107">
        <f t="shared" si="2"/>
        <v>426.87433667605097</v>
      </c>
      <c r="I75" s="107">
        <f t="shared" si="3"/>
        <v>-562.55772947226569</v>
      </c>
      <c r="J75" s="107">
        <f t="shared" si="4"/>
        <v>179.51632013897182</v>
      </c>
      <c r="K75" s="107">
        <f t="shared" si="5"/>
        <v>-315.19971293518648</v>
      </c>
      <c r="L75" s="107">
        <f t="shared" si="28"/>
        <v>279.01984265382526</v>
      </c>
      <c r="M75" s="107">
        <f t="shared" si="29"/>
        <v>911.55782595004712</v>
      </c>
      <c r="O75" s="106">
        <v>22</v>
      </c>
      <c r="P75" s="107">
        <f>'B - Forecast'!C50-'B - Forecast'!D50</f>
        <v>-269.04465290806729</v>
      </c>
      <c r="Q75" s="107">
        <f t="shared" si="30"/>
        <v>439.69643527204425</v>
      </c>
      <c r="R75" s="111">
        <f t="shared" si="31"/>
        <v>2.2737367544323207E-14</v>
      </c>
      <c r="S75" s="107">
        <f t="shared" si="6"/>
        <v>785.12611196236526</v>
      </c>
      <c r="T75" s="107">
        <f t="shared" si="7"/>
        <v>-785.12611196236526</v>
      </c>
      <c r="U75" s="107">
        <f t="shared" si="8"/>
        <v>523.41740797491013</v>
      </c>
      <c r="V75" s="107">
        <f t="shared" si="9"/>
        <v>-523.41740797491013</v>
      </c>
      <c r="W75" s="107">
        <f t="shared" si="10"/>
        <v>261.70870398745507</v>
      </c>
      <c r="X75" s="107">
        <f t="shared" si="11"/>
        <v>-261.70870398745507</v>
      </c>
      <c r="Y75" s="107">
        <f t="shared" si="32"/>
        <v>295.20741809784926</v>
      </c>
      <c r="Z75" s="107">
        <f t="shared" si="33"/>
        <v>964.44263492567347</v>
      </c>
      <c r="AB75" s="106">
        <v>22</v>
      </c>
      <c r="AC75" s="107">
        <f>'C - Forecast'!D66-'C - Forecast'!E66</f>
        <v>272.46679335396038</v>
      </c>
      <c r="AD75" s="107">
        <f t="shared" si="34"/>
        <v>1162.7789951969535</v>
      </c>
      <c r="AE75" s="111">
        <f t="shared" si="12"/>
        <v>-14.966254865023009</v>
      </c>
      <c r="AF75" s="107">
        <f t="shared" si="13"/>
        <v>1275.8608766419111</v>
      </c>
      <c r="AG75" s="107">
        <f t="shared" si="14"/>
        <v>-1305.7933863719572</v>
      </c>
      <c r="AH75" s="107">
        <f t="shared" si="15"/>
        <v>845.58516613959989</v>
      </c>
      <c r="AI75" s="107">
        <f t="shared" si="16"/>
        <v>-875.51767586964581</v>
      </c>
      <c r="AJ75" s="107">
        <f t="shared" si="17"/>
        <v>415.30945563728841</v>
      </c>
      <c r="AK75" s="107">
        <f t="shared" si="18"/>
        <v>-445.24196536733444</v>
      </c>
      <c r="AL75" s="111">
        <f t="shared" si="35"/>
        <v>485.35100144660726</v>
      </c>
      <c r="AM75" s="107">
        <f t="shared" si="36"/>
        <v>1585.641721726066</v>
      </c>
      <c r="AN75" s="107"/>
      <c r="AO75" s="106">
        <v>22</v>
      </c>
      <c r="AP75" s="107">
        <f>'D - Forecast'!AF52-'D - Forecast'!AG52</f>
        <v>-514.16666666666606</v>
      </c>
      <c r="AQ75" s="107">
        <f t="shared" si="37"/>
        <v>4375.8333333333339</v>
      </c>
      <c r="AR75" s="111">
        <f t="shared" si="19"/>
        <v>73.587719298245972</v>
      </c>
      <c r="AS75" s="107">
        <f t="shared" si="20"/>
        <v>16048.00681224338</v>
      </c>
      <c r="AT75" s="107">
        <f t="shared" si="21"/>
        <v>-15900.831373646888</v>
      </c>
      <c r="AU75" s="107">
        <f t="shared" si="22"/>
        <v>10723.200447928337</v>
      </c>
      <c r="AV75" s="107">
        <f t="shared" si="23"/>
        <v>-10576.025009331845</v>
      </c>
      <c r="AW75" s="107">
        <f t="shared" si="24"/>
        <v>5398.3940836132915</v>
      </c>
      <c r="AX75" s="107">
        <f t="shared" si="25"/>
        <v>-5251.2186450167992</v>
      </c>
      <c r="AY75" s="111">
        <f t="shared" si="38"/>
        <v>6006.3815789473701</v>
      </c>
      <c r="AZ75" s="107">
        <f t="shared" si="39"/>
        <v>19622.848618421056</v>
      </c>
    </row>
    <row r="76" spans="2:52" ht="14.25" customHeight="1">
      <c r="B76" s="106">
        <v>23</v>
      </c>
      <c r="C76" s="107">
        <f>'A - Forecast'!Q50-'A - Forecast'!R50</f>
        <v>-369.25098235528276</v>
      </c>
      <c r="D76" s="110">
        <f t="shared" si="26"/>
        <v>593.19731671814225</v>
      </c>
      <c r="E76" s="111">
        <f t="shared" si="27"/>
        <v>-67.841696398107345</v>
      </c>
      <c r="F76" s="107">
        <f t="shared" si="0"/>
        <v>674.23235321313007</v>
      </c>
      <c r="G76" s="107">
        <f t="shared" si="1"/>
        <v>-809.91574600934484</v>
      </c>
      <c r="H76" s="107">
        <f t="shared" si="2"/>
        <v>426.87433667605097</v>
      </c>
      <c r="I76" s="107">
        <f t="shared" si="3"/>
        <v>-562.55772947226569</v>
      </c>
      <c r="J76" s="107">
        <f t="shared" si="4"/>
        <v>179.51632013897182</v>
      </c>
      <c r="K76" s="107">
        <f t="shared" si="5"/>
        <v>-315.19971293518648</v>
      </c>
      <c r="L76" s="107">
        <f t="shared" si="28"/>
        <v>279.01984265382526</v>
      </c>
      <c r="M76" s="107">
        <f t="shared" si="29"/>
        <v>911.55782595004712</v>
      </c>
      <c r="O76" s="106">
        <v>23</v>
      </c>
      <c r="P76" s="107">
        <f>'B - Forecast'!C51-'B - Forecast'!D51</f>
        <v>-327.74108818011155</v>
      </c>
      <c r="Q76" s="107">
        <f t="shared" si="30"/>
        <v>58.696435272044255</v>
      </c>
      <c r="R76" s="111">
        <f t="shared" si="31"/>
        <v>2.2737367544323207E-14</v>
      </c>
      <c r="S76" s="107">
        <f t="shared" si="6"/>
        <v>785.12611196236526</v>
      </c>
      <c r="T76" s="107">
        <f t="shared" si="7"/>
        <v>-785.12611196236526</v>
      </c>
      <c r="U76" s="107">
        <f t="shared" si="8"/>
        <v>523.41740797491013</v>
      </c>
      <c r="V76" s="107">
        <f t="shared" si="9"/>
        <v>-523.41740797491013</v>
      </c>
      <c r="W76" s="107">
        <f t="shared" si="10"/>
        <v>261.70870398745507</v>
      </c>
      <c r="X76" s="107">
        <f t="shared" si="11"/>
        <v>-261.70870398745507</v>
      </c>
      <c r="Y76" s="107">
        <f t="shared" si="32"/>
        <v>295.20741809784926</v>
      </c>
      <c r="Z76" s="107">
        <f t="shared" si="33"/>
        <v>964.44263492567347</v>
      </c>
      <c r="AB76" s="106">
        <v>23</v>
      </c>
      <c r="AC76" s="107">
        <f>'C - Forecast'!D67-'C - Forecast'!E67</f>
        <v>-58.172304115028965</v>
      </c>
      <c r="AD76" s="107">
        <f t="shared" si="34"/>
        <v>330.63909746898935</v>
      </c>
      <c r="AE76" s="111">
        <f t="shared" si="12"/>
        <v>-14.966254865023009</v>
      </c>
      <c r="AF76" s="107">
        <f t="shared" si="13"/>
        <v>1275.8608766419111</v>
      </c>
      <c r="AG76" s="107">
        <f t="shared" si="14"/>
        <v>-1305.7933863719572</v>
      </c>
      <c r="AH76" s="107">
        <f t="shared" si="15"/>
        <v>845.58516613959989</v>
      </c>
      <c r="AI76" s="107">
        <f t="shared" si="16"/>
        <v>-875.51767586964581</v>
      </c>
      <c r="AJ76" s="107">
        <f t="shared" si="17"/>
        <v>415.30945563728841</v>
      </c>
      <c r="AK76" s="107">
        <f t="shared" si="18"/>
        <v>-445.24196536733444</v>
      </c>
      <c r="AL76" s="111">
        <f t="shared" si="35"/>
        <v>485.35100144660726</v>
      </c>
      <c r="AM76" s="107">
        <f t="shared" si="36"/>
        <v>1585.641721726066</v>
      </c>
      <c r="AN76" s="107"/>
      <c r="AO76" s="106">
        <v>23</v>
      </c>
      <c r="AP76" s="107">
        <f>'D - Forecast'!AF53-'D - Forecast'!AG53</f>
        <v>28.5</v>
      </c>
      <c r="AQ76" s="107">
        <f t="shared" si="37"/>
        <v>542.66666666666606</v>
      </c>
      <c r="AR76" s="111">
        <f t="shared" si="19"/>
        <v>73.587719298245972</v>
      </c>
      <c r="AS76" s="107">
        <f t="shared" si="20"/>
        <v>16048.00681224338</v>
      </c>
      <c r="AT76" s="107">
        <f t="shared" si="21"/>
        <v>-15900.831373646888</v>
      </c>
      <c r="AU76" s="107">
        <f t="shared" si="22"/>
        <v>10723.200447928337</v>
      </c>
      <c r="AV76" s="107">
        <f t="shared" si="23"/>
        <v>-10576.025009331845</v>
      </c>
      <c r="AW76" s="107">
        <f t="shared" si="24"/>
        <v>5398.3940836132915</v>
      </c>
      <c r="AX76" s="107">
        <f t="shared" si="25"/>
        <v>-5251.2186450167992</v>
      </c>
      <c r="AY76" s="111">
        <f t="shared" si="38"/>
        <v>6006.3815789473701</v>
      </c>
      <c r="AZ76" s="107">
        <f t="shared" si="39"/>
        <v>19622.848618421056</v>
      </c>
    </row>
    <row r="77" spans="2:52" ht="14.25" customHeight="1">
      <c r="B77" s="106">
        <v>24</v>
      </c>
      <c r="C77" s="107">
        <f>'A - Forecast'!Q51-'A - Forecast'!R51</f>
        <v>7.2115667624821072</v>
      </c>
      <c r="D77" s="110">
        <f t="shared" si="26"/>
        <v>376.46254911776487</v>
      </c>
      <c r="E77" s="111">
        <f t="shared" si="27"/>
        <v>-67.841696398107345</v>
      </c>
      <c r="F77" s="107">
        <f t="shared" si="0"/>
        <v>674.23235321313007</v>
      </c>
      <c r="G77" s="107">
        <f t="shared" si="1"/>
        <v>-809.91574600934484</v>
      </c>
      <c r="H77" s="107">
        <f t="shared" si="2"/>
        <v>426.87433667605097</v>
      </c>
      <c r="I77" s="107">
        <f t="shared" si="3"/>
        <v>-562.55772947226569</v>
      </c>
      <c r="J77" s="107">
        <f t="shared" si="4"/>
        <v>179.51632013897182</v>
      </c>
      <c r="K77" s="107">
        <f t="shared" si="5"/>
        <v>-315.19971293518648</v>
      </c>
      <c r="L77" s="107">
        <f t="shared" si="28"/>
        <v>279.01984265382526</v>
      </c>
      <c r="M77" s="107">
        <f t="shared" si="29"/>
        <v>911.55782595004712</v>
      </c>
      <c r="O77" s="106">
        <v>24</v>
      </c>
      <c r="P77" s="107">
        <f>'B - Forecast'!C52-'B - Forecast'!D52</f>
        <v>143.56247654784238</v>
      </c>
      <c r="Q77" s="107">
        <f t="shared" si="30"/>
        <v>471.30356472795393</v>
      </c>
      <c r="R77" s="111">
        <f t="shared" si="31"/>
        <v>2.2737367544323207E-14</v>
      </c>
      <c r="S77" s="107">
        <f t="shared" si="6"/>
        <v>785.12611196236526</v>
      </c>
      <c r="T77" s="107">
        <f t="shared" si="7"/>
        <v>-785.12611196236526</v>
      </c>
      <c r="U77" s="107">
        <f t="shared" si="8"/>
        <v>523.41740797491013</v>
      </c>
      <c r="V77" s="107">
        <f t="shared" si="9"/>
        <v>-523.41740797491013</v>
      </c>
      <c r="W77" s="107">
        <f t="shared" si="10"/>
        <v>261.70870398745507</v>
      </c>
      <c r="X77" s="107">
        <f t="shared" si="11"/>
        <v>-261.70870398745507</v>
      </c>
      <c r="Y77" s="107">
        <f t="shared" si="32"/>
        <v>295.20741809784926</v>
      </c>
      <c r="Z77" s="107">
        <f t="shared" si="33"/>
        <v>964.44263492567347</v>
      </c>
      <c r="AB77" s="106">
        <v>24</v>
      </c>
      <c r="AC77" s="107">
        <f>'C - Forecast'!D68-'C - Forecast'!E68</f>
        <v>380.59137911700236</v>
      </c>
      <c r="AD77" s="107">
        <f t="shared" si="34"/>
        <v>438.76368323203133</v>
      </c>
      <c r="AE77" s="111">
        <f t="shared" si="12"/>
        <v>-14.966254865023009</v>
      </c>
      <c r="AF77" s="107">
        <f t="shared" si="13"/>
        <v>1275.8608766419111</v>
      </c>
      <c r="AG77" s="107">
        <f t="shared" si="14"/>
        <v>-1305.7933863719572</v>
      </c>
      <c r="AH77" s="107">
        <f t="shared" si="15"/>
        <v>845.58516613959989</v>
      </c>
      <c r="AI77" s="107">
        <f t="shared" si="16"/>
        <v>-875.51767586964581</v>
      </c>
      <c r="AJ77" s="107">
        <f t="shared" si="17"/>
        <v>415.30945563728841</v>
      </c>
      <c r="AK77" s="107">
        <f t="shared" si="18"/>
        <v>-445.24196536733444</v>
      </c>
      <c r="AL77" s="111">
        <f t="shared" si="35"/>
        <v>485.35100144660726</v>
      </c>
      <c r="AM77" s="107">
        <f t="shared" si="36"/>
        <v>1585.641721726066</v>
      </c>
      <c r="AN77" s="107"/>
      <c r="AO77" s="106">
        <v>24</v>
      </c>
      <c r="AP77" s="107">
        <f>'D - Forecast'!AF54-'D - Forecast'!AG54</f>
        <v>14475</v>
      </c>
      <c r="AQ77" s="107">
        <f t="shared" si="37"/>
        <v>14446.5</v>
      </c>
      <c r="AR77" s="111">
        <f t="shared" si="19"/>
        <v>73.587719298245972</v>
      </c>
      <c r="AS77" s="107">
        <f t="shared" si="20"/>
        <v>16048.00681224338</v>
      </c>
      <c r="AT77" s="107">
        <f t="shared" si="21"/>
        <v>-15900.831373646888</v>
      </c>
      <c r="AU77" s="107">
        <f t="shared" si="22"/>
        <v>10723.200447928337</v>
      </c>
      <c r="AV77" s="107">
        <f t="shared" si="23"/>
        <v>-10576.025009331845</v>
      </c>
      <c r="AW77" s="107">
        <f t="shared" si="24"/>
        <v>5398.3940836132915</v>
      </c>
      <c r="AX77" s="107">
        <f t="shared" si="25"/>
        <v>-5251.2186450167992</v>
      </c>
      <c r="AY77" s="111">
        <f t="shared" si="38"/>
        <v>6006.3815789473701</v>
      </c>
      <c r="AZ77" s="107">
        <f t="shared" si="39"/>
        <v>19622.848618421056</v>
      </c>
    </row>
    <row r="78" spans="2:52" ht="14.25" customHeight="1">
      <c r="B78" s="106">
        <v>25</v>
      </c>
      <c r="C78" s="107">
        <f>'A - Forecast'!Q52-'A - Forecast'!R52</f>
        <v>21.850988424357638</v>
      </c>
      <c r="D78" s="110">
        <f t="shared" si="26"/>
        <v>14.639421661875531</v>
      </c>
      <c r="E78" s="111">
        <f t="shared" si="27"/>
        <v>-67.841696398107345</v>
      </c>
      <c r="F78" s="107">
        <f t="shared" si="0"/>
        <v>674.23235321313007</v>
      </c>
      <c r="G78" s="107">
        <f t="shared" si="1"/>
        <v>-809.91574600934484</v>
      </c>
      <c r="H78" s="107">
        <f t="shared" si="2"/>
        <v>426.87433667605097</v>
      </c>
      <c r="I78" s="107">
        <f t="shared" si="3"/>
        <v>-562.55772947226569</v>
      </c>
      <c r="J78" s="107">
        <f t="shared" si="4"/>
        <v>179.51632013897182</v>
      </c>
      <c r="K78" s="107">
        <f t="shared" si="5"/>
        <v>-315.19971293518648</v>
      </c>
      <c r="L78" s="107">
        <f t="shared" si="28"/>
        <v>279.01984265382526</v>
      </c>
      <c r="M78" s="107">
        <f t="shared" si="29"/>
        <v>911.55782595004712</v>
      </c>
      <c r="O78" s="106">
        <v>25</v>
      </c>
      <c r="P78" s="107">
        <f>'B - Forecast'!C53-'B - Forecast'!D53</f>
        <v>-63.133958724203694</v>
      </c>
      <c r="Q78" s="107">
        <f t="shared" si="30"/>
        <v>206.69643527204607</v>
      </c>
      <c r="R78" s="111">
        <f t="shared" si="31"/>
        <v>2.2737367544323207E-14</v>
      </c>
      <c r="S78" s="107">
        <f t="shared" si="6"/>
        <v>785.12611196236526</v>
      </c>
      <c r="T78" s="107">
        <f t="shared" si="7"/>
        <v>-785.12611196236526</v>
      </c>
      <c r="U78" s="107">
        <f t="shared" si="8"/>
        <v>523.41740797491013</v>
      </c>
      <c r="V78" s="107">
        <f t="shared" si="9"/>
        <v>-523.41740797491013</v>
      </c>
      <c r="W78" s="107">
        <f t="shared" si="10"/>
        <v>261.70870398745507</v>
      </c>
      <c r="X78" s="107">
        <f t="shared" si="11"/>
        <v>-261.70870398745507</v>
      </c>
      <c r="Y78" s="107">
        <f t="shared" si="32"/>
        <v>295.20741809784926</v>
      </c>
      <c r="Z78" s="107">
        <f t="shared" si="33"/>
        <v>964.44263492567347</v>
      </c>
      <c r="AB78" s="106">
        <v>25</v>
      </c>
      <c r="AC78" s="107">
        <f>'C - Forecast'!D69-'C - Forecast'!E69</f>
        <v>-54.797687231879536</v>
      </c>
      <c r="AD78" s="107">
        <f t="shared" si="34"/>
        <v>435.3890663488819</v>
      </c>
      <c r="AE78" s="111">
        <f t="shared" si="12"/>
        <v>-14.966254865023009</v>
      </c>
      <c r="AF78" s="107">
        <f t="shared" si="13"/>
        <v>1275.8608766419111</v>
      </c>
      <c r="AG78" s="107">
        <f t="shared" si="14"/>
        <v>-1305.7933863719572</v>
      </c>
      <c r="AH78" s="107">
        <f t="shared" si="15"/>
        <v>845.58516613959989</v>
      </c>
      <c r="AI78" s="107">
        <f t="shared" si="16"/>
        <v>-875.51767586964581</v>
      </c>
      <c r="AJ78" s="107">
        <f t="shared" si="17"/>
        <v>415.30945563728841</v>
      </c>
      <c r="AK78" s="107">
        <f t="shared" si="18"/>
        <v>-445.24196536733444</v>
      </c>
      <c r="AL78" s="111">
        <f t="shared" si="35"/>
        <v>485.35100144660726</v>
      </c>
      <c r="AM78" s="107">
        <f t="shared" si="36"/>
        <v>1585.641721726066</v>
      </c>
      <c r="AN78" s="107"/>
      <c r="AO78" s="106">
        <v>25</v>
      </c>
      <c r="AP78" s="107">
        <f>'D - Forecast'!AF55-'D - Forecast'!AG55</f>
        <v>1971.1666666666679</v>
      </c>
      <c r="AQ78" s="107">
        <f t="shared" si="37"/>
        <v>12503.833333333332</v>
      </c>
      <c r="AR78" s="111">
        <f t="shared" si="19"/>
        <v>73.587719298245972</v>
      </c>
      <c r="AS78" s="107">
        <f t="shared" si="20"/>
        <v>16048.00681224338</v>
      </c>
      <c r="AT78" s="107">
        <f t="shared" si="21"/>
        <v>-15900.831373646888</v>
      </c>
      <c r="AU78" s="107">
        <f t="shared" si="22"/>
        <v>10723.200447928337</v>
      </c>
      <c r="AV78" s="107">
        <f t="shared" si="23"/>
        <v>-10576.025009331845</v>
      </c>
      <c r="AW78" s="107">
        <f t="shared" si="24"/>
        <v>5398.3940836132915</v>
      </c>
      <c r="AX78" s="107">
        <f t="shared" si="25"/>
        <v>-5251.2186450167992</v>
      </c>
      <c r="AY78" s="111">
        <f t="shared" si="38"/>
        <v>6006.3815789473701</v>
      </c>
      <c r="AZ78" s="107">
        <f t="shared" si="39"/>
        <v>19622.848618421056</v>
      </c>
    </row>
    <row r="79" spans="2:52" ht="14.25" customHeight="1">
      <c r="B79" s="106">
        <v>26</v>
      </c>
      <c r="C79" s="107">
        <f>'A - Forecast'!Q53-'A - Forecast'!R53</f>
        <v>124.75843900314067</v>
      </c>
      <c r="D79" s="110">
        <f t="shared" si="26"/>
        <v>102.90745057878303</v>
      </c>
      <c r="E79" s="111">
        <f t="shared" si="27"/>
        <v>-67.841696398107345</v>
      </c>
      <c r="F79" s="107">
        <f t="shared" si="0"/>
        <v>674.23235321313007</v>
      </c>
      <c r="G79" s="107">
        <f t="shared" si="1"/>
        <v>-809.91574600934484</v>
      </c>
      <c r="H79" s="107">
        <f t="shared" si="2"/>
        <v>426.87433667605097</v>
      </c>
      <c r="I79" s="107">
        <f t="shared" si="3"/>
        <v>-562.55772947226569</v>
      </c>
      <c r="J79" s="107">
        <f t="shared" si="4"/>
        <v>179.51632013897182</v>
      </c>
      <c r="K79" s="107">
        <f t="shared" si="5"/>
        <v>-315.19971293518648</v>
      </c>
      <c r="L79" s="107">
        <f t="shared" si="28"/>
        <v>279.01984265382526</v>
      </c>
      <c r="M79" s="107">
        <f t="shared" si="29"/>
        <v>911.55782595004712</v>
      </c>
      <c r="O79" s="106">
        <v>26</v>
      </c>
      <c r="P79" s="107">
        <f>'B - Forecast'!C54-'B - Forecast'!D54</f>
        <v>223.16960600375205</v>
      </c>
      <c r="Q79" s="107">
        <f t="shared" si="30"/>
        <v>286.30356472795575</v>
      </c>
      <c r="R79" s="111">
        <f t="shared" si="31"/>
        <v>2.2737367544323207E-14</v>
      </c>
      <c r="S79" s="107">
        <f t="shared" si="6"/>
        <v>785.12611196236526</v>
      </c>
      <c r="T79" s="107">
        <f t="shared" si="7"/>
        <v>-785.12611196236526</v>
      </c>
      <c r="U79" s="107">
        <f t="shared" si="8"/>
        <v>523.41740797491013</v>
      </c>
      <c r="V79" s="107">
        <f t="shared" si="9"/>
        <v>-523.41740797491013</v>
      </c>
      <c r="W79" s="107">
        <f t="shared" si="10"/>
        <v>261.70870398745507</v>
      </c>
      <c r="X79" s="107">
        <f t="shared" si="11"/>
        <v>-261.70870398745507</v>
      </c>
      <c r="Y79" s="107">
        <f t="shared" si="32"/>
        <v>295.20741809784926</v>
      </c>
      <c r="Z79" s="107">
        <f t="shared" si="33"/>
        <v>964.44263492567347</v>
      </c>
      <c r="AB79" s="106">
        <v>26</v>
      </c>
      <c r="AC79" s="107">
        <f>'C - Forecast'!D70-'C - Forecast'!E70</f>
        <v>414.95785904473451</v>
      </c>
      <c r="AD79" s="107">
        <f t="shared" si="34"/>
        <v>469.75554627661404</v>
      </c>
      <c r="AE79" s="111">
        <f t="shared" si="12"/>
        <v>-14.966254865023009</v>
      </c>
      <c r="AF79" s="107">
        <f t="shared" si="13"/>
        <v>1275.8608766419111</v>
      </c>
      <c r="AG79" s="107">
        <f t="shared" si="14"/>
        <v>-1305.7933863719572</v>
      </c>
      <c r="AH79" s="107">
        <f t="shared" si="15"/>
        <v>845.58516613959989</v>
      </c>
      <c r="AI79" s="107">
        <f t="shared" si="16"/>
        <v>-875.51767586964581</v>
      </c>
      <c r="AJ79" s="107">
        <f t="shared" si="17"/>
        <v>415.30945563728841</v>
      </c>
      <c r="AK79" s="107">
        <f t="shared" si="18"/>
        <v>-445.24196536733444</v>
      </c>
      <c r="AL79" s="111">
        <f t="shared" si="35"/>
        <v>485.35100144660726</v>
      </c>
      <c r="AM79" s="107">
        <f t="shared" si="36"/>
        <v>1585.641721726066</v>
      </c>
      <c r="AN79" s="107"/>
      <c r="AO79" s="106">
        <v>26</v>
      </c>
      <c r="AP79" s="107">
        <f>'D - Forecast'!AF56-'D - Forecast'!AG56</f>
        <v>-5632.8333333333321</v>
      </c>
      <c r="AQ79" s="107">
        <f t="shared" si="37"/>
        <v>7604</v>
      </c>
      <c r="AR79" s="111">
        <f t="shared" si="19"/>
        <v>73.587719298245972</v>
      </c>
      <c r="AS79" s="107">
        <f t="shared" si="20"/>
        <v>16048.00681224338</v>
      </c>
      <c r="AT79" s="107">
        <f t="shared" si="21"/>
        <v>-15900.831373646888</v>
      </c>
      <c r="AU79" s="107">
        <f t="shared" si="22"/>
        <v>10723.200447928337</v>
      </c>
      <c r="AV79" s="107">
        <f t="shared" si="23"/>
        <v>-10576.025009331845</v>
      </c>
      <c r="AW79" s="107">
        <f t="shared" si="24"/>
        <v>5398.3940836132915</v>
      </c>
      <c r="AX79" s="107">
        <f t="shared" si="25"/>
        <v>-5251.2186450167992</v>
      </c>
      <c r="AY79" s="111">
        <f t="shared" si="38"/>
        <v>6006.3815789473701</v>
      </c>
      <c r="AZ79" s="107">
        <f t="shared" si="39"/>
        <v>19622.848618421056</v>
      </c>
    </row>
    <row r="80" spans="2:52" ht="14.25" customHeight="1">
      <c r="B80" s="106">
        <v>27</v>
      </c>
      <c r="C80" s="107">
        <f>'A - Forecast'!Q54-'A - Forecast'!R54</f>
        <v>-284.47948294701564</v>
      </c>
      <c r="D80" s="110">
        <f t="shared" si="26"/>
        <v>409.23792195015631</v>
      </c>
      <c r="E80" s="111">
        <f t="shared" si="27"/>
        <v>-67.841696398107345</v>
      </c>
      <c r="F80" s="107">
        <f t="shared" si="0"/>
        <v>674.23235321313007</v>
      </c>
      <c r="G80" s="107">
        <f t="shared" si="1"/>
        <v>-809.91574600934484</v>
      </c>
      <c r="H80" s="107">
        <f t="shared" si="2"/>
        <v>426.87433667605097</v>
      </c>
      <c r="I80" s="107">
        <f t="shared" si="3"/>
        <v>-562.55772947226569</v>
      </c>
      <c r="J80" s="107">
        <f t="shared" si="4"/>
        <v>179.51632013897182</v>
      </c>
      <c r="K80" s="107">
        <f t="shared" si="5"/>
        <v>-315.19971293518648</v>
      </c>
      <c r="L80" s="107">
        <f t="shared" si="28"/>
        <v>279.01984265382526</v>
      </c>
      <c r="M80" s="107">
        <f t="shared" si="29"/>
        <v>911.55782595004712</v>
      </c>
      <c r="O80" s="106">
        <v>27</v>
      </c>
      <c r="P80" s="107">
        <f>'B - Forecast'!C55-'B - Forecast'!D55</f>
        <v>156.4731707317078</v>
      </c>
      <c r="Q80" s="107">
        <f t="shared" si="30"/>
        <v>66.696435272044255</v>
      </c>
      <c r="R80" s="111">
        <f t="shared" si="31"/>
        <v>2.2737367544323207E-14</v>
      </c>
      <c r="S80" s="107">
        <f t="shared" si="6"/>
        <v>785.12611196236526</v>
      </c>
      <c r="T80" s="107">
        <f t="shared" si="7"/>
        <v>-785.12611196236526</v>
      </c>
      <c r="U80" s="107">
        <f t="shared" si="8"/>
        <v>523.41740797491013</v>
      </c>
      <c r="V80" s="107">
        <f t="shared" si="9"/>
        <v>-523.41740797491013</v>
      </c>
      <c r="W80" s="107">
        <f t="shared" si="10"/>
        <v>261.70870398745507</v>
      </c>
      <c r="X80" s="107">
        <f t="shared" si="11"/>
        <v>-261.70870398745507</v>
      </c>
      <c r="Y80" s="107">
        <f t="shared" si="32"/>
        <v>295.20741809784926</v>
      </c>
      <c r="Z80" s="107">
        <f t="shared" si="33"/>
        <v>964.44263492567347</v>
      </c>
      <c r="AB80" s="106">
        <v>27</v>
      </c>
      <c r="AC80" s="107">
        <f>'C - Forecast'!D71-'C - Forecast'!E71</f>
        <v>-993.28779517146722</v>
      </c>
      <c r="AD80" s="107">
        <f t="shared" si="34"/>
        <v>1408.2456542162017</v>
      </c>
      <c r="AE80" s="111">
        <f t="shared" si="12"/>
        <v>-14.966254865023009</v>
      </c>
      <c r="AF80" s="107">
        <f t="shared" si="13"/>
        <v>1275.8608766419111</v>
      </c>
      <c r="AG80" s="107">
        <f t="shared" si="14"/>
        <v>-1305.7933863719572</v>
      </c>
      <c r="AH80" s="107">
        <f t="shared" si="15"/>
        <v>845.58516613959989</v>
      </c>
      <c r="AI80" s="107">
        <f t="shared" si="16"/>
        <v>-875.51767586964581</v>
      </c>
      <c r="AJ80" s="107">
        <f t="shared" si="17"/>
        <v>415.30945563728841</v>
      </c>
      <c r="AK80" s="107">
        <f t="shared" si="18"/>
        <v>-445.24196536733444</v>
      </c>
      <c r="AL80" s="111">
        <f t="shared" si="35"/>
        <v>485.35100144660726</v>
      </c>
      <c r="AM80" s="107">
        <f t="shared" si="36"/>
        <v>1585.641721726066</v>
      </c>
      <c r="AN80" s="107"/>
      <c r="AO80" s="106">
        <v>27</v>
      </c>
      <c r="AP80" s="107">
        <f>'D - Forecast'!AF57-'D - Forecast'!AG57</f>
        <v>-8324.3333333333321</v>
      </c>
      <c r="AQ80" s="107">
        <f t="shared" si="37"/>
        <v>2691.5</v>
      </c>
      <c r="AR80" s="111">
        <f t="shared" si="19"/>
        <v>73.587719298245972</v>
      </c>
      <c r="AS80" s="107">
        <f t="shared" si="20"/>
        <v>16048.00681224338</v>
      </c>
      <c r="AT80" s="107">
        <f t="shared" si="21"/>
        <v>-15900.831373646888</v>
      </c>
      <c r="AU80" s="107">
        <f t="shared" si="22"/>
        <v>10723.200447928337</v>
      </c>
      <c r="AV80" s="107">
        <f t="shared" si="23"/>
        <v>-10576.025009331845</v>
      </c>
      <c r="AW80" s="107">
        <f t="shared" si="24"/>
        <v>5398.3940836132915</v>
      </c>
      <c r="AX80" s="107">
        <f t="shared" si="25"/>
        <v>-5251.2186450167992</v>
      </c>
      <c r="AY80" s="111">
        <f t="shared" si="38"/>
        <v>6006.3815789473701</v>
      </c>
      <c r="AZ80" s="107">
        <f t="shared" si="39"/>
        <v>19622.848618421056</v>
      </c>
    </row>
    <row r="81" spans="2:52" ht="14.25" customHeight="1">
      <c r="B81" s="106">
        <v>28</v>
      </c>
      <c r="C81" s="107">
        <f>'A - Forecast'!Q55-'A - Forecast'!R55</f>
        <v>-287.25550879966431</v>
      </c>
      <c r="D81" s="110">
        <f t="shared" si="26"/>
        <v>2.7760258526486723</v>
      </c>
      <c r="E81" s="111">
        <f t="shared" si="27"/>
        <v>-67.841696398107345</v>
      </c>
      <c r="F81" s="107">
        <f t="shared" si="0"/>
        <v>674.23235321313007</v>
      </c>
      <c r="G81" s="107">
        <f t="shared" si="1"/>
        <v>-809.91574600934484</v>
      </c>
      <c r="H81" s="107">
        <f t="shared" si="2"/>
        <v>426.87433667605097</v>
      </c>
      <c r="I81" s="107">
        <f t="shared" si="3"/>
        <v>-562.55772947226569</v>
      </c>
      <c r="J81" s="107">
        <f t="shared" si="4"/>
        <v>179.51632013897182</v>
      </c>
      <c r="K81" s="107">
        <f t="shared" si="5"/>
        <v>-315.19971293518648</v>
      </c>
      <c r="L81" s="107">
        <f t="shared" si="28"/>
        <v>279.01984265382526</v>
      </c>
      <c r="M81" s="107">
        <f t="shared" si="29"/>
        <v>911.55782595004712</v>
      </c>
      <c r="O81" s="106">
        <v>28</v>
      </c>
      <c r="P81" s="107">
        <f>'B - Forecast'!C56-'B - Forecast'!D56</f>
        <v>-1.2232645403382776</v>
      </c>
      <c r="Q81" s="107">
        <f t="shared" si="30"/>
        <v>157.69643527204607</v>
      </c>
      <c r="R81" s="111">
        <f t="shared" si="31"/>
        <v>2.2737367544323207E-14</v>
      </c>
      <c r="S81" s="107">
        <f t="shared" si="6"/>
        <v>785.12611196236526</v>
      </c>
      <c r="T81" s="107">
        <f t="shared" si="7"/>
        <v>-785.12611196236526</v>
      </c>
      <c r="U81" s="107">
        <f t="shared" si="8"/>
        <v>523.41740797491013</v>
      </c>
      <c r="V81" s="107">
        <f t="shared" si="9"/>
        <v>-523.41740797491013</v>
      </c>
      <c r="W81" s="107">
        <f t="shared" si="10"/>
        <v>261.70870398745507</v>
      </c>
      <c r="X81" s="107">
        <f t="shared" si="11"/>
        <v>-261.70870398745507</v>
      </c>
      <c r="Y81" s="107">
        <f t="shared" si="32"/>
        <v>295.20741809784926</v>
      </c>
      <c r="Z81" s="107">
        <f t="shared" si="33"/>
        <v>964.44263492567347</v>
      </c>
      <c r="AB81" s="106">
        <v>28</v>
      </c>
      <c r="AC81" s="107">
        <f>'C - Forecast'!D72-'C - Forecast'!E72</f>
        <v>360.95073523256542</v>
      </c>
      <c r="AD81" s="107">
        <f t="shared" si="34"/>
        <v>1354.2385304040326</v>
      </c>
      <c r="AE81" s="111">
        <f t="shared" si="12"/>
        <v>-14.966254865023009</v>
      </c>
      <c r="AF81" s="107">
        <f t="shared" si="13"/>
        <v>1275.8608766419111</v>
      </c>
      <c r="AG81" s="107">
        <f t="shared" si="14"/>
        <v>-1305.7933863719572</v>
      </c>
      <c r="AH81" s="107">
        <f t="shared" si="15"/>
        <v>845.58516613959989</v>
      </c>
      <c r="AI81" s="107">
        <f t="shared" si="16"/>
        <v>-875.51767586964581</v>
      </c>
      <c r="AJ81" s="107">
        <f t="shared" si="17"/>
        <v>415.30945563728841</v>
      </c>
      <c r="AK81" s="107">
        <f t="shared" si="18"/>
        <v>-445.24196536733444</v>
      </c>
      <c r="AL81" s="111">
        <f t="shared" si="35"/>
        <v>485.35100144660726</v>
      </c>
      <c r="AM81" s="107">
        <f t="shared" si="36"/>
        <v>1585.641721726066</v>
      </c>
      <c r="AN81" s="107"/>
      <c r="AO81" s="106">
        <v>28</v>
      </c>
      <c r="AP81" s="107">
        <f>'D - Forecast'!AF58-'D - Forecast'!AG58</f>
        <v>3031.666666666667</v>
      </c>
      <c r="AQ81" s="107">
        <f t="shared" si="37"/>
        <v>11356</v>
      </c>
      <c r="AR81" s="111">
        <f t="shared" si="19"/>
        <v>73.587719298245972</v>
      </c>
      <c r="AS81" s="107">
        <f t="shared" si="20"/>
        <v>16048.00681224338</v>
      </c>
      <c r="AT81" s="107">
        <f t="shared" si="21"/>
        <v>-15900.831373646888</v>
      </c>
      <c r="AU81" s="107">
        <f t="shared" si="22"/>
        <v>10723.200447928337</v>
      </c>
      <c r="AV81" s="107">
        <f t="shared" si="23"/>
        <v>-10576.025009331845</v>
      </c>
      <c r="AW81" s="107">
        <f t="shared" si="24"/>
        <v>5398.3940836132915</v>
      </c>
      <c r="AX81" s="107">
        <f t="shared" si="25"/>
        <v>-5251.2186450167992</v>
      </c>
      <c r="AY81" s="111">
        <f t="shared" si="38"/>
        <v>6006.3815789473701</v>
      </c>
      <c r="AZ81" s="107">
        <f t="shared" si="39"/>
        <v>19622.848618421056</v>
      </c>
    </row>
    <row r="82" spans="2:52" ht="14.25" customHeight="1">
      <c r="B82" s="106">
        <v>29</v>
      </c>
      <c r="C82" s="107">
        <f>'A - Forecast'!Q56-'A - Forecast'!R56</f>
        <v>95.107266640319722</v>
      </c>
      <c r="D82" s="110">
        <f t="shared" si="26"/>
        <v>382.36277543998403</v>
      </c>
      <c r="E82" s="111">
        <f t="shared" si="27"/>
        <v>-67.841696398107345</v>
      </c>
      <c r="F82" s="107">
        <f t="shared" si="0"/>
        <v>674.23235321313007</v>
      </c>
      <c r="G82" s="107">
        <f t="shared" si="1"/>
        <v>-809.91574600934484</v>
      </c>
      <c r="H82" s="107">
        <f t="shared" si="2"/>
        <v>426.87433667605097</v>
      </c>
      <c r="I82" s="107">
        <f t="shared" si="3"/>
        <v>-562.55772947226569</v>
      </c>
      <c r="J82" s="107">
        <f t="shared" si="4"/>
        <v>179.51632013897182</v>
      </c>
      <c r="K82" s="107">
        <f t="shared" si="5"/>
        <v>-315.19971293518648</v>
      </c>
      <c r="L82" s="107">
        <f t="shared" si="28"/>
        <v>279.01984265382526</v>
      </c>
      <c r="M82" s="107">
        <f t="shared" si="29"/>
        <v>911.55782595004712</v>
      </c>
      <c r="O82" s="106">
        <v>29</v>
      </c>
      <c r="P82" s="107">
        <f>'B - Forecast'!C57-'B - Forecast'!D57</f>
        <v>-228.91969981238253</v>
      </c>
      <c r="Q82" s="107">
        <f t="shared" si="30"/>
        <v>227.69643527204425</v>
      </c>
      <c r="R82" s="111">
        <f t="shared" si="31"/>
        <v>2.2737367544323207E-14</v>
      </c>
      <c r="S82" s="107">
        <f t="shared" si="6"/>
        <v>785.12611196236526</v>
      </c>
      <c r="T82" s="107">
        <f t="shared" si="7"/>
        <v>-785.12611196236526</v>
      </c>
      <c r="U82" s="107">
        <f t="shared" si="8"/>
        <v>523.41740797491013</v>
      </c>
      <c r="V82" s="107">
        <f t="shared" si="9"/>
        <v>-523.41740797491013</v>
      </c>
      <c r="W82" s="107">
        <f t="shared" si="10"/>
        <v>261.70870398745507</v>
      </c>
      <c r="X82" s="107">
        <f t="shared" si="11"/>
        <v>-261.70870398745507</v>
      </c>
      <c r="Y82" s="107">
        <f t="shared" si="32"/>
        <v>295.20741809784926</v>
      </c>
      <c r="Z82" s="107">
        <f t="shared" si="33"/>
        <v>964.44263492567347</v>
      </c>
      <c r="AB82" s="106">
        <v>29</v>
      </c>
      <c r="AC82" s="107">
        <f>'C - Forecast'!D73-'C - Forecast'!E73</f>
        <v>0</v>
      </c>
      <c r="AD82" s="107">
        <f t="shared" si="34"/>
        <v>360.95073523256542</v>
      </c>
      <c r="AE82" s="111">
        <f t="shared" si="12"/>
        <v>-14.966254865023009</v>
      </c>
      <c r="AF82" s="107">
        <f t="shared" si="13"/>
        <v>1275.8608766419111</v>
      </c>
      <c r="AG82" s="107">
        <f t="shared" si="14"/>
        <v>-1305.7933863719572</v>
      </c>
      <c r="AH82" s="107">
        <f t="shared" si="15"/>
        <v>845.58516613959989</v>
      </c>
      <c r="AI82" s="107">
        <f t="shared" si="16"/>
        <v>-875.51767586964581</v>
      </c>
      <c r="AJ82" s="107">
        <f t="shared" si="17"/>
        <v>415.30945563728841</v>
      </c>
      <c r="AK82" s="107">
        <f t="shared" si="18"/>
        <v>-445.24196536733444</v>
      </c>
      <c r="AL82" s="111">
        <f t="shared" si="35"/>
        <v>485.35100144660726</v>
      </c>
      <c r="AM82" s="107">
        <f t="shared" si="36"/>
        <v>1585.641721726066</v>
      </c>
      <c r="AN82" s="107"/>
      <c r="AO82" s="106">
        <v>29</v>
      </c>
      <c r="AP82" s="107">
        <f>'D - Forecast'!AF59-'D - Forecast'!AG59</f>
        <v>2228</v>
      </c>
      <c r="AQ82" s="107">
        <f t="shared" si="37"/>
        <v>803.66666666666697</v>
      </c>
      <c r="AR82" s="111">
        <f t="shared" si="19"/>
        <v>73.587719298245972</v>
      </c>
      <c r="AS82" s="107">
        <f t="shared" si="20"/>
        <v>16048.00681224338</v>
      </c>
      <c r="AT82" s="107">
        <f t="shared" si="21"/>
        <v>-15900.831373646888</v>
      </c>
      <c r="AU82" s="107">
        <f t="shared" si="22"/>
        <v>10723.200447928337</v>
      </c>
      <c r="AV82" s="107">
        <f t="shared" si="23"/>
        <v>-10576.025009331845</v>
      </c>
      <c r="AW82" s="107">
        <f t="shared" si="24"/>
        <v>5398.3940836132915</v>
      </c>
      <c r="AX82" s="107">
        <f t="shared" si="25"/>
        <v>-5251.2186450167992</v>
      </c>
      <c r="AY82" s="111">
        <f t="shared" si="38"/>
        <v>6006.3815789473701</v>
      </c>
      <c r="AZ82" s="107">
        <f t="shared" si="39"/>
        <v>19622.848618421056</v>
      </c>
    </row>
    <row r="83" spans="2:52" ht="14.25" customHeight="1">
      <c r="B83" s="106">
        <v>30</v>
      </c>
      <c r="C83" s="107">
        <f>'A - Forecast'!Q57-'A - Forecast'!R57</f>
        <v>45.351903308303008</v>
      </c>
      <c r="D83" s="110">
        <f t="shared" si="26"/>
        <v>49.755363332016714</v>
      </c>
      <c r="E83" s="111">
        <f t="shared" si="27"/>
        <v>-67.841696398107345</v>
      </c>
      <c r="F83" s="107">
        <f t="shared" si="0"/>
        <v>674.23235321313007</v>
      </c>
      <c r="G83" s="107">
        <f t="shared" si="1"/>
        <v>-809.91574600934484</v>
      </c>
      <c r="H83" s="107">
        <f t="shared" si="2"/>
        <v>426.87433667605097</v>
      </c>
      <c r="I83" s="107">
        <f t="shared" si="3"/>
        <v>-562.55772947226569</v>
      </c>
      <c r="J83" s="107">
        <f t="shared" si="4"/>
        <v>179.51632013897182</v>
      </c>
      <c r="K83" s="107">
        <f t="shared" si="5"/>
        <v>-315.19971293518648</v>
      </c>
      <c r="L83" s="107">
        <f t="shared" si="28"/>
        <v>279.01984265382526</v>
      </c>
      <c r="M83" s="107">
        <f t="shared" si="29"/>
        <v>911.55782595004712</v>
      </c>
      <c r="O83" s="106">
        <v>30</v>
      </c>
      <c r="P83" s="107">
        <f>'B - Forecast'!C58-'B - Forecast'!D58</f>
        <v>-423.61613508442679</v>
      </c>
      <c r="Q83" s="107">
        <f t="shared" si="30"/>
        <v>194.69643527204425</v>
      </c>
      <c r="R83" s="111">
        <f t="shared" si="31"/>
        <v>2.2737367544323207E-14</v>
      </c>
      <c r="S83" s="107">
        <f t="shared" si="6"/>
        <v>785.12611196236526</v>
      </c>
      <c r="T83" s="107">
        <f t="shared" si="7"/>
        <v>-785.12611196236526</v>
      </c>
      <c r="U83" s="107">
        <f t="shared" si="8"/>
        <v>523.41740797491013</v>
      </c>
      <c r="V83" s="107">
        <f t="shared" si="9"/>
        <v>-523.41740797491013</v>
      </c>
      <c r="W83" s="107">
        <f t="shared" si="10"/>
        <v>261.70870398745507</v>
      </c>
      <c r="X83" s="107">
        <f t="shared" si="11"/>
        <v>-261.70870398745507</v>
      </c>
      <c r="Y83" s="107">
        <f t="shared" si="32"/>
        <v>295.20741809784926</v>
      </c>
      <c r="Z83" s="107">
        <f t="shared" si="33"/>
        <v>964.44263492567347</v>
      </c>
      <c r="AB83" s="106">
        <v>30</v>
      </c>
      <c r="AC83" s="107">
        <f>'C - Forecast'!D74-'C - Forecast'!E74</f>
        <v>0</v>
      </c>
      <c r="AD83" s="107">
        <f t="shared" si="34"/>
        <v>0</v>
      </c>
      <c r="AE83" s="111">
        <f t="shared" si="12"/>
        <v>-14.966254865023009</v>
      </c>
      <c r="AF83" s="107">
        <f t="shared" si="13"/>
        <v>1275.8608766419111</v>
      </c>
      <c r="AG83" s="107">
        <f t="shared" si="14"/>
        <v>-1305.7933863719572</v>
      </c>
      <c r="AH83" s="107">
        <f t="shared" si="15"/>
        <v>845.58516613959989</v>
      </c>
      <c r="AI83" s="107">
        <f t="shared" si="16"/>
        <v>-875.51767586964581</v>
      </c>
      <c r="AJ83" s="107">
        <f t="shared" si="17"/>
        <v>415.30945563728841</v>
      </c>
      <c r="AK83" s="107">
        <f t="shared" si="18"/>
        <v>-445.24196536733444</v>
      </c>
      <c r="AL83" s="111">
        <f t="shared" si="35"/>
        <v>485.35100144660726</v>
      </c>
      <c r="AM83" s="107">
        <f t="shared" si="36"/>
        <v>1585.641721726066</v>
      </c>
      <c r="AN83" s="107"/>
      <c r="AO83" s="106">
        <v>30</v>
      </c>
      <c r="AP83" s="107">
        <f>'D - Forecast'!AF60-'D - Forecast'!AG60</f>
        <v>-4648.333333333333</v>
      </c>
      <c r="AQ83" s="107">
        <f t="shared" si="37"/>
        <v>6876.333333333333</v>
      </c>
      <c r="AR83" s="111">
        <f t="shared" si="19"/>
        <v>73.587719298245972</v>
      </c>
      <c r="AS83" s="107">
        <f t="shared" si="20"/>
        <v>16048.00681224338</v>
      </c>
      <c r="AT83" s="107">
        <f t="shared" si="21"/>
        <v>-15900.831373646888</v>
      </c>
      <c r="AU83" s="107">
        <f t="shared" si="22"/>
        <v>10723.200447928337</v>
      </c>
      <c r="AV83" s="107">
        <f t="shared" si="23"/>
        <v>-10576.025009331845</v>
      </c>
      <c r="AW83" s="107">
        <f t="shared" si="24"/>
        <v>5398.3940836132915</v>
      </c>
      <c r="AX83" s="107">
        <f t="shared" si="25"/>
        <v>-5251.2186450167992</v>
      </c>
      <c r="AY83" s="111">
        <f t="shared" si="38"/>
        <v>6006.3815789473701</v>
      </c>
      <c r="AZ83" s="107">
        <f t="shared" si="39"/>
        <v>19622.848618421056</v>
      </c>
    </row>
    <row r="84" spans="2:52" ht="14.25" customHeight="1">
      <c r="B84" s="106">
        <v>31</v>
      </c>
      <c r="C84" s="107">
        <f>'A - Forecast'!Q58-'A - Forecast'!R58</f>
        <v>34.084308142888403</v>
      </c>
      <c r="D84" s="110">
        <f t="shared" si="26"/>
        <v>11.267595165414605</v>
      </c>
      <c r="E84" s="111">
        <f t="shared" si="27"/>
        <v>-67.841696398107345</v>
      </c>
      <c r="F84" s="107">
        <f t="shared" si="0"/>
        <v>674.23235321313007</v>
      </c>
      <c r="G84" s="107">
        <f t="shared" si="1"/>
        <v>-809.91574600934484</v>
      </c>
      <c r="H84" s="107">
        <f t="shared" si="2"/>
        <v>426.87433667605097</v>
      </c>
      <c r="I84" s="107">
        <f t="shared" si="3"/>
        <v>-562.55772947226569</v>
      </c>
      <c r="J84" s="107">
        <f t="shared" si="4"/>
        <v>179.51632013897182</v>
      </c>
      <c r="K84" s="107">
        <f t="shared" si="5"/>
        <v>-315.19971293518648</v>
      </c>
      <c r="L84" s="107">
        <f t="shared" si="28"/>
        <v>279.01984265382526</v>
      </c>
      <c r="M84" s="107">
        <f t="shared" si="29"/>
        <v>911.55782595004712</v>
      </c>
      <c r="O84" s="106">
        <v>31</v>
      </c>
      <c r="P84" s="107">
        <f>'B - Forecast'!C59-'B - Forecast'!D59</f>
        <v>-97.312570356472861</v>
      </c>
      <c r="Q84" s="107">
        <f t="shared" si="30"/>
        <v>326.30356472795393</v>
      </c>
      <c r="R84" s="111">
        <f t="shared" si="31"/>
        <v>2.2737367544323207E-14</v>
      </c>
      <c r="S84" s="107">
        <f t="shared" si="6"/>
        <v>785.12611196236526</v>
      </c>
      <c r="T84" s="107">
        <f t="shared" si="7"/>
        <v>-785.12611196236526</v>
      </c>
      <c r="U84" s="107">
        <f t="shared" si="8"/>
        <v>523.41740797491013</v>
      </c>
      <c r="V84" s="107">
        <f t="shared" si="9"/>
        <v>-523.41740797491013</v>
      </c>
      <c r="W84" s="107">
        <f t="shared" si="10"/>
        <v>261.70870398745507</v>
      </c>
      <c r="X84" s="107">
        <f t="shared" si="11"/>
        <v>-261.70870398745507</v>
      </c>
      <c r="Y84" s="107">
        <f t="shared" si="32"/>
        <v>295.20741809784926</v>
      </c>
      <c r="Z84" s="107">
        <f t="shared" si="33"/>
        <v>964.44263492567347</v>
      </c>
      <c r="AB84" s="106">
        <v>31</v>
      </c>
      <c r="AC84" s="107">
        <f>'C - Forecast'!D75-'C - Forecast'!E75</f>
        <v>0</v>
      </c>
      <c r="AD84" s="107">
        <f t="shared" si="34"/>
        <v>0</v>
      </c>
      <c r="AE84" s="111">
        <f t="shared" si="12"/>
        <v>-14.966254865023009</v>
      </c>
      <c r="AF84" s="107">
        <f t="shared" si="13"/>
        <v>1275.8608766419111</v>
      </c>
      <c r="AG84" s="107">
        <f t="shared" si="14"/>
        <v>-1305.7933863719572</v>
      </c>
      <c r="AH84" s="107">
        <f t="shared" si="15"/>
        <v>845.58516613959989</v>
      </c>
      <c r="AI84" s="107">
        <f t="shared" si="16"/>
        <v>-875.51767586964581</v>
      </c>
      <c r="AJ84" s="107">
        <f t="shared" si="17"/>
        <v>415.30945563728841</v>
      </c>
      <c r="AK84" s="107">
        <f t="shared" si="18"/>
        <v>-445.24196536733444</v>
      </c>
      <c r="AL84" s="111">
        <f t="shared" si="35"/>
        <v>485.35100144660726</v>
      </c>
      <c r="AM84" s="107">
        <f t="shared" si="36"/>
        <v>1585.641721726066</v>
      </c>
      <c r="AN84" s="107"/>
      <c r="AO84" s="106">
        <v>31</v>
      </c>
      <c r="AP84" s="107">
        <f>'D - Forecast'!AF61-'D - Forecast'!AG61</f>
        <v>2299.666666666667</v>
      </c>
      <c r="AQ84" s="107">
        <f t="shared" si="37"/>
        <v>6948</v>
      </c>
      <c r="AR84" s="111">
        <f t="shared" si="19"/>
        <v>73.587719298245972</v>
      </c>
      <c r="AS84" s="107">
        <f t="shared" si="20"/>
        <v>16048.00681224338</v>
      </c>
      <c r="AT84" s="107">
        <f t="shared" si="21"/>
        <v>-15900.831373646888</v>
      </c>
      <c r="AU84" s="107">
        <f t="shared" si="22"/>
        <v>10723.200447928337</v>
      </c>
      <c r="AV84" s="107">
        <f t="shared" si="23"/>
        <v>-10576.025009331845</v>
      </c>
      <c r="AW84" s="107">
        <f t="shared" si="24"/>
        <v>5398.3940836132915</v>
      </c>
      <c r="AX84" s="107">
        <f t="shared" si="25"/>
        <v>-5251.2186450167992</v>
      </c>
      <c r="AY84" s="111">
        <f t="shared" si="38"/>
        <v>6006.3815789473701</v>
      </c>
      <c r="AZ84" s="107">
        <f t="shared" si="39"/>
        <v>19622.848618421056</v>
      </c>
    </row>
    <row r="85" spans="2:52" ht="14.25" customHeight="1">
      <c r="B85" s="126">
        <v>32</v>
      </c>
      <c r="C85" s="107">
        <f>'A - Forecast'!Q59-'A - Forecast'!R59</f>
        <v>51.380092735744256</v>
      </c>
      <c r="D85" s="110">
        <f t="shared" si="26"/>
        <v>17.295784592855853</v>
      </c>
      <c r="E85" s="111">
        <f t="shared" si="27"/>
        <v>-67.841696398107345</v>
      </c>
      <c r="F85" s="107">
        <f t="shared" si="0"/>
        <v>674.23235321313007</v>
      </c>
      <c r="G85" s="107">
        <f t="shared" si="1"/>
        <v>-809.91574600934484</v>
      </c>
      <c r="H85" s="107">
        <f t="shared" si="2"/>
        <v>426.87433667605097</v>
      </c>
      <c r="I85" s="107">
        <f t="shared" si="3"/>
        <v>-562.55772947226569</v>
      </c>
      <c r="J85" s="107">
        <f t="shared" si="4"/>
        <v>179.51632013897182</v>
      </c>
      <c r="K85" s="107">
        <f t="shared" si="5"/>
        <v>-315.19971293518648</v>
      </c>
      <c r="L85" s="107">
        <f t="shared" si="28"/>
        <v>279.01984265382526</v>
      </c>
      <c r="M85" s="107">
        <f t="shared" si="29"/>
        <v>911.55782595004712</v>
      </c>
      <c r="O85" s="106">
        <v>32</v>
      </c>
      <c r="P85" s="107">
        <f>'B - Forecast'!C60-'B - Forecast'!D60</f>
        <v>298.99099437148107</v>
      </c>
      <c r="Q85" s="107">
        <f t="shared" si="30"/>
        <v>396.30356472795393</v>
      </c>
      <c r="R85" s="111">
        <f t="shared" si="31"/>
        <v>2.2737367544323207E-14</v>
      </c>
      <c r="S85" s="107">
        <f t="shared" si="6"/>
        <v>785.12611196236526</v>
      </c>
      <c r="T85" s="107">
        <f t="shared" si="7"/>
        <v>-785.12611196236526</v>
      </c>
      <c r="U85" s="107">
        <f t="shared" si="8"/>
        <v>523.41740797491013</v>
      </c>
      <c r="V85" s="107">
        <f t="shared" si="9"/>
        <v>-523.41740797491013</v>
      </c>
      <c r="W85" s="107">
        <f t="shared" si="10"/>
        <v>261.70870398745507</v>
      </c>
      <c r="X85" s="107">
        <f t="shared" si="11"/>
        <v>-261.70870398745507</v>
      </c>
      <c r="Y85" s="107">
        <f t="shared" si="32"/>
        <v>295.20741809784926</v>
      </c>
      <c r="Z85" s="107">
        <f t="shared" si="33"/>
        <v>964.44263492567347</v>
      </c>
      <c r="AB85" s="106">
        <v>32</v>
      </c>
      <c r="AC85" s="107">
        <f>'C - Forecast'!D76-'C - Forecast'!E76</f>
        <v>0</v>
      </c>
      <c r="AD85" s="107">
        <f t="shared" si="34"/>
        <v>0</v>
      </c>
      <c r="AE85" s="111">
        <f t="shared" si="12"/>
        <v>-14.966254865023009</v>
      </c>
      <c r="AF85" s="107">
        <f t="shared" si="13"/>
        <v>1275.8608766419111</v>
      </c>
      <c r="AG85" s="107">
        <f t="shared" si="14"/>
        <v>-1305.7933863719572</v>
      </c>
      <c r="AH85" s="107">
        <f t="shared" si="15"/>
        <v>845.58516613959989</v>
      </c>
      <c r="AI85" s="107">
        <f t="shared" si="16"/>
        <v>-875.51767586964581</v>
      </c>
      <c r="AJ85" s="107">
        <f t="shared" si="17"/>
        <v>415.30945563728841</v>
      </c>
      <c r="AK85" s="107">
        <f t="shared" si="18"/>
        <v>-445.24196536733444</v>
      </c>
      <c r="AL85" s="111">
        <f t="shared" si="35"/>
        <v>485.35100144660726</v>
      </c>
      <c r="AM85" s="107">
        <f t="shared" si="36"/>
        <v>1585.641721726066</v>
      </c>
      <c r="AN85" s="107"/>
      <c r="AO85" s="106">
        <v>32</v>
      </c>
      <c r="AP85" s="107">
        <f>'D - Forecast'!AF62-'D - Forecast'!AG62</f>
        <v>2791.5</v>
      </c>
      <c r="AQ85" s="107">
        <f t="shared" si="37"/>
        <v>491.83333333333303</v>
      </c>
      <c r="AR85" s="111">
        <f t="shared" si="19"/>
        <v>73.587719298245972</v>
      </c>
      <c r="AS85" s="107">
        <f t="shared" si="20"/>
        <v>16048.00681224338</v>
      </c>
      <c r="AT85" s="107">
        <f t="shared" si="21"/>
        <v>-15900.831373646888</v>
      </c>
      <c r="AU85" s="107">
        <f t="shared" si="22"/>
        <v>10723.200447928337</v>
      </c>
      <c r="AV85" s="107">
        <f t="shared" si="23"/>
        <v>-10576.025009331845</v>
      </c>
      <c r="AW85" s="107">
        <f t="shared" si="24"/>
        <v>5398.3940836132915</v>
      </c>
      <c r="AX85" s="107">
        <f t="shared" si="25"/>
        <v>-5251.2186450167992</v>
      </c>
      <c r="AY85" s="111">
        <f t="shared" si="38"/>
        <v>6006.3815789473701</v>
      </c>
      <c r="AZ85" s="107">
        <f t="shared" si="39"/>
        <v>19622.848618421056</v>
      </c>
    </row>
    <row r="86" spans="2:52" ht="14.25" customHeight="1">
      <c r="B86" s="126">
        <v>33</v>
      </c>
      <c r="C86" s="107">
        <f>'A - Forecast'!Q60-'A - Forecast'!R60</f>
        <v>-156.18891190104296</v>
      </c>
      <c r="D86" s="110">
        <f t="shared" si="26"/>
        <v>207.56900463678721</v>
      </c>
      <c r="E86" s="111">
        <f t="shared" si="27"/>
        <v>-67.841696398107345</v>
      </c>
      <c r="F86" s="107">
        <f t="shared" si="0"/>
        <v>674.23235321313007</v>
      </c>
      <c r="G86" s="107">
        <f t="shared" si="1"/>
        <v>-809.91574600934484</v>
      </c>
      <c r="H86" s="107">
        <f t="shared" si="2"/>
        <v>426.87433667605097</v>
      </c>
      <c r="I86" s="107">
        <f t="shared" si="3"/>
        <v>-562.55772947226569</v>
      </c>
      <c r="J86" s="107">
        <f t="shared" si="4"/>
        <v>179.51632013897182</v>
      </c>
      <c r="K86" s="107">
        <f t="shared" si="5"/>
        <v>-315.19971293518648</v>
      </c>
      <c r="L86" s="107">
        <f t="shared" si="28"/>
        <v>279.01984265382526</v>
      </c>
      <c r="M86" s="107">
        <f t="shared" si="29"/>
        <v>911.55782595004712</v>
      </c>
      <c r="O86" s="126">
        <v>33</v>
      </c>
      <c r="P86" s="107">
        <f>'B - Forecast'!C61-'B - Forecast'!D61</f>
        <v>111.29455909943863</v>
      </c>
      <c r="Q86" s="107">
        <f t="shared" si="30"/>
        <v>187.69643527204244</v>
      </c>
      <c r="R86" s="111">
        <f t="shared" si="31"/>
        <v>2.2737367544323207E-14</v>
      </c>
      <c r="S86" s="107">
        <f t="shared" si="6"/>
        <v>785.12611196236526</v>
      </c>
      <c r="T86" s="107">
        <f t="shared" si="7"/>
        <v>-785.12611196236526</v>
      </c>
      <c r="U86" s="107">
        <f t="shared" si="8"/>
        <v>523.41740797491013</v>
      </c>
      <c r="V86" s="107">
        <f t="shared" si="9"/>
        <v>-523.41740797491013</v>
      </c>
      <c r="W86" s="107">
        <f t="shared" si="10"/>
        <v>261.70870398745507</v>
      </c>
      <c r="X86" s="107">
        <f t="shared" si="11"/>
        <v>-261.70870398745507</v>
      </c>
      <c r="Y86" s="107">
        <f t="shared" si="32"/>
        <v>295.20741809784926</v>
      </c>
      <c r="Z86" s="107">
        <f t="shared" si="33"/>
        <v>964.44263492567347</v>
      </c>
      <c r="AB86" s="126">
        <v>33</v>
      </c>
      <c r="AC86" s="107">
        <f>'C - Forecast'!D77-'C - Forecast'!E77</f>
        <v>0</v>
      </c>
      <c r="AD86" s="107">
        <f t="shared" si="34"/>
        <v>0</v>
      </c>
      <c r="AE86" s="111">
        <f t="shared" si="12"/>
        <v>-14.966254865023009</v>
      </c>
      <c r="AF86" s="107">
        <f t="shared" si="13"/>
        <v>1275.8608766419111</v>
      </c>
      <c r="AG86" s="107">
        <f t="shared" si="14"/>
        <v>-1305.7933863719572</v>
      </c>
      <c r="AH86" s="107">
        <f t="shared" si="15"/>
        <v>845.58516613959989</v>
      </c>
      <c r="AI86" s="107">
        <f t="shared" si="16"/>
        <v>-875.51767586964581</v>
      </c>
      <c r="AJ86" s="107">
        <f t="shared" si="17"/>
        <v>415.30945563728841</v>
      </c>
      <c r="AK86" s="107">
        <f t="shared" si="18"/>
        <v>-445.24196536733444</v>
      </c>
      <c r="AL86" s="111">
        <f t="shared" si="35"/>
        <v>485.35100144660726</v>
      </c>
      <c r="AM86" s="107">
        <f t="shared" si="36"/>
        <v>1585.641721726066</v>
      </c>
      <c r="AN86" s="107"/>
      <c r="AO86" s="106">
        <v>33</v>
      </c>
      <c r="AP86" s="107">
        <f>'D - Forecast'!AF63-'D - Forecast'!AG63</f>
        <v>3566.8333333333339</v>
      </c>
      <c r="AQ86" s="107">
        <f t="shared" si="37"/>
        <v>775.33333333333394</v>
      </c>
      <c r="AR86" s="111">
        <f t="shared" si="19"/>
        <v>73.587719298245972</v>
      </c>
      <c r="AS86" s="107">
        <f t="shared" si="20"/>
        <v>16048.00681224338</v>
      </c>
      <c r="AT86" s="107">
        <f t="shared" si="21"/>
        <v>-15900.831373646888</v>
      </c>
      <c r="AU86" s="107">
        <f t="shared" si="22"/>
        <v>10723.200447928337</v>
      </c>
      <c r="AV86" s="107">
        <f t="shared" si="23"/>
        <v>-10576.025009331845</v>
      </c>
      <c r="AW86" s="107">
        <f t="shared" si="24"/>
        <v>5398.3940836132915</v>
      </c>
      <c r="AX86" s="107">
        <f t="shared" si="25"/>
        <v>-5251.2186450167992</v>
      </c>
      <c r="AY86" s="111">
        <f t="shared" si="38"/>
        <v>6006.3815789473701</v>
      </c>
      <c r="AZ86" s="107">
        <f t="shared" si="39"/>
        <v>19622.848618421056</v>
      </c>
    </row>
    <row r="87" spans="2:52" ht="14.25" customHeight="1">
      <c r="B87" s="126">
        <v>34</v>
      </c>
      <c r="C87" s="107">
        <f>'A - Forecast'!Q61-'A - Forecast'!R61</f>
        <v>33.620533694009282</v>
      </c>
      <c r="D87" s="110">
        <f t="shared" si="26"/>
        <v>189.80944559505224</v>
      </c>
      <c r="E87" s="111">
        <f t="shared" si="27"/>
        <v>-67.841696398107345</v>
      </c>
      <c r="F87" s="107">
        <f t="shared" si="0"/>
        <v>674.23235321313007</v>
      </c>
      <c r="G87" s="107">
        <f xml:space="preserve"> $D$48 - 3*($D$49/$D$50)</f>
        <v>-809.91574600934484</v>
      </c>
      <c r="H87" s="107">
        <f t="shared" si="2"/>
        <v>426.87433667605097</v>
      </c>
      <c r="I87" s="107">
        <f t="shared" si="3"/>
        <v>-562.55772947226569</v>
      </c>
      <c r="J87" s="107">
        <f xml:space="preserve"> $D$48 + 1*($D$49/$D$50)</f>
        <v>179.51632013897182</v>
      </c>
      <c r="K87" s="107">
        <f t="shared" si="5"/>
        <v>-315.19971293518648</v>
      </c>
      <c r="L87" s="107">
        <f t="shared" si="28"/>
        <v>279.01984265382526</v>
      </c>
      <c r="M87" s="107">
        <f t="shared" si="29"/>
        <v>911.55782595004712</v>
      </c>
      <c r="O87" s="126">
        <v>34</v>
      </c>
      <c r="P87" s="107">
        <f>'B - Forecast'!C62-'B - Forecast'!D62</f>
        <v>-321.40187617260744</v>
      </c>
      <c r="Q87" s="107">
        <f t="shared" si="30"/>
        <v>432.69643527204607</v>
      </c>
      <c r="R87" s="111">
        <f t="shared" si="31"/>
        <v>2.2737367544323207E-14</v>
      </c>
      <c r="S87" s="107">
        <f t="shared" si="6"/>
        <v>785.12611196236526</v>
      </c>
      <c r="T87" s="107">
        <f t="shared" si="7"/>
        <v>-785.12611196236526</v>
      </c>
      <c r="U87" s="107">
        <f t="shared" si="8"/>
        <v>523.41740797491013</v>
      </c>
      <c r="V87" s="107">
        <f t="shared" si="9"/>
        <v>-523.41740797491013</v>
      </c>
      <c r="W87" s="107">
        <f t="shared" si="10"/>
        <v>261.70870398745507</v>
      </c>
      <c r="X87" s="107">
        <f t="shared" si="11"/>
        <v>-261.70870398745507</v>
      </c>
      <c r="Y87" s="107">
        <f t="shared" si="32"/>
        <v>295.20741809784926</v>
      </c>
      <c r="Z87" s="107">
        <f t="shared" si="33"/>
        <v>964.44263492567347</v>
      </c>
      <c r="AB87" s="126">
        <v>34</v>
      </c>
      <c r="AC87" s="107">
        <f>'C - Forecast'!D78-'C - Forecast'!E78</f>
        <v>0</v>
      </c>
      <c r="AD87" s="107">
        <f t="shared" si="34"/>
        <v>0</v>
      </c>
      <c r="AE87" s="111">
        <f t="shared" si="12"/>
        <v>-14.966254865023009</v>
      </c>
      <c r="AF87" s="107">
        <f t="shared" si="13"/>
        <v>1275.8608766419111</v>
      </c>
      <c r="AG87" s="107">
        <f t="shared" si="14"/>
        <v>-1305.7933863719572</v>
      </c>
      <c r="AH87" s="107">
        <f t="shared" si="15"/>
        <v>845.58516613959989</v>
      </c>
      <c r="AI87" s="107">
        <f t="shared" si="16"/>
        <v>-875.51767586964581</v>
      </c>
      <c r="AJ87" s="107">
        <f t="shared" si="17"/>
        <v>415.30945563728841</v>
      </c>
      <c r="AK87" s="107">
        <f t="shared" si="18"/>
        <v>-445.24196536733444</v>
      </c>
      <c r="AL87" s="111">
        <f t="shared" si="35"/>
        <v>485.35100144660726</v>
      </c>
      <c r="AM87" s="107">
        <f t="shared" si="36"/>
        <v>1585.641721726066</v>
      </c>
      <c r="AN87" s="107"/>
      <c r="AO87" s="109">
        <v>34</v>
      </c>
      <c r="AP87" s="107">
        <f>'D - Forecast'!AF64-'D - Forecast'!AG64</f>
        <v>2397.5</v>
      </c>
      <c r="AQ87" s="107">
        <f t="shared" si="37"/>
        <v>1169.3333333333339</v>
      </c>
      <c r="AR87" s="111">
        <f t="shared" si="19"/>
        <v>73.587719298245972</v>
      </c>
      <c r="AS87" s="107">
        <f t="shared" si="20"/>
        <v>16048.00681224338</v>
      </c>
      <c r="AT87" s="107">
        <f t="shared" si="21"/>
        <v>-15900.831373646888</v>
      </c>
      <c r="AU87" s="107">
        <f t="shared" si="22"/>
        <v>10723.200447928337</v>
      </c>
      <c r="AV87" s="107">
        <f t="shared" si="23"/>
        <v>-10576.025009331845</v>
      </c>
      <c r="AW87" s="107">
        <f t="shared" si="24"/>
        <v>5398.3940836132915</v>
      </c>
      <c r="AX87" s="107">
        <f t="shared" si="25"/>
        <v>-5251.2186450167992</v>
      </c>
      <c r="AY87" s="111">
        <f t="shared" si="38"/>
        <v>6006.3815789473701</v>
      </c>
      <c r="AZ87" s="107">
        <f t="shared" si="39"/>
        <v>19622.848618421056</v>
      </c>
    </row>
    <row r="88" spans="2:52" ht="14.25" customHeight="1">
      <c r="B88" s="126">
        <v>35</v>
      </c>
      <c r="C88" s="107">
        <f>'A - Forecast'!Q62-'A - Forecast'!R62</f>
        <v>44.939507009308727</v>
      </c>
      <c r="D88" s="110">
        <f t="shared" si="26"/>
        <v>11.318973315299445</v>
      </c>
      <c r="E88" s="111">
        <f t="shared" si="27"/>
        <v>-67.841696398107345</v>
      </c>
      <c r="F88" s="107">
        <f t="shared" si="0"/>
        <v>674.23235321313007</v>
      </c>
      <c r="G88" s="107">
        <f t="shared" ref="G88:G93" si="40" xml:space="preserve"> $D$48 - 3*($D$49/$D$50)</f>
        <v>-809.91574600934484</v>
      </c>
      <c r="H88" s="107">
        <f t="shared" si="2"/>
        <v>426.87433667605097</v>
      </c>
      <c r="I88" s="107">
        <f t="shared" si="3"/>
        <v>-562.55772947226569</v>
      </c>
      <c r="J88" s="107">
        <f t="shared" ref="J88:J93" si="41" xml:space="preserve"> $D$48 + 1*($D$49/$D$50)</f>
        <v>179.51632013897182</v>
      </c>
      <c r="K88" s="107">
        <f t="shared" si="5"/>
        <v>-315.19971293518648</v>
      </c>
      <c r="L88" s="107">
        <f t="shared" si="28"/>
        <v>279.01984265382526</v>
      </c>
      <c r="M88" s="107">
        <f t="shared" si="29"/>
        <v>911.55782595004712</v>
      </c>
      <c r="O88" s="126">
        <v>35</v>
      </c>
      <c r="P88" s="107">
        <f>'B - Forecast'!C63-'B - Forecast'!D63</f>
        <v>109.90168855534648</v>
      </c>
      <c r="Q88" s="107">
        <f t="shared" si="30"/>
        <v>431.30356472795393</v>
      </c>
      <c r="R88" s="111">
        <f t="shared" si="31"/>
        <v>2.2737367544323207E-14</v>
      </c>
      <c r="S88" s="107">
        <f t="shared" si="6"/>
        <v>785.12611196236526</v>
      </c>
      <c r="T88" s="107">
        <f t="shared" si="7"/>
        <v>-785.12611196236526</v>
      </c>
      <c r="U88" s="107">
        <f t="shared" si="8"/>
        <v>523.41740797491013</v>
      </c>
      <c r="V88" s="107">
        <f t="shared" si="9"/>
        <v>-523.41740797491013</v>
      </c>
      <c r="W88" s="107">
        <f t="shared" si="10"/>
        <v>261.70870398745507</v>
      </c>
      <c r="X88" s="107">
        <f t="shared" si="11"/>
        <v>-261.70870398745507</v>
      </c>
      <c r="Y88" s="107">
        <f t="shared" si="32"/>
        <v>295.20741809784926</v>
      </c>
      <c r="Z88" s="107">
        <f t="shared" si="33"/>
        <v>964.44263492567347</v>
      </c>
      <c r="AB88" s="126">
        <v>35</v>
      </c>
      <c r="AC88" s="107">
        <f>'C - Forecast'!D79-'C - Forecast'!E79</f>
        <v>0</v>
      </c>
      <c r="AD88" s="107">
        <f t="shared" si="34"/>
        <v>0</v>
      </c>
      <c r="AE88" s="111">
        <f t="shared" si="12"/>
        <v>-14.966254865023009</v>
      </c>
      <c r="AF88" s="107">
        <f t="shared" si="13"/>
        <v>1275.8608766419111</v>
      </c>
      <c r="AG88" s="107">
        <f t="shared" si="14"/>
        <v>-1305.7933863719572</v>
      </c>
      <c r="AH88" s="107">
        <f t="shared" si="15"/>
        <v>845.58516613959989</v>
      </c>
      <c r="AI88" s="107">
        <f t="shared" si="16"/>
        <v>-875.51767586964581</v>
      </c>
      <c r="AJ88" s="107">
        <f t="shared" si="17"/>
        <v>415.30945563728841</v>
      </c>
      <c r="AK88" s="107">
        <f t="shared" si="18"/>
        <v>-445.24196536733444</v>
      </c>
      <c r="AL88" s="111">
        <f t="shared" si="35"/>
        <v>485.35100144660726</v>
      </c>
      <c r="AM88" s="107">
        <f t="shared" si="36"/>
        <v>1585.641721726066</v>
      </c>
      <c r="AO88" s="125">
        <v>35</v>
      </c>
      <c r="AP88" s="107">
        <f>'D - Forecast'!AF65-'D - Forecast'!AG65</f>
        <v>-8824.5</v>
      </c>
      <c r="AQ88" s="107">
        <f t="shared" si="37"/>
        <v>11222</v>
      </c>
      <c r="AR88" s="108"/>
      <c r="AS88" s="108"/>
      <c r="AT88" s="108"/>
      <c r="AU88" s="108"/>
      <c r="AV88" s="108"/>
      <c r="AW88" s="108"/>
      <c r="AX88" s="108"/>
      <c r="AY88" s="107"/>
      <c r="AZ88" s="107"/>
    </row>
    <row r="89" spans="2:52" ht="14.25" customHeight="1">
      <c r="B89" s="126">
        <v>36</v>
      </c>
      <c r="C89" s="107">
        <f>'A - Forecast'!Q63-'A - Forecast'!R63</f>
        <v>-159.30746834115598</v>
      </c>
      <c r="D89" s="110">
        <f t="shared" si="26"/>
        <v>204.24697535046471</v>
      </c>
      <c r="E89" s="111">
        <f t="shared" si="27"/>
        <v>-67.841696398107345</v>
      </c>
      <c r="F89" s="107">
        <f t="shared" si="0"/>
        <v>674.23235321313007</v>
      </c>
      <c r="G89" s="107">
        <f t="shared" si="40"/>
        <v>-809.91574600934484</v>
      </c>
      <c r="H89" s="107">
        <f t="shared" si="2"/>
        <v>426.87433667605097</v>
      </c>
      <c r="I89" s="107">
        <f t="shared" si="3"/>
        <v>-562.55772947226569</v>
      </c>
      <c r="J89" s="107">
        <f t="shared" si="41"/>
        <v>179.51632013897182</v>
      </c>
      <c r="K89" s="107">
        <f t="shared" si="5"/>
        <v>-315.19971293518648</v>
      </c>
      <c r="L89" s="107">
        <f t="shared" si="28"/>
        <v>279.01984265382526</v>
      </c>
      <c r="M89" s="107">
        <f t="shared" si="29"/>
        <v>911.55782595004712</v>
      </c>
      <c r="N89" s="128"/>
      <c r="O89" s="126">
        <v>36</v>
      </c>
      <c r="P89" s="107">
        <f>'B - Forecast'!C64-'B - Forecast'!D64</f>
        <v>178.20525328330041</v>
      </c>
      <c r="Q89" s="107">
        <f t="shared" si="30"/>
        <v>68.303564727953926</v>
      </c>
      <c r="R89" s="111">
        <f t="shared" si="31"/>
        <v>2.2737367544323207E-14</v>
      </c>
      <c r="S89" s="107">
        <f t="shared" si="6"/>
        <v>785.12611196236526</v>
      </c>
      <c r="T89" s="107">
        <f t="shared" si="7"/>
        <v>-785.12611196236526</v>
      </c>
      <c r="U89" s="107">
        <f t="shared" si="8"/>
        <v>523.41740797491013</v>
      </c>
      <c r="V89" s="107">
        <f t="shared" si="9"/>
        <v>-523.41740797491013</v>
      </c>
      <c r="W89" s="107">
        <f t="shared" si="10"/>
        <v>261.70870398745507</v>
      </c>
      <c r="X89" s="107">
        <f t="shared" si="11"/>
        <v>-261.70870398745507</v>
      </c>
      <c r="Y89" s="107">
        <f t="shared" si="32"/>
        <v>295.20741809784926</v>
      </c>
      <c r="Z89" s="107">
        <f t="shared" si="33"/>
        <v>964.44263492567347</v>
      </c>
      <c r="AA89" s="128"/>
      <c r="AB89" s="126">
        <v>36</v>
      </c>
      <c r="AC89" s="107">
        <f>'C - Forecast'!D80-'C - Forecast'!E80</f>
        <v>0</v>
      </c>
      <c r="AD89" s="107">
        <f t="shared" si="34"/>
        <v>0</v>
      </c>
      <c r="AE89" s="111">
        <f t="shared" si="12"/>
        <v>-14.966254865023009</v>
      </c>
      <c r="AF89" s="107">
        <f t="shared" si="13"/>
        <v>1275.8608766419111</v>
      </c>
      <c r="AG89" s="107">
        <f t="shared" si="14"/>
        <v>-1305.7933863719572</v>
      </c>
      <c r="AH89" s="107">
        <f t="shared" si="15"/>
        <v>845.58516613959989</v>
      </c>
      <c r="AI89" s="107">
        <f t="shared" si="16"/>
        <v>-875.51767586964581</v>
      </c>
      <c r="AJ89" s="107">
        <f t="shared" si="17"/>
        <v>415.30945563728841</v>
      </c>
      <c r="AK89" s="107">
        <f t="shared" si="18"/>
        <v>-445.24196536733444</v>
      </c>
      <c r="AL89" s="111">
        <f t="shared" si="35"/>
        <v>485.35100144660726</v>
      </c>
      <c r="AM89" s="107">
        <f t="shared" si="36"/>
        <v>1585.641721726066</v>
      </c>
      <c r="AN89" s="107"/>
      <c r="AO89" s="125">
        <v>36</v>
      </c>
      <c r="AP89" s="107">
        <f>'D - Forecast'!AF66-'D - Forecast'!AG66</f>
        <v>299.33333333333394</v>
      </c>
      <c r="AQ89" s="107">
        <f t="shared" si="37"/>
        <v>9123.8333333333339</v>
      </c>
      <c r="AR89" s="107"/>
      <c r="AS89" s="107"/>
      <c r="AT89" s="107"/>
      <c r="AU89" s="107"/>
      <c r="AV89" s="107"/>
      <c r="AW89" s="107"/>
      <c r="AX89" s="107"/>
      <c r="AY89" s="107"/>
      <c r="AZ89" s="107"/>
    </row>
    <row r="90" spans="2:52" ht="14.25" customHeight="1">
      <c r="B90" s="126">
        <v>37</v>
      </c>
      <c r="C90" s="107">
        <f>'A - Forecast'!Q64-'A - Forecast'!R64</f>
        <v>364.65790507590282</v>
      </c>
      <c r="D90" s="110">
        <f t="shared" si="26"/>
        <v>523.9653734170588</v>
      </c>
      <c r="E90" s="111">
        <f t="shared" si="27"/>
        <v>-67.841696398107345</v>
      </c>
      <c r="F90" s="107">
        <f t="shared" si="0"/>
        <v>674.23235321313007</v>
      </c>
      <c r="G90" s="107">
        <f t="shared" si="40"/>
        <v>-809.91574600934484</v>
      </c>
      <c r="H90" s="107">
        <f t="shared" si="2"/>
        <v>426.87433667605097</v>
      </c>
      <c r="I90" s="107">
        <f t="shared" si="3"/>
        <v>-562.55772947226569</v>
      </c>
      <c r="J90" s="107">
        <f t="shared" si="41"/>
        <v>179.51632013897182</v>
      </c>
      <c r="K90" s="107">
        <f t="shared" si="5"/>
        <v>-315.19971293518648</v>
      </c>
      <c r="L90" s="107">
        <f t="shared" si="28"/>
        <v>279.01984265382526</v>
      </c>
      <c r="M90" s="107">
        <f t="shared" si="29"/>
        <v>911.55782595004712</v>
      </c>
      <c r="N90" s="128"/>
      <c r="O90" s="126">
        <v>37</v>
      </c>
      <c r="P90" s="107">
        <f>'B - Forecast'!C65-'B - Forecast'!D65</f>
        <v>-196.49118198874203</v>
      </c>
      <c r="Q90" s="107">
        <f t="shared" si="30"/>
        <v>374.69643527204244</v>
      </c>
      <c r="R90" s="111">
        <f t="shared" si="31"/>
        <v>2.2737367544323207E-14</v>
      </c>
      <c r="S90" s="107">
        <f t="shared" si="6"/>
        <v>785.12611196236526</v>
      </c>
      <c r="T90" s="107">
        <f t="shared" si="7"/>
        <v>-785.12611196236526</v>
      </c>
      <c r="U90" s="107">
        <f t="shared" si="8"/>
        <v>523.41740797491013</v>
      </c>
      <c r="V90" s="107">
        <f t="shared" si="9"/>
        <v>-523.41740797491013</v>
      </c>
      <c r="W90" s="107">
        <f t="shared" si="10"/>
        <v>261.70870398745507</v>
      </c>
      <c r="X90" s="107">
        <f t="shared" si="11"/>
        <v>-261.70870398745507</v>
      </c>
      <c r="Y90" s="107">
        <f t="shared" si="32"/>
        <v>295.20741809784926</v>
      </c>
      <c r="Z90" s="107">
        <f t="shared" si="33"/>
        <v>964.44263492567347</v>
      </c>
      <c r="AA90" s="128"/>
      <c r="AB90" s="126">
        <v>37</v>
      </c>
      <c r="AC90" s="107">
        <f>'C - Forecast'!D81-'C - Forecast'!E81</f>
        <v>0</v>
      </c>
      <c r="AD90" s="107">
        <f t="shared" si="34"/>
        <v>0</v>
      </c>
      <c r="AE90" s="111">
        <f t="shared" si="12"/>
        <v>-14.966254865023009</v>
      </c>
      <c r="AF90" s="107">
        <f t="shared" si="13"/>
        <v>1275.8608766419111</v>
      </c>
      <c r="AG90" s="107">
        <f t="shared" si="14"/>
        <v>-1305.7933863719572</v>
      </c>
      <c r="AH90" s="107">
        <f t="shared" si="15"/>
        <v>845.58516613959989</v>
      </c>
      <c r="AI90" s="107">
        <f t="shared" si="16"/>
        <v>-875.51767586964581</v>
      </c>
      <c r="AJ90" s="107">
        <f t="shared" si="17"/>
        <v>415.30945563728841</v>
      </c>
      <c r="AK90" s="107">
        <f t="shared" si="18"/>
        <v>-445.24196536733444</v>
      </c>
      <c r="AL90" s="111">
        <f t="shared" si="35"/>
        <v>485.35100144660726</v>
      </c>
      <c r="AM90" s="107">
        <f t="shared" si="36"/>
        <v>1585.641721726066</v>
      </c>
      <c r="AN90" s="107"/>
      <c r="AO90" s="109">
        <v>37</v>
      </c>
      <c r="AP90" s="107">
        <f>'D - Forecast'!AF67-'D - Forecast'!AG67</f>
        <v>6184.166666666667</v>
      </c>
      <c r="AQ90" s="107">
        <f t="shared" si="37"/>
        <v>5884.833333333333</v>
      </c>
      <c r="AR90" s="107"/>
      <c r="AS90" s="107"/>
      <c r="AT90" s="107"/>
      <c r="AU90" s="107"/>
      <c r="AV90" s="107"/>
      <c r="AW90" s="107"/>
      <c r="AX90" s="107"/>
      <c r="AY90" s="107"/>
      <c r="AZ90" s="107"/>
    </row>
    <row r="91" spans="2:52" ht="14.25" customHeight="1">
      <c r="B91" s="126">
        <v>38</v>
      </c>
      <c r="C91" s="107">
        <f>'A - Forecast'!Q65-'A - Forecast'!R65</f>
        <v>68.425009822107313</v>
      </c>
      <c r="D91" s="110">
        <f t="shared" si="26"/>
        <v>296.2328952537955</v>
      </c>
      <c r="E91" s="111">
        <f t="shared" si="27"/>
        <v>-67.841696398107345</v>
      </c>
      <c r="F91" s="107">
        <f t="shared" si="0"/>
        <v>674.23235321313007</v>
      </c>
      <c r="G91" s="107">
        <f t="shared" si="40"/>
        <v>-809.91574600934484</v>
      </c>
      <c r="H91" s="107">
        <f t="shared" si="2"/>
        <v>426.87433667605097</v>
      </c>
      <c r="I91" s="107">
        <f t="shared" si="3"/>
        <v>-562.55772947226569</v>
      </c>
      <c r="J91" s="107">
        <f t="shared" si="41"/>
        <v>179.51632013897182</v>
      </c>
      <c r="K91" s="107">
        <f t="shared" si="5"/>
        <v>-315.19971293518648</v>
      </c>
      <c r="L91" s="107">
        <f t="shared" si="28"/>
        <v>279.01984265382526</v>
      </c>
      <c r="M91" s="107">
        <f t="shared" si="29"/>
        <v>911.55782595004712</v>
      </c>
      <c r="N91" s="128"/>
      <c r="O91" s="126">
        <v>38</v>
      </c>
      <c r="P91" s="107">
        <f>'B - Forecast'!C66-'B - Forecast'!D66</f>
        <v>119.8123827392119</v>
      </c>
      <c r="Q91" s="107">
        <f t="shared" si="30"/>
        <v>316.30356472795393</v>
      </c>
      <c r="R91" s="111">
        <f t="shared" si="31"/>
        <v>2.2737367544323207E-14</v>
      </c>
      <c r="S91" s="107">
        <f t="shared" si="6"/>
        <v>785.12611196236526</v>
      </c>
      <c r="T91" s="107">
        <f t="shared" si="7"/>
        <v>-785.12611196236526</v>
      </c>
      <c r="U91" s="107">
        <f t="shared" si="8"/>
        <v>523.41740797491013</v>
      </c>
      <c r="V91" s="107">
        <f t="shared" si="9"/>
        <v>-523.41740797491013</v>
      </c>
      <c r="W91" s="107">
        <f t="shared" si="10"/>
        <v>261.70870398745507</v>
      </c>
      <c r="X91" s="107">
        <f t="shared" si="11"/>
        <v>-261.70870398745507</v>
      </c>
      <c r="Y91" s="107">
        <f t="shared" si="32"/>
        <v>295.20741809784926</v>
      </c>
      <c r="Z91" s="107">
        <f t="shared" si="33"/>
        <v>964.44263492567347</v>
      </c>
      <c r="AA91" s="128"/>
      <c r="AB91" s="126">
        <v>38</v>
      </c>
      <c r="AC91" s="107">
        <f>'C - Forecast'!D82-'C - Forecast'!E82</f>
        <v>0</v>
      </c>
      <c r="AD91" s="107">
        <f t="shared" si="34"/>
        <v>0</v>
      </c>
      <c r="AE91" s="111">
        <f t="shared" si="12"/>
        <v>-14.966254865023009</v>
      </c>
      <c r="AF91" s="107">
        <f t="shared" si="13"/>
        <v>1275.8608766419111</v>
      </c>
      <c r="AG91" s="107">
        <f t="shared" si="14"/>
        <v>-1305.7933863719572</v>
      </c>
      <c r="AH91" s="107">
        <f t="shared" si="15"/>
        <v>845.58516613959989</v>
      </c>
      <c r="AI91" s="107">
        <f t="shared" si="16"/>
        <v>-875.51767586964581</v>
      </c>
      <c r="AJ91" s="107">
        <f t="shared" si="17"/>
        <v>415.30945563728841</v>
      </c>
      <c r="AK91" s="107">
        <f t="shared" si="18"/>
        <v>-445.24196536733444</v>
      </c>
      <c r="AL91" s="111">
        <f t="shared" si="35"/>
        <v>485.35100144660726</v>
      </c>
      <c r="AM91" s="107">
        <f t="shared" si="36"/>
        <v>1585.641721726066</v>
      </c>
      <c r="AN91" s="107"/>
      <c r="AO91" s="125">
        <v>38</v>
      </c>
      <c r="AP91" s="107">
        <f>'D - Forecast'!AF68-'D - Forecast'!AG68</f>
        <v>-9609.8333333333321</v>
      </c>
      <c r="AQ91" s="107">
        <f t="shared" si="37"/>
        <v>15794</v>
      </c>
      <c r="AR91" s="107"/>
      <c r="AS91" s="107"/>
      <c r="AT91" s="107"/>
      <c r="AU91" s="107"/>
      <c r="AV91" s="107"/>
      <c r="AW91" s="107"/>
      <c r="AX91" s="107"/>
      <c r="AY91" s="107"/>
      <c r="AZ91" s="107"/>
    </row>
    <row r="92" spans="2:52" ht="14.25" customHeight="1">
      <c r="B92" s="126">
        <v>39</v>
      </c>
      <c r="C92" s="107">
        <f>'A - Forecast'!Q66-'A - Forecast'!R66</f>
        <v>-267.99624066899742</v>
      </c>
      <c r="D92" s="110">
        <f t="shared" si="26"/>
        <v>336.42125049110473</v>
      </c>
      <c r="E92" s="111">
        <f t="shared" si="27"/>
        <v>-67.841696398107345</v>
      </c>
      <c r="F92" s="107">
        <f t="shared" si="0"/>
        <v>674.23235321313007</v>
      </c>
      <c r="G92" s="107">
        <f t="shared" si="40"/>
        <v>-809.91574600934484</v>
      </c>
      <c r="H92" s="107">
        <f t="shared" si="2"/>
        <v>426.87433667605097</v>
      </c>
      <c r="I92" s="107">
        <f t="shared" si="3"/>
        <v>-562.55772947226569</v>
      </c>
      <c r="J92" s="107">
        <f t="shared" si="41"/>
        <v>179.51632013897182</v>
      </c>
      <c r="K92" s="107">
        <f t="shared" si="5"/>
        <v>-315.19971293518648</v>
      </c>
      <c r="L92" s="107">
        <f t="shared" si="28"/>
        <v>279.01984265382526</v>
      </c>
      <c r="M92" s="107">
        <f t="shared" si="29"/>
        <v>911.55782595004712</v>
      </c>
      <c r="N92" s="128"/>
      <c r="O92" s="126">
        <v>39</v>
      </c>
      <c r="P92" s="107">
        <f>'B - Forecast'!C67-'B - Forecast'!D67</f>
        <v>96.115947467165824</v>
      </c>
      <c r="Q92" s="107">
        <f t="shared" si="30"/>
        <v>23.696435272046074</v>
      </c>
      <c r="R92" s="111">
        <f t="shared" si="31"/>
        <v>2.2737367544323207E-14</v>
      </c>
      <c r="S92" s="107">
        <f t="shared" si="6"/>
        <v>785.12611196236526</v>
      </c>
      <c r="T92" s="107">
        <f t="shared" si="7"/>
        <v>-785.12611196236526</v>
      </c>
      <c r="U92" s="107">
        <f t="shared" si="8"/>
        <v>523.41740797491013</v>
      </c>
      <c r="V92" s="107">
        <f t="shared" si="9"/>
        <v>-523.41740797491013</v>
      </c>
      <c r="W92" s="107">
        <f t="shared" si="10"/>
        <v>261.70870398745507</v>
      </c>
      <c r="X92" s="107">
        <f t="shared" si="11"/>
        <v>-261.70870398745507</v>
      </c>
      <c r="Y92" s="107">
        <f t="shared" si="32"/>
        <v>295.20741809784926</v>
      </c>
      <c r="Z92" s="107">
        <f t="shared" si="33"/>
        <v>964.44263492567347</v>
      </c>
      <c r="AA92" s="128"/>
      <c r="AB92" s="126">
        <v>39</v>
      </c>
      <c r="AC92" s="107">
        <f>'C - Forecast'!D83-'C - Forecast'!E83</f>
        <v>0</v>
      </c>
      <c r="AD92" s="107">
        <f t="shared" si="34"/>
        <v>0</v>
      </c>
      <c r="AE92" s="111">
        <f t="shared" si="12"/>
        <v>-14.966254865023009</v>
      </c>
      <c r="AF92" s="107">
        <f t="shared" si="13"/>
        <v>1275.8608766419111</v>
      </c>
      <c r="AG92" s="107">
        <f t="shared" si="14"/>
        <v>-1305.7933863719572</v>
      </c>
      <c r="AH92" s="107">
        <f t="shared" si="15"/>
        <v>845.58516613959989</v>
      </c>
      <c r="AI92" s="107">
        <f t="shared" si="16"/>
        <v>-875.51767586964581</v>
      </c>
      <c r="AJ92" s="107">
        <f t="shared" si="17"/>
        <v>415.30945563728841</v>
      </c>
      <c r="AK92" s="107">
        <f t="shared" si="18"/>
        <v>-445.24196536733444</v>
      </c>
      <c r="AL92" s="111">
        <f t="shared" si="35"/>
        <v>485.35100144660726</v>
      </c>
      <c r="AM92" s="107">
        <f t="shared" si="36"/>
        <v>1585.641721726066</v>
      </c>
      <c r="AN92" s="107"/>
      <c r="AO92" s="125">
        <v>39</v>
      </c>
      <c r="AP92" s="107">
        <f>'D - Forecast'!AF69-'D - Forecast'!AG69</f>
        <v>0</v>
      </c>
      <c r="AQ92" s="107">
        <f>ABS(AP91-AP92)</f>
        <v>9609.8333333333321</v>
      </c>
      <c r="AR92" s="107"/>
      <c r="AS92" s="107"/>
      <c r="AT92" s="107"/>
      <c r="AU92" s="107"/>
      <c r="AV92" s="107"/>
      <c r="AW92" s="107"/>
      <c r="AX92" s="107"/>
      <c r="AY92" s="107"/>
      <c r="AZ92" s="107"/>
    </row>
    <row r="93" spans="2:52" ht="14.25" customHeight="1">
      <c r="B93" s="126">
        <v>40</v>
      </c>
      <c r="C93" s="107">
        <f>'A - Forecast'!Q67-'A - Forecast'!R67</f>
        <v>114.40357136445346</v>
      </c>
      <c r="D93" s="110">
        <f t="shared" si="26"/>
        <v>382.39981203345087</v>
      </c>
      <c r="E93" s="111">
        <f t="shared" si="27"/>
        <v>-67.841696398107345</v>
      </c>
      <c r="F93" s="107">
        <f t="shared" si="0"/>
        <v>674.23235321313007</v>
      </c>
      <c r="G93" s="107">
        <f t="shared" si="40"/>
        <v>-809.91574600934484</v>
      </c>
      <c r="H93" s="107">
        <f t="shared" si="2"/>
        <v>426.87433667605097</v>
      </c>
      <c r="I93" s="107">
        <f t="shared" si="3"/>
        <v>-562.55772947226569</v>
      </c>
      <c r="J93" s="107">
        <f t="shared" si="41"/>
        <v>179.51632013897182</v>
      </c>
      <c r="K93" s="107">
        <f t="shared" si="5"/>
        <v>-315.19971293518648</v>
      </c>
      <c r="L93" s="107">
        <f t="shared" si="28"/>
        <v>279.01984265382526</v>
      </c>
      <c r="M93" s="107">
        <f t="shared" si="29"/>
        <v>911.55782595004712</v>
      </c>
      <c r="N93" s="128"/>
      <c r="O93" s="126">
        <v>40</v>
      </c>
      <c r="P93" s="107">
        <f>'B - Forecast'!C68-'B - Forecast'!D68</f>
        <v>-258.58048780488025</v>
      </c>
      <c r="Q93" s="107">
        <f t="shared" si="30"/>
        <v>354.69643527204607</v>
      </c>
      <c r="R93" s="111">
        <f t="shared" si="31"/>
        <v>2.2737367544323207E-14</v>
      </c>
      <c r="S93" s="107">
        <f t="shared" si="6"/>
        <v>785.12611196236526</v>
      </c>
      <c r="T93" s="107">
        <f t="shared" si="7"/>
        <v>-785.12611196236526</v>
      </c>
      <c r="U93" s="107">
        <f t="shared" si="8"/>
        <v>523.41740797491013</v>
      </c>
      <c r="V93" s="107">
        <f t="shared" si="9"/>
        <v>-523.41740797491013</v>
      </c>
      <c r="W93" s="107">
        <f t="shared" si="10"/>
        <v>261.70870398745507</v>
      </c>
      <c r="X93" s="107">
        <f t="shared" si="11"/>
        <v>-261.70870398745507</v>
      </c>
      <c r="Y93" s="107">
        <f t="shared" si="32"/>
        <v>295.20741809784926</v>
      </c>
      <c r="Z93" s="107">
        <f t="shared" si="33"/>
        <v>964.44263492567347</v>
      </c>
      <c r="AA93" s="128"/>
      <c r="AB93" s="126">
        <v>40</v>
      </c>
      <c r="AC93" s="107">
        <f>'C - Forecast'!D84-'C - Forecast'!E84</f>
        <v>0</v>
      </c>
      <c r="AD93" s="107">
        <f t="shared" si="34"/>
        <v>0</v>
      </c>
      <c r="AE93" s="111">
        <f t="shared" si="12"/>
        <v>-14.966254865023009</v>
      </c>
      <c r="AF93" s="107">
        <f t="shared" si="13"/>
        <v>1275.8608766419111</v>
      </c>
      <c r="AG93" s="107">
        <f t="shared" si="14"/>
        <v>-1305.7933863719572</v>
      </c>
      <c r="AH93" s="107">
        <f t="shared" si="15"/>
        <v>845.58516613959989</v>
      </c>
      <c r="AI93" s="107">
        <f t="shared" si="16"/>
        <v>-875.51767586964581</v>
      </c>
      <c r="AJ93" s="107">
        <f t="shared" si="17"/>
        <v>415.30945563728841</v>
      </c>
      <c r="AK93" s="107">
        <f t="shared" si="18"/>
        <v>-445.24196536733444</v>
      </c>
      <c r="AL93" s="111">
        <f t="shared" si="35"/>
        <v>485.35100144660726</v>
      </c>
      <c r="AM93" s="107">
        <f t="shared" si="36"/>
        <v>1585.641721726066</v>
      </c>
      <c r="AN93" s="107"/>
      <c r="AO93" s="109">
        <v>40</v>
      </c>
      <c r="AP93" s="107">
        <f>'D - Forecast'!AF70-'D - Forecast'!AG70</f>
        <v>0</v>
      </c>
      <c r="AQ93" s="107">
        <f t="shared" si="37"/>
        <v>0</v>
      </c>
      <c r="AR93" s="107"/>
      <c r="AS93" s="107"/>
      <c r="AT93" s="107"/>
      <c r="AU93" s="107"/>
      <c r="AV93" s="107"/>
      <c r="AW93" s="107"/>
      <c r="AX93" s="107"/>
      <c r="AY93" s="107"/>
      <c r="AZ93" s="107"/>
    </row>
    <row r="94" spans="2:52" ht="14.25" customHeight="1">
      <c r="B94" s="126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8"/>
      <c r="O94" s="126"/>
      <c r="P94" s="10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8"/>
      <c r="AB94" s="126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6"/>
      <c r="AP94" s="107"/>
      <c r="AQ94" s="107"/>
      <c r="AR94" s="107"/>
      <c r="AS94" s="107"/>
      <c r="AT94" s="107"/>
      <c r="AU94" s="107"/>
      <c r="AV94" s="107"/>
      <c r="AW94" s="107"/>
      <c r="AX94" s="107"/>
      <c r="AY94" s="107"/>
      <c r="AZ94" s="107"/>
    </row>
    <row r="95" spans="2:52" ht="14.25" customHeight="1">
      <c r="B95" s="126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8"/>
      <c r="O95" s="126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8"/>
      <c r="AB95" s="126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6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</row>
    <row r="96" spans="2:52" ht="14.25" customHeight="1">
      <c r="B96" s="106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O96" s="106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B96" s="106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6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</row>
    <row r="97" spans="2:52" ht="14.25" customHeight="1">
      <c r="B97" s="106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O97" s="106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B97" s="106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6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</row>
    <row r="98" spans="2:52" ht="14.25" customHeight="1">
      <c r="B98" s="106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O98" s="106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B98" s="106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6"/>
      <c r="AP98" s="107"/>
      <c r="AQ98" s="107"/>
      <c r="AR98" s="107"/>
      <c r="AS98" s="107"/>
      <c r="AT98" s="107"/>
      <c r="AU98" s="107"/>
      <c r="AV98" s="107"/>
      <c r="AW98" s="107"/>
      <c r="AX98" s="107"/>
      <c r="AY98" s="107"/>
      <c r="AZ98" s="107"/>
    </row>
    <row r="99" spans="2:52" ht="14.25" customHeight="1">
      <c r="B99" s="106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O99" s="106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B99" s="106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6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</row>
    <row r="100" spans="2:52" ht="14.25" customHeight="1"/>
    <row r="101" spans="2:52" ht="14.25" customHeight="1"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2:52" ht="14.25" customHeight="1"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2:52" ht="14.25" customHeight="1"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2:52" ht="14.25" customHeight="1"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2:52" ht="14.25" customHeight="1"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2:52" ht="14.25" customHeight="1"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2:52" ht="14.25" customHeight="1"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2:52" ht="14.25" customHeight="1"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2:52" ht="14.25" customHeight="1"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2:52" ht="14.25" customHeight="1"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2:52" ht="14.25" customHeight="1"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2:52" ht="14.25" customHeight="1"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5:26" ht="14.25" customHeight="1"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5:26" ht="14.25" customHeight="1"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5:26" ht="14.25" customHeight="1"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5:26" ht="14.25" customHeight="1"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5:26" ht="14.25" customHeight="1"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5:26" ht="14.25" customHeight="1"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5:26" ht="14.25" customHeight="1"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5:26" ht="14.25" customHeight="1"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5:26" ht="14.25" customHeight="1"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5:26" ht="14.25" customHeight="1"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5:26" ht="14.25" customHeight="1"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5:26" ht="14.25" customHeight="1"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5:26" ht="14.25" customHeight="1"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5:26" ht="14.25" customHeight="1"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5:26" ht="14.25" customHeight="1"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5:26" ht="14.25" customHeight="1"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5:26" ht="14.25" customHeight="1"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5:26" ht="14.25" customHeight="1"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5:26" ht="14.25" customHeight="1"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5:26" ht="14.25" customHeight="1"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5:26" ht="14.25" customHeight="1"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5:26" ht="14.25" customHeight="1"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5:26" ht="14.25" customHeight="1"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5:26" ht="14.25" customHeight="1"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5:26" ht="14.25" customHeight="1"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5:26" ht="14.25" customHeight="1"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5:26" ht="14.25" customHeight="1"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5:26" ht="14.25" customHeight="1"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5:26" ht="14.25" customHeight="1"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5:26" ht="14.25" customHeight="1"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5:26" ht="14.25" customHeight="1"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5:26" ht="14.25" customHeight="1"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5:26" ht="14.25" customHeight="1"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5:26" ht="14.25" customHeight="1"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5:26" ht="14.25" customHeight="1"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5:26" ht="14.25" customHeight="1"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5:26" ht="14.25" customHeight="1"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5:26" ht="14.25" customHeight="1"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5:26" ht="14.25" customHeight="1"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5:26" ht="14.25" customHeight="1"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5:26" ht="14.25" customHeight="1"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5:26" ht="14.25" customHeight="1"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5:26" ht="14.25" customHeight="1"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5:26" ht="14.25" customHeight="1"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5:26" ht="14.25" customHeight="1"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5:26" ht="14.25" customHeight="1"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5:26" ht="14.25" customHeight="1"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5:26" ht="14.25" customHeight="1"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5:26" ht="14.25" customHeight="1"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5:26" ht="14.25" customHeight="1"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5:26" ht="14.25" customHeight="1"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5:26" ht="14.25" customHeight="1"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5:26" ht="14.25" customHeight="1"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5:26" ht="14.25" customHeight="1"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5:26" ht="14.25" customHeight="1"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5:26" ht="14.25" customHeight="1"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5:26" ht="14.25" customHeight="1"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5:26" ht="14.25" customHeight="1"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5:26" ht="14.25" customHeight="1"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5:26" ht="14.25" customHeight="1"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5:26" ht="14.25" customHeight="1"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5:26" ht="14.25" customHeight="1"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5:26" ht="14.25" customHeight="1"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5:26" ht="14.25" customHeight="1"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5:26" ht="14.25" customHeight="1"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5:26" ht="14.25" customHeight="1"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5:26" ht="14.25" customHeight="1"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5:26" ht="14.25" customHeight="1"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5:26" ht="14.25" customHeight="1"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5:26" ht="14.25" customHeight="1"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5:26" ht="14.25" customHeight="1"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5:26" ht="14.25" customHeight="1"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5:26" ht="14.25" customHeight="1"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5:26" ht="14.25" customHeight="1"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5:26" ht="14.25" customHeight="1"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5:26" ht="14.25" customHeight="1"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5:26" ht="14.25" customHeight="1"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5:26" ht="14.25" customHeight="1"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5:26" ht="14.25" customHeight="1"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5:26" ht="14.25" customHeight="1"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5:26" ht="14.25" customHeight="1"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5:26" ht="14.25" customHeight="1"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5:26" ht="14.25" customHeight="1"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5:26" ht="14.25" customHeight="1"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5:26" ht="14.25" customHeight="1"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5:26" ht="14.25" customHeight="1"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5:26" ht="14.25" customHeight="1"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5:26" ht="14.25" customHeight="1"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5:26" ht="14.25" customHeight="1"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5:26" ht="14.25" customHeight="1"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5:26" ht="14.25" customHeight="1"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5:26" ht="14.25" customHeight="1"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5:26" ht="14.25" customHeight="1"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5:26" ht="14.25" customHeight="1"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5:26" ht="14.25" customHeight="1"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5:26" ht="14.25" customHeight="1"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5:26" ht="14.25" customHeight="1"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5:26" ht="14.25" customHeight="1"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5:26" ht="14.25" customHeight="1"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5:26" ht="14.25" customHeight="1"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5:26" ht="14.25" customHeight="1"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5:26" ht="14.25" customHeight="1"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5:26" ht="14.25" customHeight="1"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5:26" ht="14.25" customHeight="1"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5:26" ht="14.25" customHeight="1"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5:26" ht="14.25" customHeight="1"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5:26" ht="14.25" customHeight="1"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5:26" ht="14.25" customHeight="1"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5:26" ht="14.25" customHeight="1"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5:26" ht="14.25" customHeight="1"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5:26" ht="14.25" customHeight="1"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5:26" ht="14.25" customHeight="1"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5:26" ht="14.25" customHeight="1"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5:26" ht="14.25" customHeight="1"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5:26" ht="14.25" customHeight="1"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5:26" ht="14.25" customHeight="1"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5:26" ht="14.25" customHeight="1"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5:26" ht="14.25" customHeight="1"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5:26" ht="14.25" customHeight="1"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5:26" ht="14.25" customHeight="1"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5:26" ht="14.25" customHeight="1"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5:26" ht="14.25" customHeight="1"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5:26" ht="14.25" customHeight="1"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5:26" ht="14.25" customHeight="1"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5:26" ht="14.25" customHeight="1"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5:26" ht="14.25" customHeight="1"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5:26" ht="14.25" customHeight="1"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5:26" ht="14.25" customHeight="1"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5:26" ht="14.25" customHeight="1"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5:26" ht="14.25" customHeight="1"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5:26" ht="14.25" customHeight="1"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5:26" ht="14.25" customHeight="1"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5:26" ht="14.25" customHeight="1"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5:26" ht="14.25" customHeight="1"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5:26" ht="14.25" customHeight="1"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5:26" ht="14.25" customHeight="1"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5:26" ht="14.25" customHeight="1"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5:26" ht="14.25" customHeight="1"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5:26" ht="14.25" customHeight="1"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5:26" ht="14.25" customHeight="1"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5:26" ht="14.25" customHeight="1"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5:26" ht="14.25" customHeight="1"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5:26" ht="14.25" customHeight="1"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5:26" ht="14.25" customHeight="1"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5:26" ht="14.25" customHeight="1"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5:26" ht="14.25" customHeight="1"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5:26" ht="14.25" customHeight="1"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5:26" ht="14.25" customHeight="1"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5:26" ht="14.25" customHeight="1"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5:26" ht="14.25" customHeight="1"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5:26" ht="14.25" customHeight="1"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5:26" ht="14.25" customHeight="1"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5:26" ht="14.25" customHeight="1"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5:26" ht="14.25" customHeight="1"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5:26" ht="14.25" customHeight="1"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5:26" ht="14.25" customHeight="1"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5:26" ht="14.25" customHeight="1"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5:26" ht="14.25" customHeight="1"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5:26" ht="14.25" customHeight="1"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5:26" ht="14.25" customHeight="1"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5:26" ht="14.25" customHeight="1"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5:26" ht="14.25" customHeight="1"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5:26" ht="14.25" customHeight="1"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5:26" ht="14.25" customHeight="1"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5:26" ht="14.25" customHeight="1"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5:26" ht="14.25" customHeight="1"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5:26" ht="14.25" customHeight="1"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5:26" ht="14.25" customHeight="1"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5:26" ht="14.25" customHeight="1"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5:26" ht="14.25" customHeight="1"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5:26" ht="14.25" customHeight="1"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5:26" ht="14.25" customHeight="1"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5:26" ht="14.25" customHeight="1"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5:26" ht="14.25" customHeight="1"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5:26" ht="14.25" customHeight="1"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5:26" ht="14.25" customHeight="1"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5:26" ht="14.25" customHeight="1"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5:26" ht="14.25" customHeight="1"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5:26" ht="14.25" customHeight="1"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5:26" ht="14.25" customHeight="1"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5:26" ht="14.25" customHeight="1"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5:26" ht="14.25" customHeight="1"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5:26" ht="14.25" customHeight="1"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5:26" ht="14.25" customHeight="1"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5:26" ht="14.25" customHeight="1"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5:26" ht="14.25" customHeight="1"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5:26" ht="14.25" customHeight="1"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5:26" ht="14.25" customHeight="1"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5:26" ht="14.25" customHeight="1"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5:26" ht="14.25" customHeight="1"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5:26" ht="14.25" customHeight="1"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5:26" ht="14.25" customHeight="1"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5:26" ht="14.25" customHeight="1"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5:26" ht="14.25" customHeight="1"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5:26" ht="14.25" customHeight="1"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5:26" ht="14.25" customHeight="1"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5:26" ht="14.25" customHeight="1"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5:26" ht="14.25" customHeight="1"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5:26" ht="14.25" customHeight="1"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5:26" ht="14.25" customHeight="1"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5:26" ht="14.25" customHeight="1"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5:26" ht="14.25" customHeight="1"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5:26" ht="14.25" customHeight="1"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5:26" ht="14.25" customHeight="1"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5:26" ht="14.25" customHeight="1"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5:26" ht="14.25" customHeight="1"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5:26" ht="14.25" customHeight="1"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5:26" ht="14.25" customHeight="1"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5:26" ht="14.25" customHeight="1"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5:26" ht="14.25" customHeight="1"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5:26" ht="14.25" customHeight="1"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5:26" ht="14.25" customHeight="1"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5:26" ht="14.25" customHeight="1"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5:26" ht="14.25" customHeight="1"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5:26" ht="14.25" customHeight="1"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5:26" ht="14.25" customHeight="1"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5:26" ht="14.25" customHeight="1"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5:26" ht="14.25" customHeight="1"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5:26" ht="14.25" customHeight="1"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5:26" ht="14.25" customHeight="1"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5:26" ht="14.25" customHeight="1"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5:26" ht="14.25" customHeight="1"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5:26" ht="14.25" customHeight="1"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5:26" ht="14.25" customHeight="1"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5:26" ht="14.25" customHeight="1"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5:26" ht="14.25" customHeight="1"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5:26" ht="14.25" customHeight="1"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5:26" ht="14.25" customHeight="1"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5:26" ht="14.25" customHeight="1"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5:26" ht="14.25" customHeight="1"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5:26" ht="14.25" customHeight="1"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5:26" ht="14.25" customHeight="1"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5:26" ht="14.25" customHeight="1"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5:26" ht="14.25" customHeight="1"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5:26" ht="14.25" customHeight="1"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5:26" ht="14.25" customHeight="1"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5:26" ht="14.25" customHeight="1"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5:26" ht="14.25" customHeight="1"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5:26" ht="14.25" customHeight="1"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5:26" ht="14.25" customHeight="1"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5:26" ht="14.25" customHeight="1"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5:26" ht="14.25" customHeight="1"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5:26" ht="14.25" customHeight="1"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5:26" ht="14.25" customHeight="1"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5:26" ht="14.25" customHeight="1"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5:26" ht="14.25" customHeight="1"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5:26" ht="14.25" customHeight="1"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5:26" ht="14.25" customHeight="1"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5:26" ht="14.25" customHeight="1"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5:26" ht="14.25" customHeight="1"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15:26" ht="14.25" customHeight="1"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15:26" ht="14.25" customHeight="1"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5:26" ht="14.25" customHeight="1"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5:26" ht="14.25" customHeight="1"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5:26" ht="14.25" customHeight="1"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5:26" ht="14.25" customHeight="1"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5:26" ht="14.25" customHeight="1"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5:26" ht="14.25" customHeight="1"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5:26" ht="14.25" customHeight="1"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5:26" ht="14.25" customHeight="1"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5:26" ht="14.25" customHeight="1"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5:26" ht="14.25" customHeight="1"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5:26" ht="14.25" customHeight="1"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5:26" ht="14.25" customHeight="1"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15:26" ht="14.25" customHeight="1"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5:26" ht="14.25" customHeight="1"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5:26" ht="14.25" customHeight="1"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5:26" ht="14.25" customHeight="1"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5:26" ht="14.25" customHeight="1"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5:26" ht="14.25" customHeight="1"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5:26" ht="14.25" customHeight="1"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5:26" ht="14.25" customHeight="1"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5:26" ht="14.25" customHeight="1"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5:26" ht="14.25" customHeight="1"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5:26" ht="14.25" customHeight="1"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5:26" ht="14.25" customHeight="1"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5:26" ht="14.25" customHeight="1"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5:26" ht="14.25" customHeight="1"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5:26" ht="14.25" customHeight="1"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5:26" ht="14.25" customHeight="1"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5:26" ht="14.25" customHeight="1"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5:26" ht="14.25" customHeight="1"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5:26" ht="14.25" customHeight="1"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5:26" ht="14.25" customHeight="1"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5:26" ht="14.25" customHeight="1"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5:26" ht="14.25" customHeight="1"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5:26" ht="14.25" customHeight="1"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5:26" ht="14.25" customHeight="1"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5:26" ht="14.25" customHeight="1"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5:26" ht="14.25" customHeight="1"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5:26" ht="14.25" customHeight="1"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5:26" ht="14.25" customHeight="1"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5:26" ht="14.25" customHeight="1"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5:26" ht="14.25" customHeight="1"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5:26" ht="14.25" customHeight="1"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5:26" ht="14.25" customHeight="1"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5:26" ht="14.25" customHeight="1"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5:26" ht="14.25" customHeight="1"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5:26" ht="14.25" customHeight="1"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5:26" ht="14.25" customHeight="1"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5:26" ht="14.25" customHeight="1"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5:26" ht="14.25" customHeight="1"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5:26" ht="14.25" customHeight="1"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15:26" ht="14.25" customHeight="1"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5:26" ht="14.25" customHeight="1"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5:26" ht="14.25" customHeight="1"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5:26" ht="14.25" customHeight="1"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5:26" ht="14.25" customHeight="1"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5:26" ht="14.25" customHeight="1"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5:26" ht="14.25" customHeight="1"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5:26" ht="14.25" customHeight="1"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5:26" ht="14.25" customHeight="1"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5:26" ht="14.25" customHeight="1"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5:26" ht="14.25" customHeight="1"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5:26" ht="14.25" customHeight="1"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5:26" ht="14.25" customHeight="1"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5:26" ht="14.25" customHeight="1"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5:26" ht="14.25" customHeight="1"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5:26" ht="14.25" customHeight="1"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5:26" ht="14.25" customHeight="1"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5:26" ht="14.25" customHeight="1"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5:26" ht="14.25" customHeight="1"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5:26" ht="14.25" customHeight="1"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5:26" ht="14.25" customHeight="1"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5:26" ht="14.25" customHeight="1"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5:26" ht="14.25" customHeight="1"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5:26" ht="14.25" customHeight="1"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5:26" ht="14.25" customHeight="1"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5:26" ht="14.25" customHeight="1"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5:26" ht="14.25" customHeight="1"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5:26" ht="14.25" customHeight="1"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5:26" ht="14.25" customHeight="1"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5:26" ht="14.25" customHeight="1"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5:26" ht="14.25" customHeight="1"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15:26" ht="14.25" customHeight="1"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15:26" ht="14.25" customHeight="1"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15:26" ht="14.25" customHeight="1"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15:26" ht="14.25" customHeight="1"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15:26" ht="14.25" customHeight="1"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15:26" ht="14.25" customHeight="1"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15:26" ht="14.25" customHeight="1"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15:26" ht="14.25" customHeight="1"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15:26" ht="14.25" customHeight="1"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15:26" ht="14.25" customHeight="1"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15:26" ht="14.25" customHeight="1"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15:26" ht="14.25" customHeight="1"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15:26" ht="14.25" customHeight="1"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15:26" ht="14.25" customHeight="1"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15:26" ht="14.25" customHeight="1"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15:26" ht="14.25" customHeight="1"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15:26" ht="14.25" customHeight="1"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15:26" ht="14.25" customHeight="1"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15:26" ht="14.25" customHeight="1"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15:26" ht="14.25" customHeight="1"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15:26" ht="14.25" customHeight="1"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15:26" ht="14.25" customHeight="1"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15:26" ht="14.25" customHeight="1"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15:26" ht="14.25" customHeight="1"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15:26" ht="14.25" customHeight="1"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15:26" ht="14.25" customHeight="1"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15:26" ht="14.25" customHeight="1"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15:26" ht="14.25" customHeight="1"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15:26" ht="14.25" customHeight="1"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15:26" ht="14.25" customHeight="1"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15:26" ht="14.25" customHeight="1"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15:26" ht="14.25" customHeight="1"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15:26" ht="14.25" customHeight="1"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15:26" ht="14.25" customHeight="1"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15:26" ht="14.25" customHeight="1"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15:26" ht="14.25" customHeight="1"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15:26" ht="14.25" customHeight="1"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15:26" ht="14.25" customHeight="1"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15:26" ht="14.25" customHeight="1"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15:26" ht="14.25" customHeight="1"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15:26" ht="14.25" customHeight="1"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15:26" ht="14.25" customHeight="1"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15:26" ht="14.25" customHeight="1"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15:26" ht="14.25" customHeight="1"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15:26" ht="14.25" customHeight="1"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15:26" ht="14.25" customHeight="1"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15:26" ht="14.25" customHeight="1"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15:26" ht="14.25" customHeight="1"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15:26" ht="14.25" customHeight="1"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15:26" ht="14.25" customHeight="1"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15:26" ht="14.25" customHeight="1"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15:26" ht="14.25" customHeight="1"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15:26" ht="14.25" customHeight="1"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15:26" ht="14.25" customHeight="1"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15:26" ht="14.25" customHeight="1"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15:26" ht="14.25" customHeight="1"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15:26" ht="14.25" customHeight="1"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15:26" ht="14.25" customHeight="1"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15:26" ht="14.25" customHeight="1"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15:26" ht="14.25" customHeight="1"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15:26" ht="14.25" customHeight="1"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15:26" ht="14.25" customHeight="1"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15:26" ht="14.25" customHeight="1"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15:26" ht="14.25" customHeight="1"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15:26" ht="14.25" customHeight="1"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15:26" ht="14.25" customHeight="1"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15:26" ht="14.25" customHeight="1"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15:26" ht="14.25" customHeight="1"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15:26" ht="14.25" customHeight="1"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15:26" ht="14.25" customHeight="1"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15:26" ht="14.25" customHeight="1"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15:26" ht="14.25" customHeight="1"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15:26" ht="14.25" customHeight="1"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15:26" ht="14.25" customHeight="1"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15:26" ht="14.25" customHeight="1"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15:26" ht="14.25" customHeight="1"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15:26" ht="14.25" customHeight="1"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15:26" ht="14.25" customHeight="1"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15:26" ht="14.25" customHeight="1"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15:26" ht="14.25" customHeight="1"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15:26" ht="14.25" customHeight="1"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15:26" ht="14.25" customHeight="1"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15:26" ht="14.25" customHeight="1"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15:26" ht="14.25" customHeight="1"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15:26" ht="14.25" customHeight="1"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15:26" ht="14.25" customHeight="1"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15:26" ht="14.25" customHeight="1"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15:26" ht="14.25" customHeight="1"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15:26" ht="14.25" customHeight="1"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15:26" ht="14.25" customHeight="1"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15:26" ht="14.25" customHeight="1"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15:26" ht="14.25" customHeight="1"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15:26" ht="14.25" customHeight="1"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15:26" ht="14.25" customHeight="1"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15:26" ht="14.25" customHeight="1"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15:26" ht="14.25" customHeight="1"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5:26" ht="14.25" customHeight="1"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5:26" ht="14.25" customHeight="1"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15:26" ht="14.25" customHeight="1"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15:26" ht="14.25" customHeight="1"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15:26" ht="14.25" customHeight="1"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15:26" ht="14.25" customHeight="1"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15:26" ht="14.25" customHeight="1"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15:26" ht="14.25" customHeight="1"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15:26" ht="14.25" customHeight="1"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15:26" ht="14.25" customHeight="1"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15:26" ht="14.25" customHeight="1"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15:26" ht="14.25" customHeight="1"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15:26" ht="14.25" customHeight="1"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15:26" ht="14.25" customHeight="1"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15:26" ht="14.25" customHeight="1"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15:26" ht="14.25" customHeight="1"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15:26" ht="14.25" customHeight="1"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15:26" ht="14.25" customHeight="1"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15:26" ht="14.25" customHeight="1"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15:26" ht="14.25" customHeight="1"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15:26" ht="14.25" customHeight="1"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15:26" ht="14.25" customHeight="1"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15:26" ht="14.25" customHeight="1"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15:26" ht="14.25" customHeight="1"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15:26" ht="14.25" customHeight="1"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15:26" ht="14.25" customHeight="1"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15:26" ht="14.25" customHeight="1"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15:26" ht="14.25" customHeight="1"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15:26" ht="14.25" customHeight="1"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15:26" ht="14.25" customHeight="1"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15:26" ht="14.25" customHeight="1"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15:26" ht="14.25" customHeight="1"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15:26" ht="14.25" customHeight="1"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15:26" ht="14.25" customHeight="1"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15:26" ht="14.25" customHeight="1"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15:26" ht="14.25" customHeight="1"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15:26" ht="14.25" customHeight="1"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15:26" ht="14.25" customHeight="1"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15:26" ht="14.25" customHeight="1"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15:26" ht="14.25" customHeight="1"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15:26" ht="14.25" customHeight="1"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15:26" ht="14.25" customHeight="1"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15:26" ht="14.25" customHeight="1"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15:26" ht="14.25" customHeight="1"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15:26" ht="14.25" customHeight="1"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15:26" ht="14.25" customHeight="1"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15:26" ht="14.25" customHeight="1"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15:26" ht="14.25" customHeight="1"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15:26" ht="14.25" customHeight="1"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15:26" ht="14.25" customHeight="1"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15:26" ht="14.25" customHeight="1"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15:26" ht="14.25" customHeight="1"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15:26" ht="14.25" customHeight="1"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15:26" ht="14.25" customHeight="1"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15:26" ht="14.25" customHeight="1"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15:26" ht="14.25" customHeight="1"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15:26" ht="14.25" customHeight="1"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15:26" ht="14.25" customHeight="1"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15:26" ht="14.25" customHeight="1"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15:26" ht="14.25" customHeight="1"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15:26" ht="14.25" customHeight="1"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15:26" ht="14.25" customHeight="1"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15:26" ht="14.25" customHeight="1"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15:26" ht="14.25" customHeight="1"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15:26" ht="14.25" customHeight="1"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15:26" ht="14.25" customHeight="1"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15:26" ht="14.25" customHeight="1"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15:26" ht="14.25" customHeight="1"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15:26" ht="14.25" customHeight="1"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15:26" ht="14.25" customHeight="1"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15:26" ht="14.25" customHeight="1"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15:26" ht="14.25" customHeight="1"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15:26" ht="14.25" customHeight="1"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15:26" ht="14.25" customHeight="1"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15:26" ht="14.25" customHeight="1"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15:26" ht="14.25" customHeight="1"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15:26" ht="14.25" customHeight="1"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15:26" ht="14.25" customHeight="1"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15:26" ht="14.25" customHeight="1"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15:26" ht="14.25" customHeight="1"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15:26" ht="14.25" customHeight="1"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15:26" ht="14.25" customHeight="1"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15:26" ht="14.25" customHeight="1"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15:26" ht="14.25" customHeight="1"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15:26" ht="14.25" customHeight="1"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15:26" ht="14.25" customHeight="1"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15:26" ht="14.25" customHeight="1"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15:26" ht="14.25" customHeight="1"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15:26" ht="14.25" customHeight="1"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15:26" ht="14.25" customHeight="1"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15:26" ht="14.25" customHeight="1"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15:26" ht="14.25" customHeight="1"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15:26" ht="14.25" customHeight="1"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15:26" ht="14.25" customHeight="1"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15:26" ht="14.25" customHeight="1"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15:26" ht="14.25" customHeight="1"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15:26" ht="14.25" customHeight="1"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15:26" ht="14.25" customHeight="1"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15:26" ht="14.25" customHeight="1"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15:26" ht="14.25" customHeight="1"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15:26" ht="14.25" customHeight="1"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15:26" ht="14.25" customHeight="1"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15:26" ht="14.25" customHeight="1"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15:26" ht="14.25" customHeight="1"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15:26" ht="14.25" customHeight="1"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15:26" ht="14.25" customHeight="1"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15:26" ht="14.25" customHeight="1"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15:26" ht="14.25" customHeight="1"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15:26" ht="14.25" customHeight="1"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15:26" ht="14.25" customHeight="1"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15:26" ht="14.25" customHeight="1"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15:26" ht="14.25" customHeight="1"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5:26" ht="14.25" customHeight="1"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15:26" ht="14.25" customHeight="1"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15:26" ht="14.25" customHeight="1"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15:26" ht="14.25" customHeight="1"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15:26" ht="14.25" customHeight="1"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15:26" ht="14.25" customHeight="1"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15:26" ht="14.25" customHeight="1"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15:26" ht="14.25" customHeight="1"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15:26" ht="14.25" customHeight="1"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15:26" ht="14.25" customHeight="1"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15:26" ht="14.25" customHeight="1"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15:26" ht="14.25" customHeight="1"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15:26" ht="14.25" customHeight="1"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15:26" ht="14.25" customHeight="1"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15:26" ht="14.25" customHeight="1"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15:26" ht="14.25" customHeight="1"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15:26" ht="14.25" customHeight="1"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15:26" ht="14.25" customHeight="1"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15:26" ht="14.25" customHeight="1"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15:26" ht="14.25" customHeight="1"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15:26" ht="14.25" customHeight="1"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15:26" ht="14.25" customHeight="1"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15:26" ht="14.25" customHeight="1"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15:26" ht="14.25" customHeight="1"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15:26" ht="14.25" customHeight="1"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15:26" ht="14.25" customHeight="1"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15:26" ht="14.25" customHeight="1"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15:26" ht="14.25" customHeight="1"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15:26" ht="14.25" customHeight="1"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15:26" ht="14.25" customHeight="1"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15:26" ht="14.25" customHeight="1"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15:26" ht="14.25" customHeight="1"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15:26" ht="14.25" customHeight="1"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15:26" ht="14.25" customHeight="1"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15:26" ht="14.25" customHeight="1"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15:26" ht="14.25" customHeight="1"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15:26" ht="14.25" customHeight="1"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15:26" ht="14.25" customHeight="1"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15:26" ht="14.25" customHeight="1"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15:26" ht="14.25" customHeight="1"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15:26" ht="14.25" customHeight="1"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15:26" ht="14.25" customHeight="1"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15:26" ht="14.25" customHeight="1"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15:26" ht="14.25" customHeight="1"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15:26" ht="14.25" customHeight="1"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15:26" ht="14.25" customHeight="1"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15:26" ht="14.25" customHeight="1"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15:26" ht="14.25" customHeight="1"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5:26" ht="14.25" customHeight="1"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15:26" ht="14.25" customHeight="1"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15:26" ht="14.25" customHeight="1"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15:26" ht="14.25" customHeight="1"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15:26" ht="14.25" customHeight="1"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15:26" ht="14.25" customHeight="1"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15:26" ht="14.25" customHeight="1"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15:26" ht="14.25" customHeight="1"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15:26" ht="14.25" customHeight="1"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15:26" ht="14.25" customHeight="1"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15:26" ht="14.25" customHeight="1"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15:26" ht="14.25" customHeight="1"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15:26" ht="14.25" customHeight="1"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15:26" ht="14.25" customHeight="1"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15:26" ht="14.25" customHeight="1"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15:26" ht="14.25" customHeight="1"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15:26" ht="14.25" customHeight="1"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15:26" ht="14.25" customHeight="1"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15:26" ht="14.25" customHeight="1"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15:26" ht="14.25" customHeight="1"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15:26" ht="14.25" customHeight="1"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15:26" ht="14.25" customHeight="1"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15:26" ht="14.25" customHeight="1"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15:26" ht="14.25" customHeight="1"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15:26" ht="14.25" customHeight="1"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15:26" ht="14.25" customHeight="1"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15:26" ht="14.25" customHeight="1"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15:26" ht="14.25" customHeight="1"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15:26" ht="14.25" customHeight="1"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15:26" ht="14.25" customHeight="1"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15:26" ht="14.25" customHeight="1"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15:26" ht="14.25" customHeight="1"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15:26" ht="14.25" customHeight="1"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15:26" ht="14.25" customHeight="1"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15:26" ht="14.25" customHeight="1"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15:26" ht="14.25" customHeight="1"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15:26" ht="14.25" customHeight="1"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15:26" ht="14.25" customHeight="1"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15:26" ht="14.25" customHeight="1"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15:26" ht="14.25" customHeight="1"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15:26" ht="14.25" customHeight="1"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15:26" ht="14.25" customHeight="1"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15:26" ht="14.25" customHeight="1"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15:26" ht="14.25" customHeight="1"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15:26" ht="14.25" customHeight="1"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15:26" ht="14.25" customHeight="1"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15:26" ht="14.25" customHeight="1"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15:26" ht="14.25" customHeight="1"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15:26" ht="14.25" customHeight="1"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15:26" ht="14.25" customHeight="1"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15:26" ht="14.25" customHeight="1"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5:26" ht="14.25" customHeight="1"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15:26" ht="14.25" customHeight="1"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15:26" ht="14.25" customHeight="1"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15:26" ht="14.25" customHeight="1"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15:26" ht="14.25" customHeight="1"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15:26" ht="14.25" customHeight="1"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15:26" ht="14.25" customHeight="1"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15:26" ht="14.25" customHeight="1"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15:26" ht="14.25" customHeight="1"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15:26" ht="14.25" customHeight="1"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15:26" ht="14.25" customHeight="1"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15:26" ht="14.25" customHeight="1"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15:26" ht="14.25" customHeight="1"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15:26" ht="14.25" customHeight="1"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15:26" ht="14.25" customHeight="1"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15:26" ht="14.25" customHeight="1"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15:26" ht="14.25" customHeight="1"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15:26" ht="14.25" customHeight="1"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15:26" ht="14.25" customHeight="1"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15:26" ht="14.25" customHeight="1"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15:26" ht="14.25" customHeight="1"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15:26" ht="14.25" customHeight="1"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15:26" ht="14.25" customHeight="1"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15:26" ht="14.25" customHeight="1"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15:26" ht="14.25" customHeight="1"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15:26" ht="14.25" customHeight="1"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15:26" ht="14.25" customHeight="1"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15:26" ht="14.25" customHeight="1"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15:26" ht="14.25" customHeight="1"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15:26" ht="14.25" customHeight="1"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15:26" ht="14.25" customHeight="1"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15:26" ht="14.25" customHeight="1"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15:26" ht="14.25" customHeight="1"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15:26" ht="14.25" customHeight="1"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15:26" ht="14.25" customHeight="1"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15:26" ht="14.25" customHeight="1"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15:26" ht="14.25" customHeight="1"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15:26" ht="14.25" customHeight="1"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15:26" ht="14.25" customHeight="1"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15:26" ht="14.25" customHeight="1"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15:26" ht="14.25" customHeight="1"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15:26" ht="14.25" customHeight="1"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15:26" ht="14.25" customHeight="1"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15:26" ht="14.25" customHeight="1"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15:26" ht="14.25" customHeight="1"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15:26" ht="14.25" customHeight="1"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15:26" ht="14.25" customHeight="1"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15:26" ht="14.25" customHeight="1"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15:26" ht="14.25" customHeight="1"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15:26" ht="14.25" customHeight="1"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15:26" ht="14.25" customHeight="1"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15:26" ht="14.25" customHeight="1"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15:26" ht="14.25" customHeight="1"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15:26" ht="14.25" customHeight="1"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15:26" ht="14.25" customHeight="1"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15:26" ht="14.25" customHeight="1"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15:26" ht="14.25" customHeight="1"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15:26" ht="14.25" customHeight="1"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15:26" ht="14.25" customHeight="1"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15:26" ht="14.25" customHeight="1"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15:26" ht="14.25" customHeight="1"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15:26" ht="14.25" customHeight="1"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15:26" ht="14.25" customHeight="1"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15:26" ht="14.25" customHeight="1"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15:26" ht="14.25" customHeight="1"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15:26" ht="14.25" customHeight="1"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15:26" ht="14.25" customHeight="1"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15:26" ht="14.25" customHeight="1"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15:26" ht="14.25" customHeight="1"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15:26" ht="14.25" customHeight="1"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15:26" ht="14.25" customHeight="1"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15:26" ht="14.25" customHeight="1"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15:26" ht="14.25" customHeight="1"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15:26" ht="14.25" customHeight="1"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15:26" ht="14.25" customHeight="1"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15:26" ht="14.25" customHeight="1"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15:26" ht="14.25" customHeight="1"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15:26" ht="14.25" customHeight="1"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15:26" ht="14.25" customHeight="1"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15:26" ht="14.25" customHeight="1"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15:26" ht="14.25" customHeight="1"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15:26" ht="14.25" customHeight="1"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15:26" ht="14.25" customHeight="1"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15:26" ht="14.25" customHeight="1"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15:26" ht="14.25" customHeight="1"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15:26" ht="14.25" customHeight="1"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15:26" ht="14.25" customHeight="1"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15:26" ht="14.25" customHeight="1"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15:26" ht="14.25" customHeight="1"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15:26" ht="14.25" customHeight="1"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15:26" ht="14.25" customHeight="1"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15:26" ht="14.25" customHeight="1"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15:26" ht="14.25" customHeight="1"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15:26" ht="14.25" customHeight="1"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15:26" ht="14.25" customHeight="1"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15:26" ht="14.25" customHeight="1"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15:26" ht="14.25" customHeight="1"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15:26" ht="14.25" customHeight="1"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15:26" ht="14.25" customHeight="1"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15:26" ht="14.25" customHeight="1"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15:26" ht="14.25" customHeight="1"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15:26" ht="14.25" customHeight="1"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15:26" ht="14.25" customHeight="1"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15:26" ht="14.25" customHeight="1"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15:26" ht="14.25" customHeight="1"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15:26" ht="14.25" customHeight="1"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15:26" ht="14.25" customHeight="1"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15:26" ht="14.25" customHeight="1"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15:26" ht="14.25" customHeight="1"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15:26" ht="14.25" customHeight="1"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15:26" ht="14.25" customHeight="1"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15:26" ht="14.25" customHeight="1"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15:26" ht="14.25" customHeight="1"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15:26" ht="14.25" customHeight="1"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15:26" ht="14.25" customHeight="1"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15:26" ht="14.25" customHeight="1"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15:26" ht="14.25" customHeight="1"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15:26" ht="14.25" customHeight="1"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15:26" ht="14.25" customHeight="1"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15:26" ht="14.25" customHeight="1"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15:26" ht="14.25" customHeight="1"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15:26" ht="14.25" customHeight="1"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15:26" ht="14.25" customHeight="1"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15:26" ht="14.25" customHeight="1"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15:26" ht="14.25" customHeight="1"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15:26" ht="14.25" customHeight="1"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15:26" ht="14.25" customHeight="1"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15:26" ht="14.25" customHeight="1"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15:26" ht="14.25" customHeight="1"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15:26" ht="14.25" customHeight="1"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15:26" ht="14.25" customHeight="1"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15:26" ht="14.25" customHeight="1"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15:26" ht="14.25" customHeight="1"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15:26" ht="14.25" customHeight="1"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15:26" ht="14.25" customHeight="1"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15:26" ht="14.25" customHeight="1"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15:26" ht="14.25" customHeight="1"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15:26" ht="14.25" customHeight="1"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15:26" ht="14.25" customHeight="1"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15:26" ht="14.25" customHeight="1"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15:26" ht="14.25" customHeight="1"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15:26" ht="14.25" customHeight="1"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15:26" ht="14.25" customHeight="1"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15:26" ht="14.25" customHeight="1"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15:26" ht="14.25" customHeight="1"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15:26" ht="14.25" customHeight="1"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15:26" ht="14.25" customHeight="1"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15:26" ht="14.25" customHeight="1"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15:26" ht="14.25" customHeight="1"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15:26" ht="14.25" customHeight="1"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15:26" ht="14.25" customHeight="1"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15:26" ht="14.25" customHeight="1"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15:26" ht="14.25" customHeight="1"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15:26" ht="14.25" customHeight="1"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15:26" ht="14.25" customHeight="1"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15:26" ht="14.25" customHeight="1"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15:26" ht="14.25" customHeight="1"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15:26" ht="14.25" customHeight="1"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15:26" ht="14.25" customHeight="1"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15:26" ht="14.25" customHeight="1"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15:26" ht="14.25" customHeight="1"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15:26" ht="14.25" customHeight="1"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15:26" ht="14.25" customHeight="1"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15:26" ht="14.25" customHeight="1"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15:26" ht="14.25" customHeight="1"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15:26" ht="14.25" customHeight="1"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15:26" ht="14.25" customHeight="1"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15:26" ht="14.25" customHeight="1"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15:26" ht="14.25" customHeight="1"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15:26" ht="14.25" customHeight="1"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15:26" ht="14.25" customHeight="1"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15:26" ht="14.25" customHeight="1"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15:26" ht="14.25" customHeight="1"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15:26" ht="14.25" customHeight="1"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15:26" ht="14.25" customHeight="1"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15:26" ht="14.25" customHeight="1"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15:26" ht="14.25" customHeight="1"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spans="15:26" ht="14.25" customHeight="1"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spans="15:26" ht="14.25" customHeight="1"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spans="15:26" ht="14.25" customHeight="1"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spans="15:26" ht="14.25" customHeight="1"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spans="15:26" ht="14.25" customHeight="1"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spans="15:26" ht="14.25" customHeight="1"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spans="15:26" ht="14.25" customHeight="1"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spans="15:26" ht="14.25" customHeight="1"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spans="15:26" ht="14.25" customHeight="1"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spans="15:26" ht="14.25" customHeight="1"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spans="15:26" ht="14.25" customHeight="1"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spans="15:26" ht="14.25" customHeight="1"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spans="15:26" ht="14.25" customHeight="1"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spans="15:26" ht="14.25" customHeight="1"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spans="15:26" ht="14.25" customHeight="1"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spans="15:26" ht="14.25" customHeight="1"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spans="15:26" ht="14.25" customHeight="1"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spans="15:26" ht="14.25" customHeight="1"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spans="15:26" ht="14.25" customHeight="1"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spans="15:26" ht="14.25" customHeight="1"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spans="15:26" ht="14.25" customHeight="1"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spans="15:26" ht="14.25" customHeight="1"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spans="15:26" ht="14.25" customHeight="1"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spans="15:26" ht="14.25" customHeight="1"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spans="15:26" ht="14.25" customHeight="1"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spans="15:26" ht="14.25" customHeight="1"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spans="15:26" ht="14.25" customHeight="1"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spans="15:26" ht="14.25" customHeight="1"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spans="15:26" ht="14.25" customHeight="1"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spans="15:26" ht="14.25" customHeight="1"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spans="15:26" ht="14.25" customHeight="1"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spans="15:26" ht="14.25" customHeight="1"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spans="15:26" ht="14.25" customHeight="1"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spans="15:26" ht="14.25" customHeight="1"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spans="15:26" ht="14.25" customHeight="1"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spans="15:26" ht="14.25" customHeight="1"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spans="15:26" ht="14.25" customHeight="1"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spans="15:26" ht="14.25" customHeight="1"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spans="15:26" ht="14.25" customHeight="1"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spans="15:26" ht="14.25" customHeight="1"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spans="15:26" ht="14.25" customHeight="1"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spans="15:26" ht="14.25" customHeight="1"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spans="15:26" ht="14.25" customHeight="1"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spans="15:26" ht="14.25" customHeight="1"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spans="15:26" ht="14.25" customHeight="1"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spans="15:26" ht="14.25" customHeight="1"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spans="15:26" ht="14.25" customHeight="1"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spans="15:26" ht="14.25" customHeight="1"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spans="15:26" ht="14.25" customHeight="1"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spans="15:26" ht="14.25" customHeight="1"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spans="15:26" ht="14.25" customHeight="1"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spans="15:26" ht="14.25" customHeight="1"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spans="15:26" ht="14.25" customHeight="1"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spans="15:26" ht="14.25" customHeight="1"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spans="15:26" ht="14.25" customHeight="1"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spans="15:26" ht="14.25" customHeight="1"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spans="15:26" ht="14.25" customHeight="1"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spans="15:26" ht="14.25" customHeight="1"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spans="15:26" ht="14.25" customHeight="1"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spans="15:26" ht="14.25" customHeight="1"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spans="15:26" ht="14.25" customHeight="1"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spans="15:26" ht="14.25" customHeight="1"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spans="15:26" ht="14.25" customHeight="1"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spans="15:26" ht="14.25" customHeight="1"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spans="15:26" ht="14.25" customHeight="1"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spans="15:26" ht="14.25" customHeight="1"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spans="15:26" ht="14.25" customHeight="1"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spans="15:26" ht="14.25" customHeight="1"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spans="15:26" ht="14.25" customHeight="1"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spans="15:26" ht="14.25" customHeight="1"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 spans="15:26" ht="14.25" customHeight="1"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 spans="15:26" ht="14.25" customHeight="1"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  <row r="1003" spans="15:26" ht="14.25" customHeight="1"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</row>
    <row r="1004" spans="15:26" ht="14.25" customHeight="1"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</row>
    <row r="1005" spans="15:26" ht="14.25" customHeight="1"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</row>
    <row r="1006" spans="15:26" ht="14.25" customHeight="1"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</row>
    <row r="1007" spans="15:26" ht="14.25" customHeight="1"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</row>
    <row r="1008" spans="15:26" ht="14.25" customHeight="1"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</row>
    <row r="1009" spans="15:26" ht="14.25" customHeight="1"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</row>
    <row r="1010" spans="15:26" ht="14.25" customHeight="1"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</row>
    <row r="1011" spans="15:26" ht="14.25" customHeight="1"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</row>
    <row r="1012" spans="15:26" ht="14.25" customHeight="1"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</row>
    <row r="1013" spans="15:26" ht="14.25" customHeight="1"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</row>
    <row r="1014" spans="15:26" ht="14.25" customHeight="1"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</row>
    <row r="1015" spans="15:26" ht="14.25" customHeight="1"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</row>
    <row r="1016" spans="15:26" ht="14.25" customHeight="1"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</row>
    <row r="1017" spans="15:26" ht="14.25" customHeight="1"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</row>
    <row r="1018" spans="15:26" ht="14.25" customHeight="1"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</row>
    <row r="1019" spans="15:26" ht="14.25" customHeight="1"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</row>
    <row r="1020" spans="15:26" ht="14.25" customHeight="1"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</row>
  </sheetData>
  <mergeCells count="55">
    <mergeCell ref="O45:Y45"/>
    <mergeCell ref="B41:M41"/>
    <mergeCell ref="O41:Z41"/>
    <mergeCell ref="B1:AZ2"/>
    <mergeCell ref="B46:M47"/>
    <mergeCell ref="O46:Z47"/>
    <mergeCell ref="AB46:AM47"/>
    <mergeCell ref="AO46:AZ47"/>
    <mergeCell ref="AB45:AL45"/>
    <mergeCell ref="B45:L45"/>
    <mergeCell ref="B42:L42"/>
    <mergeCell ref="B43:L43"/>
    <mergeCell ref="B44:L44"/>
    <mergeCell ref="B48:B51"/>
    <mergeCell ref="O48:O51"/>
    <mergeCell ref="D50:M50"/>
    <mergeCell ref="D51:M51"/>
    <mergeCell ref="Q50:Z50"/>
    <mergeCell ref="Q51:Z51"/>
    <mergeCell ref="D48:M48"/>
    <mergeCell ref="D49:M49"/>
    <mergeCell ref="Q48:Z48"/>
    <mergeCell ref="Q49:Z49"/>
    <mergeCell ref="AB48:AB51"/>
    <mergeCell ref="AO45:AY45"/>
    <mergeCell ref="AO41:AZ41"/>
    <mergeCell ref="AB42:AL42"/>
    <mergeCell ref="AB43:AL43"/>
    <mergeCell ref="AB41:AM41"/>
    <mergeCell ref="AB44:AL44"/>
    <mergeCell ref="AD50:AM50"/>
    <mergeCell ref="AD51:AM51"/>
    <mergeCell ref="AQ48:AZ48"/>
    <mergeCell ref="AQ49:AZ49"/>
    <mergeCell ref="AQ50:AZ50"/>
    <mergeCell ref="AQ51:AZ51"/>
    <mergeCell ref="AO48:AO51"/>
    <mergeCell ref="AD48:AM48"/>
    <mergeCell ref="AD49:AM49"/>
    <mergeCell ref="AO42:AY42"/>
    <mergeCell ref="AO43:AY43"/>
    <mergeCell ref="AO44:AY44"/>
    <mergeCell ref="B23:AZ24"/>
    <mergeCell ref="B21:L21"/>
    <mergeCell ref="O21:Y21"/>
    <mergeCell ref="O42:Y42"/>
    <mergeCell ref="O43:Y43"/>
    <mergeCell ref="O44:Y44"/>
    <mergeCell ref="AB21:AL21"/>
    <mergeCell ref="AO20:AY20"/>
    <mergeCell ref="AO21:AY21"/>
    <mergeCell ref="B19:M19"/>
    <mergeCell ref="B20:L20"/>
    <mergeCell ref="O20:Y20"/>
    <mergeCell ref="AB20:AL20"/>
  </mergeCells>
  <conditionalFormatting sqref="C54:C93">
    <cfRule type="cellIs" dxfId="10" priority="3" operator="lessThan">
      <formula>#REF!</formula>
    </cfRule>
    <cfRule type="cellIs" dxfId="9" priority="4" operator="greaterThan">
      <formula>#REF!</formula>
    </cfRule>
  </conditionalFormatting>
  <conditionalFormatting sqref="P95:P99">
    <cfRule type="cellIs" dxfId="8" priority="6" operator="lessThan">
      <formula>#REF!</formula>
    </cfRule>
    <cfRule type="cellIs" dxfId="7" priority="7" operator="greaterThan">
      <formula>#REF!</formula>
    </cfRule>
  </conditionalFormatting>
  <conditionalFormatting sqref="Q55:Q93">
    <cfRule type="cellIs" dxfId="6" priority="5" operator="greaterThan">
      <formula>$Z$55</formula>
    </cfRule>
  </conditionalFormatting>
  <conditionalFormatting sqref="AC54:AC94">
    <cfRule type="cellIs" dxfId="5" priority="8" operator="lessThan">
      <formula>#REF!</formula>
    </cfRule>
    <cfRule type="cellIs" dxfId="4" priority="9" operator="greaterThan">
      <formula>#REF!</formula>
    </cfRule>
  </conditionalFormatting>
  <conditionalFormatting sqref="AN50:AN5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54:AP93">
    <cfRule type="cellIs" dxfId="3" priority="10" operator="lessThan">
      <formula>#REF!</formula>
    </cfRule>
    <cfRule type="cellIs" dxfId="2" priority="11" operator="greaterThan">
      <formula>#REF!</formula>
    </cfRule>
  </conditionalFormatting>
  <conditionalFormatting sqref="P54:P94">
    <cfRule type="cellIs" dxfId="1" priority="1" operator="lessThan">
      <formula>#REF!</formula>
    </cfRule>
    <cfRule type="cellIs" dxfId="0" priority="2" operator="greaterThan">
      <formula>#REF!</formula>
    </cfRule>
  </conditionalFormatting>
  <pageMargins left="0.7" right="0.7" top="0.75" bottom="0.75" header="0" footer="0"/>
  <pageSetup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Check Box 1">
              <controlPr defaultSize="0" autoFill="0" autoLine="0" autoPict="0">
                <anchor moveWithCells="1">
                  <from>
                    <xdr:col>12</xdr:col>
                    <xdr:colOff>57150</xdr:colOff>
                    <xdr:row>40</xdr:row>
                    <xdr:rowOff>171450</xdr:rowOff>
                  </from>
                  <to>
                    <xdr:col>12</xdr:col>
                    <xdr:colOff>781050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Check Box 2">
              <controlPr defaultSize="0" autoFill="0" autoLine="0" autoPict="0">
                <anchor moveWithCells="1">
                  <from>
                    <xdr:col>12</xdr:col>
                    <xdr:colOff>57150</xdr:colOff>
                    <xdr:row>44</xdr:row>
                    <xdr:rowOff>0</xdr:rowOff>
                  </from>
                  <to>
                    <xdr:col>12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Check Box 3">
              <controlPr defaultSize="0" autoFill="0" autoLine="0" autoPict="0">
                <anchor moveWithCells="1">
                  <from>
                    <xdr:col>12</xdr:col>
                    <xdr:colOff>57150</xdr:colOff>
                    <xdr:row>44</xdr:row>
                    <xdr:rowOff>0</xdr:rowOff>
                  </from>
                  <to>
                    <xdr:col>12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Check Box 4">
              <controlPr defaultSize="0" autoFill="0" autoLine="0" autoPict="0">
                <anchor moveWithCells="1">
                  <from>
                    <xdr:col>12</xdr:col>
                    <xdr:colOff>57150</xdr:colOff>
                    <xdr:row>44</xdr:row>
                    <xdr:rowOff>0</xdr:rowOff>
                  </from>
                  <to>
                    <xdr:col>12</xdr:col>
                    <xdr:colOff>781050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Check Box 5">
              <controlPr defaultSize="0" autoFill="0" autoLine="0" autoPict="0">
                <anchor moveWithCells="1">
                  <from>
                    <xdr:col>25</xdr:col>
                    <xdr:colOff>57150</xdr:colOff>
                    <xdr:row>40</xdr:row>
                    <xdr:rowOff>171450</xdr:rowOff>
                  </from>
                  <to>
                    <xdr:col>25</xdr:col>
                    <xdr:colOff>781050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8" name="Check Box 6">
              <controlPr defaultSize="0" autoFill="0" autoLine="0" autoPict="0">
                <anchor moveWithCells="1">
                  <from>
                    <xdr:col>25</xdr:col>
                    <xdr:colOff>57150</xdr:colOff>
                    <xdr:row>44</xdr:row>
                    <xdr:rowOff>0</xdr:rowOff>
                  </from>
                  <to>
                    <xdr:col>25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9" name="Check Box 7">
              <controlPr defaultSize="0" autoFill="0" autoLine="0" autoPict="0">
                <anchor moveWithCells="1">
                  <from>
                    <xdr:col>25</xdr:col>
                    <xdr:colOff>57150</xdr:colOff>
                    <xdr:row>44</xdr:row>
                    <xdr:rowOff>0</xdr:rowOff>
                  </from>
                  <to>
                    <xdr:col>25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0" name="Check Box 8">
              <controlPr defaultSize="0" autoFill="0" autoLine="0" autoPict="0">
                <anchor moveWithCells="1">
                  <from>
                    <xdr:col>25</xdr:col>
                    <xdr:colOff>57150</xdr:colOff>
                    <xdr:row>44</xdr:row>
                    <xdr:rowOff>0</xdr:rowOff>
                  </from>
                  <to>
                    <xdr:col>25</xdr:col>
                    <xdr:colOff>781050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1" name="Check Box 9">
              <controlPr defaultSize="0" autoFill="0" autoLine="0" autoPict="0">
                <anchor moveWithCells="1">
                  <from>
                    <xdr:col>38</xdr:col>
                    <xdr:colOff>57150</xdr:colOff>
                    <xdr:row>40</xdr:row>
                    <xdr:rowOff>171450</xdr:rowOff>
                  </from>
                  <to>
                    <xdr:col>38</xdr:col>
                    <xdr:colOff>781050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2" name="Check Box 10">
              <controlPr defaultSize="0" autoFill="0" autoLine="0" autoPict="0">
                <anchor moveWithCells="1">
                  <from>
                    <xdr:col>38</xdr:col>
                    <xdr:colOff>57150</xdr:colOff>
                    <xdr:row>44</xdr:row>
                    <xdr:rowOff>0</xdr:rowOff>
                  </from>
                  <to>
                    <xdr:col>38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3" name="Check Box 11">
              <controlPr defaultSize="0" autoFill="0" autoLine="0" autoPict="0">
                <anchor moveWithCells="1">
                  <from>
                    <xdr:col>38</xdr:col>
                    <xdr:colOff>57150</xdr:colOff>
                    <xdr:row>44</xdr:row>
                    <xdr:rowOff>0</xdr:rowOff>
                  </from>
                  <to>
                    <xdr:col>38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4" name="Check Box 12">
              <controlPr defaultSize="0" autoFill="0" autoLine="0" autoPict="0">
                <anchor moveWithCells="1">
                  <from>
                    <xdr:col>38</xdr:col>
                    <xdr:colOff>57150</xdr:colOff>
                    <xdr:row>44</xdr:row>
                    <xdr:rowOff>0</xdr:rowOff>
                  </from>
                  <to>
                    <xdr:col>38</xdr:col>
                    <xdr:colOff>781050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5" name="Check Box 13">
              <controlPr defaultSize="0" autoFill="0" autoLine="0" autoPict="0">
                <anchor moveWithCells="1">
                  <from>
                    <xdr:col>51</xdr:col>
                    <xdr:colOff>57150</xdr:colOff>
                    <xdr:row>40</xdr:row>
                    <xdr:rowOff>171450</xdr:rowOff>
                  </from>
                  <to>
                    <xdr:col>51</xdr:col>
                    <xdr:colOff>781050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6" name="Check Box 14">
              <controlPr defaultSize="0" autoFill="0" autoLine="0" autoPict="0">
                <anchor moveWithCells="1">
                  <from>
                    <xdr:col>51</xdr:col>
                    <xdr:colOff>57150</xdr:colOff>
                    <xdr:row>44</xdr:row>
                    <xdr:rowOff>0</xdr:rowOff>
                  </from>
                  <to>
                    <xdr:col>51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7" name="Check Box 15">
              <controlPr defaultSize="0" autoFill="0" autoLine="0" autoPict="0">
                <anchor moveWithCells="1">
                  <from>
                    <xdr:col>51</xdr:col>
                    <xdr:colOff>57150</xdr:colOff>
                    <xdr:row>44</xdr:row>
                    <xdr:rowOff>0</xdr:rowOff>
                  </from>
                  <to>
                    <xdr:col>51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8" name="Check Box 16">
              <controlPr defaultSize="0" autoFill="0" autoLine="0" autoPict="0">
                <anchor moveWithCells="1">
                  <from>
                    <xdr:col>51</xdr:col>
                    <xdr:colOff>57150</xdr:colOff>
                    <xdr:row>44</xdr:row>
                    <xdr:rowOff>0</xdr:rowOff>
                  </from>
                  <to>
                    <xdr:col>51</xdr:col>
                    <xdr:colOff>781050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9" name="Check Box 17">
              <controlPr defaultSize="0" autoFill="0" autoLine="0" autoPict="0">
                <anchor moveWithCells="1">
                  <from>
                    <xdr:col>12</xdr:col>
                    <xdr:colOff>57150</xdr:colOff>
                    <xdr:row>41</xdr:row>
                    <xdr:rowOff>171450</xdr:rowOff>
                  </from>
                  <to>
                    <xdr:col>12</xdr:col>
                    <xdr:colOff>781050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0" name="Check Box 18">
              <controlPr defaultSize="0" autoFill="0" autoLine="0" autoPict="0">
                <anchor moveWithCells="1">
                  <from>
                    <xdr:col>12</xdr:col>
                    <xdr:colOff>57150</xdr:colOff>
                    <xdr:row>42</xdr:row>
                    <xdr:rowOff>171450</xdr:rowOff>
                  </from>
                  <to>
                    <xdr:col>12</xdr:col>
                    <xdr:colOff>781050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1" name="Check Box 19">
              <controlPr defaultSize="0" autoFill="0" autoLine="0" autoPict="0">
                <anchor moveWithCells="1">
                  <from>
                    <xdr:col>12</xdr:col>
                    <xdr:colOff>57150</xdr:colOff>
                    <xdr:row>43</xdr:row>
                    <xdr:rowOff>171450</xdr:rowOff>
                  </from>
                  <to>
                    <xdr:col>12</xdr:col>
                    <xdr:colOff>781050</xdr:colOff>
                    <xdr:row>45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2" name="Check Box 20">
              <controlPr defaultSize="0" autoFill="0" autoLine="0" autoPict="0">
                <anchor moveWithCells="1">
                  <from>
                    <xdr:col>12</xdr:col>
                    <xdr:colOff>57150</xdr:colOff>
                    <xdr:row>44</xdr:row>
                    <xdr:rowOff>0</xdr:rowOff>
                  </from>
                  <to>
                    <xdr:col>12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3" name="Check Box 21">
              <controlPr defaultSize="0" autoFill="0" autoLine="0" autoPict="0">
                <anchor moveWithCells="1">
                  <from>
                    <xdr:col>25</xdr:col>
                    <xdr:colOff>57150</xdr:colOff>
                    <xdr:row>40</xdr:row>
                    <xdr:rowOff>171450</xdr:rowOff>
                  </from>
                  <to>
                    <xdr:col>25</xdr:col>
                    <xdr:colOff>781050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4" name="Check Box 22">
              <controlPr defaultSize="0" autoFill="0" autoLine="0" autoPict="0">
                <anchor moveWithCells="1">
                  <from>
                    <xdr:col>25</xdr:col>
                    <xdr:colOff>57150</xdr:colOff>
                    <xdr:row>44</xdr:row>
                    <xdr:rowOff>0</xdr:rowOff>
                  </from>
                  <to>
                    <xdr:col>25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5" name="Check Box 23">
              <controlPr defaultSize="0" autoFill="0" autoLine="0" autoPict="0">
                <anchor moveWithCells="1">
                  <from>
                    <xdr:col>25</xdr:col>
                    <xdr:colOff>57150</xdr:colOff>
                    <xdr:row>44</xdr:row>
                    <xdr:rowOff>0</xdr:rowOff>
                  </from>
                  <to>
                    <xdr:col>25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6" name="Check Box 24">
              <controlPr defaultSize="0" autoFill="0" autoLine="0" autoPict="0">
                <anchor moveWithCells="1">
                  <from>
                    <xdr:col>25</xdr:col>
                    <xdr:colOff>57150</xdr:colOff>
                    <xdr:row>44</xdr:row>
                    <xdr:rowOff>0</xdr:rowOff>
                  </from>
                  <to>
                    <xdr:col>25</xdr:col>
                    <xdr:colOff>781050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7" name="Check Box 25">
              <controlPr defaultSize="0" autoFill="0" autoLine="0" autoPict="0">
                <anchor moveWithCells="1">
                  <from>
                    <xdr:col>25</xdr:col>
                    <xdr:colOff>57150</xdr:colOff>
                    <xdr:row>41</xdr:row>
                    <xdr:rowOff>171450</xdr:rowOff>
                  </from>
                  <to>
                    <xdr:col>25</xdr:col>
                    <xdr:colOff>781050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8" name="Check Box 26">
              <controlPr defaultSize="0" autoFill="0" autoLine="0" autoPict="0">
                <anchor moveWithCells="1">
                  <from>
                    <xdr:col>25</xdr:col>
                    <xdr:colOff>57150</xdr:colOff>
                    <xdr:row>42</xdr:row>
                    <xdr:rowOff>171450</xdr:rowOff>
                  </from>
                  <to>
                    <xdr:col>25</xdr:col>
                    <xdr:colOff>781050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29" name="Check Box 27">
              <controlPr defaultSize="0" autoFill="0" autoLine="0" autoPict="0">
                <anchor moveWithCells="1">
                  <from>
                    <xdr:col>25</xdr:col>
                    <xdr:colOff>57150</xdr:colOff>
                    <xdr:row>43</xdr:row>
                    <xdr:rowOff>171450</xdr:rowOff>
                  </from>
                  <to>
                    <xdr:col>25</xdr:col>
                    <xdr:colOff>781050</xdr:colOff>
                    <xdr:row>45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0" name="Check Box 28">
              <controlPr defaultSize="0" autoFill="0" autoLine="0" autoPict="0">
                <anchor moveWithCells="1">
                  <from>
                    <xdr:col>25</xdr:col>
                    <xdr:colOff>57150</xdr:colOff>
                    <xdr:row>44</xdr:row>
                    <xdr:rowOff>0</xdr:rowOff>
                  </from>
                  <to>
                    <xdr:col>25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1" name="Check Box 29">
              <controlPr defaultSize="0" autoFill="0" autoLine="0" autoPict="0">
                <anchor moveWithCells="1">
                  <from>
                    <xdr:col>38</xdr:col>
                    <xdr:colOff>57150</xdr:colOff>
                    <xdr:row>40</xdr:row>
                    <xdr:rowOff>171450</xdr:rowOff>
                  </from>
                  <to>
                    <xdr:col>38</xdr:col>
                    <xdr:colOff>781050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2" name="Check Box 30">
              <controlPr defaultSize="0" autoFill="0" autoLine="0" autoPict="0">
                <anchor moveWithCells="1">
                  <from>
                    <xdr:col>38</xdr:col>
                    <xdr:colOff>57150</xdr:colOff>
                    <xdr:row>44</xdr:row>
                    <xdr:rowOff>0</xdr:rowOff>
                  </from>
                  <to>
                    <xdr:col>38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3" name="Check Box 31">
              <controlPr defaultSize="0" autoFill="0" autoLine="0" autoPict="0">
                <anchor moveWithCells="1">
                  <from>
                    <xdr:col>38</xdr:col>
                    <xdr:colOff>57150</xdr:colOff>
                    <xdr:row>44</xdr:row>
                    <xdr:rowOff>0</xdr:rowOff>
                  </from>
                  <to>
                    <xdr:col>38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4" name="Check Box 32">
              <controlPr defaultSize="0" autoFill="0" autoLine="0" autoPict="0">
                <anchor moveWithCells="1">
                  <from>
                    <xdr:col>38</xdr:col>
                    <xdr:colOff>57150</xdr:colOff>
                    <xdr:row>44</xdr:row>
                    <xdr:rowOff>0</xdr:rowOff>
                  </from>
                  <to>
                    <xdr:col>38</xdr:col>
                    <xdr:colOff>781050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5" name="Check Box 33">
              <controlPr defaultSize="0" autoFill="0" autoLine="0" autoPict="0">
                <anchor moveWithCells="1">
                  <from>
                    <xdr:col>38</xdr:col>
                    <xdr:colOff>57150</xdr:colOff>
                    <xdr:row>41</xdr:row>
                    <xdr:rowOff>171450</xdr:rowOff>
                  </from>
                  <to>
                    <xdr:col>38</xdr:col>
                    <xdr:colOff>781050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6" name="Check Box 34">
              <controlPr defaultSize="0" autoFill="0" autoLine="0" autoPict="0">
                <anchor moveWithCells="1">
                  <from>
                    <xdr:col>38</xdr:col>
                    <xdr:colOff>57150</xdr:colOff>
                    <xdr:row>42</xdr:row>
                    <xdr:rowOff>171450</xdr:rowOff>
                  </from>
                  <to>
                    <xdr:col>38</xdr:col>
                    <xdr:colOff>781050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7" name="Check Box 35">
              <controlPr defaultSize="0" autoFill="0" autoLine="0" autoPict="0">
                <anchor moveWithCells="1">
                  <from>
                    <xdr:col>38</xdr:col>
                    <xdr:colOff>57150</xdr:colOff>
                    <xdr:row>43</xdr:row>
                    <xdr:rowOff>171450</xdr:rowOff>
                  </from>
                  <to>
                    <xdr:col>38</xdr:col>
                    <xdr:colOff>781050</xdr:colOff>
                    <xdr:row>45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8" name="Check Box 36">
              <controlPr defaultSize="0" autoFill="0" autoLine="0" autoPict="0">
                <anchor moveWithCells="1">
                  <from>
                    <xdr:col>38</xdr:col>
                    <xdr:colOff>57150</xdr:colOff>
                    <xdr:row>44</xdr:row>
                    <xdr:rowOff>0</xdr:rowOff>
                  </from>
                  <to>
                    <xdr:col>38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39" name="Check Box 37">
              <controlPr defaultSize="0" autoFill="0" autoLine="0" autoPict="0">
                <anchor moveWithCells="1">
                  <from>
                    <xdr:col>51</xdr:col>
                    <xdr:colOff>57150</xdr:colOff>
                    <xdr:row>40</xdr:row>
                    <xdr:rowOff>171450</xdr:rowOff>
                  </from>
                  <to>
                    <xdr:col>51</xdr:col>
                    <xdr:colOff>781050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0" name="Check Box 38">
              <controlPr defaultSize="0" autoFill="0" autoLine="0" autoPict="0">
                <anchor moveWithCells="1">
                  <from>
                    <xdr:col>51</xdr:col>
                    <xdr:colOff>57150</xdr:colOff>
                    <xdr:row>44</xdr:row>
                    <xdr:rowOff>0</xdr:rowOff>
                  </from>
                  <to>
                    <xdr:col>51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1" name="Check Box 39">
              <controlPr defaultSize="0" autoFill="0" autoLine="0" autoPict="0">
                <anchor moveWithCells="1">
                  <from>
                    <xdr:col>51</xdr:col>
                    <xdr:colOff>57150</xdr:colOff>
                    <xdr:row>44</xdr:row>
                    <xdr:rowOff>0</xdr:rowOff>
                  </from>
                  <to>
                    <xdr:col>51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2" name="Check Box 40">
              <controlPr defaultSize="0" autoFill="0" autoLine="0" autoPict="0">
                <anchor moveWithCells="1">
                  <from>
                    <xdr:col>51</xdr:col>
                    <xdr:colOff>57150</xdr:colOff>
                    <xdr:row>44</xdr:row>
                    <xdr:rowOff>0</xdr:rowOff>
                  </from>
                  <to>
                    <xdr:col>51</xdr:col>
                    <xdr:colOff>781050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43" name="Check Box 41">
              <controlPr defaultSize="0" autoFill="0" autoLine="0" autoPict="0">
                <anchor moveWithCells="1">
                  <from>
                    <xdr:col>51</xdr:col>
                    <xdr:colOff>57150</xdr:colOff>
                    <xdr:row>41</xdr:row>
                    <xdr:rowOff>171450</xdr:rowOff>
                  </from>
                  <to>
                    <xdr:col>51</xdr:col>
                    <xdr:colOff>781050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44" name="Check Box 42">
              <controlPr defaultSize="0" autoFill="0" autoLine="0" autoPict="0">
                <anchor moveWithCells="1">
                  <from>
                    <xdr:col>51</xdr:col>
                    <xdr:colOff>57150</xdr:colOff>
                    <xdr:row>42</xdr:row>
                    <xdr:rowOff>171450</xdr:rowOff>
                  </from>
                  <to>
                    <xdr:col>51</xdr:col>
                    <xdr:colOff>781050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45" name="Check Box 43">
              <controlPr defaultSize="0" autoFill="0" autoLine="0" autoPict="0">
                <anchor moveWithCells="1">
                  <from>
                    <xdr:col>51</xdr:col>
                    <xdr:colOff>57150</xdr:colOff>
                    <xdr:row>43</xdr:row>
                    <xdr:rowOff>171450</xdr:rowOff>
                  </from>
                  <to>
                    <xdr:col>51</xdr:col>
                    <xdr:colOff>781050</xdr:colOff>
                    <xdr:row>45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8" r:id="rId46" name="Check Box 44">
              <controlPr defaultSize="0" autoFill="0" autoLine="0" autoPict="0">
                <anchor moveWithCells="1">
                  <from>
                    <xdr:col>51</xdr:col>
                    <xdr:colOff>57150</xdr:colOff>
                    <xdr:row>44</xdr:row>
                    <xdr:rowOff>0</xdr:rowOff>
                  </from>
                  <to>
                    <xdr:col>51</xdr:col>
                    <xdr:colOff>781050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9" r:id="rId47" name="Check Box 45">
              <controlPr defaultSize="0" autoFill="0" autoLine="0" autoPict="0">
                <anchor moveWithCells="1">
                  <from>
                    <xdr:col>12</xdr:col>
                    <xdr:colOff>57150</xdr:colOff>
                    <xdr:row>18</xdr:row>
                    <xdr:rowOff>171450</xdr:rowOff>
                  </from>
                  <to>
                    <xdr:col>12</xdr:col>
                    <xdr:colOff>781050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48" name="Check Box 46">
              <controlPr defaultSize="0" autoFill="0" autoLine="0" autoPict="0">
                <anchor moveWithCells="1">
                  <from>
                    <xdr:col>12</xdr:col>
                    <xdr:colOff>57150</xdr:colOff>
                    <xdr:row>19</xdr:row>
                    <xdr:rowOff>171450</xdr:rowOff>
                  </from>
                  <to>
                    <xdr:col>12</xdr:col>
                    <xdr:colOff>781050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49" name="Check Box 47">
              <controlPr defaultSize="0" autoFill="0" autoLine="0" autoPict="0">
                <anchor moveWithCells="1">
                  <from>
                    <xdr:col>25</xdr:col>
                    <xdr:colOff>57150</xdr:colOff>
                    <xdr:row>18</xdr:row>
                    <xdr:rowOff>171450</xdr:rowOff>
                  </from>
                  <to>
                    <xdr:col>25</xdr:col>
                    <xdr:colOff>781050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2" r:id="rId50" name="Check Box 48">
              <controlPr defaultSize="0" autoFill="0" autoLine="0" autoPict="0">
                <anchor moveWithCells="1">
                  <from>
                    <xdr:col>25</xdr:col>
                    <xdr:colOff>57150</xdr:colOff>
                    <xdr:row>19</xdr:row>
                    <xdr:rowOff>171450</xdr:rowOff>
                  </from>
                  <to>
                    <xdr:col>25</xdr:col>
                    <xdr:colOff>781050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51" name="Check Box 49">
              <controlPr defaultSize="0" autoFill="0" autoLine="0" autoPict="0">
                <anchor moveWithCells="1">
                  <from>
                    <xdr:col>38</xdr:col>
                    <xdr:colOff>57150</xdr:colOff>
                    <xdr:row>18</xdr:row>
                    <xdr:rowOff>171450</xdr:rowOff>
                  </from>
                  <to>
                    <xdr:col>38</xdr:col>
                    <xdr:colOff>781050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4" r:id="rId52" name="Check Box 50">
              <controlPr defaultSize="0" autoFill="0" autoLine="0" autoPict="0">
                <anchor moveWithCells="1">
                  <from>
                    <xdr:col>38</xdr:col>
                    <xdr:colOff>57150</xdr:colOff>
                    <xdr:row>19</xdr:row>
                    <xdr:rowOff>171450</xdr:rowOff>
                  </from>
                  <to>
                    <xdr:col>38</xdr:col>
                    <xdr:colOff>781050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53" name="Check Box 51">
              <controlPr defaultSize="0" autoFill="0" autoLine="0" autoPict="0">
                <anchor moveWithCells="1">
                  <from>
                    <xdr:col>51</xdr:col>
                    <xdr:colOff>57150</xdr:colOff>
                    <xdr:row>18</xdr:row>
                    <xdr:rowOff>171450</xdr:rowOff>
                  </from>
                  <to>
                    <xdr:col>51</xdr:col>
                    <xdr:colOff>781050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54" name="Check Box 52">
              <controlPr defaultSize="0" autoFill="0" autoLine="0" autoPict="0">
                <anchor moveWithCells="1">
                  <from>
                    <xdr:col>51</xdr:col>
                    <xdr:colOff>57150</xdr:colOff>
                    <xdr:row>19</xdr:row>
                    <xdr:rowOff>171450</xdr:rowOff>
                  </from>
                  <to>
                    <xdr:col>51</xdr:col>
                    <xdr:colOff>781050</xdr:colOff>
                    <xdr:row>21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7E6E6"/>
  </sheetPr>
  <dimension ref="B1:F998"/>
  <sheetViews>
    <sheetView showGridLines="0" tabSelected="1" zoomScale="55" zoomScaleNormal="55" workbookViewId="0">
      <selection activeCell="E9" sqref="E9:E14"/>
    </sheetView>
  </sheetViews>
  <sheetFormatPr defaultColWidth="14.42578125" defaultRowHeight="15" customHeight="1"/>
  <cols>
    <col min="1" max="1" width="8.5703125" customWidth="1"/>
    <col min="2" max="2" width="20.85546875" customWidth="1"/>
    <col min="3" max="3" width="31.5703125" customWidth="1"/>
    <col min="4" max="4" width="34.85546875" customWidth="1"/>
    <col min="5" max="5" width="29.7109375" customWidth="1"/>
    <col min="6" max="6" width="27.42578125" customWidth="1"/>
    <col min="7" max="26" width="8.5703125" customWidth="1"/>
  </cols>
  <sheetData>
    <row r="1" spans="2:6" ht="14.25" customHeight="1"/>
    <row r="2" spans="2:6" ht="14.25" customHeight="1" thickBot="1">
      <c r="B2" s="22" t="s">
        <v>137</v>
      </c>
      <c r="C2" s="96" t="s">
        <v>37</v>
      </c>
      <c r="D2" s="96" t="s">
        <v>138</v>
      </c>
      <c r="E2" s="96" t="s">
        <v>139</v>
      </c>
      <c r="F2" s="96" t="s">
        <v>46</v>
      </c>
    </row>
    <row r="3" spans="2:6" ht="14.25" customHeight="1" thickTop="1">
      <c r="B3" s="30" t="s">
        <v>26</v>
      </c>
      <c r="C3" s="19" t="str">
        <f>'[1]Data Awal'!C4</f>
        <v>Horizontal</v>
      </c>
      <c r="D3" s="19" t="str">
        <f>'[1]Data Awal'!D4</f>
        <v>Trend</v>
      </c>
      <c r="E3" s="19" t="str">
        <f>'[1]Data Awal'!E4</f>
        <v>Seasonal with Trend</v>
      </c>
      <c r="F3" s="19" t="str">
        <f>'[1]Data Awal'!F4</f>
        <v>Unknown</v>
      </c>
    </row>
    <row r="4" spans="2:6" ht="14.25" customHeight="1">
      <c r="B4" s="15" t="s">
        <v>140</v>
      </c>
      <c r="C4" s="15" t="s">
        <v>82</v>
      </c>
      <c r="D4" s="13" t="s">
        <v>143</v>
      </c>
      <c r="E4" s="13" t="s">
        <v>144</v>
      </c>
      <c r="F4" s="13" t="s">
        <v>81</v>
      </c>
    </row>
    <row r="5" spans="2:6" ht="14.25" customHeight="1">
      <c r="B5" s="15" t="s">
        <v>141</v>
      </c>
      <c r="C5" s="13" t="s">
        <v>145</v>
      </c>
      <c r="D5" s="13" t="s">
        <v>146</v>
      </c>
      <c r="E5" s="13" t="s">
        <v>146</v>
      </c>
      <c r="F5" s="13" t="s">
        <v>146</v>
      </c>
    </row>
    <row r="6" spans="2:6" ht="14.25" customHeight="1">
      <c r="B6" s="15" t="s">
        <v>92</v>
      </c>
      <c r="C6" s="129">
        <v>2.0500000000000001E-2</v>
      </c>
      <c r="D6" s="129">
        <v>2.3443914365167681E-2</v>
      </c>
      <c r="E6" s="129">
        <v>1.6980973443601548E-2</v>
      </c>
      <c r="F6" s="129">
        <v>0.73448915193503372</v>
      </c>
    </row>
    <row r="7" spans="2:6" ht="14.25" customHeight="1">
      <c r="B7" s="12" t="s">
        <v>142</v>
      </c>
    </row>
    <row r="8" spans="2:6" ht="14.25" customHeight="1" thickBot="1">
      <c r="B8" s="96" t="s">
        <v>27</v>
      </c>
      <c r="C8" s="96" t="s">
        <v>37</v>
      </c>
      <c r="D8" s="209" t="s">
        <v>138</v>
      </c>
      <c r="E8" s="209" t="s">
        <v>139</v>
      </c>
      <c r="F8" s="96" t="s">
        <v>46</v>
      </c>
    </row>
    <row r="9" spans="2:6" ht="14.25" customHeight="1" thickTop="1">
      <c r="B9" s="206">
        <v>41</v>
      </c>
      <c r="C9" s="210">
        <f>'A - Forecast'!R68</f>
        <v>8522.3166072037693</v>
      </c>
      <c r="D9" s="211">
        <f>'B - Forecast'!D69</f>
        <v>16192.276923076923</v>
      </c>
      <c r="E9" s="211">
        <f>'C - Forecast'!I73</f>
        <v>15753.259906332874</v>
      </c>
      <c r="F9" s="210">
        <f>'D - Forecast'!AG68</f>
        <v>9609.8333333333321</v>
      </c>
    </row>
    <row r="10" spans="2:6" ht="14.25" customHeight="1">
      <c r="B10" s="99">
        <v>42</v>
      </c>
      <c r="C10" s="212"/>
      <c r="D10" s="211">
        <f>'B - Forecast'!D70</f>
        <v>16468.973358348969</v>
      </c>
      <c r="E10" s="211">
        <f>'C - Forecast'!I74</f>
        <v>15944.193111844204</v>
      </c>
      <c r="F10" s="211"/>
    </row>
    <row r="11" spans="2:6" ht="14.25" customHeight="1">
      <c r="B11" s="99">
        <v>43</v>
      </c>
      <c r="C11" s="212"/>
      <c r="D11" s="211">
        <f>'B - Forecast'!D71</f>
        <v>16745.669793621015</v>
      </c>
      <c r="E11" s="211">
        <f>'C - Forecast'!I75</f>
        <v>16135.126317355534</v>
      </c>
      <c r="F11" s="211"/>
    </row>
    <row r="12" spans="2:6" ht="14.25" customHeight="1">
      <c r="B12" s="99">
        <v>44</v>
      </c>
      <c r="C12" s="212"/>
      <c r="D12" s="211">
        <f>'B - Forecast'!D72</f>
        <v>17022.366228893057</v>
      </c>
      <c r="E12" s="211">
        <f>'C - Forecast'!I76</f>
        <v>16326.059522866866</v>
      </c>
      <c r="F12" s="211"/>
    </row>
    <row r="13" spans="2:6" ht="14.25" customHeight="1">
      <c r="B13" s="99">
        <v>45</v>
      </c>
      <c r="C13" s="212"/>
      <c r="D13" s="211">
        <f>'B - Forecast'!D73</f>
        <v>17299.062664165103</v>
      </c>
      <c r="E13" s="211">
        <f>'C - Forecast'!I77</f>
        <v>16516.992728378194</v>
      </c>
      <c r="F13" s="211"/>
    </row>
    <row r="14" spans="2:6" ht="14.25" customHeight="1">
      <c r="B14" s="98">
        <v>46</v>
      </c>
      <c r="C14" s="213"/>
      <c r="D14" s="214">
        <f>'B - Forecast'!D74</f>
        <v>17575.759099437149</v>
      </c>
      <c r="E14" s="214">
        <f>'C - Forecast'!I78</f>
        <v>16707.925933889528</v>
      </c>
      <c r="F14" s="214"/>
    </row>
    <row r="15" spans="2:6" ht="14.25" customHeight="1">
      <c r="B15" s="14"/>
      <c r="C15" s="38"/>
      <c r="D15" s="104"/>
      <c r="E15" s="38"/>
      <c r="F15" s="104"/>
    </row>
    <row r="16" spans="2:6" ht="14.25" customHeight="1">
      <c r="B16" s="14"/>
      <c r="C16" s="38"/>
      <c r="D16" s="104"/>
      <c r="E16" s="38"/>
      <c r="F16" s="38"/>
    </row>
    <row r="17" spans="2:6" ht="14.25" customHeight="1">
      <c r="B17" s="99"/>
      <c r="C17" s="207"/>
      <c r="D17" s="97"/>
      <c r="E17" s="207"/>
      <c r="F17" s="207"/>
    </row>
    <row r="18" spans="2:6" ht="14.25" customHeight="1">
      <c r="B18" s="99"/>
      <c r="C18" s="207"/>
      <c r="D18" s="97"/>
      <c r="E18" s="207"/>
      <c r="F18" s="207"/>
    </row>
    <row r="19" spans="2:6" ht="14.25" customHeight="1">
      <c r="B19" s="99"/>
      <c r="C19" s="207"/>
      <c r="D19" s="97"/>
      <c r="E19" s="207"/>
      <c r="F19" s="207"/>
    </row>
    <row r="20" spans="2:6" ht="14.25" customHeight="1">
      <c r="B20" s="99"/>
      <c r="C20" s="207"/>
      <c r="D20" s="97"/>
      <c r="E20" s="207"/>
      <c r="F20" s="207"/>
    </row>
    <row r="21" spans="2:6" ht="14.25" customHeight="1">
      <c r="B21" s="68"/>
      <c r="C21" s="68"/>
      <c r="D21" s="68"/>
      <c r="E21" s="68"/>
      <c r="F21" s="68"/>
    </row>
    <row r="22" spans="2:6" ht="14.25" customHeight="1"/>
    <row r="23" spans="2:6" ht="14.25" customHeight="1"/>
    <row r="24" spans="2:6" ht="14.25" customHeight="1"/>
    <row r="25" spans="2:6" ht="14.25" customHeight="1"/>
    <row r="26" spans="2:6" ht="14.25" customHeight="1"/>
    <row r="27" spans="2:6" ht="14.25" customHeight="1"/>
    <row r="28" spans="2:6" ht="14.25" customHeight="1"/>
    <row r="29" spans="2:6" ht="14.25" customHeight="1"/>
    <row r="30" spans="2:6" ht="14.25" customHeight="1"/>
    <row r="31" spans="2:6" ht="14.25" customHeight="1"/>
    <row r="32" spans="2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dataValidations count="2">
    <dataValidation type="list" allowBlank="1" showErrorMessage="1" sqref="C4:F4" xr:uid="{00000000-0002-0000-0900-000000000000}">
      <formula1>"Simple Moving Average,Weighted Moving Average,Single Exponential Smoothing,Linear Regression,Double Exponential Smoothing,Triple Exponential Smoothing"</formula1>
    </dataValidation>
    <dataValidation type="list" allowBlank="1" showErrorMessage="1" sqref="C5:F5" xr:uid="{00000000-0002-0000-0900-000001000000}">
      <formula1>"N-steps Forecast,1-step Forecast"</formula1>
    </dataValidation>
  </dataValidations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F5A5A29FC761489DF04DC7404C6000" ma:contentTypeVersion="13" ma:contentTypeDescription="Create a new document." ma:contentTypeScope="" ma:versionID="9a78fcdd7b31e381e55a70aae8c98bb6">
  <xsd:schema xmlns:xsd="http://www.w3.org/2001/XMLSchema" xmlns:xs="http://www.w3.org/2001/XMLSchema" xmlns:p="http://schemas.microsoft.com/office/2006/metadata/properties" xmlns:ns3="03fbd800-58ff-463e-ab0c-9c8c1ffdbac9" xmlns:ns4="c55838e1-bcfd-4023-983d-f957dd61676a" targetNamespace="http://schemas.microsoft.com/office/2006/metadata/properties" ma:root="true" ma:fieldsID="526cfc82d81e26c90834a5441d4a03ba" ns3:_="" ns4:_="">
    <xsd:import namespace="03fbd800-58ff-463e-ab0c-9c8c1ffdbac9"/>
    <xsd:import namespace="c55838e1-bcfd-4023-983d-f957dd61676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bd800-58ff-463e-ab0c-9c8c1ffdbac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838e1-bcfd-4023-983d-f957dd61676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fbd800-58ff-463e-ab0c-9c8c1ffdbac9" xsi:nil="true"/>
  </documentManagement>
</p:properties>
</file>

<file path=customXml/itemProps1.xml><?xml version="1.0" encoding="utf-8"?>
<ds:datastoreItem xmlns:ds="http://schemas.openxmlformats.org/officeDocument/2006/customXml" ds:itemID="{36878F9A-A400-4934-9151-63F3530474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A9E613-F544-44C7-827E-97D017C94F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bd800-58ff-463e-ab0c-9c8c1ffdbac9"/>
    <ds:schemaRef ds:uri="c55838e1-bcfd-4023-983d-f957dd6167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878D0A-ED2C-4738-9FCA-25797DBA112C}">
  <ds:schemaRefs>
    <ds:schemaRef ds:uri="http://www.w3.org/2001/XMLSchema"/>
  </ds:schemaRefs>
</ds:datastoreItem>
</file>

<file path=customXml/itemProps4.xml><?xml version="1.0" encoding="utf-8"?>
<ds:datastoreItem xmlns:ds="http://schemas.openxmlformats.org/officeDocument/2006/customXml" ds:itemID="{B38AECC5-C7A9-4413-A61B-1972FC234DAB}">
  <ds:schemaRefs>
    <ds:schemaRef ds:uri="http://schemas.microsoft.com/office/2006/metadata/properties"/>
    <ds:schemaRef ds:uri="http://schemas.microsoft.com/office/infopath/2007/PartnerControls"/>
    <ds:schemaRef ds:uri="03fbd800-58ff-463e-ab0c-9c8c1ffdba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Modul 5</vt:lpstr>
      <vt:lpstr>Instruksi</vt:lpstr>
      <vt:lpstr>Data Awal</vt:lpstr>
      <vt:lpstr>A - Forecast</vt:lpstr>
      <vt:lpstr>B - Forecast</vt:lpstr>
      <vt:lpstr>C - Forecast</vt:lpstr>
      <vt:lpstr>D - Forecast</vt:lpstr>
      <vt:lpstr>Verifikasi Hasil Forecast</vt:lpstr>
      <vt:lpstr>Hasil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LPOSI</dc:creator>
  <cp:keywords/>
  <dc:description/>
  <cp:lastModifiedBy>USER</cp:lastModifiedBy>
  <cp:revision/>
  <dcterms:created xsi:type="dcterms:W3CDTF">2022-09-27T06:30:25Z</dcterms:created>
  <dcterms:modified xsi:type="dcterms:W3CDTF">2025-10-01T05:59:48Z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0x010100F2F5A5A29FC761489DF04DC7404C6000</vt:lpwstr>
  </property>
  <property fmtid="{D5CDD505-2E9C-101B-9397-08002B2CF9AE}" pid="3" name="MediaServiceImageTags">
    <vt:lpwstr/>
  </property>
  <property fmtid="{D5CDD505-2E9C-101B-9397-08002B2CF9AE}" pid="4" name="MSIP_Label_38b525e5-f3da-4501-8f1e-526b6769fc56_Enabled">
    <vt:lpwstr>true</vt:lpwstr>
  </property>
  <property fmtid="{D5CDD505-2E9C-101B-9397-08002B2CF9AE}" pid="5" name="MSIP_Label_38b525e5-f3da-4501-8f1e-526b6769fc56_SetDate">
    <vt:lpwstr>2023-06-07T10:45:45Z</vt:lpwstr>
  </property>
  <property fmtid="{D5CDD505-2E9C-101B-9397-08002B2CF9AE}" pid="6" name="MSIP_Label_38b525e5-f3da-4501-8f1e-526b6769fc56_Method">
    <vt:lpwstr>Standard</vt:lpwstr>
  </property>
  <property fmtid="{D5CDD505-2E9C-101B-9397-08002B2CF9AE}" pid="7" name="MSIP_Label_38b525e5-f3da-4501-8f1e-526b6769fc56_Name">
    <vt:lpwstr>defa4170-0d19-0005-0004-bc88714345d2</vt:lpwstr>
  </property>
  <property fmtid="{D5CDD505-2E9C-101B-9397-08002B2CF9AE}" pid="8" name="MSIP_Label_38b525e5-f3da-4501-8f1e-526b6769fc56_SiteId">
    <vt:lpwstr>db6e1183-4c65-405c-82ce-7cd53fa6e9dc</vt:lpwstr>
  </property>
  <property fmtid="{D5CDD505-2E9C-101B-9397-08002B2CF9AE}" pid="9" name="MSIP_Label_38b525e5-f3da-4501-8f1e-526b6769fc56_ActionId">
    <vt:lpwstr>7498efa6-f1b9-4980-9cd6-51009769ca0c</vt:lpwstr>
  </property>
  <property fmtid="{D5CDD505-2E9C-101B-9397-08002B2CF9AE}" pid="10" name="MSIP_Label_38b525e5-f3da-4501-8f1e-526b6769fc56_ContentBits">
    <vt:lpwstr>0</vt:lpwstr>
  </property>
  <property fmtid="{D5CDD505-2E9C-101B-9397-08002B2CF9AE}" pid="11" name="PlanSwiftJobName">
    <vt:lpwstr/>
  </property>
  <property fmtid="{D5CDD505-2E9C-101B-9397-08002B2CF9AE}" pid="12" name="PlanSwiftJobGuid">
    <vt:lpwstr/>
  </property>
  <property fmtid="{D5CDD505-2E9C-101B-9397-08002B2CF9AE}" pid="13" name="LinkedDataId">
    <vt:lpwstr>{36878D0A-ED2C-4738-9FCA-25797DBA112C}</vt:lpwstr>
  </property>
</Properties>
</file>