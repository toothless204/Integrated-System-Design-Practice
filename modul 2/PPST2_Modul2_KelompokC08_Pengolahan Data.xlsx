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itbdsti-my.sharepoint.com/personal/13423141_mahasiswa_itb_ac_id/Documents/"/>
    </mc:Choice>
  </mc:AlternateContent>
  <xr:revisionPtr revIDLastSave="0" documentId="8_{87007904-10BF-4730-B60B-7EA980EC4F42}" xr6:coauthVersionLast="47" xr6:coauthVersionMax="47" xr10:uidLastSave="{00000000-0000-0000-0000-000000000000}"/>
  <bookViews>
    <workbookView xWindow="0" yWindow="500" windowWidth="38400" windowHeight="19960" firstSheet="4" activeTab="4" xr2:uid="{00000000-000D-0000-FFFF-FFFF00000000}"/>
  </bookViews>
  <sheets>
    <sheet name="Perhitungan FD" sheetId="5" r:id="rId1"/>
    <sheet name="PPM Eksisting" sheetId="1" r:id="rId2"/>
    <sheet name="PPM Usulan" sheetId="4" r:id="rId3"/>
    <sheet name="Tabel Gerakan Therblig PPM" sheetId="2" r:id="rId4"/>
    <sheet name="Tabel Pemborosan Kerja PPM"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mmrjIgs6IdvZ8Jp8W/YhAsHDCXJ+WcH6m5GlV6choI0="/>
    </ext>
  </extLst>
</workbook>
</file>

<file path=xl/calcChain.xml><?xml version="1.0" encoding="utf-8"?>
<calcChain xmlns="http://schemas.openxmlformats.org/spreadsheetml/2006/main">
  <c r="G258" i="4" l="1"/>
  <c r="M252" i="4"/>
  <c r="M250" i="4"/>
  <c r="M240" i="4"/>
  <c r="M238" i="4"/>
  <c r="M228" i="4"/>
  <c r="M226" i="4"/>
  <c r="M214" i="4"/>
  <c r="M199" i="4"/>
  <c r="M158" i="4"/>
  <c r="M120" i="4"/>
  <c r="M110" i="4"/>
  <c r="M89" i="4"/>
  <c r="M83" i="4"/>
  <c r="M73" i="4"/>
  <c r="M66" i="4"/>
  <c r="M57" i="4"/>
  <c r="M44" i="4"/>
  <c r="M13" i="4"/>
  <c r="J18" i="4"/>
  <c r="J16" i="4"/>
  <c r="J14" i="4"/>
  <c r="J19" i="4"/>
  <c r="J17" i="4"/>
  <c r="J15" i="4"/>
  <c r="J110" i="4"/>
  <c r="J186" i="4"/>
  <c r="J13" i="4"/>
  <c r="E110" i="4"/>
  <c r="E186" i="4"/>
  <c r="J252" i="4"/>
  <c r="J253" i="4"/>
  <c r="J254" i="4"/>
  <c r="J255" i="4"/>
  <c r="B258" i="4"/>
  <c r="L258" i="4"/>
  <c r="B259" i="4"/>
  <c r="B257" i="4" s="1"/>
  <c r="G259" i="4"/>
  <c r="G257" i="4" s="1"/>
  <c r="B260" i="4"/>
  <c r="G260" i="4"/>
  <c r="L260" i="4"/>
  <c r="K6" i="3"/>
  <c r="L6" i="3" s="1"/>
  <c r="K7" i="3"/>
  <c r="L7" i="3" s="1"/>
  <c r="K8" i="3"/>
  <c r="L8" i="3" s="1"/>
  <c r="K9" i="3"/>
  <c r="L9" i="3" s="1"/>
  <c r="K10" i="3"/>
  <c r="L10" i="3" s="1"/>
  <c r="K11" i="3"/>
  <c r="L11" i="3" s="1"/>
  <c r="C16" i="2"/>
  <c r="L269" i="1"/>
  <c r="T263" i="1"/>
  <c r="T261" i="1"/>
  <c r="T259" i="1"/>
  <c r="T250" i="1"/>
  <c r="T248" i="1"/>
  <c r="T237" i="1"/>
  <c r="T235" i="1"/>
  <c r="T233" i="1"/>
  <c r="T222" i="1"/>
  <c r="T203" i="1"/>
  <c r="T161" i="1"/>
  <c r="T123" i="1"/>
  <c r="T113" i="1"/>
  <c r="T91" i="1"/>
  <c r="T85" i="1"/>
  <c r="T75" i="1"/>
  <c r="T68" i="1"/>
  <c r="T59" i="1"/>
  <c r="T54" i="1"/>
  <c r="T45" i="1"/>
  <c r="T13" i="1"/>
  <c r="I19" i="2" l="1"/>
  <c r="I18" i="2"/>
  <c r="I17" i="2"/>
  <c r="I16" i="2"/>
  <c r="I15" i="2"/>
  <c r="I14" i="2"/>
  <c r="I13" i="2"/>
  <c r="I12" i="2"/>
  <c r="I11" i="2"/>
  <c r="I10" i="2"/>
  <c r="I9" i="2"/>
  <c r="I8" i="2"/>
  <c r="I7" i="2"/>
  <c r="I6" i="2"/>
  <c r="I5" i="2"/>
  <c r="I4" i="2"/>
  <c r="D19" i="2"/>
  <c r="D18" i="2"/>
  <c r="D17" i="2"/>
  <c r="D16" i="2"/>
  <c r="D15" i="2"/>
  <c r="D14" i="2"/>
  <c r="D13" i="2"/>
  <c r="D12" i="2"/>
  <c r="D11" i="2"/>
  <c r="D10" i="2"/>
  <c r="D9" i="2"/>
  <c r="D8" i="2"/>
  <c r="D7" i="2"/>
  <c r="D6" i="2"/>
  <c r="D5" i="2"/>
  <c r="D4" i="2"/>
  <c r="D3" i="2"/>
  <c r="B269" i="1"/>
  <c r="G269" i="1"/>
  <c r="Q269" i="1"/>
  <c r="Q271" i="1"/>
  <c r="L270" i="1"/>
  <c r="G270" i="1"/>
  <c r="B270"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J190" i="1"/>
  <c r="E109" i="1"/>
  <c r="E110" i="1"/>
  <c r="E111" i="1"/>
  <c r="E112" i="1"/>
  <c r="E114" i="1"/>
  <c r="E115" i="1"/>
  <c r="E116" i="1"/>
  <c r="E117" i="1"/>
  <c r="E118" i="1"/>
  <c r="E119" i="1"/>
  <c r="E120" i="1"/>
  <c r="E121" i="1"/>
  <c r="E122" i="1"/>
  <c r="E123" i="1"/>
  <c r="E96" i="1" s="1"/>
  <c r="E97" i="1" s="1"/>
  <c r="E98" i="1" s="1"/>
  <c r="E99" i="1" s="1"/>
  <c r="E100" i="1" s="1"/>
  <c r="E101" i="1" s="1"/>
  <c r="E102" i="1" s="1"/>
  <c r="E103" i="1" s="1"/>
  <c r="E104" i="1" s="1"/>
  <c r="E105" i="1" s="1"/>
  <c r="E106" i="1" s="1"/>
  <c r="E107" i="1" s="1"/>
  <c r="E108" i="1" s="1"/>
  <c r="J113" i="1"/>
  <c r="E113" i="1" s="1"/>
  <c r="O264" i="1"/>
  <c r="O265" i="1"/>
  <c r="O266" i="1"/>
  <c r="J264" i="1"/>
  <c r="J265" i="1"/>
  <c r="J266" i="1"/>
  <c r="O263" i="1"/>
  <c r="J263" i="1"/>
  <c r="B268" i="1" l="1"/>
  <c r="O36" i="1" l="1"/>
  <c r="E41" i="1"/>
  <c r="E95" i="1"/>
  <c r="O95" i="1"/>
  <c r="E94" i="1"/>
  <c r="O94" i="1"/>
  <c r="E93" i="1"/>
  <c r="O93" i="1"/>
  <c r="E92" i="1"/>
  <c r="O92" i="1"/>
  <c r="E91" i="1"/>
  <c r="O91" i="1"/>
  <c r="E90" i="1"/>
  <c r="O90" i="1"/>
  <c r="E89" i="1"/>
  <c r="O89" i="1"/>
  <c r="E88" i="1"/>
  <c r="O88" i="1"/>
  <c r="E86" i="1"/>
  <c r="O86" i="1"/>
  <c r="E85" i="1"/>
  <c r="O85" i="1"/>
  <c r="E84" i="1"/>
  <c r="O84" i="1"/>
  <c r="E83" i="1"/>
  <c r="O83" i="1"/>
  <c r="E82" i="1"/>
  <c r="O82" i="1"/>
  <c r="E81" i="1"/>
  <c r="O81" i="1"/>
  <c r="E80" i="1"/>
  <c r="O80" i="1"/>
  <c r="E79" i="1"/>
  <c r="O79" i="1"/>
  <c r="E78" i="1"/>
  <c r="O78" i="1"/>
  <c r="E77" i="1"/>
  <c r="O77" i="1"/>
  <c r="E76" i="1"/>
  <c r="O76" i="1"/>
  <c r="E75" i="1"/>
  <c r="O75" i="1"/>
  <c r="E74" i="1"/>
  <c r="O74" i="1"/>
  <c r="E73" i="1"/>
  <c r="O73" i="1"/>
  <c r="E72" i="1"/>
  <c r="O72" i="1"/>
  <c r="E71" i="1"/>
  <c r="O71" i="1"/>
  <c r="E70" i="1"/>
  <c r="O70" i="1"/>
  <c r="E69" i="1"/>
  <c r="O69" i="1"/>
  <c r="E68" i="1"/>
  <c r="O68" i="1"/>
  <c r="E67" i="1"/>
  <c r="O67" i="1"/>
  <c r="E66" i="1"/>
  <c r="O66" i="1"/>
  <c r="E65" i="1"/>
  <c r="O65" i="1"/>
  <c r="E64" i="1"/>
  <c r="O64" i="1"/>
  <c r="E63" i="1"/>
  <c r="O63" i="1"/>
  <c r="E62" i="1"/>
  <c r="O62" i="1"/>
  <c r="E61" i="1"/>
  <c r="O61" i="1"/>
  <c r="E60" i="1"/>
  <c r="O60" i="1"/>
  <c r="E59" i="1"/>
  <c r="O59" i="1"/>
  <c r="E58" i="1"/>
  <c r="O58" i="1"/>
  <c r="E56" i="1"/>
  <c r="O56" i="1"/>
  <c r="E55" i="1"/>
  <c r="O55" i="1"/>
  <c r="E54" i="1"/>
  <c r="O54" i="1"/>
  <c r="E53" i="1"/>
  <c r="O53" i="1"/>
  <c r="E52" i="1"/>
  <c r="O52" i="1"/>
  <c r="E51" i="1"/>
  <c r="O51" i="1"/>
  <c r="E50" i="1"/>
  <c r="O50" i="1"/>
  <c r="E49" i="1"/>
  <c r="O49" i="1"/>
  <c r="O43" i="1"/>
  <c r="O44" i="1"/>
  <c r="O45" i="1"/>
  <c r="O46" i="1"/>
  <c r="O47" i="1"/>
  <c r="O48" i="1"/>
  <c r="O57" i="1"/>
  <c r="O87" i="1"/>
  <c r="E43" i="1"/>
  <c r="E44" i="1"/>
  <c r="E45" i="1"/>
  <c r="E46" i="1"/>
  <c r="E47" i="1"/>
  <c r="E48" i="1"/>
  <c r="E57" i="1"/>
  <c r="E87" i="1"/>
  <c r="E202" i="1"/>
  <c r="E203" i="1"/>
  <c r="E204" i="1"/>
  <c r="E205" i="1"/>
  <c r="E206" i="1"/>
  <c r="E207" i="1"/>
  <c r="E201" i="1"/>
  <c r="E42" i="1"/>
  <c r="O42" i="1"/>
  <c r="O41" i="1"/>
  <c r="E40" i="1"/>
  <c r="O40" i="1"/>
  <c r="E37" i="1"/>
  <c r="E38" i="1"/>
  <c r="E39" i="1"/>
  <c r="O37" i="1"/>
  <c r="O38" i="1"/>
  <c r="O39" i="1"/>
  <c r="E36" i="1"/>
  <c r="O35" i="1"/>
  <c r="E35" i="1"/>
  <c r="O34" i="1"/>
  <c r="E34" i="1"/>
  <c r="O33" i="1"/>
  <c r="E33" i="1"/>
  <c r="O23" i="1"/>
  <c r="O24" i="1"/>
  <c r="O25" i="1"/>
  <c r="O26" i="1"/>
  <c r="O27" i="1"/>
  <c r="O28" i="1"/>
  <c r="O29" i="1"/>
  <c r="O30" i="1"/>
  <c r="O31" i="1"/>
  <c r="O32" i="1"/>
  <c r="E22" i="1"/>
  <c r="E23" i="1"/>
  <c r="E24" i="1"/>
  <c r="E25" i="1"/>
  <c r="E26" i="1"/>
  <c r="E27" i="1"/>
  <c r="E28" i="1"/>
  <c r="E29" i="1"/>
  <c r="E30" i="1"/>
  <c r="E31" i="1"/>
  <c r="E32" i="1"/>
  <c r="O22" i="1"/>
  <c r="O21" i="1"/>
  <c r="O20" i="1"/>
  <c r="E21" i="1"/>
  <c r="E20" i="1"/>
  <c r="G16" i="5"/>
  <c r="G32" i="5"/>
  <c r="O19" i="1"/>
  <c r="O18" i="1"/>
  <c r="O17" i="1"/>
  <c r="O16" i="1"/>
  <c r="O15" i="1"/>
  <c r="O14" i="1"/>
  <c r="J14" i="1"/>
  <c r="J15" i="1"/>
  <c r="J16" i="1"/>
  <c r="J19" i="1"/>
  <c r="J18" i="1"/>
  <c r="J17" i="1"/>
  <c r="C3" i="2"/>
  <c r="C32" i="5"/>
  <c r="I3" i="2" l="1"/>
  <c r="H3" i="2" s="1"/>
  <c r="H4" i="2"/>
  <c r="H5" i="2"/>
  <c r="H6" i="2"/>
  <c r="H7" i="2"/>
  <c r="H8" i="2"/>
  <c r="H9" i="2"/>
  <c r="H10" i="2"/>
  <c r="H11" i="2"/>
  <c r="H12" i="2"/>
  <c r="H13" i="2"/>
  <c r="H14" i="2"/>
  <c r="H15" i="2"/>
  <c r="H17" i="2"/>
  <c r="H18" i="2"/>
  <c r="D19" i="3"/>
  <c r="J13" i="1"/>
  <c r="H16" i="2" l="1"/>
  <c r="O13" i="1"/>
  <c r="L268" i="1" s="1"/>
  <c r="H19" i="2"/>
  <c r="I20" i="2"/>
  <c r="J19" i="3" l="1"/>
  <c r="K5" i="3" s="1"/>
  <c r="L5" i="3" l="1"/>
  <c r="D20" i="2"/>
  <c r="C19" i="2"/>
  <c r="C18" i="2"/>
  <c r="C17" i="2"/>
  <c r="C15" i="2"/>
  <c r="C14" i="2"/>
  <c r="C13" i="2"/>
  <c r="C12" i="2"/>
  <c r="C11" i="2"/>
  <c r="C10" i="2"/>
  <c r="C9" i="2"/>
  <c r="C8" i="2"/>
  <c r="C7" i="2"/>
  <c r="C6" i="2"/>
  <c r="C5" i="2"/>
  <c r="C4" i="2"/>
  <c r="L271" i="1"/>
  <c r="G268" i="1"/>
  <c r="G271" i="1" s="1"/>
  <c r="B271" i="1"/>
  <c r="E13" i="3" l="1"/>
  <c r="E5" i="3"/>
  <c r="F5" i="3" s="1"/>
  <c r="E18" i="3"/>
  <c r="K18" i="3"/>
  <c r="K17" i="3"/>
  <c r="K16" i="3"/>
  <c r="K15" i="3"/>
  <c r="K14" i="3"/>
  <c r="K13" i="3"/>
  <c r="L13" i="3" s="1"/>
  <c r="E14" i="3"/>
  <c r="E15" i="3"/>
  <c r="E16" i="3"/>
  <c r="E17" i="3"/>
  <c r="L14" i="3" l="1"/>
  <c r="L15" i="3" s="1"/>
  <c r="L16" i="3" s="1"/>
  <c r="L17" i="3" s="1"/>
  <c r="L18" i="3" s="1"/>
  <c r="F13" i="3"/>
  <c r="F14" i="3" s="1"/>
  <c r="F15" i="3" s="1"/>
  <c r="F16" i="3" s="1"/>
  <c r="F17" i="3" s="1"/>
  <c r="F1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Acer</author>
    <author/>
  </authors>
  <commentList>
    <comment ref="B4" authorId="0" shapeId="0" xr:uid="{73F4ACF0-1EA9-4B61-9B3D-4D224EFA8412}">
      <text>
        <r>
          <rPr>
            <sz val="9"/>
            <color indexed="81"/>
            <rFont val="Tahoma"/>
            <family val="2"/>
          </rPr>
          <t>[Asisten LRSKE 22]</t>
        </r>
        <r>
          <rPr>
            <b/>
            <sz val="9"/>
            <color indexed="81"/>
            <rFont val="Tahoma"/>
            <family val="2"/>
          </rPr>
          <t xml:space="preserve">
</t>
        </r>
        <r>
          <rPr>
            <sz val="9"/>
            <color indexed="81"/>
            <rFont val="Tahoma"/>
            <family val="2"/>
          </rPr>
          <t>Bandingkan FD Eksisting dan FD Usulan</t>
        </r>
        <r>
          <rPr>
            <b/>
            <sz val="9"/>
            <color indexed="81"/>
            <rFont val="Tahoma"/>
            <family val="2"/>
          </rPr>
          <t xml:space="preserve">
======</t>
        </r>
      </text>
    </comment>
    <comment ref="B11" authorId="1" shapeId="0" xr:uid="{00000000-0006-0000-0400-000002000000}">
      <text>
        <r>
          <rPr>
            <sz val="11"/>
            <color theme="1"/>
            <rFont val="Calibri"/>
            <family val="2"/>
            <scheme val="minor"/>
          </rPr>
          <t>[Asisten LRSKE 22]
Isi nama proses (milling/turning)
======</t>
        </r>
      </text>
    </comment>
    <comment ref="Q15" authorId="1" shapeId="0" xr:uid="{00000000-0006-0000-0400-000003000000}">
      <text>
        <r>
          <rPr>
            <sz val="11"/>
            <color theme="1"/>
            <rFont val="Calibri"/>
            <family val="2"/>
            <scheme val="minor"/>
          </rPr>
          <t>======
ID#AAABW5Xh1V0
Alifiannisa Kunty Nabila    (2024-10-09 04:08:58)
[Asisten LRSKE 2021]
- Kecepatan jalan pekerja 1 m/s
- Kecepatan pekerja membawa material 0,5 m/s
- Kecepatan konveyor 0,3 m/s</t>
        </r>
      </text>
    </comment>
  </commentList>
  <extLst>
    <ext xmlns:r="http://schemas.openxmlformats.org/officeDocument/2006/relationships" uri="GoogleSheetsCustomDataVersion2">
      <go:sheetsCustomData xmlns:go="http://customooxmlschemas.google.com/" r:id="rId1" roundtripDataSignature="AMtx7mgmmnMB5CsdaJjv3xb2pndZHguLj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
  </authors>
  <commentList>
    <comment ref="B10" authorId="0" shapeId="0" xr:uid="{141805D4-4FD1-4A3B-94DA-5E13BF85ADD8}">
      <text>
        <r>
          <rPr>
            <sz val="9"/>
            <color indexed="81"/>
            <rFont val="Tahoma"/>
            <family val="2"/>
          </rPr>
          <t>[Asisten LRSKE 22]
Asisten Operator : Praktikan
Operator : Operator Mesin
======</t>
        </r>
      </text>
    </comment>
    <comment ref="B11" authorId="1" shapeId="0" xr:uid="{00000000-0006-0000-0000-000001000000}">
      <text>
        <r>
          <rPr>
            <sz val="11"/>
            <color theme="1"/>
            <rFont val="Calibri"/>
            <family val="2"/>
            <scheme val="minor"/>
          </rPr>
          <t>[Asisten LRSKE 22]
Kalimat diawali dengan gerakan therblig.
======</t>
        </r>
      </text>
    </comment>
    <comment ref="Q12" authorId="1" shapeId="0" xr:uid="{00000000-0006-0000-0000-000002000000}">
      <text>
        <r>
          <rPr>
            <sz val="11"/>
            <color theme="1"/>
            <rFont val="Calibri"/>
            <family val="2"/>
            <scheme val="minor"/>
          </rPr>
          <t>[Asisten LRSKE 22]
Setup Internal: Tidak Melibatkan Mesin
Setup Eksternal: Melibatkan Mesin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12" authorId="0" shapeId="0" xr:uid="{00000000-0006-0000-0300-000002000000}">
      <text>
        <r>
          <rPr>
            <sz val="11"/>
            <color theme="1"/>
            <rFont val="Calibri"/>
            <family val="2"/>
            <scheme val="minor"/>
          </rPr>
          <t>[Asisten LRSKE 22]
Setup Internal: Tidak Melibatkan Mesin
Setup Eksternal: Melibatkan Mesin
======</t>
        </r>
      </text>
    </comment>
  </commentList>
</comments>
</file>

<file path=xl/sharedStrings.xml><?xml version="1.0" encoding="utf-8"?>
<sst xmlns="http://schemas.openxmlformats.org/spreadsheetml/2006/main" count="2483" uniqueCount="193">
  <si>
    <t>Perhitungan Jarak Flow Diagram</t>
  </si>
  <si>
    <t>ANALISIS PERBANDINGAN PERHITUNGAN JARAK FLOW DIAGRAM</t>
  </si>
  <si>
    <t>Berdasarkan hasil perbandingan perhitungan jarak transportasi pada flow diagram proses Turning, diketahui bahwa rancangan usulan memiliki total jarak sebesar 27,76 meter, sedangkan kondisi eksisting mencapai 33,88 meter. Hal ini menunjukkan adanya pengurangan jarak transportasi sebesar 6,12 meter atau sekitar 18,06%. Pengurangan ini mencerminkan efisiensi dalam penataan tata letak proses, yang ditunjukkan oleh distribusi jarak yang lebih merata pada rancangan usulan, khususnya pada proses T-3 hingga T-5 yang masing-masing berjarak 2,16 meter. Dengan penataan yang lebih ringkas dan terfokus, aliran material menjadi lebih lancar, waktu tempuh antar proses dapat dipersingkat, dan potensi peningkatan produktivitas pun meningkat. Oleh karena itu, rancangan usulan dapat dianggap lebih optimal dan layak untuk diterapkan guna mendukung efisiensi operasional di lantai produksi.</t>
  </si>
  <si>
    <t>Proses</t>
  </si>
  <si>
    <t>Turning</t>
  </si>
  <si>
    <t>Perhitungan Jarak Transportasi Eksisting</t>
  </si>
  <si>
    <t>Perhitungan Jarak Transportasi Usulan</t>
  </si>
  <si>
    <t>No Proses</t>
  </si>
  <si>
    <t>Jarak (m)</t>
  </si>
  <si>
    <t>T-1</t>
  </si>
  <si>
    <t>T-2</t>
  </si>
  <si>
    <t>T-3</t>
  </si>
  <si>
    <t>T-4</t>
  </si>
  <si>
    <t>T-5</t>
  </si>
  <si>
    <t>T-6</t>
  </si>
  <si>
    <t>Total</t>
  </si>
  <si>
    <t>PETA PEKERJA DAN MESIN</t>
  </si>
  <si>
    <t>Pekerjaan</t>
  </si>
  <si>
    <t>: Turning</t>
  </si>
  <si>
    <t>Nama Mesin</t>
  </si>
  <si>
    <t>: Mesin Turning</t>
  </si>
  <si>
    <t>Pekerja</t>
  </si>
  <si>
    <t xml:space="preserve">SEKARANG </t>
  </si>
  <si>
    <t>USULAN</t>
  </si>
  <si>
    <t xml:space="preserve">DIPETAKAN OLEH </t>
  </si>
  <si>
    <t>: Kelompok C08</t>
  </si>
  <si>
    <t xml:space="preserve">TANGGAL </t>
  </si>
  <si>
    <t>:14 Mei 2025</t>
  </si>
  <si>
    <t>NO</t>
  </si>
  <si>
    <t>ORANG</t>
  </si>
  <si>
    <t>MESIN</t>
  </si>
  <si>
    <t>ASISTEN OPERATOR</t>
  </si>
  <si>
    <t>Waktu (det)</t>
  </si>
  <si>
    <t>OPERATOR</t>
  </si>
  <si>
    <t xml:space="preserve"> MESIN TURNING</t>
  </si>
  <si>
    <t xml:space="preserve">Jenis Setup </t>
  </si>
  <si>
    <t>Operasi</t>
  </si>
  <si>
    <t>Lambang</t>
  </si>
  <si>
    <t>Internal/Eksternal</t>
  </si>
  <si>
    <t>Berjalan menuju rak material</t>
  </si>
  <si>
    <t>Menunggu</t>
  </si>
  <si>
    <t>Mesin dalam keadaan mati</t>
  </si>
  <si>
    <t>Internal</t>
  </si>
  <si>
    <t>SH</t>
  </si>
  <si>
    <t>UD</t>
  </si>
  <si>
    <t>Meraih material</t>
  </si>
  <si>
    <t>RE</t>
  </si>
  <si>
    <t>Membawa material ke meja kerja</t>
  </si>
  <si>
    <t>M</t>
  </si>
  <si>
    <t>Melepas material</t>
  </si>
  <si>
    <t>RL</t>
  </si>
  <si>
    <t>Memegang material</t>
  </si>
  <si>
    <t>G</t>
  </si>
  <si>
    <t>Membawa material</t>
  </si>
  <si>
    <t>Memeriksa ukuran material</t>
  </si>
  <si>
    <t>I</t>
  </si>
  <si>
    <t>Membawa material dan gamtek ke mesin</t>
  </si>
  <si>
    <t>Memasang gamtek ke tempatnya</t>
  </si>
  <si>
    <t>P</t>
  </si>
  <si>
    <t>Menjangkau material</t>
  </si>
  <si>
    <t>Menjangkau alat ukur</t>
  </si>
  <si>
    <t>H</t>
  </si>
  <si>
    <t>Membawa alat ukur</t>
  </si>
  <si>
    <t>Menaruh HP ke tas</t>
  </si>
  <si>
    <t>AD</t>
  </si>
  <si>
    <t>Menjangkau spidol</t>
  </si>
  <si>
    <t>Memberi tanda dengan spidol</t>
  </si>
  <si>
    <t>U</t>
  </si>
  <si>
    <t>Menaruh spidol</t>
  </si>
  <si>
    <t>Menaruh alat ukur</t>
  </si>
  <si>
    <t>Mengarahkan material ke mesin</t>
  </si>
  <si>
    <t>p</t>
  </si>
  <si>
    <t>Mempersiapkan susunan material dan mesin</t>
  </si>
  <si>
    <t>Menaruh alat yang telah digunakan</t>
  </si>
  <si>
    <t>Memposisikan komponen mesin</t>
  </si>
  <si>
    <t>Menyalakan mesin</t>
  </si>
  <si>
    <t>Mesin dalam keadaan menyala</t>
  </si>
  <si>
    <t>Mematikan mesin</t>
  </si>
  <si>
    <t>Mempersiapkan mesin</t>
  </si>
  <si>
    <t>Memutar handle untuk mengarahkan posisi mesin</t>
  </si>
  <si>
    <t>Eksternal</t>
  </si>
  <si>
    <t>Memposisikan mesin agar sesuai dengan material</t>
  </si>
  <si>
    <t>Mengambil spidol</t>
  </si>
  <si>
    <t>Memeriksa monitor</t>
  </si>
  <si>
    <t>Mengamati mesin</t>
  </si>
  <si>
    <t>Membuang benang yang tidak terkait</t>
  </si>
  <si>
    <t>Menjangkau handle sambil mengamati</t>
  </si>
  <si>
    <t>Memutar handle sambil mengamati</t>
  </si>
  <si>
    <t>Mengarahkan alat ukur</t>
  </si>
  <si>
    <t>Mengukur material</t>
  </si>
  <si>
    <t>Mengarahkan handle sambil mengamati monitor</t>
  </si>
  <si>
    <t>Mengamati mesin dan monitor</t>
  </si>
  <si>
    <t>Menjangkau kuas sambil mematikan mesin</t>
  </si>
  <si>
    <t>Menggunakan kuas untuk membersikan mesin</t>
  </si>
  <si>
    <t>Menyalakan dan memutar handle untuk mengarahkan posisi mesin sambil memegang kuas</t>
  </si>
  <si>
    <t>Menaruh kuas</t>
  </si>
  <si>
    <t>Mengamati monitor</t>
  </si>
  <si>
    <t>Membersihkan mesin</t>
  </si>
  <si>
    <t>Mengamati mesin dan material</t>
  </si>
  <si>
    <t>Memutar handle sambil mengamati monitor</t>
  </si>
  <si>
    <t>Mematikan mesin dan menjangkau alat ukur</t>
  </si>
  <si>
    <t>Memutar handle untuk mengarahkan posisi mesin sambil mematikan mesin</t>
  </si>
  <si>
    <t>Menyalakan mesin sambil memutar handle</t>
  </si>
  <si>
    <t>Memutar handle sambil mengamati monitor dan material</t>
  </si>
  <si>
    <t>Memeriksa</t>
  </si>
  <si>
    <t>Memakai</t>
  </si>
  <si>
    <t>Istirahat</t>
  </si>
  <si>
    <t>R</t>
  </si>
  <si>
    <t>Menjangkau</t>
  </si>
  <si>
    <t>Memegang untuk memakai</t>
  </si>
  <si>
    <t>Membawa</t>
  </si>
  <si>
    <t>Melepas</t>
  </si>
  <si>
    <t>Merakit</t>
  </si>
  <si>
    <t>A</t>
  </si>
  <si>
    <t>Menggunakan handle untuk menggerakkan pahat</t>
  </si>
  <si>
    <t xml:space="preserve">Eksternal  </t>
  </si>
  <si>
    <t>Menekan Tombol Kontrol</t>
  </si>
  <si>
    <t>Menggerakkan handle untuk menggerakkan pahat</t>
  </si>
  <si>
    <t>Membersihkan serpihan pahatan  menggunakan tangan kosong</t>
  </si>
  <si>
    <t xml:space="preserve">Mesin dalam keadaan mati		</t>
  </si>
  <si>
    <t>Mengambil alat ukur</t>
  </si>
  <si>
    <t xml:space="preserve">Internal  </t>
  </si>
  <si>
    <t>Menggenggam alat ukur</t>
  </si>
  <si>
    <t>Menggunakan alat ukur untuk memeriksa</t>
  </si>
  <si>
    <t>Menggunakan handle memutar tetapi handle tidak bergerak ke kanan/kiri</t>
  </si>
  <si>
    <t>Menghentikan operasi mesin</t>
  </si>
  <si>
    <t>Mengambil alat pembersih serpihan pahatan</t>
  </si>
  <si>
    <t xml:space="preserve">Membersihkan serpihan pahatan </t>
  </si>
  <si>
    <t>Memindahkan alat pembersih setelah digunakan</t>
  </si>
  <si>
    <t>Menjangkau kunci inggris</t>
  </si>
  <si>
    <t>Memegang kunci inggris</t>
  </si>
  <si>
    <t xml:space="preserve">Menggunakan kunci inggris </t>
  </si>
  <si>
    <t>Memindahkan dan meletakkan kembali kunci inggris</t>
  </si>
  <si>
    <t xml:space="preserve">Menggunakan kunci inggris 		</t>
  </si>
  <si>
    <t>Operator berhenti melakukan proses permesinan</t>
  </si>
  <si>
    <t>Menjangkau material yang telah diproses</t>
  </si>
  <si>
    <t>Membawa material ke rak</t>
  </si>
  <si>
    <t>Menaruh material di rak</t>
  </si>
  <si>
    <t>Asisten Operator</t>
  </si>
  <si>
    <t>Operator</t>
  </si>
  <si>
    <t>Mesin Turning</t>
  </si>
  <si>
    <t xml:space="preserve">Jumlah setup </t>
  </si>
  <si>
    <t>Waktu kerja (detik)</t>
  </si>
  <si>
    <t>Internal :</t>
  </si>
  <si>
    <t>Waktu menganggur (detik)</t>
  </si>
  <si>
    <t>Waktu total (detik)</t>
  </si>
  <si>
    <t xml:space="preserve">Eksternal : </t>
  </si>
  <si>
    <t>Persentase penggunaan (%)</t>
  </si>
  <si>
    <t>OPERATOR 1</t>
  </si>
  <si>
    <t>MESIN TURNING</t>
  </si>
  <si>
    <t>Gerakan Therblig - Material Handler</t>
  </si>
  <si>
    <t>Gerakan Therblig - Operator 1</t>
  </si>
  <si>
    <t>Jenis Gerakan</t>
  </si>
  <si>
    <t>Turus</t>
  </si>
  <si>
    <t>Frekuensi</t>
  </si>
  <si>
    <t>Mencari</t>
  </si>
  <si>
    <t>Memilih</t>
  </si>
  <si>
    <t>ST</t>
  </si>
  <si>
    <t>Memegang</t>
  </si>
  <si>
    <t>Mengarahkan</t>
  </si>
  <si>
    <t>Mengarahkan sementara</t>
  </si>
  <si>
    <t>PP</t>
  </si>
  <si>
    <t>Melepas rakitan</t>
  </si>
  <si>
    <t>DA</t>
  </si>
  <si>
    <t>Kelambatan yang tidak dapat dihindari</t>
  </si>
  <si>
    <t>Kelambatan yang dapat dihindari</t>
  </si>
  <si>
    <t>Merencanakan</t>
  </si>
  <si>
    <t>PL</t>
  </si>
  <si>
    <t>YANG JADI PROBLEM TUH GERAKAN TAMBAHAN DAN LUAR YANG KURANG BENEFICIAL DAN BISA DIHILANGKAN</t>
  </si>
  <si>
    <t>TABEL PEMBOROSAN PADA OPERASI</t>
  </si>
  <si>
    <t>Nama Pemborosan</t>
  </si>
  <si>
    <t>Jenis Pemborosan</t>
  </si>
  <si>
    <t>Persentase</t>
  </si>
  <si>
    <t>Persentase Kumulatif</t>
  </si>
  <si>
    <t xml:space="preserve">Keterlambatan yang tidak dapat dihindari </t>
  </si>
  <si>
    <t>Non-added value motion</t>
  </si>
  <si>
    <t>IIIIIIIIIIIIIIIIIIIIIIIIIIIIIIIIIIIIIIIIIIIIIIIIIIIIIIIIIIIIIIIIIIIIIIIIIIIIIIIIIIIIIIIIIIIIIIIIIIIIIIIIIIIIIIIIIIIIIIIIIIIIIIIIIIIIIIIIIIIIIIIIIIIIIIIIIIIIIIIIIIIIIIIIIIIIIIIIIIIIIIIIIIIIIIIIIIIIIIIIIIIIIIIIIIIIIIIIIIIIIIIIIIIIIIIIIIIIIIIIIII</t>
  </si>
  <si>
    <t>IIIIIIIIIIIIIIIIIIIIIIIIIIIIIIIIIII</t>
  </si>
  <si>
    <t>IIIIIIIIII</t>
  </si>
  <si>
    <t xml:space="preserve">Memegang untuk memakai </t>
  </si>
  <si>
    <t>IIIIIIIIIIII</t>
  </si>
  <si>
    <t>IIIIIIIIIIIIIIIIIIIIII</t>
  </si>
  <si>
    <t>IIIIIIIIIIIIIIIIIIIIIIIIIIIIIIIIII</t>
  </si>
  <si>
    <t>IIIIIIIIIIIIIIIIIIIIIIIIIIIIIIIIIIIIIIIIIIIII</t>
  </si>
  <si>
    <t>IIIIIII</t>
  </si>
  <si>
    <t xml:space="preserve">Usulan pada keseluruhan sistem kerja </t>
  </si>
  <si>
    <t xml:space="preserve">Pada asisten operator dapat dilihat bahwa keterlambatan yang tidak bisa dihindari memakan waktu yang banyak dalam pemborosan. </t>
  </si>
  <si>
    <t>Dalam data pemborosan operator dapat dilihat bahwa gerakan yang paling banyak memakan waktu adalah memeriksa, mengarahkan, menjangkau.</t>
  </si>
  <si>
    <t>Sehingga, usulan yang dapat kami berikan adalah</t>
  </si>
  <si>
    <r>
      <rPr>
        <b/>
        <sz val="11"/>
        <color rgb="FF000000"/>
        <rFont val="Calibri"/>
        <family val="2"/>
      </rPr>
      <t xml:space="preserve">mengurangi tenaga kerja </t>
    </r>
    <r>
      <rPr>
        <sz val="11"/>
        <color rgb="FF000000"/>
        <rFont val="Calibri"/>
        <family val="2"/>
      </rPr>
      <t xml:space="preserve">dengan menghapus keberadaan asisten operator, </t>
    </r>
  </si>
  <si>
    <r>
      <rPr>
        <sz val="11"/>
        <color rgb="FF000000"/>
        <rFont val="Calibri"/>
        <family val="2"/>
      </rPr>
      <t xml:space="preserve">dan </t>
    </r>
    <r>
      <rPr>
        <b/>
        <sz val="11"/>
        <color rgb="FF000000"/>
        <rFont val="Calibri"/>
        <family val="2"/>
      </rPr>
      <t>menempatkan alat sesuai tempat</t>
    </r>
    <r>
      <rPr>
        <sz val="11"/>
        <color rgb="FF000000"/>
        <rFont val="Calibri"/>
        <family val="2"/>
      </rPr>
      <t xml:space="preserve"> yang disediakan untuk membantu operator mengurangi waktu menjangkau dan mengarahkan, serta '</t>
    </r>
  </si>
  <si>
    <r>
      <rPr>
        <b/>
        <sz val="11"/>
        <color rgb="FF000000"/>
        <rFont val="Calibri"/>
        <family val="2"/>
      </rPr>
      <t xml:space="preserve">menyediakan kertas dan pulpen ataupun sejenisnya </t>
    </r>
    <r>
      <rPr>
        <sz val="11"/>
        <color rgb="FF000000"/>
        <rFont val="Calibri"/>
        <family val="2"/>
      </rPr>
      <t>untuk membantu operator menuliskan hasil perhitungan agar inspeksi tidak dilakukan berulang dan memakan waktu berlebih</t>
    </r>
  </si>
  <si>
    <t>Pada asisten operator dapat dilihat bahwa keterlambatan yang tidak bisa dihindari memakan waktu yang banyak dalam pemborosan.Dalam data pemborosan operator dapat dilihat bahwa gerakan yang paling banyak memakan waktu adalah memeriksa, mengarahkan, menjangkau. Sehingga, usulan yang dapat kami berikan adalah mengurangi tenaga kerja dengan menghapus keberadaan asisten operator, dan menempatkan alat sesuai tempat yang disediakan untuk membantu operator mengurangi waktu menjangkau dan mengarahkan, serta '
menyediakan kertas dan pulpen ataupun sejenisnya untuk membantu operator menuliskan hasil perhitungan agar inspeksi tidak dilakukan berulang dan memakan waktu berlebih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</si>
</sst>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4">
    <font>
      <sz val="11"/>
      <color theme="1"/>
      <name val="Calibri"/>
      <scheme val="minor"/>
    </font>
    <font>
      <sz val="11"/>
      <color theme="1"/>
      <name val="Calibri"/>
      <family val="2"/>
      <scheme val="minor"/>
    </font>
    <font>
      <b/>
      <sz val="18"/>
      <color rgb="FFFFFBA8"/>
      <name val="Calibri"/>
      <family val="2"/>
    </font>
    <font>
      <sz val="11"/>
      <name val="Calibri"/>
      <family val="2"/>
    </font>
    <font>
      <sz val="11"/>
      <color theme="1"/>
      <name val="Calibri"/>
      <family val="2"/>
    </font>
    <font>
      <b/>
      <sz val="11"/>
      <color theme="1"/>
      <name val="Calibri"/>
      <family val="2"/>
    </font>
    <font>
      <sz val="11"/>
      <color rgb="FF000000"/>
      <name val="Calibri"/>
      <family val="2"/>
    </font>
    <font>
      <b/>
      <sz val="12"/>
      <color theme="0"/>
      <name val="Calibri"/>
      <family val="2"/>
    </font>
    <font>
      <b/>
      <sz val="16"/>
      <color theme="0"/>
      <name val="Calibri"/>
      <family val="2"/>
    </font>
    <font>
      <i/>
      <sz val="11"/>
      <color theme="1"/>
      <name val="Calibri"/>
      <family val="2"/>
    </font>
    <font>
      <strike/>
      <sz val="11"/>
      <color theme="1"/>
      <name val="Calibri"/>
      <family val="2"/>
    </font>
    <font>
      <b/>
      <sz val="18"/>
      <color rgb="FFFFFFFF"/>
      <name val="Cambria"/>
      <family val="1"/>
    </font>
    <font>
      <b/>
      <sz val="14"/>
      <color rgb="FFFFFFFF"/>
      <name val="Calibri"/>
      <family val="2"/>
    </font>
    <font>
      <b/>
      <sz val="11"/>
      <color rgb="FFFFFFFF"/>
      <name val="Calibri"/>
      <family val="2"/>
    </font>
    <font>
      <b/>
      <sz val="11"/>
      <color theme="0"/>
      <name val="Calibri"/>
      <family val="2"/>
    </font>
    <font>
      <sz val="11"/>
      <color theme="1"/>
      <name val="Arial"/>
      <family val="2"/>
    </font>
    <font>
      <sz val="11"/>
      <color rgb="FFFF0000"/>
      <name val="Calibri"/>
      <family val="2"/>
    </font>
    <font>
      <b/>
      <sz val="9"/>
      <color indexed="81"/>
      <name val="Tahoma"/>
      <family val="2"/>
    </font>
    <font>
      <sz val="9"/>
      <color indexed="81"/>
      <name val="Tahoma"/>
      <family val="2"/>
    </font>
    <font>
      <sz val="11"/>
      <color rgb="FF000000"/>
      <name val="Arial"/>
      <family val="2"/>
    </font>
    <font>
      <b/>
      <sz val="11"/>
      <color theme="1"/>
      <name val="Calibri"/>
      <family val="2"/>
      <scheme val="minor"/>
    </font>
    <font>
      <b/>
      <sz val="14"/>
      <color rgb="FF000000"/>
      <name val="Calibri"/>
      <family val="2"/>
    </font>
    <font>
      <b/>
      <sz val="11"/>
      <color rgb="FF000000"/>
      <name val="Calibri"/>
      <family val="2"/>
    </font>
    <font>
      <sz val="11"/>
      <color rgb="FF242424"/>
      <name val="Aptos Narrow"/>
      <charset val="1"/>
    </font>
  </fonts>
  <fills count="19">
    <fill>
      <patternFill patternType="none"/>
    </fill>
    <fill>
      <patternFill patternType="gray125"/>
    </fill>
    <fill>
      <patternFill patternType="solid">
        <fgColor rgb="FF00999E"/>
        <bgColor rgb="FF00999E"/>
      </patternFill>
    </fill>
    <fill>
      <patternFill patternType="solid">
        <fgColor rgb="FFFFFFFF"/>
        <bgColor rgb="FFFFFFFF"/>
      </patternFill>
    </fill>
    <fill>
      <patternFill patternType="solid">
        <fgColor rgb="FF97E3D6"/>
        <bgColor rgb="FF97E3D6"/>
      </patternFill>
    </fill>
    <fill>
      <patternFill patternType="solid">
        <fgColor rgb="FFFFFBA8"/>
        <bgColor rgb="FFFFFBA8"/>
      </patternFill>
    </fill>
    <fill>
      <patternFill patternType="solid">
        <fgColor rgb="FFFF7165"/>
        <bgColor rgb="FFFF7165"/>
      </patternFill>
    </fill>
    <fill>
      <patternFill patternType="solid">
        <fgColor rgb="FF002060"/>
        <bgColor rgb="FF002060"/>
      </patternFill>
    </fill>
    <fill>
      <patternFill patternType="solid">
        <fgColor rgb="FF2E75B5"/>
        <bgColor rgb="FF2E75B5"/>
      </patternFill>
    </fill>
    <fill>
      <patternFill patternType="solid">
        <fgColor rgb="FF0070C0"/>
        <bgColor rgb="FF0070C0"/>
      </patternFill>
    </fill>
    <fill>
      <patternFill patternType="darkGray">
        <bgColor theme="0"/>
      </patternFill>
    </fill>
    <fill>
      <patternFill patternType="lightUp">
        <bgColor rgb="FFFFFFFF"/>
      </patternFill>
    </fill>
    <fill>
      <patternFill patternType="solid">
        <fgColor theme="9" tint="0.59999389629810485"/>
        <bgColor rgb="FFFFFBA8"/>
      </patternFill>
    </fill>
    <fill>
      <patternFill patternType="solid">
        <fgColor theme="8" tint="0.59999389629810485"/>
        <bgColor rgb="FFFFFBA8"/>
      </patternFill>
    </fill>
    <fill>
      <patternFill patternType="solid">
        <fgColor theme="6" tint="0.59999389629810485"/>
        <bgColor rgb="FFFFBAA4"/>
      </patternFill>
    </fill>
    <fill>
      <patternFill patternType="solid">
        <fgColor rgb="FFFFFF00"/>
        <bgColor indexed="64"/>
      </patternFill>
    </fill>
    <fill>
      <patternFill patternType="solid">
        <fgColor rgb="FFFFFF00"/>
        <bgColor rgb="FFFFFFFF"/>
      </patternFill>
    </fill>
    <fill>
      <patternFill patternType="solid">
        <fgColor theme="9" tint="0.79998168889431442"/>
        <bgColor rgb="FFFFFFFF"/>
      </patternFill>
    </fill>
    <fill>
      <patternFill patternType="solid">
        <fgColor theme="9" tint="0.79998168889431442"/>
        <bgColor indexed="64"/>
      </patternFill>
    </fill>
  </fills>
  <borders count="23">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rgb="FF000000"/>
      </bottom>
      <diagonal/>
    </border>
  </borders>
  <cellStyleXfs count="2">
    <xf numFmtId="0" fontId="0" fillId="0" borderId="0"/>
    <xf numFmtId="0" fontId="1" fillId="0" borderId="16"/>
  </cellStyleXfs>
  <cellXfs count="195">
    <xf numFmtId="0" fontId="0" fillId="0" borderId="0" xfId="0"/>
    <xf numFmtId="0" fontId="4" fillId="0" borderId="0" xfId="0" applyFont="1"/>
    <xf numFmtId="0" fontId="5"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6" xfId="0" applyFont="1" applyFill="1" applyBorder="1" applyAlignment="1">
      <alignment horizontal="center" vertical="center"/>
    </xf>
    <xf numFmtId="0" fontId="4" fillId="3" borderId="7"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5" borderId="6" xfId="0" applyFont="1" applyFill="1" applyBorder="1"/>
    <xf numFmtId="0" fontId="4" fillId="5" borderId="6" xfId="0" applyFont="1" applyFill="1" applyBorder="1" applyAlignment="1">
      <alignment vertical="top" wrapText="1"/>
    </xf>
    <xf numFmtId="0" fontId="9" fillId="5" borderId="6" xfId="0" applyFont="1" applyFill="1" applyBorder="1" applyAlignment="1">
      <alignment horizontal="center" vertical="center"/>
    </xf>
    <xf numFmtId="0" fontId="4" fillId="5" borderId="6" xfId="0" applyFont="1" applyFill="1" applyBorder="1" applyAlignment="1">
      <alignment vertical="center" wrapText="1"/>
    </xf>
    <xf numFmtId="0" fontId="4" fillId="5" borderId="6" xfId="0" applyFont="1" applyFill="1" applyBorder="1" applyAlignment="1">
      <alignment horizontal="center" vertical="center"/>
    </xf>
    <xf numFmtId="9" fontId="4" fillId="5" borderId="6" xfId="0" applyNumberFormat="1" applyFont="1" applyFill="1" applyBorder="1" applyAlignment="1">
      <alignment horizontal="center" vertical="center"/>
    </xf>
    <xf numFmtId="10" fontId="4" fillId="5" borderId="6" xfId="0" applyNumberFormat="1" applyFont="1" applyFill="1" applyBorder="1" applyAlignment="1">
      <alignment horizontal="center" vertical="center"/>
    </xf>
    <xf numFmtId="0" fontId="10" fillId="5" borderId="6" xfId="0" applyFont="1" applyFill="1" applyBorder="1" applyAlignment="1">
      <alignment vertical="center" wrapText="1"/>
    </xf>
    <xf numFmtId="0" fontId="4" fillId="5" borderId="6" xfId="0" applyFont="1" applyFill="1" applyBorder="1" applyAlignment="1">
      <alignment vertical="top"/>
    </xf>
    <xf numFmtId="0" fontId="9" fillId="5" borderId="6" xfId="0" applyFont="1" applyFill="1" applyBorder="1" applyAlignment="1">
      <alignment horizontal="center" vertical="top"/>
    </xf>
    <xf numFmtId="0" fontId="4" fillId="5" borderId="6" xfId="0" applyFont="1" applyFill="1" applyBorder="1" applyAlignment="1">
      <alignment horizontal="center" vertical="top"/>
    </xf>
    <xf numFmtId="9" fontId="4" fillId="5" borderId="6" xfId="0" applyNumberFormat="1" applyFont="1" applyFill="1" applyBorder="1" applyAlignment="1">
      <alignment horizontal="center" vertical="top"/>
    </xf>
    <xf numFmtId="0" fontId="4" fillId="5" borderId="13" xfId="0" applyFont="1" applyFill="1" applyBorder="1" applyAlignment="1">
      <alignment vertical="top"/>
    </xf>
    <xf numFmtId="0" fontId="4" fillId="5" borderId="12" xfId="0" applyFont="1" applyFill="1" applyBorder="1" applyAlignment="1">
      <alignment vertical="top"/>
    </xf>
    <xf numFmtId="0" fontId="5" fillId="5" borderId="6" xfId="0" applyFont="1" applyFill="1" applyBorder="1" applyAlignment="1">
      <alignment horizontal="center" vertical="top" wrapText="1"/>
    </xf>
    <xf numFmtId="0" fontId="4" fillId="5" borderId="11" xfId="0" applyFont="1" applyFill="1" applyBorder="1" applyAlignment="1">
      <alignment vertical="top"/>
    </xf>
    <xf numFmtId="0" fontId="13" fillId="8" borderId="6" xfId="0" applyFont="1" applyFill="1" applyBorder="1" applyAlignment="1">
      <alignment horizontal="center"/>
    </xf>
    <xf numFmtId="0" fontId="4" fillId="3" borderId="6" xfId="0" applyFont="1" applyFill="1" applyBorder="1"/>
    <xf numFmtId="0" fontId="5" fillId="5" borderId="6" xfId="0" applyFont="1" applyFill="1" applyBorder="1" applyAlignment="1">
      <alignment horizontal="center" vertical="center" wrapText="1"/>
    </xf>
    <xf numFmtId="0" fontId="15" fillId="0" borderId="6" xfId="0" applyFont="1" applyBorder="1"/>
    <xf numFmtId="0" fontId="4" fillId="0" borderId="6" xfId="0" applyFont="1" applyBorder="1"/>
    <xf numFmtId="0" fontId="0" fillId="10" borderId="6" xfId="1" applyFont="1" applyFill="1" applyBorder="1" applyAlignment="1">
      <alignment horizontal="center" vertical="center" wrapText="1"/>
    </xf>
    <xf numFmtId="0" fontId="0" fillId="11" borderId="17" xfId="1" applyFont="1" applyFill="1" applyBorder="1" applyAlignment="1">
      <alignment horizontal="center" vertical="center" wrapText="1"/>
    </xf>
    <xf numFmtId="164" fontId="4" fillId="3" borderId="6" xfId="0" applyNumberFormat="1" applyFont="1" applyFill="1" applyBorder="1" applyAlignment="1">
      <alignment horizontal="center" vertical="center" wrapText="1"/>
    </xf>
    <xf numFmtId="164" fontId="4" fillId="3" borderId="9" xfId="0" applyNumberFormat="1" applyFont="1" applyFill="1" applyBorder="1" applyAlignment="1">
      <alignment horizontal="center" vertical="center" wrapText="1"/>
    </xf>
    <xf numFmtId="0" fontId="4" fillId="0" borderId="0" xfId="0" applyFont="1" applyAlignment="1">
      <alignment vertical="center" wrapText="1"/>
    </xf>
    <xf numFmtId="0" fontId="0" fillId="0" borderId="0" xfId="0" applyAlignment="1">
      <alignment vertical="center" wrapText="1"/>
    </xf>
    <xf numFmtId="164" fontId="6" fillId="3" borderId="6" xfId="0" applyNumberFormat="1" applyFont="1" applyFill="1" applyBorder="1" applyAlignment="1">
      <alignment horizontal="center" vertical="center" wrapText="1"/>
    </xf>
    <xf numFmtId="0" fontId="6" fillId="3" borderId="6" xfId="0" applyFont="1" applyFill="1" applyBorder="1" applyAlignment="1">
      <alignment horizontal="center" vertical="center" wrapText="1"/>
    </xf>
    <xf numFmtId="2" fontId="4" fillId="3" borderId="8" xfId="0" applyNumberFormat="1" applyFont="1" applyFill="1" applyBorder="1" applyAlignment="1">
      <alignment horizontal="center" vertical="center" wrapText="1"/>
    </xf>
    <xf numFmtId="164" fontId="4" fillId="3" borderId="8" xfId="0" applyNumberFormat="1"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5" borderId="16" xfId="0" applyFont="1" applyFill="1" applyBorder="1"/>
    <xf numFmtId="0" fontId="5" fillId="14" borderId="9" xfId="0" applyFont="1" applyFill="1" applyBorder="1" applyAlignment="1">
      <alignment horizontal="center" vertical="top"/>
    </xf>
    <xf numFmtId="0" fontId="5" fillId="14" borderId="14" xfId="0" applyFont="1" applyFill="1" applyBorder="1" applyAlignment="1">
      <alignment horizontal="center" vertical="center"/>
    </xf>
    <xf numFmtId="0" fontId="5" fillId="14" borderId="9" xfId="0" applyFont="1" applyFill="1" applyBorder="1" applyAlignment="1">
      <alignment horizontal="center" vertical="top" wrapText="1"/>
    </xf>
    <xf numFmtId="0" fontId="5" fillId="14" borderId="1" xfId="0" applyFont="1" applyFill="1" applyBorder="1" applyAlignment="1">
      <alignment horizontal="center" vertical="top"/>
    </xf>
    <xf numFmtId="0" fontId="4" fillId="0" borderId="6" xfId="0" applyFont="1" applyBorder="1" applyAlignment="1">
      <alignment horizontal="center"/>
    </xf>
    <xf numFmtId="0" fontId="4" fillId="0" borderId="6" xfId="0" applyFont="1" applyBorder="1" applyAlignment="1">
      <alignment vertical="top" wrapText="1"/>
    </xf>
    <xf numFmtId="0" fontId="16" fillId="0" borderId="0" xfId="0" applyFont="1" applyAlignment="1">
      <alignment vertical="center" wrapText="1"/>
    </xf>
    <xf numFmtId="0" fontId="5" fillId="0" borderId="8" xfId="0" applyFont="1" applyBorder="1" applyAlignment="1">
      <alignment horizontal="center"/>
    </xf>
    <xf numFmtId="0" fontId="5" fillId="0" borderId="8" xfId="0" applyFont="1" applyBorder="1" applyAlignment="1">
      <alignment horizontal="center" vertical="top"/>
    </xf>
    <xf numFmtId="0" fontId="4" fillId="7" borderId="16" xfId="0" applyFont="1" applyFill="1" applyBorder="1"/>
    <xf numFmtId="0" fontId="12" fillId="7" borderId="16" xfId="0" applyFont="1" applyFill="1" applyBorder="1" applyAlignment="1">
      <alignment horizontal="center"/>
    </xf>
    <xf numFmtId="0" fontId="5" fillId="0" borderId="17" xfId="0" applyFont="1" applyBorder="1"/>
    <xf numFmtId="0" fontId="5" fillId="0" borderId="17" xfId="0" applyFont="1" applyBorder="1" applyAlignment="1">
      <alignment horizontal="center"/>
    </xf>
    <xf numFmtId="0" fontId="4" fillId="3" borderId="16" xfId="0" applyFont="1" applyFill="1" applyBorder="1" applyAlignment="1">
      <alignment horizontal="center" vertical="center" wrapText="1"/>
    </xf>
    <xf numFmtId="0" fontId="4" fillId="3" borderId="16" xfId="0" applyFont="1" applyFill="1" applyBorder="1" applyAlignment="1">
      <alignment horizontal="center" vertical="center"/>
    </xf>
    <xf numFmtId="0" fontId="11" fillId="7" borderId="16" xfId="0" applyFont="1" applyFill="1" applyBorder="1" applyAlignment="1">
      <alignment horizontal="center" vertical="center"/>
    </xf>
    <xf numFmtId="0" fontId="4" fillId="3" borderId="1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0" borderId="0" xfId="0" applyFont="1" applyAlignment="1">
      <alignment vertical="center" wrapText="1"/>
    </xf>
    <xf numFmtId="0" fontId="4" fillId="0" borderId="15" xfId="0" applyFont="1" applyBorder="1" applyAlignment="1">
      <alignment horizontal="center"/>
    </xf>
    <xf numFmtId="0" fontId="4" fillId="5" borderId="16" xfId="0" applyFont="1" applyFill="1" applyBorder="1" applyAlignment="1">
      <alignment vertical="top"/>
    </xf>
    <xf numFmtId="0" fontId="4" fillId="5" borderId="16" xfId="0" applyFont="1" applyFill="1" applyBorder="1" applyAlignment="1">
      <alignment wrapText="1"/>
    </xf>
    <xf numFmtId="0" fontId="4" fillId="3" borderId="1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2" xfId="0" applyFont="1" applyFill="1" applyBorder="1" applyAlignment="1">
      <alignment horizontal="center" vertical="center"/>
    </xf>
    <xf numFmtId="0" fontId="15" fillId="0" borderId="4" xfId="0" applyFont="1" applyBorder="1"/>
    <xf numFmtId="0" fontId="6" fillId="3" borderId="10"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19" fillId="0" borderId="6" xfId="0" applyFont="1" applyBorder="1"/>
    <xf numFmtId="0" fontId="19" fillId="0" borderId="15" xfId="0" applyFont="1" applyBorder="1"/>
    <xf numFmtId="0" fontId="19" fillId="0" borderId="8" xfId="0" applyFont="1" applyBorder="1"/>
    <xf numFmtId="0" fontId="19" fillId="0" borderId="3" xfId="0" applyFont="1" applyBorder="1"/>
    <xf numFmtId="2" fontId="4" fillId="3" borderId="6" xfId="0" applyNumberFormat="1" applyFont="1" applyFill="1" applyBorder="1" applyAlignment="1">
      <alignment horizontal="center" vertical="center" wrapText="1"/>
    </xf>
    <xf numFmtId="0" fontId="0" fillId="10" borderId="15" xfId="1" applyFont="1" applyFill="1" applyBorder="1" applyAlignment="1">
      <alignment horizontal="center" vertical="center" wrapText="1"/>
    </xf>
    <xf numFmtId="164" fontId="4" fillId="3" borderId="3" xfId="0" applyNumberFormat="1" applyFont="1" applyFill="1" applyBorder="1" applyAlignment="1">
      <alignment horizontal="center" vertical="center" wrapText="1"/>
    </xf>
    <xf numFmtId="0" fontId="0" fillId="11" borderId="2" xfId="1" applyFont="1" applyFill="1" applyBorder="1" applyAlignment="1">
      <alignment horizontal="center" vertical="center" wrapText="1"/>
    </xf>
    <xf numFmtId="0" fontId="0" fillId="11" borderId="3" xfId="1" applyFont="1" applyFill="1" applyBorder="1" applyAlignment="1">
      <alignment horizontal="center" vertical="center" wrapText="1"/>
    </xf>
    <xf numFmtId="0" fontId="20" fillId="11" borderId="3" xfId="1" applyFont="1" applyFill="1" applyBorder="1" applyAlignment="1">
      <alignment horizontal="center" vertical="center" wrapText="1"/>
    </xf>
    <xf numFmtId="0" fontId="0" fillId="11" borderId="5" xfId="1" applyFont="1" applyFill="1" applyBorder="1" applyAlignment="1">
      <alignment horizontal="center" vertical="center" wrapText="1"/>
    </xf>
    <xf numFmtId="0" fontId="4" fillId="0" borderId="7" xfId="0" applyFont="1" applyBorder="1" applyAlignment="1">
      <alignment horizontal="center" vertical="center" wrapText="1"/>
    </xf>
    <xf numFmtId="164" fontId="4" fillId="3" borderId="7" xfId="0" applyNumberFormat="1" applyFont="1" applyFill="1" applyBorder="1" applyAlignment="1">
      <alignment horizontal="center" vertical="center" wrapText="1"/>
    </xf>
    <xf numFmtId="0" fontId="0" fillId="0" borderId="17" xfId="1" applyFont="1" applyBorder="1" applyAlignment="1">
      <alignment horizontal="center" vertical="center" wrapText="1"/>
    </xf>
    <xf numFmtId="0" fontId="0" fillId="0" borderId="6" xfId="1" applyFont="1" applyBorder="1" applyAlignment="1">
      <alignment horizontal="center" vertical="center" wrapText="1"/>
    </xf>
    <xf numFmtId="0" fontId="4" fillId="3" borderId="1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4" fillId="15" borderId="0" xfId="0" applyFont="1" applyFill="1" applyAlignment="1">
      <alignment vertical="center" wrapText="1"/>
    </xf>
    <xf numFmtId="164" fontId="4" fillId="0" borderId="0" xfId="0" applyNumberFormat="1" applyFont="1" applyAlignment="1">
      <alignment vertical="center" wrapText="1"/>
    </xf>
    <xf numFmtId="2" fontId="4" fillId="0" borderId="0" xfId="0" applyNumberFormat="1" applyFont="1" applyAlignment="1">
      <alignment vertical="center" wrapText="1"/>
    </xf>
    <xf numFmtId="0" fontId="21" fillId="5" borderId="16" xfId="0" applyFont="1" applyFill="1" applyBorder="1"/>
    <xf numFmtId="164" fontId="4" fillId="0" borderId="0" xfId="0" applyNumberFormat="1" applyFont="1"/>
    <xf numFmtId="164" fontId="0" fillId="0" borderId="0" xfId="0" applyNumberFormat="1"/>
    <xf numFmtId="0" fontId="21" fillId="5" borderId="0" xfId="0" applyFont="1" applyFill="1"/>
    <xf numFmtId="0" fontId="22" fillId="5" borderId="16" xfId="0" applyFont="1" applyFill="1" applyBorder="1"/>
    <xf numFmtId="0" fontId="6" fillId="5" borderId="16" xfId="0" applyFont="1" applyFill="1" applyBorder="1"/>
    <xf numFmtId="0" fontId="8" fillId="6" borderId="16" xfId="0" applyFont="1" applyFill="1" applyBorder="1" applyAlignment="1">
      <alignment horizontal="center"/>
    </xf>
    <xf numFmtId="0" fontId="5" fillId="12" borderId="17" xfId="0" applyFont="1" applyFill="1" applyBorder="1" applyAlignment="1">
      <alignment horizontal="center"/>
    </xf>
    <xf numFmtId="0" fontId="5" fillId="13" borderId="17" xfId="0" applyFont="1" applyFill="1" applyBorder="1" applyAlignment="1">
      <alignment horizontal="center"/>
    </xf>
    <xf numFmtId="0" fontId="23" fillId="0" borderId="0" xfId="0" applyFont="1" applyAlignment="1">
      <alignment horizontal="center" vertical="center" wrapText="1"/>
    </xf>
    <xf numFmtId="0" fontId="6" fillId="3" borderId="0" xfId="0" applyFont="1" applyFill="1" applyAlignment="1">
      <alignment horizontal="center" vertical="center" wrapText="1"/>
    </xf>
    <xf numFmtId="0" fontId="14" fillId="9" borderId="14" xfId="0" applyFont="1" applyFill="1" applyBorder="1" applyAlignment="1">
      <alignment horizontal="center"/>
    </xf>
    <xf numFmtId="0" fontId="14" fillId="9" borderId="16" xfId="0" applyFont="1" applyFill="1" applyBorder="1" applyAlignment="1">
      <alignment horizontal="center"/>
    </xf>
    <xf numFmtId="0" fontId="5" fillId="5" borderId="7" xfId="0" applyFont="1" applyFill="1" applyBorder="1" applyAlignment="1">
      <alignment horizontal="center"/>
    </xf>
    <xf numFmtId="0" fontId="11" fillId="7" borderId="16" xfId="0" applyFont="1" applyFill="1" applyBorder="1" applyAlignment="1">
      <alignment horizontal="center" vertical="center"/>
    </xf>
    <xf numFmtId="0" fontId="12" fillId="7" borderId="16" xfId="0" applyFont="1" applyFill="1" applyBorder="1" applyAlignment="1">
      <alignment horizontal="center"/>
    </xf>
    <xf numFmtId="0" fontId="4" fillId="3" borderId="7" xfId="0" applyFont="1" applyFill="1" applyBorder="1" applyAlignment="1">
      <alignment horizontal="center" vertical="center" wrapText="1"/>
    </xf>
    <xf numFmtId="0" fontId="3" fillId="0" borderId="10" xfId="0" applyFont="1" applyBorder="1" applyAlignment="1">
      <alignment vertical="center" wrapText="1"/>
    </xf>
    <xf numFmtId="0" fontId="4" fillId="16" borderId="18" xfId="0" applyFont="1" applyFill="1" applyBorder="1" applyAlignment="1">
      <alignment horizontal="center" vertical="center" wrapText="1"/>
    </xf>
    <xf numFmtId="0" fontId="4" fillId="16" borderId="10" xfId="0" applyFont="1" applyFill="1" applyBorder="1" applyAlignment="1">
      <alignment horizontal="center" vertical="center" wrapText="1"/>
    </xf>
    <xf numFmtId="0" fontId="4" fillId="16" borderId="15"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17" borderId="7" xfId="0" applyFont="1" applyFill="1" applyBorder="1" applyAlignment="1">
      <alignment horizontal="center" vertical="center" wrapText="1"/>
    </xf>
    <xf numFmtId="0" fontId="6" fillId="17" borderId="10" xfId="0" applyFont="1" applyFill="1" applyBorder="1" applyAlignment="1">
      <alignment horizontal="center" vertical="center" wrapText="1"/>
    </xf>
    <xf numFmtId="0" fontId="6" fillId="17" borderId="15"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3" fillId="18" borderId="10" xfId="0" applyFont="1" applyFill="1" applyBorder="1" applyAlignment="1">
      <alignment vertical="center" wrapText="1"/>
    </xf>
    <xf numFmtId="0" fontId="6" fillId="16" borderId="7" xfId="0" applyFont="1" applyFill="1" applyBorder="1" applyAlignment="1">
      <alignment horizontal="center" vertical="center" wrapText="1"/>
    </xf>
    <xf numFmtId="0" fontId="6" fillId="16" borderId="10" xfId="0" applyFont="1" applyFill="1" applyBorder="1" applyAlignment="1">
      <alignment horizontal="center" vertical="center" wrapText="1"/>
    </xf>
    <xf numFmtId="0" fontId="6" fillId="16" borderId="15"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16" borderId="7" xfId="0" applyFont="1" applyFill="1" applyBorder="1" applyAlignment="1">
      <alignment horizontal="center" vertical="center" wrapText="1"/>
    </xf>
    <xf numFmtId="0" fontId="3" fillId="15" borderId="10" xfId="0" applyFont="1" applyFill="1" applyBorder="1" applyAlignment="1">
      <alignment vertical="center" wrapText="1"/>
    </xf>
    <xf numFmtId="0" fontId="6" fillId="3" borderId="18" xfId="0" applyFont="1" applyFill="1" applyBorder="1" applyAlignment="1">
      <alignment horizontal="center" vertical="center" wrapText="1"/>
    </xf>
    <xf numFmtId="0" fontId="6" fillId="17" borderId="18"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6" fillId="16" borderId="18"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7" xfId="0" applyFont="1" applyBorder="1" applyAlignment="1">
      <alignment horizontal="center" vertical="center" wrapText="1"/>
    </xf>
    <xf numFmtId="10" fontId="4" fillId="3" borderId="7" xfId="0" applyNumberFormat="1" applyFont="1" applyFill="1" applyBorder="1" applyAlignment="1">
      <alignment horizontal="center" vertical="center" wrapText="1"/>
    </xf>
    <xf numFmtId="0" fontId="3" fillId="0" borderId="15" xfId="0" applyFont="1" applyBorder="1" applyAlignment="1">
      <alignment vertical="center" wrapText="1"/>
    </xf>
    <xf numFmtId="0" fontId="5" fillId="3" borderId="7" xfId="0" applyFont="1" applyFill="1" applyBorder="1" applyAlignment="1">
      <alignment horizontal="center" vertical="center" wrapText="1"/>
    </xf>
    <xf numFmtId="0" fontId="3" fillId="0" borderId="3" xfId="0" applyFont="1" applyBorder="1" applyAlignment="1">
      <alignment vertical="center" wrapText="1"/>
    </xf>
    <xf numFmtId="164" fontId="4" fillId="3" borderId="5" xfId="0" applyNumberFormat="1" applyFont="1" applyFill="1" applyBorder="1" applyAlignment="1">
      <alignment horizontal="center" vertical="center" wrapText="1"/>
    </xf>
    <xf numFmtId="0" fontId="3" fillId="0" borderId="2" xfId="0" applyFont="1" applyBorder="1" applyAlignment="1">
      <alignment vertical="center" wrapText="1"/>
    </xf>
    <xf numFmtId="164" fontId="5" fillId="3" borderId="7" xfId="0" applyNumberFormat="1" applyFont="1" applyFill="1" applyBorder="1" applyAlignment="1">
      <alignment horizontal="center" vertical="center" wrapText="1"/>
    </xf>
    <xf numFmtId="164" fontId="4" fillId="3" borderId="7" xfId="0" applyNumberFormat="1"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3" fillId="0" borderId="16" xfId="0" applyFont="1" applyBorder="1" applyAlignment="1">
      <alignment vertical="center" wrapText="1"/>
    </xf>
    <xf numFmtId="0" fontId="4" fillId="3" borderId="16"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3" fillId="0" borderId="17" xfId="0" applyFont="1" applyBorder="1" applyAlignment="1">
      <alignment vertical="center" wrapText="1"/>
    </xf>
    <xf numFmtId="0" fontId="5" fillId="3" borderId="2" xfId="0" applyFont="1" applyFill="1" applyBorder="1" applyAlignment="1">
      <alignment horizontal="center" vertical="center" wrapText="1"/>
    </xf>
    <xf numFmtId="0" fontId="4" fillId="4" borderId="7" xfId="0" applyFont="1" applyFill="1" applyBorder="1" applyAlignment="1">
      <alignment horizontal="left" vertical="center" wrapText="1"/>
    </xf>
    <xf numFmtId="0" fontId="5" fillId="3" borderId="11" xfId="0" applyFont="1" applyFill="1" applyBorder="1" applyAlignment="1">
      <alignment horizontal="center" vertical="center" wrapText="1"/>
    </xf>
    <xf numFmtId="0" fontId="3" fillId="0" borderId="9" xfId="0" applyFont="1" applyBorder="1" applyAlignment="1">
      <alignment vertical="center" wrapText="1"/>
    </xf>
    <xf numFmtId="0" fontId="3" fillId="0" borderId="8" xfId="0" applyFont="1" applyBorder="1" applyAlignment="1">
      <alignment vertical="center" wrapText="1"/>
    </xf>
    <xf numFmtId="0" fontId="3" fillId="0" borderId="13" xfId="0" applyFont="1" applyBorder="1" applyAlignment="1">
      <alignment vertical="center" wrapText="1"/>
    </xf>
    <xf numFmtId="0" fontId="3" fillId="0" borderId="12" xfId="0" applyFont="1" applyBorder="1" applyAlignment="1">
      <alignment vertical="center" wrapText="1"/>
    </xf>
    <xf numFmtId="0" fontId="3" fillId="0" borderId="5" xfId="0" applyFont="1" applyBorder="1" applyAlignment="1">
      <alignment vertical="center" wrapText="1"/>
    </xf>
    <xf numFmtId="2" fontId="4" fillId="3" borderId="7" xfId="0" applyNumberFormat="1" applyFont="1" applyFill="1" applyBorder="1" applyAlignment="1">
      <alignment horizontal="center" vertical="center" wrapText="1"/>
    </xf>
    <xf numFmtId="0" fontId="5" fillId="3" borderId="14" xfId="0" applyFont="1" applyFill="1" applyBorder="1" applyAlignment="1">
      <alignment horizontal="center" vertical="center" wrapText="1"/>
    </xf>
    <xf numFmtId="0" fontId="3" fillId="0" borderId="1" xfId="0" applyFont="1" applyBorder="1" applyAlignment="1">
      <alignment vertical="center" wrapText="1"/>
    </xf>
    <xf numFmtId="0" fontId="5" fillId="3" borderId="5"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3" fillId="0" borderId="14" xfId="0" applyFont="1" applyBorder="1" applyAlignment="1">
      <alignment vertical="center" wrapText="1"/>
    </xf>
    <xf numFmtId="0" fontId="0" fillId="0" borderId="0" xfId="0" applyAlignment="1">
      <alignment vertical="center" wrapText="1"/>
    </xf>
    <xf numFmtId="164" fontId="4" fillId="3" borderId="10" xfId="0" applyNumberFormat="1" applyFont="1" applyFill="1" applyBorder="1" applyAlignment="1">
      <alignment horizontal="center" vertical="center" wrapText="1"/>
    </xf>
    <xf numFmtId="0" fontId="3" fillId="0" borderId="10" xfId="0" applyFont="1" applyBorder="1" applyAlignment="1">
      <alignment horizontal="center" vertical="center" wrapText="1"/>
    </xf>
    <xf numFmtId="0" fontId="3" fillId="0" borderId="15" xfId="0" applyFont="1" applyBorder="1" applyAlignment="1">
      <alignment horizontal="center" vertical="center" wrapText="1"/>
    </xf>
    <xf numFmtId="0" fontId="2" fillId="2" borderId="14" xfId="0" applyFont="1" applyFill="1" applyBorder="1" applyAlignment="1">
      <alignment horizontal="center" vertical="center"/>
    </xf>
    <xf numFmtId="0" fontId="4" fillId="3" borderId="14" xfId="0" applyFont="1" applyFill="1" applyBorder="1" applyAlignment="1">
      <alignment horizontal="center" vertical="center"/>
    </xf>
    <xf numFmtId="0" fontId="4" fillId="4" borderId="7" xfId="0" applyFont="1" applyFill="1" applyBorder="1" applyAlignment="1">
      <alignment horizontal="left" vertical="center"/>
    </xf>
    <xf numFmtId="0" fontId="4" fillId="3" borderId="16" xfId="0" applyFont="1" applyFill="1" applyBorder="1" applyAlignment="1">
      <alignment horizontal="center" vertical="center"/>
    </xf>
    <xf numFmtId="0" fontId="5" fillId="3" borderId="19"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7" fillId="2" borderId="17" xfId="0" applyFont="1" applyFill="1" applyBorder="1" applyAlignment="1">
      <alignment horizontal="center"/>
    </xf>
    <xf numFmtId="0" fontId="5" fillId="0" borderId="7" xfId="0" applyFont="1" applyBorder="1" applyAlignment="1">
      <alignment horizontal="center"/>
    </xf>
    <xf numFmtId="0" fontId="3" fillId="0" borderId="16" xfId="0" applyFont="1" applyBorder="1" applyAlignment="1"/>
    <xf numFmtId="0" fontId="3" fillId="0" borderId="10" xfId="0" applyFont="1" applyBorder="1" applyAlignment="1"/>
    <xf numFmtId="0" fontId="3" fillId="0" borderId="14" xfId="0" applyFont="1" applyBorder="1" applyAlignment="1"/>
    <xf numFmtId="0" fontId="0" fillId="0" borderId="0" xfId="0" applyAlignment="1"/>
    <xf numFmtId="0" fontId="3" fillId="0" borderId="15" xfId="0" applyFont="1" applyBorder="1" applyAlignment="1"/>
    <xf numFmtId="0" fontId="3" fillId="0" borderId="1" xfId="0" applyFont="1" applyBorder="1" applyAlignment="1"/>
    <xf numFmtId="0" fontId="3" fillId="0" borderId="9" xfId="0" applyFont="1" applyBorder="1" applyAlignment="1"/>
    <xf numFmtId="0" fontId="3" fillId="0" borderId="3" xfId="0" applyFont="1" applyBorder="1" applyAlignment="1"/>
    <xf numFmtId="0" fontId="3" fillId="0" borderId="13" xfId="0" applyFont="1" applyBorder="1" applyAlignment="1"/>
    <xf numFmtId="0" fontId="3" fillId="0" borderId="12" xfId="0" applyFont="1" applyBorder="1" applyAlignment="1"/>
    <xf numFmtId="0" fontId="3" fillId="0" borderId="8" xfId="0" applyFont="1" applyBorder="1" applyAlignment="1"/>
    <xf numFmtId="0" fontId="3" fillId="0" borderId="5" xfId="0" applyFont="1" applyBorder="1" applyAlignment="1"/>
    <xf numFmtId="0" fontId="3" fillId="0" borderId="2" xfId="0" applyFont="1" applyBorder="1" applyAlignment="1"/>
    <xf numFmtId="0" fontId="3" fillId="0" borderId="17" xfId="0" applyFont="1" applyBorder="1" applyAlignment="1"/>
  </cellXfs>
  <cellStyles count="2">
    <cellStyle name="Normal" xfId="0" builtinId="0"/>
    <cellStyle name="Normal 2 2" xfId="1" xr:uid="{69C3BA31-0075-4D98-826A-1718C17D86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D" sz="1400" b="0" i="0">
                <a:solidFill>
                  <a:srgbClr val="757575"/>
                </a:solidFill>
                <a:latin typeface="+mn-lt"/>
              </a:rPr>
              <a:t>Data Pemborosan Asisten</a:t>
            </a:r>
            <a:r>
              <a:rPr lang="en-ID" sz="1400" b="0" i="0" baseline="0">
                <a:solidFill>
                  <a:srgbClr val="757575"/>
                </a:solidFill>
                <a:latin typeface="+mn-lt"/>
              </a:rPr>
              <a:t> Operator</a:t>
            </a:r>
            <a:endParaRPr lang="en-ID" sz="1400" b="0" i="0">
              <a:solidFill>
                <a:srgbClr val="757575"/>
              </a:solidFill>
              <a:latin typeface="+mn-lt"/>
            </a:endParaRPr>
          </a:p>
        </c:rich>
      </c:tx>
      <c:overlay val="0"/>
    </c:title>
    <c:autoTitleDeleted val="0"/>
    <c:plotArea>
      <c:layout/>
      <c:barChart>
        <c:barDir val="col"/>
        <c:grouping val="clustered"/>
        <c:varyColors val="1"/>
        <c:ser>
          <c:idx val="0"/>
          <c:order val="0"/>
          <c:spPr>
            <a:solidFill>
              <a:srgbClr val="4472C4"/>
            </a:solidFill>
            <a:ln cmpd="sng">
              <a:solidFill>
                <a:srgbClr val="000000"/>
              </a:solidFill>
            </a:ln>
          </c:spPr>
          <c:invertIfNegative val="1"/>
          <c:cat>
            <c:strRef>
              <c:f>'Tabel Pemborosan Kerja PPM'!$A$5:$A$12</c:f>
              <c:strCache>
                <c:ptCount val="1"/>
                <c:pt idx="0">
                  <c:v>Keterlambatan yang tidak dapat dihindari </c:v>
                </c:pt>
              </c:strCache>
            </c:strRef>
          </c:cat>
          <c:val>
            <c:numRef>
              <c:f>'Tabel Pemborosan Kerja PPM'!$D$5:$D$18</c:f>
              <c:numCache>
                <c:formatCode>General</c:formatCode>
                <c:ptCount val="8"/>
                <c:pt idx="0">
                  <c:v>243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BFB-40EC-A597-175CE88126A0}"/>
            </c:ext>
          </c:extLst>
        </c:ser>
        <c:dLbls>
          <c:showLegendKey val="0"/>
          <c:showVal val="0"/>
          <c:showCatName val="0"/>
          <c:showSerName val="0"/>
          <c:showPercent val="0"/>
          <c:showBubbleSize val="0"/>
        </c:dLbls>
        <c:gapWidth val="150"/>
        <c:axId val="679158592"/>
        <c:axId val="1629699680"/>
      </c:barChart>
      <c:catAx>
        <c:axId val="679158592"/>
        <c:scaling>
          <c:orientation val="minMax"/>
        </c:scaling>
        <c:delete val="0"/>
        <c:axPos val="b"/>
        <c:title>
          <c:tx>
            <c:rich>
              <a:bodyPr/>
              <a:lstStyle/>
              <a:p>
                <a:pPr lvl="0">
                  <a:defRPr sz="1000" b="0" i="0">
                    <a:solidFill>
                      <a:srgbClr val="000000"/>
                    </a:solidFill>
                    <a:latin typeface="+mn-lt"/>
                  </a:defRPr>
                </a:pPr>
                <a:r>
                  <a:rPr lang="en-ID" sz="1000" b="0" i="0">
                    <a:solidFill>
                      <a:srgbClr val="000000"/>
                    </a:solidFill>
                    <a:latin typeface="+mn-lt"/>
                  </a:rPr>
                  <a:t>Nama Pemborosan</a:t>
                </a:r>
              </a:p>
            </c:rich>
          </c:tx>
          <c:overlay val="0"/>
        </c:title>
        <c:numFmt formatCode="General" sourceLinked="1"/>
        <c:majorTickMark val="none"/>
        <c:minorTickMark val="none"/>
        <c:tickLblPos val="nextTo"/>
        <c:txPr>
          <a:bodyPr rot="2940000"/>
          <a:lstStyle/>
          <a:p>
            <a:pPr lvl="0">
              <a:defRPr sz="900" b="0" i="0">
                <a:solidFill>
                  <a:srgbClr val="000000"/>
                </a:solidFill>
                <a:latin typeface="+mn-lt"/>
              </a:defRPr>
            </a:pPr>
            <a:endParaRPr lang="en-US"/>
          </a:p>
        </c:txPr>
        <c:crossAx val="1629699680"/>
        <c:crosses val="autoZero"/>
        <c:auto val="1"/>
        <c:lblAlgn val="ctr"/>
        <c:lblOffset val="100"/>
        <c:noMultiLvlLbl val="1"/>
      </c:catAx>
      <c:valAx>
        <c:axId val="1629699680"/>
        <c:scaling>
          <c:orientation val="minMax"/>
          <c:max val="45"/>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ID" sz="1000" b="0" i="0">
                    <a:solidFill>
                      <a:srgbClr val="000000"/>
                    </a:solidFill>
                    <a:latin typeface="+mn-lt"/>
                  </a:rPr>
                  <a:t>Frekuensi</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679158592"/>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D" sz="1400" b="0" i="0">
                <a:solidFill>
                  <a:srgbClr val="757575"/>
                </a:solidFill>
                <a:latin typeface="+mn-lt"/>
              </a:rPr>
              <a:t>Pareto Chart </a:t>
            </a:r>
            <a:r>
              <a:rPr lang="en-ID" sz="1400" b="0" i="0" baseline="0">
                <a:solidFill>
                  <a:srgbClr val="757575"/>
                </a:solidFill>
                <a:latin typeface="+mn-lt"/>
              </a:rPr>
              <a:t> Asisten Operator</a:t>
            </a:r>
            <a:endParaRPr lang="en-ID" sz="1400" b="0" i="0">
              <a:solidFill>
                <a:srgbClr val="757575"/>
              </a:solidFill>
              <a:latin typeface="+mn-lt"/>
            </a:endParaRPr>
          </a:p>
        </c:rich>
      </c:tx>
      <c:overlay val="0"/>
    </c:title>
    <c:autoTitleDeleted val="0"/>
    <c:plotArea>
      <c:layout/>
      <c:barChart>
        <c:barDir val="col"/>
        <c:grouping val="clustered"/>
        <c:varyColors val="1"/>
        <c:ser>
          <c:idx val="0"/>
          <c:order val="0"/>
          <c:tx>
            <c:v>Frekuensi</c:v>
          </c:tx>
          <c:spPr>
            <a:solidFill>
              <a:srgbClr val="4472C4"/>
            </a:solidFill>
            <a:ln cmpd="sng">
              <a:solidFill>
                <a:srgbClr val="000000"/>
              </a:solidFill>
            </a:ln>
          </c:spPr>
          <c:invertIfNegative val="1"/>
          <c:cat>
            <c:strRef>
              <c:f>'Tabel Pemborosan Kerja PPM'!$A$5:$A$12</c:f>
              <c:strCache>
                <c:ptCount val="1"/>
                <c:pt idx="0">
                  <c:v>Keterlambatan yang tidak dapat dihindari </c:v>
                </c:pt>
              </c:strCache>
            </c:strRef>
          </c:cat>
          <c:val>
            <c:numRef>
              <c:f>'Tabel Pemborosan Kerja PPM'!$D$5:$D$12</c:f>
              <c:numCache>
                <c:formatCode>General</c:formatCode>
                <c:ptCount val="8"/>
                <c:pt idx="0">
                  <c:v>243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B72-4D0C-AC67-30CD260E7A54}"/>
            </c:ext>
          </c:extLst>
        </c:ser>
        <c:dLbls>
          <c:showLegendKey val="0"/>
          <c:showVal val="0"/>
          <c:showCatName val="0"/>
          <c:showSerName val="0"/>
          <c:showPercent val="0"/>
          <c:showBubbleSize val="0"/>
        </c:dLbls>
        <c:gapWidth val="150"/>
        <c:axId val="1113332887"/>
        <c:axId val="1277027753"/>
      </c:barChart>
      <c:lineChart>
        <c:grouping val="standard"/>
        <c:varyColors val="0"/>
        <c:ser>
          <c:idx val="1"/>
          <c:order val="1"/>
          <c:tx>
            <c:v>Persentase Kumulatif</c:v>
          </c:tx>
          <c:spPr>
            <a:ln w="28575" cmpd="sng">
              <a:solidFill>
                <a:schemeClr val="accent2"/>
              </a:solidFill>
            </a:ln>
          </c:spPr>
          <c:marker>
            <c:symbol val="none"/>
          </c:marker>
          <c:cat>
            <c:strRef>
              <c:f>'Tabel Pemborosan Kerja PPM'!$A$5:$A$18</c:f>
              <c:strCache>
                <c:ptCount val="1"/>
                <c:pt idx="0">
                  <c:v>Keterlambatan yang tidak dapat dihindari </c:v>
                </c:pt>
              </c:strCache>
            </c:strRef>
          </c:cat>
          <c:val>
            <c:numRef>
              <c:f>'Tabel Pemborosan Kerja PPM'!$F$5:$F$12</c:f>
              <c:numCache>
                <c:formatCode>0.00%</c:formatCode>
                <c:ptCount val="8"/>
                <c:pt idx="0">
                  <c:v>1</c:v>
                </c:pt>
              </c:numCache>
            </c:numRef>
          </c:val>
          <c:smooth val="0"/>
          <c:extLst>
            <c:ext xmlns:c16="http://schemas.microsoft.com/office/drawing/2014/chart" uri="{C3380CC4-5D6E-409C-BE32-E72D297353CC}">
              <c16:uniqueId val="{00000001-AB72-4D0C-AC67-30CD260E7A54}"/>
            </c:ext>
          </c:extLst>
        </c:ser>
        <c:dLbls>
          <c:showLegendKey val="0"/>
          <c:showVal val="0"/>
          <c:showCatName val="0"/>
          <c:showSerName val="0"/>
          <c:showPercent val="0"/>
          <c:showBubbleSize val="0"/>
        </c:dLbls>
        <c:marker val="1"/>
        <c:smooth val="0"/>
        <c:axId val="270959791"/>
        <c:axId val="1667669151"/>
      </c:lineChart>
      <c:catAx>
        <c:axId val="1113332887"/>
        <c:scaling>
          <c:orientation val="minMax"/>
        </c:scaling>
        <c:delete val="0"/>
        <c:axPos val="b"/>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txPr>
          <a:bodyPr rot="3420000"/>
          <a:lstStyle/>
          <a:p>
            <a:pPr lvl="0">
              <a:defRPr sz="900" b="0" i="0">
                <a:solidFill>
                  <a:srgbClr val="000000"/>
                </a:solidFill>
                <a:latin typeface="+mn-lt"/>
              </a:defRPr>
            </a:pPr>
            <a:endParaRPr lang="en-US"/>
          </a:p>
        </c:txPr>
        <c:crossAx val="1277027753"/>
        <c:crosses val="autoZero"/>
        <c:auto val="1"/>
        <c:lblAlgn val="ctr"/>
        <c:lblOffset val="100"/>
        <c:noMultiLvlLbl val="1"/>
      </c:catAx>
      <c:valAx>
        <c:axId val="1277027753"/>
        <c:scaling>
          <c:orientation val="minMax"/>
          <c:max val="45"/>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113332887"/>
        <c:crosses val="autoZero"/>
        <c:crossBetween val="between"/>
      </c:valAx>
      <c:valAx>
        <c:axId val="1667669151"/>
        <c:scaling>
          <c:orientation val="minMax"/>
          <c:max val="1"/>
          <c:min val="0"/>
        </c:scaling>
        <c:delete val="0"/>
        <c:axPos val="r"/>
        <c:numFmt formatCode="0.00%" sourceLinked="1"/>
        <c:majorTickMark val="out"/>
        <c:minorTickMark val="none"/>
        <c:tickLblPos val="nextTo"/>
        <c:crossAx val="270959791"/>
        <c:crosses val="max"/>
        <c:crossBetween val="between"/>
      </c:valAx>
      <c:catAx>
        <c:axId val="270959791"/>
        <c:scaling>
          <c:orientation val="minMax"/>
        </c:scaling>
        <c:delete val="1"/>
        <c:axPos val="b"/>
        <c:numFmt formatCode="General" sourceLinked="1"/>
        <c:majorTickMark val="out"/>
        <c:minorTickMark val="none"/>
        <c:tickLblPos val="nextTo"/>
        <c:crossAx val="1667669151"/>
        <c:crosses val="autoZero"/>
        <c:auto val="1"/>
        <c:lblAlgn val="ctr"/>
        <c:lblOffset val="100"/>
        <c:noMultiLvlLbl val="0"/>
      </c:cat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757575"/>
                </a:solidFill>
                <a:latin typeface="+mn-lt"/>
              </a:defRPr>
            </a:pPr>
            <a:r>
              <a:rPr lang="en-ID" sz="1400" b="0" i="0">
                <a:solidFill>
                  <a:srgbClr val="757575"/>
                </a:solidFill>
                <a:latin typeface="+mn-lt"/>
              </a:rPr>
              <a:t>Data Pemborosan Operator</a:t>
            </a:r>
          </a:p>
        </c:rich>
      </c:tx>
      <c:overlay val="0"/>
    </c:title>
    <c:autoTitleDeleted val="0"/>
    <c:plotArea>
      <c:layout/>
      <c:barChart>
        <c:barDir val="col"/>
        <c:grouping val="clustered"/>
        <c:varyColors val="1"/>
        <c:ser>
          <c:idx val="0"/>
          <c:order val="0"/>
          <c:spPr>
            <a:solidFill>
              <a:srgbClr val="4472C4"/>
            </a:solidFill>
            <a:ln cmpd="sng">
              <a:solidFill>
                <a:srgbClr val="000000"/>
              </a:solidFill>
            </a:ln>
          </c:spPr>
          <c:invertIfNegative val="1"/>
          <c:cat>
            <c:strRef>
              <c:f>'Tabel Pemborosan Kerja PPM'!$G$5:$G$12</c:f>
              <c:strCache>
                <c:ptCount val="7"/>
                <c:pt idx="0">
                  <c:v>Menjangkau</c:v>
                </c:pt>
                <c:pt idx="1">
                  <c:v>Membawa</c:v>
                </c:pt>
                <c:pt idx="2">
                  <c:v>Memegang untuk memakai </c:v>
                </c:pt>
                <c:pt idx="3">
                  <c:v>Melepas</c:v>
                </c:pt>
                <c:pt idx="4">
                  <c:v>Mengarahkan</c:v>
                </c:pt>
                <c:pt idx="5">
                  <c:v>Memeriksa</c:v>
                </c:pt>
                <c:pt idx="6">
                  <c:v>Istirahat</c:v>
                </c:pt>
              </c:strCache>
            </c:strRef>
          </c:cat>
          <c:val>
            <c:numRef>
              <c:f>'Tabel Pemborosan Kerja PPM'!$J$5:$J$12</c:f>
              <c:numCache>
                <c:formatCode>General</c:formatCode>
                <c:ptCount val="8"/>
                <c:pt idx="0">
                  <c:v>35</c:v>
                </c:pt>
                <c:pt idx="1">
                  <c:v>10</c:v>
                </c:pt>
                <c:pt idx="2">
                  <c:v>12</c:v>
                </c:pt>
                <c:pt idx="3">
                  <c:v>22</c:v>
                </c:pt>
                <c:pt idx="4">
                  <c:v>34</c:v>
                </c:pt>
                <c:pt idx="5">
                  <c:v>45</c:v>
                </c:pt>
                <c:pt idx="6">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6C5-49D7-B3B4-3CE766398C4F}"/>
            </c:ext>
          </c:extLst>
        </c:ser>
        <c:dLbls>
          <c:showLegendKey val="0"/>
          <c:showVal val="0"/>
          <c:showCatName val="0"/>
          <c:showSerName val="0"/>
          <c:showPercent val="0"/>
          <c:showBubbleSize val="0"/>
        </c:dLbls>
        <c:gapWidth val="150"/>
        <c:axId val="679158592"/>
        <c:axId val="1629699680"/>
      </c:barChart>
      <c:catAx>
        <c:axId val="679158592"/>
        <c:scaling>
          <c:orientation val="minMax"/>
        </c:scaling>
        <c:delete val="0"/>
        <c:axPos val="b"/>
        <c:title>
          <c:tx>
            <c:rich>
              <a:bodyPr/>
              <a:lstStyle/>
              <a:p>
                <a:pPr lvl="0">
                  <a:defRPr sz="1000" b="0" i="0">
                    <a:solidFill>
                      <a:srgbClr val="000000"/>
                    </a:solidFill>
                    <a:latin typeface="+mn-lt"/>
                  </a:defRPr>
                </a:pPr>
                <a:r>
                  <a:rPr lang="en-ID" sz="1000" b="0" i="0">
                    <a:solidFill>
                      <a:srgbClr val="000000"/>
                    </a:solidFill>
                    <a:latin typeface="+mn-lt"/>
                  </a:rPr>
                  <a:t>Nama Pemborosan</a:t>
                </a:r>
              </a:p>
            </c:rich>
          </c:tx>
          <c:overlay val="0"/>
        </c:title>
        <c:numFmt formatCode="General" sourceLinked="1"/>
        <c:majorTickMark val="none"/>
        <c:minorTickMark val="none"/>
        <c:tickLblPos val="nextTo"/>
        <c:txPr>
          <a:bodyPr rot="2940000"/>
          <a:lstStyle/>
          <a:p>
            <a:pPr lvl="0">
              <a:defRPr sz="900" b="0" i="0">
                <a:solidFill>
                  <a:srgbClr val="000000"/>
                </a:solidFill>
                <a:latin typeface="+mn-lt"/>
              </a:defRPr>
            </a:pPr>
            <a:endParaRPr lang="en-US"/>
          </a:p>
        </c:txPr>
        <c:crossAx val="1629699680"/>
        <c:crosses val="autoZero"/>
        <c:auto val="1"/>
        <c:lblAlgn val="ctr"/>
        <c:lblOffset val="100"/>
        <c:noMultiLvlLbl val="1"/>
      </c:catAx>
      <c:valAx>
        <c:axId val="1629699680"/>
        <c:scaling>
          <c:orientation val="minMax"/>
          <c:max val="45"/>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ID" sz="1000" b="0" i="0">
                    <a:solidFill>
                      <a:srgbClr val="000000"/>
                    </a:solidFill>
                    <a:latin typeface="+mn-lt"/>
                  </a:rPr>
                  <a:t>Frekuensi</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679158592"/>
        <c:crosses val="autoZero"/>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757575"/>
                </a:solidFill>
                <a:latin typeface="+mn-lt"/>
              </a:defRPr>
            </a:pPr>
            <a:r>
              <a:rPr lang="en-ID" sz="1400" b="0" i="0">
                <a:solidFill>
                  <a:srgbClr val="757575"/>
                </a:solidFill>
                <a:latin typeface="+mn-lt"/>
              </a:rPr>
              <a:t>Pareto Chart Operator </a:t>
            </a:r>
          </a:p>
        </c:rich>
      </c:tx>
      <c:overlay val="0"/>
    </c:title>
    <c:autoTitleDeleted val="0"/>
    <c:plotArea>
      <c:layout/>
      <c:barChart>
        <c:barDir val="col"/>
        <c:grouping val="clustered"/>
        <c:varyColors val="1"/>
        <c:ser>
          <c:idx val="0"/>
          <c:order val="0"/>
          <c:tx>
            <c:v>Frekuensi</c:v>
          </c:tx>
          <c:spPr>
            <a:solidFill>
              <a:srgbClr val="4472C4"/>
            </a:solidFill>
            <a:ln cmpd="sng">
              <a:solidFill>
                <a:srgbClr val="000000"/>
              </a:solidFill>
            </a:ln>
          </c:spPr>
          <c:invertIfNegative val="1"/>
          <c:cat>
            <c:strRef>
              <c:f>'Tabel Pemborosan Kerja PPM'!$G$5:$G$18</c:f>
              <c:strCache>
                <c:ptCount val="7"/>
                <c:pt idx="0">
                  <c:v>Menjangkau</c:v>
                </c:pt>
                <c:pt idx="1">
                  <c:v>Membawa</c:v>
                </c:pt>
                <c:pt idx="2">
                  <c:v>Memegang untuk memakai </c:v>
                </c:pt>
                <c:pt idx="3">
                  <c:v>Melepas</c:v>
                </c:pt>
                <c:pt idx="4">
                  <c:v>Mengarahkan</c:v>
                </c:pt>
                <c:pt idx="5">
                  <c:v>Memeriksa</c:v>
                </c:pt>
                <c:pt idx="6">
                  <c:v>Istirahat</c:v>
                </c:pt>
              </c:strCache>
            </c:strRef>
          </c:cat>
          <c:val>
            <c:numRef>
              <c:f>'Tabel Pemborosan Kerja PPM'!$J$5:$J$18</c:f>
              <c:numCache>
                <c:formatCode>General</c:formatCode>
                <c:ptCount val="8"/>
                <c:pt idx="0">
                  <c:v>35</c:v>
                </c:pt>
                <c:pt idx="1">
                  <c:v>10</c:v>
                </c:pt>
                <c:pt idx="2">
                  <c:v>12</c:v>
                </c:pt>
                <c:pt idx="3">
                  <c:v>22</c:v>
                </c:pt>
                <c:pt idx="4">
                  <c:v>34</c:v>
                </c:pt>
                <c:pt idx="5">
                  <c:v>45</c:v>
                </c:pt>
                <c:pt idx="6">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BC1-4010-9067-2D4135CC09C6}"/>
            </c:ext>
          </c:extLst>
        </c:ser>
        <c:dLbls>
          <c:showLegendKey val="0"/>
          <c:showVal val="0"/>
          <c:showCatName val="0"/>
          <c:showSerName val="0"/>
          <c:showPercent val="0"/>
          <c:showBubbleSize val="0"/>
        </c:dLbls>
        <c:gapWidth val="150"/>
        <c:axId val="1113332887"/>
        <c:axId val="1277027753"/>
      </c:barChart>
      <c:lineChart>
        <c:grouping val="standard"/>
        <c:varyColors val="0"/>
        <c:ser>
          <c:idx val="1"/>
          <c:order val="1"/>
          <c:tx>
            <c:v>Persentase Kumulatif</c:v>
          </c:tx>
          <c:spPr>
            <a:ln w="28575" cmpd="sng">
              <a:solidFill>
                <a:schemeClr val="accent2"/>
              </a:solidFill>
            </a:ln>
          </c:spPr>
          <c:marker>
            <c:symbol val="none"/>
          </c:marker>
          <c:cat>
            <c:strRef>
              <c:f>'Tabel Pemborosan Kerja PPM'!$G$5:$G$12</c:f>
              <c:strCache>
                <c:ptCount val="7"/>
                <c:pt idx="0">
                  <c:v>Menjangkau</c:v>
                </c:pt>
                <c:pt idx="1">
                  <c:v>Membawa</c:v>
                </c:pt>
                <c:pt idx="2">
                  <c:v>Memegang untuk memakai </c:v>
                </c:pt>
                <c:pt idx="3">
                  <c:v>Melepas</c:v>
                </c:pt>
                <c:pt idx="4">
                  <c:v>Mengarahkan</c:v>
                </c:pt>
                <c:pt idx="5">
                  <c:v>Memeriksa</c:v>
                </c:pt>
                <c:pt idx="6">
                  <c:v>Istirahat</c:v>
                </c:pt>
              </c:strCache>
            </c:strRef>
          </c:cat>
          <c:val>
            <c:numRef>
              <c:f>'Tabel Pemborosan Kerja PPM'!$L$5:$L$12</c:f>
              <c:numCache>
                <c:formatCode>0.00%</c:formatCode>
                <c:ptCount val="8"/>
                <c:pt idx="0">
                  <c:v>0.21212121212121213</c:v>
                </c:pt>
                <c:pt idx="1">
                  <c:v>6.0606060606060608E-2</c:v>
                </c:pt>
                <c:pt idx="2">
                  <c:v>7.2727272727272724E-2</c:v>
                </c:pt>
                <c:pt idx="3">
                  <c:v>0.13333333333333333</c:v>
                </c:pt>
                <c:pt idx="4">
                  <c:v>0.20606060606060606</c:v>
                </c:pt>
                <c:pt idx="5">
                  <c:v>0.27272727272727271</c:v>
                </c:pt>
                <c:pt idx="6">
                  <c:v>4.2424242424242427E-2</c:v>
                </c:pt>
              </c:numCache>
            </c:numRef>
          </c:val>
          <c:smooth val="0"/>
          <c:extLst>
            <c:ext xmlns:c16="http://schemas.microsoft.com/office/drawing/2014/chart" uri="{C3380CC4-5D6E-409C-BE32-E72D297353CC}">
              <c16:uniqueId val="{00000001-2BC1-4010-9067-2D4135CC09C6}"/>
            </c:ext>
          </c:extLst>
        </c:ser>
        <c:dLbls>
          <c:showLegendKey val="0"/>
          <c:showVal val="0"/>
          <c:showCatName val="0"/>
          <c:showSerName val="0"/>
          <c:showPercent val="0"/>
          <c:showBubbleSize val="0"/>
        </c:dLbls>
        <c:marker val="1"/>
        <c:smooth val="0"/>
        <c:axId val="270959791"/>
        <c:axId val="1667669151"/>
      </c:lineChart>
      <c:catAx>
        <c:axId val="1113332887"/>
        <c:scaling>
          <c:orientation val="minMax"/>
        </c:scaling>
        <c:delete val="0"/>
        <c:axPos val="b"/>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txPr>
          <a:bodyPr rot="3420000"/>
          <a:lstStyle/>
          <a:p>
            <a:pPr lvl="0">
              <a:defRPr sz="900" b="0" i="0">
                <a:solidFill>
                  <a:srgbClr val="000000"/>
                </a:solidFill>
                <a:latin typeface="+mn-lt"/>
              </a:defRPr>
            </a:pPr>
            <a:endParaRPr lang="en-US"/>
          </a:p>
        </c:txPr>
        <c:crossAx val="1277027753"/>
        <c:crosses val="autoZero"/>
        <c:auto val="1"/>
        <c:lblAlgn val="ctr"/>
        <c:lblOffset val="100"/>
        <c:noMultiLvlLbl val="1"/>
      </c:catAx>
      <c:valAx>
        <c:axId val="1277027753"/>
        <c:scaling>
          <c:orientation val="minMax"/>
          <c:max val="45"/>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113332887"/>
        <c:crosses val="autoZero"/>
        <c:crossBetween val="between"/>
      </c:valAx>
      <c:valAx>
        <c:axId val="1667669151"/>
        <c:scaling>
          <c:orientation val="minMax"/>
          <c:max val="1"/>
          <c:min val="0"/>
        </c:scaling>
        <c:delete val="0"/>
        <c:axPos val="r"/>
        <c:numFmt formatCode="0.00%" sourceLinked="1"/>
        <c:majorTickMark val="out"/>
        <c:minorTickMark val="none"/>
        <c:tickLblPos val="nextTo"/>
        <c:crossAx val="270959791"/>
        <c:crosses val="max"/>
        <c:crossBetween val="between"/>
      </c:valAx>
      <c:catAx>
        <c:axId val="270959791"/>
        <c:scaling>
          <c:orientation val="minMax"/>
        </c:scaling>
        <c:delete val="1"/>
        <c:axPos val="b"/>
        <c:numFmt formatCode="General" sourceLinked="1"/>
        <c:majorTickMark val="out"/>
        <c:minorTickMark val="none"/>
        <c:tickLblPos val="nextTo"/>
        <c:crossAx val="1667669151"/>
        <c:crosses val="autoZero"/>
        <c:auto val="1"/>
        <c:lblAlgn val="ctr"/>
        <c:lblOffset val="100"/>
        <c:noMultiLvlLbl val="0"/>
      </c:cat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352425</xdr:colOff>
      <xdr:row>6</xdr:row>
      <xdr:rowOff>0</xdr:rowOff>
    </xdr:from>
    <xdr:ext cx="228600" cy="228600"/>
    <xdr:sp macro="" textlink="">
      <xdr:nvSpPr>
        <xdr:cNvPr id="3" name="Shape 3">
          <a:extLst>
            <a:ext uri="{FF2B5EF4-FFF2-40B4-BE49-F238E27FC236}">
              <a16:creationId xmlns:a16="http://schemas.microsoft.com/office/drawing/2014/main" id="{00000000-0008-0000-0000-000003000000}"/>
            </a:ext>
          </a:extLst>
        </xdr:cNvPr>
        <xdr:cNvSpPr/>
      </xdr:nvSpPr>
      <xdr:spPr>
        <a:xfrm>
          <a:off x="5236463" y="3670463"/>
          <a:ext cx="219075" cy="219075"/>
        </a:xfrm>
        <a:prstGeom prst="rect">
          <a:avLst/>
        </a:prstGeom>
        <a:solidFill>
          <a:schemeClr val="lt1"/>
        </a:solidFill>
        <a:ln w="12700"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361950</xdr:colOff>
      <xdr:row>6</xdr:row>
      <xdr:rowOff>76200</xdr:rowOff>
    </xdr:from>
    <xdr:ext cx="123825" cy="133350"/>
    <xdr:grpSp>
      <xdr:nvGrpSpPr>
        <xdr:cNvPr id="2" name="Shape 2">
          <a:extLst>
            <a:ext uri="{FF2B5EF4-FFF2-40B4-BE49-F238E27FC236}">
              <a16:creationId xmlns:a16="http://schemas.microsoft.com/office/drawing/2014/main" id="{00000000-0008-0000-0000-000002000000}"/>
            </a:ext>
          </a:extLst>
        </xdr:cNvPr>
        <xdr:cNvGrpSpPr/>
      </xdr:nvGrpSpPr>
      <xdr:grpSpPr>
        <a:xfrm>
          <a:off x="2552700" y="1219200"/>
          <a:ext cx="123825" cy="133350"/>
          <a:chOff x="5284088" y="3713325"/>
          <a:chExt cx="123825" cy="133350"/>
        </a:xfrm>
      </xdr:grpSpPr>
      <xdr:grpSp>
        <xdr:nvGrpSpPr>
          <xdr:cNvPr id="4" name="Shape 4">
            <a:extLst>
              <a:ext uri="{FF2B5EF4-FFF2-40B4-BE49-F238E27FC236}">
                <a16:creationId xmlns:a16="http://schemas.microsoft.com/office/drawing/2014/main" id="{00000000-0008-0000-0000-000004000000}"/>
              </a:ext>
            </a:extLst>
          </xdr:cNvPr>
          <xdr:cNvGrpSpPr/>
        </xdr:nvGrpSpPr>
        <xdr:grpSpPr>
          <a:xfrm>
            <a:off x="5284088" y="3713325"/>
            <a:ext cx="123825" cy="133350"/>
            <a:chOff x="5284088" y="3713325"/>
            <a:chExt cx="123825" cy="133350"/>
          </a:xfrm>
        </xdr:grpSpPr>
        <xdr:sp macro="" textlink="">
          <xdr:nvSpPr>
            <xdr:cNvPr id="5" name="Shape 5">
              <a:extLst>
                <a:ext uri="{FF2B5EF4-FFF2-40B4-BE49-F238E27FC236}">
                  <a16:creationId xmlns:a16="http://schemas.microsoft.com/office/drawing/2014/main" id="{00000000-0008-0000-0000-000005000000}"/>
                </a:ext>
              </a:extLst>
            </xdr:cNvPr>
            <xdr:cNvSpPr/>
          </xdr:nvSpPr>
          <xdr:spPr>
            <a:xfrm>
              <a:off x="5284088" y="3713325"/>
              <a:ext cx="1238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000-000006000000}"/>
                </a:ext>
              </a:extLst>
            </xdr:cNvPr>
            <xdr:cNvGrpSpPr/>
          </xdr:nvGrpSpPr>
          <xdr:grpSpPr>
            <a:xfrm>
              <a:off x="5284088" y="3713325"/>
              <a:ext cx="123825" cy="133350"/>
              <a:chOff x="5298375" y="3727613"/>
              <a:chExt cx="95400" cy="104700"/>
            </a:xfrm>
          </xdr:grpSpPr>
          <xdr:sp macro="" textlink="">
            <xdr:nvSpPr>
              <xdr:cNvPr id="7" name="Shape 7">
                <a:extLst>
                  <a:ext uri="{FF2B5EF4-FFF2-40B4-BE49-F238E27FC236}">
                    <a16:creationId xmlns:a16="http://schemas.microsoft.com/office/drawing/2014/main" id="{00000000-0008-0000-0000-000007000000}"/>
                  </a:ext>
                </a:extLst>
              </xdr:cNvPr>
              <xdr:cNvSpPr/>
            </xdr:nvSpPr>
            <xdr:spPr>
              <a:xfrm>
                <a:off x="5298375" y="3727613"/>
                <a:ext cx="95400" cy="104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 name="Shape 8">
                <a:extLst>
                  <a:ext uri="{FF2B5EF4-FFF2-40B4-BE49-F238E27FC236}">
                    <a16:creationId xmlns:a16="http://schemas.microsoft.com/office/drawing/2014/main" id="{00000000-0008-0000-0000-000008000000}"/>
                  </a:ext>
                </a:extLst>
              </xdr:cNvPr>
              <xdr:cNvCxnSpPr>
                <a:stCxn id="3" idx="1"/>
                <a:endCxn id="3" idx="2"/>
              </xdr:cNvCxnSpPr>
            </xdr:nvCxnSpPr>
            <xdr:spPr>
              <a:xfrm>
                <a:off x="5298375" y="3727613"/>
                <a:ext cx="95400" cy="104700"/>
              </a:xfrm>
              <a:prstGeom prst="straightConnector1">
                <a:avLst/>
              </a:prstGeom>
              <a:noFill/>
              <a:ln w="28575" cap="flat" cmpd="sng">
                <a:solidFill>
                  <a:srgbClr val="000000"/>
                </a:solidFill>
                <a:prstDash val="solid"/>
                <a:miter lim="800000"/>
                <a:headEnd type="none" w="sm" len="sm"/>
                <a:tailEnd type="none" w="sm" len="sm"/>
              </a:ln>
            </xdr:spPr>
          </xdr:cxnSp>
        </xdr:grpSp>
      </xdr:grpSp>
    </xdr:grpSp>
    <xdr:clientData fLocksWithSheet="0"/>
  </xdr:oneCellAnchor>
  <xdr:oneCellAnchor>
    <xdr:from>
      <xdr:col>1</xdr:col>
      <xdr:colOff>466725</xdr:colOff>
      <xdr:row>5</xdr:row>
      <xdr:rowOff>133350</xdr:rowOff>
    </xdr:from>
    <xdr:ext cx="133350" cy="285750"/>
    <xdr:grpSp>
      <xdr:nvGrpSpPr>
        <xdr:cNvPr id="9" name="Shape 2">
          <a:extLst>
            <a:ext uri="{FF2B5EF4-FFF2-40B4-BE49-F238E27FC236}">
              <a16:creationId xmlns:a16="http://schemas.microsoft.com/office/drawing/2014/main" id="{00000000-0008-0000-0000-000009000000}"/>
            </a:ext>
          </a:extLst>
        </xdr:cNvPr>
        <xdr:cNvGrpSpPr/>
      </xdr:nvGrpSpPr>
      <xdr:grpSpPr>
        <a:xfrm>
          <a:off x="2657475" y="1085850"/>
          <a:ext cx="133350" cy="285750"/>
          <a:chOff x="5279325" y="3637125"/>
          <a:chExt cx="133350" cy="285750"/>
        </a:xfrm>
      </xdr:grpSpPr>
      <xdr:grpSp>
        <xdr:nvGrpSpPr>
          <xdr:cNvPr id="10" name="Shape 9">
            <a:extLst>
              <a:ext uri="{FF2B5EF4-FFF2-40B4-BE49-F238E27FC236}">
                <a16:creationId xmlns:a16="http://schemas.microsoft.com/office/drawing/2014/main" id="{00000000-0008-0000-0000-00000A000000}"/>
              </a:ext>
            </a:extLst>
          </xdr:cNvPr>
          <xdr:cNvGrpSpPr/>
        </xdr:nvGrpSpPr>
        <xdr:grpSpPr>
          <a:xfrm>
            <a:off x="5279325" y="3637125"/>
            <a:ext cx="133350" cy="285750"/>
            <a:chOff x="5279325" y="3637125"/>
            <a:chExt cx="133350" cy="285750"/>
          </a:xfrm>
        </xdr:grpSpPr>
        <xdr:sp macro="" textlink="">
          <xdr:nvSpPr>
            <xdr:cNvPr id="11" name="Shape 5">
              <a:extLst>
                <a:ext uri="{FF2B5EF4-FFF2-40B4-BE49-F238E27FC236}">
                  <a16:creationId xmlns:a16="http://schemas.microsoft.com/office/drawing/2014/main" id="{00000000-0008-0000-0000-00000B000000}"/>
                </a:ext>
              </a:extLst>
            </xdr:cNvPr>
            <xdr:cNvSpPr/>
          </xdr:nvSpPr>
          <xdr:spPr>
            <a:xfrm>
              <a:off x="5279325" y="3637125"/>
              <a:ext cx="13335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2" name="Shape 10">
              <a:extLst>
                <a:ext uri="{FF2B5EF4-FFF2-40B4-BE49-F238E27FC236}">
                  <a16:creationId xmlns:a16="http://schemas.microsoft.com/office/drawing/2014/main" id="{00000000-0008-0000-0000-00000C000000}"/>
                </a:ext>
              </a:extLst>
            </xdr:cNvPr>
            <xdr:cNvGrpSpPr/>
          </xdr:nvGrpSpPr>
          <xdr:grpSpPr>
            <a:xfrm>
              <a:off x="5279325" y="3637125"/>
              <a:ext cx="133350" cy="285750"/>
              <a:chOff x="5293613" y="3651488"/>
              <a:chExt cx="104700" cy="257100"/>
            </a:xfrm>
          </xdr:grpSpPr>
          <xdr:sp macro="" textlink="">
            <xdr:nvSpPr>
              <xdr:cNvPr id="13" name="Shape 11">
                <a:extLst>
                  <a:ext uri="{FF2B5EF4-FFF2-40B4-BE49-F238E27FC236}">
                    <a16:creationId xmlns:a16="http://schemas.microsoft.com/office/drawing/2014/main" id="{00000000-0008-0000-0000-00000D000000}"/>
                  </a:ext>
                </a:extLst>
              </xdr:cNvPr>
              <xdr:cNvSpPr/>
            </xdr:nvSpPr>
            <xdr:spPr>
              <a:xfrm>
                <a:off x="5293613" y="3651488"/>
                <a:ext cx="104700" cy="25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4" name="Shape 12">
                <a:extLst>
                  <a:ext uri="{FF2B5EF4-FFF2-40B4-BE49-F238E27FC236}">
                    <a16:creationId xmlns:a16="http://schemas.microsoft.com/office/drawing/2014/main" id="{00000000-0008-0000-0000-00000E000000}"/>
                  </a:ext>
                </a:extLst>
              </xdr:cNvPr>
              <xdr:cNvCxnSpPr>
                <a:stCxn id="3" idx="2"/>
              </xdr:cNvCxnSpPr>
            </xdr:nvCxnSpPr>
            <xdr:spPr>
              <a:xfrm rot="10800000" flipH="1">
                <a:off x="5293613" y="3651488"/>
                <a:ext cx="104700" cy="257100"/>
              </a:xfrm>
              <a:prstGeom prst="straightConnector1">
                <a:avLst/>
              </a:prstGeom>
              <a:noFill/>
              <a:ln w="28575" cap="flat" cmpd="sng">
                <a:solidFill>
                  <a:srgbClr val="000000"/>
                </a:solidFill>
                <a:prstDash val="solid"/>
                <a:miter lim="800000"/>
                <a:headEnd type="none" w="sm" len="sm"/>
                <a:tailEnd type="none" w="sm" len="sm"/>
              </a:ln>
            </xdr:spPr>
          </xdr:cxnSp>
        </xdr:grpSp>
      </xdr:grpSp>
    </xdr:grpSp>
    <xdr:clientData fLocksWithSheet="0"/>
  </xdr:oneCellAnchor>
  <xdr:oneCellAnchor>
    <xdr:from>
      <xdr:col>4</xdr:col>
      <xdr:colOff>371475</xdr:colOff>
      <xdr:row>6</xdr:row>
      <xdr:rowOff>0</xdr:rowOff>
    </xdr:from>
    <xdr:ext cx="228600" cy="228600"/>
    <xdr:sp macro="" textlink="">
      <xdr:nvSpPr>
        <xdr:cNvPr id="15" name="Shape 3">
          <a:extLst>
            <a:ext uri="{FF2B5EF4-FFF2-40B4-BE49-F238E27FC236}">
              <a16:creationId xmlns:a16="http://schemas.microsoft.com/office/drawing/2014/main" id="{00000000-0008-0000-0000-00000F000000}"/>
            </a:ext>
          </a:extLst>
        </xdr:cNvPr>
        <xdr:cNvSpPr/>
      </xdr:nvSpPr>
      <xdr:spPr>
        <a:xfrm>
          <a:off x="5236463" y="3670463"/>
          <a:ext cx="219075" cy="219075"/>
        </a:xfrm>
        <a:prstGeom prst="rect">
          <a:avLst/>
        </a:prstGeom>
        <a:solidFill>
          <a:schemeClr val="lt1"/>
        </a:solidFill>
        <a:ln w="12700"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266700</xdr:colOff>
      <xdr:row>5</xdr:row>
      <xdr:rowOff>142875</xdr:rowOff>
    </xdr:from>
    <xdr:ext cx="228600" cy="228600"/>
    <xdr:sp macro="" textlink="">
      <xdr:nvSpPr>
        <xdr:cNvPr id="3" name="Shape 3">
          <a:extLst>
            <a:ext uri="{FF2B5EF4-FFF2-40B4-BE49-F238E27FC236}">
              <a16:creationId xmlns:a16="http://schemas.microsoft.com/office/drawing/2014/main" id="{00000000-0008-0000-0300-000003000000}"/>
            </a:ext>
          </a:extLst>
        </xdr:cNvPr>
        <xdr:cNvSpPr/>
      </xdr:nvSpPr>
      <xdr:spPr>
        <a:xfrm>
          <a:off x="5236463" y="3670463"/>
          <a:ext cx="219075" cy="219075"/>
        </a:xfrm>
        <a:prstGeom prst="rect">
          <a:avLst/>
        </a:prstGeom>
        <a:solidFill>
          <a:schemeClr val="lt1"/>
        </a:solidFill>
        <a:ln w="12700"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276225</xdr:colOff>
      <xdr:row>6</xdr:row>
      <xdr:rowOff>57150</xdr:rowOff>
    </xdr:from>
    <xdr:ext cx="123825" cy="114300"/>
    <xdr:grpSp>
      <xdr:nvGrpSpPr>
        <xdr:cNvPr id="2" name="Shape 2">
          <a:extLst>
            <a:ext uri="{FF2B5EF4-FFF2-40B4-BE49-F238E27FC236}">
              <a16:creationId xmlns:a16="http://schemas.microsoft.com/office/drawing/2014/main" id="{00000000-0008-0000-0300-000002000000}"/>
            </a:ext>
          </a:extLst>
        </xdr:cNvPr>
        <xdr:cNvGrpSpPr/>
      </xdr:nvGrpSpPr>
      <xdr:grpSpPr>
        <a:xfrm>
          <a:off x="3771900" y="1200150"/>
          <a:ext cx="123825" cy="114300"/>
          <a:chOff x="5284088" y="3722850"/>
          <a:chExt cx="123825" cy="114300"/>
        </a:xfrm>
      </xdr:grpSpPr>
      <xdr:grpSp>
        <xdr:nvGrpSpPr>
          <xdr:cNvPr id="13" name="Shape 13">
            <a:extLst>
              <a:ext uri="{FF2B5EF4-FFF2-40B4-BE49-F238E27FC236}">
                <a16:creationId xmlns:a16="http://schemas.microsoft.com/office/drawing/2014/main" id="{00000000-0008-0000-0300-00000D000000}"/>
              </a:ext>
            </a:extLst>
          </xdr:cNvPr>
          <xdr:cNvGrpSpPr/>
        </xdr:nvGrpSpPr>
        <xdr:grpSpPr>
          <a:xfrm>
            <a:off x="5284088" y="3722850"/>
            <a:ext cx="123825" cy="114300"/>
            <a:chOff x="5284088" y="3722850"/>
            <a:chExt cx="123825" cy="114300"/>
          </a:xfrm>
        </xdr:grpSpPr>
        <xdr:sp macro="" textlink="">
          <xdr:nvSpPr>
            <xdr:cNvPr id="5" name="Shape 5">
              <a:extLst>
                <a:ext uri="{FF2B5EF4-FFF2-40B4-BE49-F238E27FC236}">
                  <a16:creationId xmlns:a16="http://schemas.microsoft.com/office/drawing/2014/main" id="{00000000-0008-0000-0300-000005000000}"/>
                </a:ext>
              </a:extLst>
            </xdr:cNvPr>
            <xdr:cNvSpPr/>
          </xdr:nvSpPr>
          <xdr:spPr>
            <a:xfrm>
              <a:off x="5284088" y="3722850"/>
              <a:ext cx="123825" cy="114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4" name="Shape 14">
              <a:extLst>
                <a:ext uri="{FF2B5EF4-FFF2-40B4-BE49-F238E27FC236}">
                  <a16:creationId xmlns:a16="http://schemas.microsoft.com/office/drawing/2014/main" id="{00000000-0008-0000-0300-00000E000000}"/>
                </a:ext>
              </a:extLst>
            </xdr:cNvPr>
            <xdr:cNvGrpSpPr/>
          </xdr:nvGrpSpPr>
          <xdr:grpSpPr>
            <a:xfrm>
              <a:off x="5284088" y="3722850"/>
              <a:ext cx="123825" cy="114300"/>
              <a:chOff x="5298375" y="3737138"/>
              <a:chExt cx="95400" cy="85800"/>
            </a:xfrm>
          </xdr:grpSpPr>
          <xdr:sp macro="" textlink="">
            <xdr:nvSpPr>
              <xdr:cNvPr id="15" name="Shape 15">
                <a:extLst>
                  <a:ext uri="{FF2B5EF4-FFF2-40B4-BE49-F238E27FC236}">
                    <a16:creationId xmlns:a16="http://schemas.microsoft.com/office/drawing/2014/main" id="{00000000-0008-0000-0300-00000F000000}"/>
                  </a:ext>
                </a:extLst>
              </xdr:cNvPr>
              <xdr:cNvSpPr/>
            </xdr:nvSpPr>
            <xdr:spPr>
              <a:xfrm>
                <a:off x="5298375" y="3737138"/>
                <a:ext cx="95400" cy="85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6" name="Shape 16">
                <a:extLst>
                  <a:ext uri="{FF2B5EF4-FFF2-40B4-BE49-F238E27FC236}">
                    <a16:creationId xmlns:a16="http://schemas.microsoft.com/office/drawing/2014/main" id="{00000000-0008-0000-0300-000010000000}"/>
                  </a:ext>
                </a:extLst>
              </xdr:cNvPr>
              <xdr:cNvCxnSpPr>
                <a:stCxn id="10" idx="1"/>
                <a:endCxn id="10" idx="2"/>
              </xdr:cNvCxnSpPr>
            </xdr:nvCxnSpPr>
            <xdr:spPr>
              <a:xfrm>
                <a:off x="5298375" y="3737138"/>
                <a:ext cx="95400" cy="85800"/>
              </a:xfrm>
              <a:prstGeom prst="straightConnector1">
                <a:avLst/>
              </a:prstGeom>
              <a:noFill/>
              <a:ln w="28575" cap="flat" cmpd="sng">
                <a:solidFill>
                  <a:srgbClr val="000000"/>
                </a:solidFill>
                <a:prstDash val="solid"/>
                <a:miter lim="800000"/>
                <a:headEnd type="none" w="sm" len="sm"/>
                <a:tailEnd type="none" w="sm" len="sm"/>
              </a:ln>
            </xdr:spPr>
          </xdr:cxnSp>
        </xdr:grpSp>
      </xdr:grpSp>
    </xdr:grpSp>
    <xdr:clientData fLocksWithSheet="0"/>
  </xdr:oneCellAnchor>
  <xdr:oneCellAnchor>
    <xdr:from>
      <xdr:col>4</xdr:col>
      <xdr:colOff>371475</xdr:colOff>
      <xdr:row>5</xdr:row>
      <xdr:rowOff>95250</xdr:rowOff>
    </xdr:from>
    <xdr:ext cx="133350" cy="257175"/>
    <xdr:grpSp>
      <xdr:nvGrpSpPr>
        <xdr:cNvPr id="4" name="Shape 2">
          <a:extLst>
            <a:ext uri="{FF2B5EF4-FFF2-40B4-BE49-F238E27FC236}">
              <a16:creationId xmlns:a16="http://schemas.microsoft.com/office/drawing/2014/main" id="{00000000-0008-0000-0300-000004000000}"/>
            </a:ext>
          </a:extLst>
        </xdr:cNvPr>
        <xdr:cNvGrpSpPr/>
      </xdr:nvGrpSpPr>
      <xdr:grpSpPr>
        <a:xfrm>
          <a:off x="3867150" y="1047750"/>
          <a:ext cx="133350" cy="257175"/>
          <a:chOff x="5279325" y="3651413"/>
          <a:chExt cx="133350" cy="257175"/>
        </a:xfrm>
      </xdr:grpSpPr>
      <xdr:grpSp>
        <xdr:nvGrpSpPr>
          <xdr:cNvPr id="17" name="Shape 17">
            <a:extLst>
              <a:ext uri="{FF2B5EF4-FFF2-40B4-BE49-F238E27FC236}">
                <a16:creationId xmlns:a16="http://schemas.microsoft.com/office/drawing/2014/main" id="{00000000-0008-0000-0300-000011000000}"/>
              </a:ext>
            </a:extLst>
          </xdr:cNvPr>
          <xdr:cNvGrpSpPr/>
        </xdr:nvGrpSpPr>
        <xdr:grpSpPr>
          <a:xfrm>
            <a:off x="5279325" y="3651413"/>
            <a:ext cx="133350" cy="257175"/>
            <a:chOff x="5279325" y="3651413"/>
            <a:chExt cx="133350" cy="257175"/>
          </a:xfrm>
        </xdr:grpSpPr>
        <xdr:sp macro="" textlink="">
          <xdr:nvSpPr>
            <xdr:cNvPr id="6" name="Shape 5">
              <a:extLst>
                <a:ext uri="{FF2B5EF4-FFF2-40B4-BE49-F238E27FC236}">
                  <a16:creationId xmlns:a16="http://schemas.microsoft.com/office/drawing/2014/main" id="{00000000-0008-0000-0300-000006000000}"/>
                </a:ext>
              </a:extLst>
            </xdr:cNvPr>
            <xdr:cNvSpPr/>
          </xdr:nvSpPr>
          <xdr:spPr>
            <a:xfrm>
              <a:off x="5279325" y="3651413"/>
              <a:ext cx="13335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8" name="Shape 18">
              <a:extLst>
                <a:ext uri="{FF2B5EF4-FFF2-40B4-BE49-F238E27FC236}">
                  <a16:creationId xmlns:a16="http://schemas.microsoft.com/office/drawing/2014/main" id="{00000000-0008-0000-0300-000012000000}"/>
                </a:ext>
              </a:extLst>
            </xdr:cNvPr>
            <xdr:cNvGrpSpPr/>
          </xdr:nvGrpSpPr>
          <xdr:grpSpPr>
            <a:xfrm>
              <a:off x="5279325" y="3651413"/>
              <a:ext cx="133350" cy="257175"/>
              <a:chOff x="5293613" y="3665700"/>
              <a:chExt cx="104775" cy="228600"/>
            </a:xfrm>
          </xdr:grpSpPr>
          <xdr:sp macro="" textlink="">
            <xdr:nvSpPr>
              <xdr:cNvPr id="19" name="Shape 19">
                <a:extLst>
                  <a:ext uri="{FF2B5EF4-FFF2-40B4-BE49-F238E27FC236}">
                    <a16:creationId xmlns:a16="http://schemas.microsoft.com/office/drawing/2014/main" id="{00000000-0008-0000-0300-000013000000}"/>
                  </a:ext>
                </a:extLst>
              </xdr:cNvPr>
              <xdr:cNvSpPr/>
            </xdr:nvSpPr>
            <xdr:spPr>
              <a:xfrm>
                <a:off x="5293613" y="3665700"/>
                <a:ext cx="10477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0" name="Shape 20">
                <a:extLst>
                  <a:ext uri="{FF2B5EF4-FFF2-40B4-BE49-F238E27FC236}">
                    <a16:creationId xmlns:a16="http://schemas.microsoft.com/office/drawing/2014/main" id="{00000000-0008-0000-0300-000014000000}"/>
                  </a:ext>
                </a:extLst>
              </xdr:cNvPr>
              <xdr:cNvCxnSpPr/>
            </xdr:nvCxnSpPr>
            <xdr:spPr>
              <a:xfrm rot="10800000" flipH="1">
                <a:off x="5293613" y="3665700"/>
                <a:ext cx="104775" cy="228600"/>
              </a:xfrm>
              <a:prstGeom prst="straightConnector1">
                <a:avLst/>
              </a:prstGeom>
              <a:noFill/>
              <a:ln w="28575" cap="flat" cmpd="sng">
                <a:solidFill>
                  <a:srgbClr val="000000"/>
                </a:solidFill>
                <a:prstDash val="solid"/>
                <a:miter lim="800000"/>
                <a:headEnd type="none" w="sm" len="sm"/>
                <a:tailEnd type="none" w="sm" len="sm"/>
              </a:ln>
            </xdr:spPr>
          </xdr:cxnSp>
        </xdr:grpSp>
      </xdr:grpSp>
    </xdr:grpSp>
    <xdr:clientData fLocksWithSheet="0"/>
  </xdr:oneCellAnchor>
  <xdr:oneCellAnchor>
    <xdr:from>
      <xdr:col>1</xdr:col>
      <xdr:colOff>342900</xdr:colOff>
      <xdr:row>5</xdr:row>
      <xdr:rowOff>142875</xdr:rowOff>
    </xdr:from>
    <xdr:ext cx="228600" cy="228600"/>
    <xdr:sp macro="" textlink="">
      <xdr:nvSpPr>
        <xdr:cNvPr id="7" name="Shape 3">
          <a:extLst>
            <a:ext uri="{FF2B5EF4-FFF2-40B4-BE49-F238E27FC236}">
              <a16:creationId xmlns:a16="http://schemas.microsoft.com/office/drawing/2014/main" id="{00000000-0008-0000-0300-000007000000}"/>
            </a:ext>
          </a:extLst>
        </xdr:cNvPr>
        <xdr:cNvSpPr/>
      </xdr:nvSpPr>
      <xdr:spPr>
        <a:xfrm>
          <a:off x="5236463" y="3670463"/>
          <a:ext cx="219075" cy="219075"/>
        </a:xfrm>
        <a:prstGeom prst="rect">
          <a:avLst/>
        </a:prstGeom>
        <a:solidFill>
          <a:schemeClr val="lt1"/>
        </a:solidFill>
        <a:ln w="12700"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263585</xdr:colOff>
      <xdr:row>21</xdr:row>
      <xdr:rowOff>27517</xdr:rowOff>
    </xdr:from>
    <xdr:ext cx="5495925" cy="2886075"/>
    <xdr:graphicFrame macro="">
      <xdr:nvGraphicFramePr>
        <xdr:cNvPr id="72777886" name="Chart 1">
          <a:extLst>
            <a:ext uri="{FF2B5EF4-FFF2-40B4-BE49-F238E27FC236}">
              <a16:creationId xmlns:a16="http://schemas.microsoft.com/office/drawing/2014/main" id="{00000000-0008-0000-0200-00009E805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1341447</xdr:colOff>
      <xdr:row>21</xdr:row>
      <xdr:rowOff>20449</xdr:rowOff>
    </xdr:from>
    <xdr:ext cx="5286375" cy="2886075"/>
    <xdr:graphicFrame macro="">
      <xdr:nvGraphicFramePr>
        <xdr:cNvPr id="808482636" name="Chart 2">
          <a:extLst>
            <a:ext uri="{FF2B5EF4-FFF2-40B4-BE49-F238E27FC236}">
              <a16:creationId xmlns:a16="http://schemas.microsoft.com/office/drawing/2014/main" id="{00000000-0008-0000-0200-00004C773030}"/>
            </a:ext>
            <a:ext uri="{147F2762-F138-4A5C-976F-8EAC2B608ADB}">
              <a16:predDERef xmlns:a16="http://schemas.microsoft.com/office/drawing/2014/main" pred="{00000000-0008-0000-0200-00009E805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612525</xdr:colOff>
      <xdr:row>21</xdr:row>
      <xdr:rowOff>44597</xdr:rowOff>
    </xdr:from>
    <xdr:ext cx="5495925" cy="2886075"/>
    <xdr:graphicFrame macro="">
      <xdr:nvGraphicFramePr>
        <xdr:cNvPr id="2" name="Chart 1">
          <a:extLst>
            <a:ext uri="{FF2B5EF4-FFF2-40B4-BE49-F238E27FC236}">
              <a16:creationId xmlns:a16="http://schemas.microsoft.com/office/drawing/2014/main" id="{6DE8BCE3-886A-409B-B977-426234DA9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1457389</xdr:colOff>
      <xdr:row>21</xdr:row>
      <xdr:rowOff>38877</xdr:rowOff>
    </xdr:from>
    <xdr:ext cx="5286375" cy="2886075"/>
    <xdr:graphicFrame macro="">
      <xdr:nvGraphicFramePr>
        <xdr:cNvPr id="7" name="Chart 2">
          <a:extLst>
            <a:ext uri="{FF2B5EF4-FFF2-40B4-BE49-F238E27FC236}">
              <a16:creationId xmlns:a16="http://schemas.microsoft.com/office/drawing/2014/main" id="{C3EFDC9D-C0D9-43D6-863E-8329CAABE973}"/>
            </a:ext>
            <a:ext uri="{147F2762-F138-4A5C-976F-8EAC2B608ADB}">
              <a16:predDERef xmlns:a16="http://schemas.microsoft.com/office/drawing/2014/main" pred="{6DE8BCE3-886A-409B-B977-426234DA9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995"/>
  <sheetViews>
    <sheetView topLeftCell="B8" zoomScale="150" workbookViewId="0">
      <selection activeCell="G32" sqref="G32"/>
    </sheetView>
  </sheetViews>
  <sheetFormatPr defaultColWidth="14.42578125" defaultRowHeight="15" customHeight="1"/>
  <cols>
    <col min="1" max="1" width="4.28515625" customWidth="1"/>
    <col min="2" max="3" width="18.42578125" customWidth="1"/>
    <col min="4" max="5" width="13.7109375" customWidth="1"/>
    <col min="6" max="7" width="18.42578125" customWidth="1"/>
    <col min="8" max="26" width="13.7109375" customWidth="1"/>
  </cols>
  <sheetData>
    <row r="1" spans="1:23" ht="23.1">
      <c r="A1" s="108" t="s">
        <v>0</v>
      </c>
      <c r="B1" s="108"/>
      <c r="C1" s="108"/>
      <c r="D1" s="108"/>
      <c r="E1" s="108"/>
      <c r="F1" s="108"/>
      <c r="G1" s="108"/>
      <c r="H1" s="108"/>
      <c r="I1" s="57"/>
      <c r="J1" s="57"/>
      <c r="K1" s="57"/>
      <c r="L1" s="57"/>
      <c r="M1" s="57"/>
      <c r="N1" s="57"/>
      <c r="O1" s="57"/>
      <c r="P1" s="57"/>
      <c r="Q1" s="57"/>
      <c r="R1" s="57"/>
      <c r="S1" s="51"/>
      <c r="T1" s="51"/>
      <c r="U1" s="51"/>
      <c r="V1" s="51"/>
      <c r="W1" s="51"/>
    </row>
    <row r="2" spans="1:23" ht="15" customHeight="1">
      <c r="A2" s="109"/>
      <c r="B2" s="181"/>
      <c r="C2" s="181"/>
      <c r="D2" s="181"/>
      <c r="E2" s="181"/>
      <c r="F2" s="181"/>
      <c r="G2" s="181"/>
      <c r="H2" s="181"/>
      <c r="I2" s="52"/>
      <c r="J2" s="52"/>
      <c r="K2" s="52"/>
      <c r="L2" s="52"/>
      <c r="M2" s="52"/>
      <c r="N2" s="52"/>
      <c r="O2" s="52"/>
      <c r="P2" s="52"/>
      <c r="Q2" s="52"/>
      <c r="R2" s="52"/>
      <c r="S2" s="51"/>
      <c r="T2" s="51"/>
      <c r="U2" s="51"/>
      <c r="V2" s="51"/>
      <c r="W2" s="51"/>
    </row>
    <row r="3" spans="1:23" ht="15" customHeight="1">
      <c r="A3" s="52"/>
      <c r="B3" s="52"/>
      <c r="C3" s="52"/>
      <c r="D3" s="52"/>
      <c r="E3" s="52"/>
      <c r="F3" s="52"/>
      <c r="G3" s="52"/>
      <c r="H3" s="52"/>
      <c r="I3" s="52"/>
      <c r="J3" s="52"/>
      <c r="K3" s="52"/>
      <c r="L3" s="52"/>
      <c r="M3" s="52"/>
      <c r="N3" s="52"/>
      <c r="O3" s="52"/>
      <c r="P3" s="52"/>
      <c r="Q3" s="52"/>
      <c r="R3" s="52"/>
      <c r="S3" s="51"/>
      <c r="T3" s="51"/>
      <c r="U3" s="51"/>
      <c r="V3" s="51"/>
      <c r="W3" s="51"/>
    </row>
    <row r="4" spans="1:23" ht="15" customHeight="1">
      <c r="A4" s="52"/>
      <c r="B4" s="105" t="s">
        <v>1</v>
      </c>
      <c r="C4" s="106"/>
      <c r="D4" s="106"/>
      <c r="E4" s="106"/>
      <c r="F4" s="106"/>
      <c r="G4" s="106"/>
      <c r="H4" s="52"/>
      <c r="I4" s="52"/>
      <c r="J4" s="52"/>
      <c r="K4" s="52"/>
      <c r="L4" s="52"/>
      <c r="M4" s="52"/>
      <c r="N4" s="52"/>
      <c r="O4" s="52"/>
      <c r="P4" s="52"/>
      <c r="Q4" s="52"/>
      <c r="R4" s="52"/>
      <c r="S4" s="51"/>
      <c r="T4" s="51"/>
      <c r="U4" s="51"/>
      <c r="V4" s="51"/>
      <c r="W4" s="51"/>
    </row>
    <row r="5" spans="1:23" ht="15" customHeight="1">
      <c r="A5" s="52"/>
      <c r="B5" s="104" t="s">
        <v>2</v>
      </c>
      <c r="C5" s="104"/>
      <c r="D5" s="104"/>
      <c r="E5" s="104"/>
      <c r="F5" s="104"/>
      <c r="G5" s="104"/>
      <c r="H5" s="52"/>
      <c r="I5" s="52"/>
      <c r="J5" s="52"/>
      <c r="K5" s="52"/>
      <c r="L5" s="52"/>
      <c r="M5" s="52"/>
      <c r="N5" s="52"/>
      <c r="O5" s="52"/>
      <c r="P5" s="52"/>
      <c r="Q5" s="52"/>
      <c r="R5" s="52"/>
      <c r="S5" s="51"/>
      <c r="T5" s="51"/>
      <c r="U5" s="51"/>
      <c r="V5" s="51"/>
      <c r="W5" s="51"/>
    </row>
    <row r="6" spans="1:23">
      <c r="A6" s="51"/>
      <c r="B6" s="104"/>
      <c r="C6" s="104"/>
      <c r="D6" s="104"/>
      <c r="E6" s="104"/>
      <c r="F6" s="104"/>
      <c r="G6" s="104"/>
      <c r="H6" s="51"/>
      <c r="I6" s="51"/>
      <c r="J6" s="51"/>
      <c r="K6" s="51"/>
      <c r="L6" s="51"/>
      <c r="M6" s="51"/>
      <c r="N6" s="51"/>
      <c r="O6" s="51"/>
      <c r="P6" s="51"/>
      <c r="Q6" s="51"/>
      <c r="R6" s="51"/>
      <c r="S6" s="51"/>
      <c r="T6" s="51"/>
      <c r="U6" s="51"/>
      <c r="V6" s="51"/>
      <c r="W6" s="51"/>
    </row>
    <row r="7" spans="1:23">
      <c r="A7" s="51"/>
      <c r="B7" s="104"/>
      <c r="C7" s="104"/>
      <c r="D7" s="104"/>
      <c r="E7" s="104"/>
      <c r="F7" s="104"/>
      <c r="G7" s="104"/>
      <c r="H7" s="51"/>
      <c r="I7" s="51"/>
      <c r="J7" s="51"/>
      <c r="K7" s="51"/>
      <c r="L7" s="51"/>
      <c r="M7" s="51"/>
      <c r="N7" s="51"/>
      <c r="O7" s="51"/>
      <c r="P7" s="51"/>
      <c r="Q7" s="51"/>
      <c r="R7" s="51"/>
      <c r="S7" s="51"/>
      <c r="T7" s="51"/>
      <c r="U7" s="51"/>
      <c r="V7" s="51"/>
      <c r="W7" s="51"/>
    </row>
    <row r="8" spans="1:23" ht="81.75" customHeight="1">
      <c r="A8" s="51"/>
      <c r="B8" s="104"/>
      <c r="C8" s="104"/>
      <c r="D8" s="104"/>
      <c r="E8" s="104"/>
      <c r="F8" s="104"/>
      <c r="G8" s="104"/>
      <c r="H8" s="51"/>
      <c r="I8" s="51"/>
      <c r="J8" s="51"/>
      <c r="K8" s="51"/>
      <c r="L8" s="51"/>
      <c r="M8" s="51"/>
      <c r="N8" s="51"/>
      <c r="O8" s="51"/>
      <c r="P8" s="51"/>
      <c r="Q8" s="51"/>
      <c r="R8" s="51"/>
      <c r="S8" s="51"/>
      <c r="T8" s="51"/>
      <c r="U8" s="51"/>
      <c r="V8" s="51"/>
      <c r="W8" s="51"/>
    </row>
    <row r="9" spans="1:23">
      <c r="A9" s="51"/>
      <c r="B9" s="51"/>
      <c r="C9" s="51"/>
      <c r="D9" s="51"/>
      <c r="E9" s="51"/>
      <c r="F9" s="51"/>
      <c r="G9" s="51"/>
      <c r="H9" s="51"/>
      <c r="I9" s="51"/>
      <c r="J9" s="51"/>
      <c r="K9" s="51"/>
      <c r="L9" s="51"/>
      <c r="M9" s="51"/>
      <c r="N9" s="51"/>
      <c r="O9" s="51"/>
      <c r="P9" s="51"/>
      <c r="Q9" s="51"/>
      <c r="R9" s="51"/>
      <c r="S9" s="51"/>
      <c r="T9" s="51"/>
      <c r="U9" s="51"/>
      <c r="V9" s="51"/>
      <c r="W9" s="51"/>
    </row>
    <row r="10" spans="1:23">
      <c r="A10" s="51"/>
      <c r="B10" s="51"/>
      <c r="C10" s="51"/>
      <c r="D10" s="51"/>
      <c r="E10" s="51"/>
      <c r="F10" s="51"/>
      <c r="G10" s="51"/>
      <c r="H10" s="51"/>
      <c r="I10" s="51"/>
      <c r="J10" s="51"/>
      <c r="K10" s="51"/>
      <c r="L10" s="51"/>
      <c r="M10" s="51"/>
      <c r="N10" s="51"/>
      <c r="O10" s="51"/>
      <c r="P10" s="51"/>
      <c r="Q10" s="51"/>
      <c r="R10" s="51"/>
      <c r="S10" s="51"/>
      <c r="T10" s="51"/>
      <c r="U10" s="51"/>
      <c r="V10" s="51"/>
      <c r="W10" s="51"/>
    </row>
    <row r="11" spans="1:23">
      <c r="A11" s="51"/>
      <c r="B11" s="25" t="s">
        <v>3</v>
      </c>
      <c r="C11" s="51"/>
      <c r="D11" s="51"/>
      <c r="E11" s="51"/>
      <c r="F11" s="51"/>
      <c r="G11" s="51"/>
      <c r="H11" s="51"/>
      <c r="I11" s="51"/>
      <c r="J11" s="51"/>
      <c r="K11" s="51"/>
      <c r="L11" s="51"/>
      <c r="M11" s="51"/>
      <c r="N11" s="51"/>
      <c r="O11" s="51"/>
      <c r="P11" s="51"/>
      <c r="Q11" s="51"/>
      <c r="R11" s="51"/>
      <c r="S11" s="51"/>
      <c r="T11" s="51"/>
      <c r="U11" s="51"/>
      <c r="V11" s="51"/>
      <c r="W11" s="51"/>
    </row>
    <row r="12" spans="1:23">
      <c r="A12" s="51"/>
      <c r="B12" s="26" t="s">
        <v>4</v>
      </c>
      <c r="C12" s="51"/>
      <c r="D12" s="51"/>
      <c r="E12" s="51"/>
      <c r="F12" s="51"/>
      <c r="G12" s="51"/>
      <c r="H12" s="51"/>
      <c r="I12" s="51"/>
      <c r="J12" s="51"/>
      <c r="K12" s="51"/>
      <c r="L12" s="51"/>
      <c r="M12" s="51"/>
      <c r="N12" s="51"/>
      <c r="O12" s="51"/>
      <c r="P12" s="51"/>
      <c r="Q12" s="51"/>
      <c r="R12" s="51"/>
      <c r="S12" s="51"/>
      <c r="T12" s="51"/>
      <c r="U12" s="51"/>
      <c r="V12" s="51"/>
      <c r="W12" s="51"/>
    </row>
    <row r="13" spans="1:23">
      <c r="A13" s="51"/>
      <c r="B13" s="51"/>
      <c r="C13" s="51"/>
      <c r="D13" s="51"/>
      <c r="E13" s="51"/>
      <c r="F13" s="51"/>
      <c r="G13" s="51"/>
      <c r="H13" s="51"/>
      <c r="I13" s="51"/>
      <c r="J13" s="51"/>
      <c r="K13" s="51"/>
      <c r="L13" s="51"/>
      <c r="M13" s="51"/>
      <c r="N13" s="51"/>
      <c r="O13" s="51"/>
      <c r="P13" s="51"/>
      <c r="Q13" s="51"/>
      <c r="R13" s="51"/>
      <c r="S13" s="51"/>
      <c r="T13" s="51"/>
      <c r="U13" s="51"/>
      <c r="V13" s="51"/>
      <c r="W13" s="51"/>
    </row>
    <row r="14" spans="1:23">
      <c r="A14" s="51"/>
      <c r="B14" s="107" t="s">
        <v>5</v>
      </c>
      <c r="C14" s="182"/>
      <c r="D14" s="51"/>
      <c r="E14" s="51"/>
      <c r="F14" s="107" t="s">
        <v>6</v>
      </c>
      <c r="G14" s="182"/>
      <c r="H14" s="51"/>
      <c r="I14" s="51"/>
      <c r="J14" s="51"/>
      <c r="K14" s="51"/>
      <c r="L14" s="51"/>
      <c r="M14" s="51"/>
      <c r="N14" s="51"/>
      <c r="O14" s="51"/>
      <c r="P14" s="51"/>
      <c r="Q14" s="51"/>
      <c r="R14" s="51"/>
      <c r="S14" s="51"/>
      <c r="T14" s="51"/>
      <c r="U14" s="51"/>
      <c r="V14" s="51"/>
      <c r="W14" s="51"/>
    </row>
    <row r="15" spans="1:23" ht="15.95">
      <c r="A15" s="51"/>
      <c r="B15" s="27" t="s">
        <v>7</v>
      </c>
      <c r="C15" s="27" t="s">
        <v>8</v>
      </c>
      <c r="D15" s="51"/>
      <c r="E15" s="51"/>
      <c r="F15" s="27" t="s">
        <v>7</v>
      </c>
      <c r="G15" s="27" t="s">
        <v>8</v>
      </c>
      <c r="H15" s="51"/>
      <c r="I15" s="51"/>
      <c r="J15" s="51"/>
      <c r="K15" s="51"/>
      <c r="L15" s="51"/>
      <c r="M15" s="51"/>
      <c r="N15" s="51"/>
      <c r="O15" s="51"/>
      <c r="P15" s="51"/>
      <c r="Q15" s="51"/>
      <c r="R15" s="51"/>
      <c r="S15" s="51"/>
      <c r="T15" s="51"/>
      <c r="U15" s="51"/>
      <c r="V15" s="51"/>
      <c r="W15" s="51"/>
    </row>
    <row r="16" spans="1:23" ht="15.75" customHeight="1">
      <c r="A16" s="51"/>
      <c r="B16" s="73" t="s">
        <v>9</v>
      </c>
      <c r="C16" s="74">
        <v>20.48</v>
      </c>
      <c r="D16" s="51"/>
      <c r="E16" s="51"/>
      <c r="F16" s="73" t="s">
        <v>9</v>
      </c>
      <c r="G16" s="74">
        <f>3.08+13.88+0.51+1.44</f>
        <v>18.910000000000004</v>
      </c>
      <c r="H16" s="51"/>
      <c r="I16" s="51"/>
      <c r="J16" s="51"/>
      <c r="K16" s="51"/>
      <c r="L16" s="51"/>
      <c r="M16" s="51"/>
      <c r="N16" s="51"/>
      <c r="O16" s="51"/>
      <c r="P16" s="51"/>
      <c r="Q16" s="51"/>
      <c r="R16" s="51"/>
      <c r="S16" s="51"/>
      <c r="T16" s="51"/>
      <c r="U16" s="51"/>
      <c r="V16" s="51"/>
      <c r="W16" s="51"/>
    </row>
    <row r="17" spans="1:23" ht="15.75" customHeight="1">
      <c r="A17" s="51"/>
      <c r="B17" s="75" t="s">
        <v>10</v>
      </c>
      <c r="C17" s="76">
        <v>1.95</v>
      </c>
      <c r="D17" s="51"/>
      <c r="E17" s="51"/>
      <c r="F17" s="75" t="s">
        <v>10</v>
      </c>
      <c r="G17" s="76">
        <v>1.1200000000000001</v>
      </c>
      <c r="H17" s="51"/>
      <c r="I17" s="51"/>
      <c r="J17" s="51"/>
      <c r="K17" s="51"/>
      <c r="L17" s="51"/>
      <c r="M17" s="51"/>
      <c r="N17" s="51"/>
      <c r="O17" s="51"/>
      <c r="P17" s="51"/>
      <c r="Q17" s="51"/>
      <c r="R17" s="51"/>
      <c r="S17" s="51"/>
      <c r="T17" s="51"/>
      <c r="U17" s="51"/>
      <c r="V17" s="51"/>
      <c r="W17" s="51"/>
    </row>
    <row r="18" spans="1:23" ht="15.75" customHeight="1">
      <c r="A18" s="51"/>
      <c r="B18" s="75" t="s">
        <v>11</v>
      </c>
      <c r="C18" s="76">
        <v>3.03</v>
      </c>
      <c r="D18" s="51"/>
      <c r="E18" s="51"/>
      <c r="F18" s="75" t="s">
        <v>11</v>
      </c>
      <c r="G18" s="76">
        <v>2.16</v>
      </c>
      <c r="H18" s="51"/>
      <c r="I18" s="51"/>
      <c r="J18" s="51"/>
      <c r="K18" s="51"/>
      <c r="L18" s="51"/>
      <c r="M18" s="51"/>
      <c r="N18" s="51"/>
      <c r="O18" s="51"/>
      <c r="P18" s="51"/>
      <c r="Q18" s="51"/>
      <c r="R18" s="51"/>
      <c r="S18" s="51"/>
      <c r="T18" s="51"/>
      <c r="U18" s="51"/>
      <c r="V18" s="51"/>
      <c r="W18" s="51"/>
    </row>
    <row r="19" spans="1:23" ht="15.75" customHeight="1">
      <c r="A19" s="51"/>
      <c r="B19" s="75" t="s">
        <v>12</v>
      </c>
      <c r="C19" s="76">
        <v>2.86</v>
      </c>
      <c r="D19" s="51"/>
      <c r="E19" s="51"/>
      <c r="F19" s="75" t="s">
        <v>12</v>
      </c>
      <c r="G19" s="76">
        <v>2.16</v>
      </c>
      <c r="H19" s="51"/>
      <c r="I19" s="51"/>
      <c r="J19" s="51"/>
      <c r="K19" s="51"/>
      <c r="L19" s="51"/>
      <c r="M19" s="51"/>
      <c r="N19" s="51"/>
      <c r="O19" s="51"/>
      <c r="P19" s="51"/>
      <c r="Q19" s="51"/>
      <c r="R19" s="51"/>
      <c r="S19" s="51"/>
      <c r="T19" s="51"/>
      <c r="U19" s="51"/>
      <c r="V19" s="51"/>
      <c r="W19" s="51"/>
    </row>
    <row r="20" spans="1:23" ht="15.75" customHeight="1">
      <c r="A20" s="51"/>
      <c r="B20" s="75" t="s">
        <v>13</v>
      </c>
      <c r="C20" s="76">
        <v>3.01</v>
      </c>
      <c r="D20" s="51"/>
      <c r="E20" s="51"/>
      <c r="F20" s="75" t="s">
        <v>13</v>
      </c>
      <c r="G20" s="76">
        <v>2.16</v>
      </c>
      <c r="H20" s="51"/>
      <c r="I20" s="51"/>
      <c r="J20" s="51"/>
      <c r="K20" s="51"/>
      <c r="L20" s="51"/>
      <c r="M20" s="51"/>
      <c r="N20" s="51"/>
      <c r="O20" s="51"/>
      <c r="P20" s="51"/>
      <c r="Q20" s="51"/>
      <c r="R20" s="51"/>
      <c r="S20" s="51"/>
      <c r="T20" s="51"/>
      <c r="U20" s="51"/>
      <c r="V20" s="51"/>
      <c r="W20" s="51"/>
    </row>
    <row r="21" spans="1:23" ht="15.75" customHeight="1">
      <c r="A21" s="51"/>
      <c r="B21" s="75" t="s">
        <v>14</v>
      </c>
      <c r="C21" s="76">
        <v>2.5499999999999998</v>
      </c>
      <c r="D21" s="51"/>
      <c r="E21" s="51"/>
      <c r="F21" s="75" t="s">
        <v>14</v>
      </c>
      <c r="G21" s="76">
        <v>1.25</v>
      </c>
      <c r="H21" s="51"/>
      <c r="I21" s="51"/>
      <c r="J21" s="51"/>
      <c r="K21" s="51"/>
      <c r="L21" s="51"/>
      <c r="M21" s="51"/>
      <c r="N21" s="51"/>
      <c r="O21" s="51"/>
      <c r="P21" s="51"/>
      <c r="Q21" s="51"/>
      <c r="R21" s="51"/>
      <c r="S21" s="51"/>
      <c r="T21" s="51"/>
      <c r="U21" s="51"/>
      <c r="V21" s="51"/>
      <c r="W21" s="51"/>
    </row>
    <row r="22" spans="1:23" ht="15.75" customHeight="1">
      <c r="A22" s="51"/>
      <c r="B22" s="28"/>
      <c r="C22" s="28"/>
      <c r="D22" s="51"/>
      <c r="E22" s="51"/>
      <c r="F22" s="28"/>
      <c r="G22" s="28"/>
      <c r="H22" s="51"/>
      <c r="I22" s="51"/>
      <c r="J22" s="51"/>
      <c r="K22" s="51"/>
      <c r="L22" s="51"/>
      <c r="M22" s="51"/>
      <c r="N22" s="51"/>
      <c r="O22" s="51"/>
      <c r="P22" s="51"/>
      <c r="Q22" s="51"/>
      <c r="R22" s="51"/>
      <c r="S22" s="51"/>
      <c r="T22" s="51"/>
      <c r="U22" s="51"/>
      <c r="V22" s="51"/>
      <c r="W22" s="51"/>
    </row>
    <row r="23" spans="1:23" ht="15.75" customHeight="1">
      <c r="A23" s="51"/>
      <c r="B23" s="28"/>
      <c r="C23" s="28"/>
      <c r="D23" s="51"/>
      <c r="E23" s="51"/>
      <c r="F23" s="28"/>
      <c r="G23" s="28"/>
      <c r="H23" s="51"/>
      <c r="I23" s="51"/>
      <c r="J23" s="51"/>
      <c r="K23" s="51"/>
      <c r="L23" s="51"/>
      <c r="M23" s="51"/>
      <c r="N23" s="51"/>
      <c r="O23" s="51"/>
      <c r="P23" s="51"/>
      <c r="Q23" s="51"/>
      <c r="R23" s="51"/>
      <c r="S23" s="51"/>
      <c r="T23" s="51"/>
      <c r="U23" s="51"/>
      <c r="V23" s="51"/>
      <c r="W23" s="51"/>
    </row>
    <row r="24" spans="1:23" ht="15.75" customHeight="1">
      <c r="A24" s="51"/>
      <c r="B24" s="28"/>
      <c r="C24" s="28"/>
      <c r="D24" s="51"/>
      <c r="E24" s="51"/>
      <c r="F24" s="28"/>
      <c r="G24" s="28"/>
      <c r="H24" s="51"/>
      <c r="I24" s="51"/>
      <c r="J24" s="51"/>
      <c r="K24" s="51"/>
      <c r="L24" s="51"/>
      <c r="M24" s="51"/>
      <c r="N24" s="51"/>
      <c r="O24" s="51"/>
      <c r="P24" s="51"/>
      <c r="Q24" s="51"/>
      <c r="R24" s="51"/>
      <c r="S24" s="51"/>
      <c r="T24" s="51"/>
      <c r="U24" s="51"/>
      <c r="V24" s="51"/>
      <c r="W24" s="51"/>
    </row>
    <row r="25" spans="1:23" ht="15.75" customHeight="1">
      <c r="A25" s="51"/>
      <c r="B25" s="28"/>
      <c r="C25" s="28"/>
      <c r="D25" s="51"/>
      <c r="E25" s="51"/>
      <c r="F25" s="28"/>
      <c r="G25" s="28"/>
      <c r="H25" s="51"/>
      <c r="I25" s="51"/>
      <c r="J25" s="51"/>
      <c r="K25" s="51"/>
      <c r="L25" s="51"/>
      <c r="M25" s="51"/>
      <c r="N25" s="51"/>
      <c r="O25" s="51"/>
      <c r="P25" s="51"/>
      <c r="Q25" s="51"/>
      <c r="R25" s="51"/>
      <c r="S25" s="51"/>
      <c r="T25" s="51"/>
      <c r="U25" s="51"/>
      <c r="V25" s="51"/>
      <c r="W25" s="51"/>
    </row>
    <row r="26" spans="1:23" ht="15.75" customHeight="1">
      <c r="A26" s="51"/>
      <c r="B26" s="28"/>
      <c r="C26" s="28"/>
      <c r="D26" s="51"/>
      <c r="E26" s="51"/>
      <c r="F26" s="28"/>
      <c r="G26" s="28"/>
      <c r="H26" s="51"/>
      <c r="I26" s="51"/>
      <c r="J26" s="51"/>
      <c r="K26" s="51"/>
      <c r="L26" s="51"/>
      <c r="M26" s="51"/>
      <c r="N26" s="51"/>
      <c r="O26" s="51"/>
      <c r="P26" s="51"/>
      <c r="Q26" s="51"/>
      <c r="R26" s="51"/>
      <c r="S26" s="51"/>
      <c r="T26" s="51"/>
      <c r="U26" s="51"/>
      <c r="V26" s="51"/>
      <c r="W26" s="51"/>
    </row>
    <row r="27" spans="1:23" ht="15.75" customHeight="1">
      <c r="A27" s="51"/>
      <c r="B27" s="28"/>
      <c r="C27" s="28"/>
      <c r="D27" s="51"/>
      <c r="E27" s="51"/>
      <c r="F27" s="28"/>
      <c r="G27" s="28"/>
      <c r="H27" s="51"/>
      <c r="I27" s="51"/>
      <c r="J27" s="51"/>
      <c r="K27" s="51"/>
      <c r="L27" s="51"/>
      <c r="M27" s="51"/>
      <c r="N27" s="51"/>
      <c r="O27" s="51"/>
      <c r="P27" s="51"/>
      <c r="Q27" s="51"/>
      <c r="R27" s="51"/>
      <c r="S27" s="51"/>
      <c r="T27" s="51"/>
      <c r="U27" s="51"/>
      <c r="V27" s="51"/>
      <c r="W27" s="51"/>
    </row>
    <row r="28" spans="1:23" ht="15.75" customHeight="1">
      <c r="A28" s="51"/>
      <c r="B28" s="28"/>
      <c r="C28" s="28"/>
      <c r="D28" s="51"/>
      <c r="E28" s="51"/>
      <c r="F28" s="28"/>
      <c r="G28" s="28"/>
      <c r="H28" s="51"/>
      <c r="I28" s="51"/>
      <c r="J28" s="51"/>
      <c r="K28" s="51"/>
      <c r="L28" s="51"/>
      <c r="M28" s="51"/>
      <c r="N28" s="51"/>
      <c r="O28" s="51"/>
      <c r="P28" s="51"/>
      <c r="Q28" s="51"/>
      <c r="R28" s="51"/>
      <c r="S28" s="51"/>
      <c r="T28" s="51"/>
      <c r="U28" s="51"/>
      <c r="V28" s="51"/>
      <c r="W28" s="51"/>
    </row>
    <row r="29" spans="1:23" ht="15.75" customHeight="1">
      <c r="A29" s="51"/>
      <c r="B29" s="28"/>
      <c r="C29" s="28"/>
      <c r="D29" s="51"/>
      <c r="E29" s="51"/>
      <c r="F29" s="28"/>
      <c r="G29" s="28"/>
      <c r="H29" s="51"/>
      <c r="I29" s="51"/>
      <c r="J29" s="51"/>
      <c r="K29" s="51"/>
      <c r="L29" s="51"/>
      <c r="M29" s="51"/>
      <c r="N29" s="51"/>
      <c r="O29" s="51"/>
      <c r="P29" s="51"/>
      <c r="Q29" s="51"/>
      <c r="R29" s="51"/>
      <c r="S29" s="51"/>
      <c r="T29" s="51"/>
      <c r="U29" s="51"/>
      <c r="V29" s="51"/>
      <c r="W29" s="51"/>
    </row>
    <row r="30" spans="1:23" ht="15.75" customHeight="1">
      <c r="A30" s="51"/>
      <c r="B30" s="28"/>
      <c r="C30" s="28"/>
      <c r="D30" s="51"/>
      <c r="E30" s="51"/>
      <c r="F30" s="28"/>
      <c r="G30" s="28"/>
      <c r="H30" s="51"/>
      <c r="I30" s="51"/>
      <c r="J30" s="51"/>
      <c r="K30" s="51"/>
      <c r="L30" s="51"/>
      <c r="M30" s="51"/>
      <c r="N30" s="51"/>
      <c r="O30" s="51"/>
      <c r="P30" s="51"/>
      <c r="Q30" s="51"/>
      <c r="R30" s="51"/>
      <c r="S30" s="51"/>
      <c r="T30" s="51"/>
      <c r="U30" s="51"/>
      <c r="V30" s="51"/>
      <c r="W30" s="51"/>
    </row>
    <row r="31" spans="1:23" ht="15.75" customHeight="1">
      <c r="A31" s="51"/>
      <c r="B31" s="70"/>
      <c r="C31" s="70"/>
      <c r="D31" s="51"/>
      <c r="E31" s="51"/>
      <c r="F31" s="70"/>
      <c r="G31" s="70"/>
      <c r="H31" s="51"/>
      <c r="I31" s="51"/>
      <c r="J31" s="51"/>
      <c r="K31" s="51"/>
      <c r="L31" s="51"/>
      <c r="M31" s="51"/>
      <c r="N31" s="51"/>
      <c r="O31" s="51"/>
      <c r="P31" s="51"/>
      <c r="Q31" s="51"/>
      <c r="R31" s="51"/>
      <c r="S31" s="51"/>
      <c r="T31" s="51"/>
      <c r="U31" s="51"/>
      <c r="V31" s="51"/>
      <c r="W31" s="51"/>
    </row>
    <row r="32" spans="1:23" ht="15.75" customHeight="1">
      <c r="A32" s="51"/>
      <c r="B32" s="54" t="s">
        <v>15</v>
      </c>
      <c r="C32" s="53">
        <f>SUM(C16:C31)</f>
        <v>33.879999999999995</v>
      </c>
      <c r="D32" s="51"/>
      <c r="E32" s="51"/>
      <c r="F32" s="54" t="s">
        <v>15</v>
      </c>
      <c r="G32" s="53">
        <f>SUM(G16:G31)</f>
        <v>27.760000000000005</v>
      </c>
      <c r="H32" s="51"/>
      <c r="I32" s="51"/>
      <c r="J32" s="51"/>
      <c r="K32" s="51"/>
      <c r="L32" s="51"/>
      <c r="M32" s="51"/>
      <c r="N32" s="51"/>
      <c r="O32" s="51"/>
      <c r="P32" s="51"/>
      <c r="Q32" s="51"/>
      <c r="R32" s="51"/>
      <c r="S32" s="51"/>
      <c r="T32" s="51"/>
      <c r="U32" s="51"/>
      <c r="V32" s="51"/>
      <c r="W32" s="51"/>
    </row>
    <row r="33" spans="1:23" ht="15.75" customHeight="1">
      <c r="A33" s="51"/>
      <c r="B33" s="51"/>
      <c r="C33" s="51"/>
      <c r="D33" s="51"/>
      <c r="E33" s="51"/>
      <c r="F33" s="51"/>
      <c r="G33" s="51"/>
      <c r="H33" s="51"/>
      <c r="I33" s="51"/>
      <c r="J33" s="51"/>
      <c r="K33" s="51"/>
      <c r="L33" s="51"/>
      <c r="M33" s="51"/>
      <c r="N33" s="51"/>
      <c r="O33" s="51"/>
      <c r="P33" s="51"/>
      <c r="Q33" s="51"/>
      <c r="R33" s="51"/>
      <c r="S33" s="51"/>
      <c r="T33" s="51"/>
      <c r="U33" s="51"/>
      <c r="V33" s="51"/>
      <c r="W33" s="51"/>
    </row>
    <row r="34" spans="1:23" ht="15.75" customHeight="1">
      <c r="A34" s="51"/>
      <c r="B34" s="51"/>
      <c r="C34" s="51"/>
      <c r="D34" s="51"/>
      <c r="E34" s="51"/>
      <c r="F34" s="51"/>
      <c r="G34" s="51"/>
      <c r="H34" s="51"/>
      <c r="I34" s="51"/>
      <c r="J34" s="51"/>
      <c r="K34" s="51"/>
      <c r="L34" s="51"/>
      <c r="M34" s="51"/>
      <c r="N34" s="51"/>
      <c r="O34" s="51"/>
      <c r="P34" s="51"/>
      <c r="Q34" s="51"/>
      <c r="R34" s="51"/>
      <c r="S34" s="51"/>
      <c r="T34" s="51"/>
      <c r="U34" s="51"/>
      <c r="V34" s="51"/>
      <c r="W34" s="51"/>
    </row>
    <row r="35" spans="1:23" ht="15.75" customHeight="1">
      <c r="A35" s="51"/>
      <c r="B35" s="51"/>
      <c r="C35" s="51"/>
      <c r="D35" s="51"/>
      <c r="E35" s="51"/>
      <c r="F35" s="51"/>
      <c r="G35" s="51"/>
      <c r="H35" s="51"/>
      <c r="I35" s="51"/>
      <c r="J35" s="51"/>
      <c r="K35" s="51"/>
      <c r="L35" s="51"/>
      <c r="M35" s="51"/>
      <c r="N35" s="51"/>
      <c r="O35" s="51"/>
      <c r="P35" s="51"/>
      <c r="Q35" s="51"/>
      <c r="R35" s="51"/>
      <c r="S35" s="51"/>
      <c r="T35" s="51"/>
      <c r="U35" s="51"/>
      <c r="V35" s="51"/>
      <c r="W35" s="51"/>
    </row>
    <row r="36" spans="1:23" ht="15.75" customHeight="1">
      <c r="A36" s="51"/>
      <c r="B36" s="51"/>
      <c r="C36" s="51"/>
      <c r="D36" s="51"/>
      <c r="E36" s="51"/>
      <c r="F36" s="51"/>
      <c r="G36" s="51"/>
      <c r="H36" s="51"/>
      <c r="I36" s="51"/>
      <c r="J36" s="51"/>
      <c r="K36" s="51"/>
      <c r="L36" s="51"/>
      <c r="M36" s="51"/>
      <c r="N36" s="51"/>
      <c r="O36" s="51"/>
      <c r="P36" s="51"/>
      <c r="Q36" s="51"/>
      <c r="R36" s="51"/>
      <c r="S36" s="51"/>
      <c r="T36" s="51"/>
      <c r="U36" s="51"/>
      <c r="V36" s="51"/>
      <c r="W36" s="51"/>
    </row>
    <row r="37" spans="1:23" ht="15.75" customHeight="1">
      <c r="A37" s="51"/>
      <c r="B37" s="51"/>
      <c r="C37" s="51"/>
      <c r="D37" s="51"/>
      <c r="E37" s="51"/>
      <c r="F37" s="51"/>
      <c r="G37" s="51"/>
      <c r="H37" s="51"/>
      <c r="I37" s="51"/>
      <c r="J37" s="51"/>
      <c r="K37" s="51"/>
      <c r="L37" s="51"/>
      <c r="M37" s="51"/>
      <c r="N37" s="51"/>
      <c r="O37" s="51"/>
      <c r="P37" s="51"/>
      <c r="Q37" s="51"/>
      <c r="R37" s="51"/>
      <c r="S37" s="51"/>
      <c r="T37" s="51"/>
      <c r="U37" s="51"/>
      <c r="V37" s="51"/>
      <c r="W37" s="51"/>
    </row>
    <row r="38" spans="1:23" ht="15.75" customHeight="1">
      <c r="A38" s="51"/>
      <c r="B38" s="51"/>
      <c r="C38" s="51"/>
      <c r="D38" s="51"/>
      <c r="E38" s="51"/>
      <c r="F38" s="51"/>
      <c r="G38" s="51"/>
      <c r="H38" s="51"/>
      <c r="I38" s="51"/>
      <c r="J38" s="51"/>
      <c r="K38" s="51"/>
      <c r="L38" s="51"/>
      <c r="M38" s="51"/>
      <c r="N38" s="51"/>
      <c r="O38" s="51"/>
      <c r="P38" s="51"/>
      <c r="Q38" s="51"/>
      <c r="R38" s="51"/>
      <c r="S38" s="51"/>
      <c r="T38" s="51"/>
      <c r="U38" s="51"/>
      <c r="V38" s="51"/>
      <c r="W38" s="51"/>
    </row>
    <row r="39" spans="1:23" ht="15.75" customHeight="1">
      <c r="A39" s="51"/>
      <c r="B39" s="51"/>
      <c r="C39" s="51"/>
      <c r="D39" s="51"/>
      <c r="E39" s="51"/>
      <c r="F39" s="51"/>
      <c r="G39" s="51"/>
      <c r="H39" s="51"/>
      <c r="I39" s="51"/>
      <c r="J39" s="51"/>
      <c r="K39" s="51"/>
      <c r="L39" s="51"/>
      <c r="M39" s="51"/>
      <c r="N39" s="51"/>
      <c r="O39" s="51"/>
      <c r="P39" s="51"/>
      <c r="Q39" s="51"/>
      <c r="R39" s="51"/>
      <c r="S39" s="51"/>
      <c r="T39" s="51"/>
      <c r="U39" s="51"/>
      <c r="V39" s="51"/>
      <c r="W39" s="51"/>
    </row>
    <row r="40" spans="1:23" ht="15.75" customHeight="1">
      <c r="A40" s="51"/>
      <c r="B40" s="51"/>
      <c r="C40" s="51"/>
      <c r="D40" s="51"/>
      <c r="E40" s="51"/>
      <c r="F40" s="51"/>
      <c r="G40" s="51"/>
      <c r="H40" s="51"/>
      <c r="I40" s="51"/>
      <c r="J40" s="51"/>
      <c r="K40" s="51"/>
      <c r="L40" s="51"/>
      <c r="M40" s="51"/>
      <c r="N40" s="51"/>
      <c r="O40" s="51"/>
      <c r="P40" s="51"/>
      <c r="Q40" s="51"/>
      <c r="R40" s="51"/>
      <c r="S40" s="51"/>
      <c r="T40" s="51"/>
      <c r="U40" s="51"/>
      <c r="V40" s="51"/>
      <c r="W40" s="51"/>
    </row>
    <row r="41" spans="1:23" ht="15.75" customHeight="1">
      <c r="A41" s="51"/>
      <c r="B41" s="51"/>
      <c r="C41" s="51"/>
      <c r="D41" s="51"/>
      <c r="E41" s="51"/>
      <c r="F41" s="51"/>
      <c r="G41" s="51"/>
      <c r="H41" s="51"/>
      <c r="I41" s="51"/>
      <c r="J41" s="51"/>
      <c r="K41" s="51"/>
      <c r="L41" s="51"/>
      <c r="M41" s="51"/>
      <c r="N41" s="51"/>
      <c r="O41" s="51"/>
      <c r="P41" s="51"/>
      <c r="Q41" s="51"/>
      <c r="R41" s="51"/>
      <c r="S41" s="51"/>
      <c r="T41" s="51"/>
      <c r="U41" s="51"/>
      <c r="V41" s="51"/>
      <c r="W41" s="51"/>
    </row>
    <row r="42" spans="1:23" ht="15.75" customHeight="1">
      <c r="A42" s="51"/>
      <c r="B42" s="51"/>
      <c r="C42" s="51"/>
      <c r="D42" s="51"/>
      <c r="E42" s="51"/>
      <c r="F42" s="51"/>
      <c r="G42" s="51"/>
      <c r="H42" s="51"/>
      <c r="I42" s="51"/>
      <c r="J42" s="51"/>
      <c r="K42" s="51"/>
      <c r="L42" s="51"/>
      <c r="M42" s="51"/>
      <c r="N42" s="51"/>
      <c r="O42" s="51"/>
      <c r="P42" s="51"/>
      <c r="Q42" s="51"/>
      <c r="R42" s="51"/>
      <c r="S42" s="51"/>
      <c r="T42" s="51"/>
      <c r="U42" s="51"/>
      <c r="V42" s="51"/>
      <c r="W42" s="51"/>
    </row>
    <row r="43" spans="1:23" ht="15.75" customHeight="1">
      <c r="A43" s="51"/>
      <c r="B43" s="51"/>
      <c r="C43" s="51"/>
      <c r="D43" s="51"/>
      <c r="E43" s="51"/>
      <c r="F43" s="51"/>
      <c r="G43" s="51"/>
      <c r="H43" s="51"/>
      <c r="I43" s="51"/>
      <c r="J43" s="51"/>
      <c r="K43" s="51"/>
      <c r="L43" s="51"/>
      <c r="M43" s="51"/>
      <c r="N43" s="51"/>
      <c r="O43" s="51"/>
      <c r="P43" s="51"/>
      <c r="Q43" s="51"/>
      <c r="R43" s="51"/>
      <c r="S43" s="51"/>
      <c r="T43" s="51"/>
      <c r="U43" s="51"/>
      <c r="V43" s="51"/>
      <c r="W43" s="51"/>
    </row>
    <row r="44" spans="1:23" ht="15.75" customHeight="1">
      <c r="A44" s="51"/>
      <c r="B44" s="51"/>
      <c r="C44" s="51"/>
      <c r="D44" s="51"/>
      <c r="E44" s="51"/>
      <c r="F44" s="51"/>
      <c r="G44" s="51"/>
      <c r="H44" s="51"/>
      <c r="I44" s="51"/>
      <c r="J44" s="51"/>
      <c r="K44" s="51"/>
      <c r="L44" s="51"/>
      <c r="M44" s="51"/>
      <c r="N44" s="51"/>
      <c r="O44" s="51"/>
      <c r="P44" s="51"/>
      <c r="Q44" s="51"/>
      <c r="R44" s="51"/>
      <c r="S44" s="51"/>
      <c r="T44" s="51"/>
      <c r="U44" s="51"/>
      <c r="V44" s="51"/>
      <c r="W44" s="51"/>
    </row>
    <row r="45" spans="1:23" ht="15.75" customHeight="1">
      <c r="A45" s="51"/>
      <c r="B45" s="51"/>
      <c r="C45" s="51"/>
      <c r="D45" s="51"/>
      <c r="E45" s="51"/>
      <c r="F45" s="51"/>
      <c r="G45" s="51"/>
      <c r="H45" s="51"/>
      <c r="I45" s="51"/>
      <c r="J45" s="51"/>
      <c r="K45" s="51"/>
      <c r="L45" s="51"/>
      <c r="M45" s="51"/>
      <c r="N45" s="51"/>
      <c r="O45" s="51"/>
      <c r="P45" s="51"/>
      <c r="Q45" s="51"/>
      <c r="R45" s="51"/>
      <c r="S45" s="51"/>
      <c r="T45" s="51"/>
      <c r="U45" s="51"/>
      <c r="V45" s="51"/>
      <c r="W45" s="51"/>
    </row>
    <row r="46" spans="1:23" ht="15.75" customHeight="1">
      <c r="A46" s="51"/>
      <c r="B46" s="51"/>
      <c r="C46" s="51"/>
      <c r="D46" s="51"/>
      <c r="E46" s="51"/>
      <c r="F46" s="51"/>
      <c r="G46" s="51"/>
      <c r="H46" s="51"/>
      <c r="I46" s="51"/>
      <c r="J46" s="51"/>
      <c r="K46" s="51"/>
      <c r="L46" s="51"/>
      <c r="M46" s="51"/>
      <c r="N46" s="51"/>
      <c r="O46" s="51"/>
      <c r="P46" s="51"/>
      <c r="Q46" s="51"/>
      <c r="R46" s="51"/>
      <c r="S46" s="51"/>
      <c r="T46" s="51"/>
      <c r="U46" s="51"/>
      <c r="V46" s="51"/>
      <c r="W46" s="51"/>
    </row>
    <row r="47" spans="1:23" ht="15.75" customHeight="1">
      <c r="A47" s="51"/>
      <c r="B47" s="51"/>
      <c r="C47" s="51"/>
      <c r="D47" s="51"/>
      <c r="E47" s="51"/>
      <c r="F47" s="51"/>
      <c r="G47" s="51"/>
      <c r="H47" s="51"/>
      <c r="I47" s="51"/>
      <c r="J47" s="51"/>
      <c r="K47" s="51"/>
      <c r="L47" s="51"/>
      <c r="M47" s="51"/>
      <c r="N47" s="51"/>
      <c r="O47" s="51"/>
      <c r="P47" s="51"/>
      <c r="Q47" s="51"/>
      <c r="R47" s="51"/>
      <c r="S47" s="51"/>
      <c r="T47" s="51"/>
      <c r="U47" s="51"/>
      <c r="V47" s="51"/>
      <c r="W47" s="51"/>
    </row>
    <row r="48" spans="1:23" ht="15.75" customHeight="1">
      <c r="A48" s="51"/>
      <c r="B48" s="51"/>
      <c r="C48" s="51"/>
      <c r="D48" s="51"/>
      <c r="E48" s="51"/>
      <c r="F48" s="51"/>
      <c r="G48" s="51"/>
      <c r="H48" s="51"/>
      <c r="I48" s="51"/>
      <c r="J48" s="51"/>
      <c r="K48" s="51"/>
      <c r="L48" s="51"/>
      <c r="M48" s="51"/>
      <c r="N48" s="51"/>
      <c r="O48" s="51"/>
      <c r="P48" s="51"/>
      <c r="Q48" s="51"/>
      <c r="R48" s="51"/>
      <c r="S48" s="51"/>
      <c r="T48" s="51"/>
      <c r="U48" s="51"/>
      <c r="V48" s="51"/>
      <c r="W48" s="51"/>
    </row>
    <row r="49" spans="1:23" ht="15.75" customHeight="1">
      <c r="A49" s="51"/>
      <c r="B49" s="51"/>
      <c r="C49" s="51"/>
      <c r="D49" s="51"/>
      <c r="E49" s="51"/>
      <c r="F49" s="51"/>
      <c r="G49" s="51"/>
      <c r="H49" s="51"/>
      <c r="I49" s="51"/>
      <c r="J49" s="51"/>
      <c r="K49" s="51"/>
      <c r="L49" s="51"/>
      <c r="M49" s="51"/>
      <c r="N49" s="51"/>
      <c r="O49" s="51"/>
      <c r="P49" s="51"/>
      <c r="Q49" s="51"/>
      <c r="R49" s="51"/>
      <c r="S49" s="51"/>
      <c r="T49" s="51"/>
      <c r="U49" s="51"/>
      <c r="V49" s="51"/>
      <c r="W49" s="51"/>
    </row>
    <row r="50" spans="1:23" ht="15.75" customHeight="1">
      <c r="A50" s="51"/>
      <c r="B50" s="51"/>
      <c r="C50" s="51"/>
      <c r="D50" s="51"/>
      <c r="E50" s="51"/>
      <c r="F50" s="51"/>
      <c r="G50" s="51"/>
      <c r="H50" s="51"/>
      <c r="I50" s="51"/>
      <c r="J50" s="51"/>
      <c r="K50" s="51"/>
      <c r="L50" s="51"/>
      <c r="M50" s="51"/>
      <c r="N50" s="51"/>
      <c r="O50" s="51"/>
      <c r="P50" s="51"/>
      <c r="Q50" s="51"/>
      <c r="R50" s="51"/>
      <c r="S50" s="51"/>
      <c r="T50" s="51"/>
      <c r="U50" s="51"/>
      <c r="V50" s="51"/>
      <c r="W50" s="51"/>
    </row>
    <row r="51" spans="1:23" ht="15.75" customHeight="1">
      <c r="A51" s="51"/>
      <c r="B51" s="51"/>
      <c r="C51" s="51"/>
      <c r="D51" s="51"/>
      <c r="E51" s="51"/>
      <c r="F51" s="51"/>
      <c r="G51" s="51"/>
      <c r="H51" s="51"/>
      <c r="I51" s="51"/>
      <c r="J51" s="51"/>
      <c r="K51" s="51"/>
      <c r="L51" s="51"/>
      <c r="M51" s="51"/>
      <c r="N51" s="51"/>
      <c r="O51" s="51"/>
      <c r="P51" s="51"/>
      <c r="Q51" s="51"/>
      <c r="R51" s="51"/>
      <c r="S51" s="51"/>
      <c r="T51" s="51"/>
      <c r="U51" s="51"/>
      <c r="V51" s="51"/>
      <c r="W51" s="51"/>
    </row>
    <row r="52" spans="1:23" ht="15.75" customHeight="1">
      <c r="A52" s="51"/>
      <c r="B52" s="51"/>
      <c r="C52" s="51"/>
      <c r="D52" s="51"/>
      <c r="E52" s="51"/>
      <c r="F52" s="51"/>
      <c r="G52" s="51"/>
      <c r="H52" s="51"/>
      <c r="I52" s="51"/>
      <c r="J52" s="51"/>
      <c r="K52" s="51"/>
      <c r="L52" s="51"/>
      <c r="M52" s="51"/>
      <c r="N52" s="51"/>
      <c r="O52" s="51"/>
      <c r="P52" s="51"/>
      <c r="Q52" s="51"/>
      <c r="R52" s="51"/>
      <c r="S52" s="51"/>
      <c r="T52" s="51"/>
      <c r="U52" s="51"/>
      <c r="V52" s="51"/>
      <c r="W52" s="51"/>
    </row>
    <row r="53" spans="1:23" ht="15.75" customHeight="1">
      <c r="A53" s="51"/>
      <c r="B53" s="51"/>
      <c r="C53" s="51"/>
      <c r="D53" s="51"/>
      <c r="E53" s="51"/>
      <c r="F53" s="51"/>
      <c r="G53" s="51"/>
      <c r="H53" s="51"/>
      <c r="I53" s="51"/>
      <c r="J53" s="51"/>
      <c r="K53" s="51"/>
      <c r="L53" s="51"/>
      <c r="M53" s="51"/>
      <c r="N53" s="51"/>
      <c r="O53" s="51"/>
      <c r="P53" s="51"/>
      <c r="Q53" s="51"/>
      <c r="R53" s="51"/>
      <c r="S53" s="51"/>
      <c r="T53" s="51"/>
      <c r="U53" s="51"/>
      <c r="V53" s="51"/>
      <c r="W53" s="51"/>
    </row>
    <row r="54" spans="1:23" ht="15.75" customHeight="1">
      <c r="A54" s="51"/>
      <c r="B54" s="51"/>
      <c r="C54" s="51"/>
      <c r="D54" s="51"/>
      <c r="E54" s="51"/>
      <c r="F54" s="51"/>
      <c r="G54" s="51"/>
      <c r="H54" s="51"/>
      <c r="I54" s="51"/>
      <c r="J54" s="51"/>
      <c r="K54" s="51"/>
      <c r="L54" s="51"/>
      <c r="M54" s="51"/>
      <c r="N54" s="51"/>
      <c r="O54" s="51"/>
      <c r="P54" s="51"/>
      <c r="Q54" s="51"/>
      <c r="R54" s="51"/>
      <c r="S54" s="51"/>
      <c r="T54" s="51"/>
      <c r="U54" s="51"/>
      <c r="V54" s="51"/>
      <c r="W54" s="51"/>
    </row>
    <row r="55" spans="1:23" ht="15.75" customHeight="1">
      <c r="A55" s="51"/>
      <c r="B55" s="51"/>
      <c r="C55" s="51"/>
      <c r="D55" s="51"/>
      <c r="E55" s="51"/>
      <c r="F55" s="51"/>
      <c r="G55" s="51"/>
      <c r="H55" s="51"/>
      <c r="I55" s="51"/>
      <c r="J55" s="51"/>
      <c r="K55" s="51"/>
      <c r="L55" s="51"/>
      <c r="M55" s="51"/>
      <c r="N55" s="51"/>
      <c r="O55" s="51"/>
      <c r="P55" s="51"/>
      <c r="Q55" s="51"/>
      <c r="R55" s="51"/>
      <c r="S55" s="51"/>
      <c r="T55" s="51"/>
      <c r="U55" s="51"/>
      <c r="V55" s="51"/>
      <c r="W55" s="51"/>
    </row>
    <row r="56" spans="1:23" ht="15.75" customHeight="1">
      <c r="A56" s="51"/>
      <c r="B56" s="51"/>
      <c r="C56" s="51"/>
      <c r="D56" s="51"/>
      <c r="E56" s="51"/>
      <c r="F56" s="51"/>
      <c r="G56" s="51"/>
      <c r="H56" s="51"/>
      <c r="I56" s="51"/>
      <c r="J56" s="51"/>
      <c r="K56" s="51"/>
      <c r="L56" s="51"/>
      <c r="M56" s="51"/>
      <c r="N56" s="51"/>
      <c r="O56" s="51"/>
      <c r="P56" s="51"/>
      <c r="Q56" s="51"/>
      <c r="R56" s="51"/>
      <c r="S56" s="51"/>
      <c r="T56" s="51"/>
      <c r="U56" s="51"/>
      <c r="V56" s="51"/>
      <c r="W56" s="51"/>
    </row>
    <row r="57" spans="1:23" ht="15.75" customHeight="1">
      <c r="A57" s="51"/>
      <c r="B57" s="51"/>
      <c r="C57" s="51"/>
      <c r="D57" s="51"/>
      <c r="E57" s="51"/>
      <c r="F57" s="51"/>
      <c r="G57" s="51"/>
      <c r="H57" s="51"/>
      <c r="I57" s="51"/>
      <c r="J57" s="51"/>
      <c r="K57" s="51"/>
      <c r="L57" s="51"/>
      <c r="M57" s="51"/>
      <c r="N57" s="51"/>
      <c r="O57" s="51"/>
      <c r="P57" s="51"/>
      <c r="Q57" s="51"/>
      <c r="R57" s="51"/>
      <c r="S57" s="51"/>
      <c r="T57" s="51"/>
      <c r="U57" s="51"/>
      <c r="V57" s="51"/>
      <c r="W57" s="51"/>
    </row>
    <row r="58" spans="1:23" ht="15.75" customHeight="1">
      <c r="A58" s="51"/>
      <c r="B58" s="51"/>
      <c r="C58" s="51"/>
      <c r="D58" s="51"/>
      <c r="E58" s="51"/>
      <c r="F58" s="51"/>
      <c r="G58" s="51"/>
      <c r="H58" s="51"/>
      <c r="I58" s="51"/>
      <c r="J58" s="51"/>
      <c r="K58" s="51"/>
      <c r="L58" s="51"/>
      <c r="M58" s="51"/>
      <c r="N58" s="51"/>
      <c r="O58" s="51"/>
      <c r="P58" s="51"/>
      <c r="Q58" s="51"/>
      <c r="R58" s="51"/>
      <c r="S58" s="51"/>
      <c r="T58" s="51"/>
      <c r="U58" s="51"/>
      <c r="V58" s="51"/>
      <c r="W58" s="51"/>
    </row>
    <row r="59" spans="1:23" ht="15.75" customHeight="1">
      <c r="A59" s="51"/>
      <c r="B59" s="51"/>
      <c r="C59" s="51"/>
      <c r="D59" s="51"/>
      <c r="E59" s="51"/>
      <c r="F59" s="51"/>
      <c r="G59" s="51"/>
      <c r="H59" s="51"/>
      <c r="I59" s="51"/>
      <c r="J59" s="51"/>
      <c r="K59" s="51"/>
      <c r="L59" s="51"/>
      <c r="M59" s="51"/>
      <c r="N59" s="51"/>
      <c r="O59" s="51"/>
      <c r="P59" s="51"/>
      <c r="Q59" s="51"/>
      <c r="R59" s="51"/>
      <c r="S59" s="51"/>
      <c r="T59" s="51"/>
      <c r="U59" s="51"/>
      <c r="V59" s="51"/>
      <c r="W59" s="51"/>
    </row>
    <row r="60" spans="1:23" ht="15.75" customHeight="1">
      <c r="A60" s="51"/>
      <c r="B60" s="51"/>
      <c r="C60" s="51"/>
      <c r="D60" s="51"/>
      <c r="E60" s="51"/>
      <c r="F60" s="51"/>
      <c r="G60" s="51"/>
      <c r="H60" s="51"/>
      <c r="I60" s="51"/>
      <c r="J60" s="51"/>
      <c r="K60" s="51"/>
      <c r="L60" s="51"/>
      <c r="M60" s="51"/>
      <c r="N60" s="51"/>
      <c r="O60" s="51"/>
      <c r="P60" s="51"/>
      <c r="Q60" s="51"/>
      <c r="R60" s="51"/>
      <c r="S60" s="51"/>
      <c r="T60" s="51"/>
      <c r="U60" s="51"/>
      <c r="V60" s="51"/>
      <c r="W60" s="51"/>
    </row>
    <row r="61" spans="1:23" ht="15.75" customHeight="1">
      <c r="A61" s="51"/>
      <c r="B61" s="51"/>
      <c r="C61" s="51"/>
      <c r="D61" s="51"/>
      <c r="E61" s="51"/>
      <c r="F61" s="51"/>
      <c r="G61" s="51"/>
      <c r="H61" s="51"/>
      <c r="I61" s="51"/>
      <c r="J61" s="51"/>
      <c r="K61" s="51"/>
      <c r="L61" s="51"/>
      <c r="M61" s="51"/>
      <c r="N61" s="51"/>
      <c r="O61" s="51"/>
      <c r="P61" s="51"/>
      <c r="Q61" s="51"/>
      <c r="R61" s="51"/>
      <c r="S61" s="51"/>
      <c r="T61" s="51"/>
      <c r="U61" s="51"/>
      <c r="V61" s="51"/>
      <c r="W61" s="51"/>
    </row>
    <row r="62" spans="1:23" ht="15.75" customHeight="1">
      <c r="A62" s="51"/>
      <c r="B62" s="51"/>
      <c r="C62" s="51"/>
      <c r="D62" s="51"/>
      <c r="E62" s="51"/>
      <c r="F62" s="51"/>
      <c r="G62" s="51"/>
      <c r="H62" s="51"/>
      <c r="I62" s="51"/>
      <c r="J62" s="51"/>
      <c r="K62" s="51"/>
      <c r="L62" s="51"/>
      <c r="M62" s="51"/>
      <c r="N62" s="51"/>
      <c r="O62" s="51"/>
      <c r="P62" s="51"/>
      <c r="Q62" s="51"/>
      <c r="R62" s="51"/>
      <c r="S62" s="51"/>
      <c r="T62" s="51"/>
      <c r="U62" s="51"/>
      <c r="V62" s="51"/>
      <c r="W62" s="51"/>
    </row>
    <row r="63" spans="1:23" ht="15.75" customHeight="1">
      <c r="A63" s="51"/>
      <c r="B63" s="51"/>
      <c r="C63" s="51"/>
      <c r="D63" s="51"/>
      <c r="E63" s="51"/>
      <c r="F63" s="51"/>
      <c r="G63" s="51"/>
      <c r="H63" s="51"/>
      <c r="I63" s="51"/>
      <c r="J63" s="51"/>
      <c r="K63" s="51"/>
      <c r="L63" s="51"/>
      <c r="M63" s="51"/>
      <c r="N63" s="51"/>
      <c r="O63" s="51"/>
      <c r="P63" s="51"/>
      <c r="Q63" s="51"/>
      <c r="R63" s="51"/>
      <c r="S63" s="51"/>
      <c r="T63" s="51"/>
      <c r="U63" s="51"/>
      <c r="V63" s="51"/>
      <c r="W63" s="51"/>
    </row>
    <row r="64" spans="1:23" ht="15.75" customHeight="1">
      <c r="A64" s="51"/>
      <c r="B64" s="51"/>
      <c r="C64" s="51"/>
      <c r="D64" s="51"/>
      <c r="E64" s="51"/>
      <c r="F64" s="51"/>
      <c r="G64" s="51"/>
      <c r="H64" s="51"/>
      <c r="I64" s="51"/>
      <c r="J64" s="51"/>
      <c r="K64" s="51"/>
      <c r="L64" s="51"/>
      <c r="M64" s="51"/>
      <c r="N64" s="51"/>
      <c r="O64" s="51"/>
      <c r="P64" s="51"/>
      <c r="Q64" s="51"/>
      <c r="R64" s="51"/>
      <c r="S64" s="51"/>
      <c r="T64" s="51"/>
      <c r="U64" s="51"/>
      <c r="V64" s="51"/>
      <c r="W64" s="51"/>
    </row>
    <row r="65" spans="1:23" ht="15.75" customHeight="1">
      <c r="A65" s="51"/>
      <c r="B65" s="51"/>
      <c r="C65" s="51"/>
      <c r="D65" s="51"/>
      <c r="E65" s="51"/>
      <c r="F65" s="51"/>
      <c r="G65" s="51"/>
      <c r="H65" s="51"/>
      <c r="I65" s="51"/>
      <c r="J65" s="51"/>
      <c r="K65" s="51"/>
      <c r="L65" s="51"/>
      <c r="M65" s="51"/>
      <c r="N65" s="51"/>
      <c r="O65" s="51"/>
      <c r="P65" s="51"/>
      <c r="Q65" s="51"/>
      <c r="R65" s="51"/>
      <c r="S65" s="51"/>
      <c r="T65" s="51"/>
      <c r="U65" s="51"/>
      <c r="V65" s="51"/>
      <c r="W65" s="51"/>
    </row>
    <row r="66" spans="1:23" ht="15.75" customHeight="1">
      <c r="A66" s="51"/>
      <c r="B66" s="51"/>
      <c r="C66" s="51"/>
      <c r="D66" s="51"/>
      <c r="E66" s="51"/>
      <c r="F66" s="51"/>
      <c r="G66" s="51"/>
      <c r="H66" s="51"/>
      <c r="I66" s="51"/>
      <c r="J66" s="51"/>
      <c r="K66" s="51"/>
      <c r="L66" s="51"/>
      <c r="M66" s="51"/>
      <c r="N66" s="51"/>
      <c r="O66" s="51"/>
      <c r="P66" s="51"/>
      <c r="Q66" s="51"/>
      <c r="R66" s="51"/>
      <c r="S66" s="51"/>
      <c r="T66" s="51"/>
      <c r="U66" s="51"/>
      <c r="V66" s="51"/>
      <c r="W66" s="51"/>
    </row>
    <row r="67" spans="1:23" ht="15.75" customHeight="1">
      <c r="A67" s="51"/>
      <c r="B67" s="51"/>
      <c r="C67" s="51"/>
      <c r="D67" s="51"/>
      <c r="E67" s="51"/>
      <c r="F67" s="51"/>
      <c r="G67" s="51"/>
      <c r="H67" s="51"/>
      <c r="I67" s="51"/>
      <c r="J67" s="51"/>
      <c r="K67" s="51"/>
      <c r="L67" s="51"/>
      <c r="M67" s="51"/>
      <c r="N67" s="51"/>
      <c r="O67" s="51"/>
      <c r="P67" s="51"/>
      <c r="Q67" s="51"/>
      <c r="R67" s="51"/>
      <c r="S67" s="51"/>
      <c r="T67" s="51"/>
      <c r="U67" s="51"/>
      <c r="V67" s="51"/>
      <c r="W67" s="51"/>
    </row>
    <row r="68" spans="1:23" ht="15.75" customHeight="1">
      <c r="A68" s="51"/>
      <c r="B68" s="51"/>
      <c r="C68" s="51"/>
      <c r="D68" s="51"/>
      <c r="E68" s="51"/>
      <c r="F68" s="51"/>
      <c r="G68" s="51"/>
      <c r="H68" s="51"/>
      <c r="I68" s="51"/>
      <c r="J68" s="51"/>
      <c r="K68" s="51"/>
      <c r="L68" s="51"/>
      <c r="M68" s="51"/>
      <c r="N68" s="51"/>
      <c r="O68" s="51"/>
      <c r="P68" s="51"/>
      <c r="Q68" s="51"/>
      <c r="R68" s="51"/>
      <c r="S68" s="51"/>
      <c r="T68" s="51"/>
      <c r="U68" s="51"/>
      <c r="V68" s="51"/>
      <c r="W68" s="51"/>
    </row>
    <row r="69" spans="1:23" ht="15.75" customHeight="1">
      <c r="A69" s="51"/>
      <c r="B69" s="51"/>
      <c r="C69" s="51"/>
      <c r="D69" s="51"/>
      <c r="E69" s="51"/>
      <c r="F69" s="51"/>
      <c r="G69" s="51"/>
      <c r="H69" s="51"/>
      <c r="I69" s="51"/>
      <c r="J69" s="51"/>
      <c r="K69" s="51"/>
      <c r="L69" s="51"/>
      <c r="M69" s="51"/>
      <c r="N69" s="51"/>
      <c r="O69" s="51"/>
      <c r="P69" s="51"/>
      <c r="Q69" s="51"/>
      <c r="R69" s="51"/>
      <c r="S69" s="51"/>
      <c r="T69" s="51"/>
      <c r="U69" s="51"/>
      <c r="V69" s="51"/>
      <c r="W69" s="51"/>
    </row>
    <row r="70" spans="1:23" ht="15.75" customHeight="1">
      <c r="A70" s="51"/>
      <c r="B70" s="51"/>
      <c r="C70" s="51"/>
      <c r="D70" s="51"/>
      <c r="E70" s="51"/>
      <c r="F70" s="51"/>
      <c r="G70" s="51"/>
      <c r="H70" s="51"/>
      <c r="I70" s="51"/>
      <c r="J70" s="51"/>
      <c r="K70" s="51"/>
      <c r="L70" s="51"/>
      <c r="M70" s="51"/>
      <c r="N70" s="51"/>
      <c r="O70" s="51"/>
      <c r="P70" s="51"/>
      <c r="Q70" s="51"/>
      <c r="R70" s="51"/>
      <c r="S70" s="51"/>
      <c r="T70" s="51"/>
      <c r="U70" s="51"/>
      <c r="V70" s="51"/>
      <c r="W70" s="51"/>
    </row>
    <row r="71" spans="1:23" ht="15.75" customHeight="1">
      <c r="A71" s="51"/>
      <c r="B71" s="51"/>
      <c r="C71" s="51"/>
      <c r="D71" s="51"/>
      <c r="E71" s="51"/>
      <c r="F71" s="51"/>
      <c r="G71" s="51"/>
      <c r="H71" s="51"/>
      <c r="I71" s="51"/>
      <c r="J71" s="51"/>
      <c r="K71" s="51"/>
      <c r="L71" s="51"/>
      <c r="M71" s="51"/>
      <c r="N71" s="51"/>
      <c r="O71" s="51"/>
      <c r="P71" s="51"/>
      <c r="Q71" s="51"/>
      <c r="R71" s="51"/>
      <c r="S71" s="51"/>
      <c r="T71" s="51"/>
      <c r="U71" s="51"/>
      <c r="V71" s="51"/>
      <c r="W71" s="51"/>
    </row>
    <row r="72" spans="1:23" ht="15.75" customHeight="1">
      <c r="A72" s="51"/>
      <c r="B72" s="51"/>
      <c r="C72" s="51"/>
      <c r="D72" s="51"/>
      <c r="E72" s="51"/>
      <c r="F72" s="51"/>
      <c r="G72" s="51"/>
      <c r="H72" s="51"/>
      <c r="I72" s="51"/>
      <c r="J72" s="51"/>
      <c r="K72" s="51"/>
      <c r="L72" s="51"/>
      <c r="M72" s="51"/>
      <c r="N72" s="51"/>
      <c r="O72" s="51"/>
      <c r="P72" s="51"/>
      <c r="Q72" s="51"/>
      <c r="R72" s="51"/>
      <c r="S72" s="51"/>
      <c r="T72" s="51"/>
      <c r="U72" s="51"/>
      <c r="V72" s="51"/>
      <c r="W72" s="51"/>
    </row>
    <row r="73" spans="1:23" ht="15.75" customHeight="1">
      <c r="A73" s="51"/>
      <c r="B73" s="51"/>
      <c r="C73" s="51"/>
      <c r="D73" s="51"/>
      <c r="E73" s="51"/>
      <c r="F73" s="51"/>
      <c r="G73" s="51"/>
      <c r="H73" s="51"/>
      <c r="I73" s="51"/>
      <c r="J73" s="51"/>
      <c r="K73" s="51"/>
      <c r="L73" s="51"/>
      <c r="M73" s="51"/>
      <c r="N73" s="51"/>
      <c r="O73" s="51"/>
      <c r="P73" s="51"/>
      <c r="Q73" s="51"/>
      <c r="R73" s="51"/>
      <c r="S73" s="51"/>
      <c r="T73" s="51"/>
      <c r="U73" s="51"/>
      <c r="V73" s="51"/>
      <c r="W73" s="51"/>
    </row>
    <row r="74" spans="1:23" ht="15.75" customHeight="1">
      <c r="A74" s="51"/>
      <c r="B74" s="51"/>
      <c r="C74" s="51"/>
      <c r="D74" s="51"/>
      <c r="E74" s="51"/>
      <c r="F74" s="51"/>
      <c r="G74" s="51"/>
      <c r="H74" s="51"/>
      <c r="I74" s="51"/>
      <c r="J74" s="51"/>
      <c r="K74" s="51"/>
      <c r="L74" s="51"/>
      <c r="M74" s="51"/>
      <c r="N74" s="51"/>
      <c r="O74" s="51"/>
      <c r="P74" s="51"/>
      <c r="Q74" s="51"/>
      <c r="R74" s="51"/>
      <c r="S74" s="51"/>
      <c r="T74" s="51"/>
      <c r="U74" s="51"/>
      <c r="V74" s="51"/>
      <c r="W74" s="51"/>
    </row>
    <row r="75" spans="1:23" ht="15.75" customHeight="1">
      <c r="A75" s="51"/>
      <c r="B75" s="51"/>
      <c r="C75" s="51"/>
      <c r="D75" s="51"/>
      <c r="E75" s="51"/>
      <c r="F75" s="51"/>
      <c r="G75" s="51"/>
      <c r="H75" s="51"/>
      <c r="I75" s="51"/>
      <c r="J75" s="51"/>
      <c r="K75" s="51"/>
      <c r="L75" s="51"/>
      <c r="M75" s="51"/>
      <c r="N75" s="51"/>
      <c r="O75" s="51"/>
      <c r="P75" s="51"/>
      <c r="Q75" s="51"/>
      <c r="R75" s="51"/>
      <c r="S75" s="51"/>
      <c r="T75" s="51"/>
      <c r="U75" s="51"/>
      <c r="V75" s="51"/>
      <c r="W75" s="51"/>
    </row>
    <row r="76" spans="1:23" ht="15.75" customHeight="1">
      <c r="A76" s="51"/>
      <c r="B76" s="51"/>
      <c r="C76" s="51"/>
      <c r="D76" s="51"/>
      <c r="E76" s="51"/>
      <c r="F76" s="51"/>
      <c r="G76" s="51"/>
      <c r="H76" s="51"/>
      <c r="I76" s="51"/>
      <c r="J76" s="51"/>
      <c r="K76" s="51"/>
      <c r="L76" s="51"/>
      <c r="M76" s="51"/>
      <c r="N76" s="51"/>
      <c r="O76" s="51"/>
      <c r="P76" s="51"/>
      <c r="Q76" s="51"/>
      <c r="R76" s="51"/>
      <c r="S76" s="51"/>
      <c r="T76" s="51"/>
      <c r="U76" s="51"/>
      <c r="V76" s="51"/>
      <c r="W76" s="51"/>
    </row>
    <row r="77" spans="1:23" ht="15.75" customHeight="1">
      <c r="A77" s="51"/>
      <c r="B77" s="51"/>
      <c r="C77" s="51"/>
      <c r="D77" s="51"/>
      <c r="E77" s="51"/>
      <c r="F77" s="51"/>
      <c r="G77" s="51"/>
      <c r="H77" s="51"/>
      <c r="I77" s="51"/>
      <c r="J77" s="51"/>
      <c r="K77" s="51"/>
      <c r="L77" s="51"/>
      <c r="M77" s="51"/>
      <c r="N77" s="51"/>
      <c r="O77" s="51"/>
      <c r="P77" s="51"/>
      <c r="Q77" s="51"/>
      <c r="R77" s="51"/>
      <c r="S77" s="51"/>
      <c r="T77" s="51"/>
      <c r="U77" s="51"/>
      <c r="V77" s="51"/>
      <c r="W77" s="51"/>
    </row>
    <row r="78" spans="1:23" ht="15.75" customHeight="1">
      <c r="A78" s="51"/>
      <c r="B78" s="51"/>
      <c r="C78" s="51"/>
      <c r="D78" s="51"/>
      <c r="E78" s="51"/>
      <c r="F78" s="51"/>
      <c r="G78" s="51"/>
      <c r="H78" s="51"/>
      <c r="I78" s="51"/>
      <c r="J78" s="51"/>
      <c r="K78" s="51"/>
      <c r="L78" s="51"/>
      <c r="M78" s="51"/>
      <c r="N78" s="51"/>
      <c r="O78" s="51"/>
      <c r="P78" s="51"/>
      <c r="Q78" s="51"/>
      <c r="R78" s="51"/>
      <c r="S78" s="51"/>
      <c r="T78" s="51"/>
      <c r="U78" s="51"/>
      <c r="V78" s="51"/>
      <c r="W78" s="51"/>
    </row>
    <row r="79" spans="1:23" ht="15.75" customHeight="1">
      <c r="A79" s="51"/>
      <c r="B79" s="51"/>
      <c r="C79" s="51"/>
      <c r="D79" s="51"/>
      <c r="E79" s="51"/>
      <c r="F79" s="51"/>
      <c r="G79" s="51"/>
      <c r="H79" s="51"/>
      <c r="I79" s="51"/>
      <c r="J79" s="51"/>
      <c r="K79" s="51"/>
      <c r="L79" s="51"/>
      <c r="M79" s="51"/>
      <c r="N79" s="51"/>
      <c r="O79" s="51"/>
      <c r="P79" s="51"/>
      <c r="Q79" s="51"/>
      <c r="R79" s="51"/>
      <c r="S79" s="51"/>
      <c r="T79" s="51"/>
      <c r="U79" s="51"/>
      <c r="V79" s="51"/>
      <c r="W79" s="51"/>
    </row>
    <row r="80" spans="1:23" ht="15.75" customHeight="1">
      <c r="A80" s="51"/>
      <c r="B80" s="51"/>
      <c r="C80" s="51"/>
      <c r="D80" s="51"/>
      <c r="E80" s="51"/>
      <c r="F80" s="51"/>
      <c r="G80" s="51"/>
      <c r="H80" s="51"/>
      <c r="I80" s="51"/>
      <c r="J80" s="51"/>
      <c r="K80" s="51"/>
      <c r="L80" s="51"/>
      <c r="M80" s="51"/>
      <c r="N80" s="51"/>
      <c r="O80" s="51"/>
      <c r="P80" s="51"/>
      <c r="Q80" s="51"/>
      <c r="R80" s="51"/>
      <c r="S80" s="51"/>
      <c r="T80" s="51"/>
      <c r="U80" s="51"/>
      <c r="V80" s="51"/>
      <c r="W80" s="51"/>
    </row>
    <row r="81" spans="1:23" ht="15.75" customHeight="1">
      <c r="A81" s="51"/>
      <c r="B81" s="51"/>
      <c r="C81" s="51"/>
      <c r="D81" s="51"/>
      <c r="E81" s="51"/>
      <c r="F81" s="51"/>
      <c r="G81" s="51"/>
      <c r="H81" s="51"/>
      <c r="I81" s="51"/>
      <c r="J81" s="51"/>
      <c r="K81" s="51"/>
      <c r="L81" s="51"/>
      <c r="M81" s="51"/>
      <c r="N81" s="51"/>
      <c r="O81" s="51"/>
      <c r="P81" s="51"/>
      <c r="Q81" s="51"/>
      <c r="R81" s="51"/>
      <c r="S81" s="51"/>
      <c r="T81" s="51"/>
      <c r="U81" s="51"/>
      <c r="V81" s="51"/>
      <c r="W81" s="51"/>
    </row>
    <row r="82" spans="1:23" ht="15.75" customHeight="1">
      <c r="A82" s="51"/>
      <c r="B82" s="51"/>
      <c r="C82" s="51"/>
      <c r="D82" s="51"/>
      <c r="E82" s="51"/>
      <c r="F82" s="51"/>
      <c r="G82" s="51"/>
      <c r="H82" s="51"/>
      <c r="I82" s="51"/>
      <c r="J82" s="51"/>
      <c r="K82" s="51"/>
      <c r="L82" s="51"/>
      <c r="M82" s="51"/>
      <c r="N82" s="51"/>
      <c r="O82" s="51"/>
      <c r="P82" s="51"/>
      <c r="Q82" s="51"/>
      <c r="R82" s="51"/>
      <c r="S82" s="51"/>
      <c r="T82" s="51"/>
      <c r="U82" s="51"/>
      <c r="V82" s="51"/>
      <c r="W82" s="51"/>
    </row>
    <row r="83" spans="1:23" ht="15.75" customHeight="1">
      <c r="A83" s="51"/>
      <c r="B83" s="51"/>
      <c r="C83" s="51"/>
      <c r="D83" s="51"/>
      <c r="E83" s="51"/>
      <c r="F83" s="51"/>
      <c r="G83" s="51"/>
      <c r="H83" s="51"/>
      <c r="I83" s="51"/>
      <c r="J83" s="51"/>
      <c r="K83" s="51"/>
      <c r="L83" s="51"/>
      <c r="M83" s="51"/>
      <c r="N83" s="51"/>
      <c r="O83" s="51"/>
      <c r="P83" s="51"/>
      <c r="Q83" s="51"/>
      <c r="R83" s="51"/>
      <c r="S83" s="51"/>
      <c r="T83" s="51"/>
      <c r="U83" s="51"/>
      <c r="V83" s="51"/>
      <c r="W83" s="51"/>
    </row>
    <row r="84" spans="1:23" ht="15.75" customHeight="1">
      <c r="A84" s="51"/>
      <c r="B84" s="51"/>
      <c r="C84" s="51"/>
      <c r="D84" s="51"/>
      <c r="E84" s="51"/>
      <c r="F84" s="51"/>
      <c r="G84" s="51"/>
      <c r="H84" s="51"/>
      <c r="I84" s="51"/>
      <c r="J84" s="51"/>
      <c r="K84" s="51"/>
      <c r="L84" s="51"/>
      <c r="M84" s="51"/>
      <c r="N84" s="51"/>
      <c r="O84" s="51"/>
      <c r="P84" s="51"/>
      <c r="Q84" s="51"/>
      <c r="R84" s="51"/>
      <c r="S84" s="51"/>
      <c r="T84" s="51"/>
      <c r="U84" s="51"/>
      <c r="V84" s="51"/>
      <c r="W84" s="51"/>
    </row>
    <row r="85" spans="1:23" ht="15.75" customHeight="1">
      <c r="A85" s="51"/>
      <c r="B85" s="51"/>
      <c r="C85" s="51"/>
      <c r="D85" s="51"/>
      <c r="E85" s="51"/>
      <c r="F85" s="51"/>
      <c r="G85" s="51"/>
      <c r="H85" s="51"/>
      <c r="I85" s="51"/>
      <c r="J85" s="51"/>
      <c r="K85" s="51"/>
      <c r="L85" s="51"/>
      <c r="M85" s="51"/>
      <c r="N85" s="51"/>
      <c r="O85" s="51"/>
      <c r="P85" s="51"/>
      <c r="Q85" s="51"/>
      <c r="R85" s="51"/>
      <c r="S85" s="51"/>
      <c r="T85" s="51"/>
      <c r="U85" s="51"/>
      <c r="V85" s="51"/>
      <c r="W85" s="51"/>
    </row>
    <row r="86" spans="1:23" ht="15.75" customHeight="1">
      <c r="A86" s="51"/>
      <c r="B86" s="51"/>
      <c r="C86" s="51"/>
      <c r="D86" s="51"/>
      <c r="E86" s="51"/>
      <c r="F86" s="51"/>
      <c r="G86" s="51"/>
      <c r="H86" s="51"/>
      <c r="I86" s="51"/>
      <c r="J86" s="51"/>
      <c r="K86" s="51"/>
      <c r="L86" s="51"/>
      <c r="M86" s="51"/>
      <c r="N86" s="51"/>
      <c r="O86" s="51"/>
      <c r="P86" s="51"/>
      <c r="Q86" s="51"/>
      <c r="R86" s="51"/>
      <c r="S86" s="51"/>
      <c r="T86" s="51"/>
      <c r="U86" s="51"/>
      <c r="V86" s="51"/>
      <c r="W86" s="51"/>
    </row>
    <row r="87" spans="1:23" ht="15.75" customHeight="1">
      <c r="A87" s="51"/>
      <c r="B87" s="51"/>
      <c r="C87" s="51"/>
      <c r="D87" s="51"/>
      <c r="E87" s="51"/>
      <c r="F87" s="51"/>
      <c r="G87" s="51"/>
      <c r="H87" s="51"/>
      <c r="I87" s="51"/>
      <c r="J87" s="51"/>
      <c r="K87" s="51"/>
      <c r="L87" s="51"/>
      <c r="M87" s="51"/>
      <c r="N87" s="51"/>
      <c r="O87" s="51"/>
      <c r="P87" s="51"/>
      <c r="Q87" s="51"/>
      <c r="R87" s="51"/>
      <c r="S87" s="51"/>
      <c r="T87" s="51"/>
      <c r="U87" s="51"/>
      <c r="V87" s="51"/>
      <c r="W87" s="51"/>
    </row>
    <row r="88" spans="1:23" ht="15.75" customHeight="1">
      <c r="A88" s="51"/>
      <c r="B88" s="51"/>
      <c r="C88" s="51"/>
      <c r="D88" s="51"/>
      <c r="E88" s="51"/>
      <c r="F88" s="51"/>
      <c r="G88" s="51"/>
      <c r="H88" s="51"/>
      <c r="I88" s="51"/>
      <c r="J88" s="51"/>
      <c r="K88" s="51"/>
      <c r="L88" s="51"/>
      <c r="M88" s="51"/>
      <c r="N88" s="51"/>
      <c r="O88" s="51"/>
      <c r="P88" s="51"/>
      <c r="Q88" s="51"/>
      <c r="R88" s="51"/>
      <c r="S88" s="51"/>
      <c r="T88" s="51"/>
      <c r="U88" s="51"/>
      <c r="V88" s="51"/>
      <c r="W88" s="51"/>
    </row>
    <row r="89" spans="1:23" ht="15.75" customHeight="1">
      <c r="A89" s="51"/>
      <c r="B89" s="51"/>
      <c r="C89" s="51"/>
      <c r="D89" s="51"/>
      <c r="E89" s="51"/>
      <c r="F89" s="51"/>
      <c r="G89" s="51"/>
      <c r="H89" s="51"/>
      <c r="I89" s="51"/>
      <c r="J89" s="51"/>
      <c r="K89" s="51"/>
      <c r="L89" s="51"/>
      <c r="M89" s="51"/>
      <c r="N89" s="51"/>
      <c r="O89" s="51"/>
      <c r="P89" s="51"/>
      <c r="Q89" s="51"/>
      <c r="R89" s="51"/>
      <c r="S89" s="51"/>
      <c r="T89" s="51"/>
      <c r="U89" s="51"/>
      <c r="V89" s="51"/>
      <c r="W89" s="51"/>
    </row>
    <row r="90" spans="1:23" ht="15.75" customHeight="1">
      <c r="A90" s="51"/>
      <c r="B90" s="51"/>
      <c r="C90" s="51"/>
      <c r="D90" s="51"/>
      <c r="E90" s="51"/>
      <c r="F90" s="51"/>
      <c r="G90" s="51"/>
      <c r="H90" s="51"/>
      <c r="I90" s="51"/>
      <c r="J90" s="51"/>
      <c r="K90" s="51"/>
      <c r="L90" s="51"/>
      <c r="M90" s="51"/>
      <c r="N90" s="51"/>
      <c r="O90" s="51"/>
      <c r="P90" s="51"/>
      <c r="Q90" s="51"/>
      <c r="R90" s="51"/>
      <c r="S90" s="51"/>
      <c r="T90" s="51"/>
      <c r="U90" s="51"/>
      <c r="V90" s="51"/>
      <c r="W90" s="51"/>
    </row>
    <row r="91" spans="1:23" ht="15.75" customHeight="1">
      <c r="A91" s="51"/>
      <c r="B91" s="51"/>
      <c r="C91" s="51"/>
      <c r="D91" s="51"/>
      <c r="E91" s="51"/>
      <c r="F91" s="51"/>
      <c r="G91" s="51"/>
      <c r="H91" s="51"/>
      <c r="I91" s="51"/>
      <c r="J91" s="51"/>
      <c r="K91" s="51"/>
      <c r="L91" s="51"/>
      <c r="M91" s="51"/>
      <c r="N91" s="51"/>
      <c r="O91" s="51"/>
      <c r="P91" s="51"/>
      <c r="Q91" s="51"/>
      <c r="R91" s="51"/>
      <c r="S91" s="51"/>
      <c r="T91" s="51"/>
      <c r="U91" s="51"/>
      <c r="V91" s="51"/>
      <c r="W91" s="51"/>
    </row>
    <row r="92" spans="1:23" ht="15.75" customHeight="1">
      <c r="A92" s="51"/>
      <c r="B92" s="51"/>
      <c r="C92" s="51"/>
      <c r="D92" s="51"/>
      <c r="E92" s="51"/>
      <c r="F92" s="51"/>
      <c r="G92" s="51"/>
      <c r="H92" s="51"/>
      <c r="I92" s="51"/>
      <c r="J92" s="51"/>
      <c r="K92" s="51"/>
      <c r="L92" s="51"/>
      <c r="M92" s="51"/>
      <c r="N92" s="51"/>
      <c r="O92" s="51"/>
      <c r="P92" s="51"/>
      <c r="Q92" s="51"/>
      <c r="R92" s="51"/>
      <c r="S92" s="51"/>
      <c r="T92" s="51"/>
      <c r="U92" s="51"/>
      <c r="V92" s="51"/>
      <c r="W92" s="51"/>
    </row>
    <row r="93" spans="1:23" ht="15.75" customHeight="1">
      <c r="A93" s="51"/>
      <c r="B93" s="51"/>
      <c r="C93" s="51"/>
      <c r="D93" s="51"/>
      <c r="E93" s="51"/>
      <c r="F93" s="51"/>
      <c r="G93" s="51"/>
      <c r="H93" s="51"/>
      <c r="I93" s="51"/>
      <c r="J93" s="51"/>
      <c r="K93" s="51"/>
      <c r="L93" s="51"/>
      <c r="M93" s="51"/>
      <c r="N93" s="51"/>
      <c r="O93" s="51"/>
      <c r="P93" s="51"/>
      <c r="Q93" s="51"/>
      <c r="R93" s="51"/>
      <c r="S93" s="51"/>
      <c r="T93" s="51"/>
      <c r="U93" s="51"/>
      <c r="V93" s="51"/>
      <c r="W93" s="51"/>
    </row>
    <row r="94" spans="1:23" ht="15.75" customHeight="1">
      <c r="A94" s="51"/>
      <c r="B94" s="51"/>
      <c r="C94" s="51"/>
      <c r="D94" s="51"/>
      <c r="E94" s="51"/>
      <c r="F94" s="51"/>
      <c r="G94" s="51"/>
      <c r="H94" s="51"/>
      <c r="I94" s="51"/>
      <c r="J94" s="51"/>
      <c r="K94" s="51"/>
      <c r="L94" s="51"/>
      <c r="M94" s="51"/>
      <c r="N94" s="51"/>
      <c r="O94" s="51"/>
      <c r="P94" s="51"/>
      <c r="Q94" s="51"/>
      <c r="R94" s="51"/>
      <c r="S94" s="51"/>
      <c r="T94" s="51"/>
      <c r="U94" s="51"/>
      <c r="V94" s="51"/>
      <c r="W94" s="51"/>
    </row>
    <row r="95" spans="1:23" ht="15.75" customHeight="1">
      <c r="A95" s="51"/>
      <c r="B95" s="51"/>
      <c r="C95" s="51"/>
      <c r="D95" s="51"/>
      <c r="E95" s="51"/>
      <c r="F95" s="51"/>
      <c r="G95" s="51"/>
      <c r="H95" s="51"/>
      <c r="I95" s="51"/>
      <c r="J95" s="51"/>
      <c r="K95" s="51"/>
      <c r="L95" s="51"/>
      <c r="M95" s="51"/>
      <c r="N95" s="51"/>
      <c r="O95" s="51"/>
      <c r="P95" s="51"/>
      <c r="Q95" s="51"/>
      <c r="R95" s="51"/>
      <c r="S95" s="51"/>
      <c r="T95" s="51"/>
      <c r="U95" s="51"/>
      <c r="V95" s="51"/>
      <c r="W95" s="51"/>
    </row>
    <row r="96" spans="1:23" ht="15.75" customHeight="1">
      <c r="A96" s="51"/>
      <c r="B96" s="51"/>
      <c r="C96" s="51"/>
      <c r="D96" s="51"/>
      <c r="E96" s="51"/>
      <c r="F96" s="51"/>
      <c r="G96" s="51"/>
      <c r="H96" s="51"/>
      <c r="I96" s="51"/>
      <c r="J96" s="51"/>
      <c r="K96" s="51"/>
      <c r="L96" s="51"/>
      <c r="M96" s="51"/>
      <c r="N96" s="51"/>
      <c r="O96" s="51"/>
      <c r="P96" s="51"/>
      <c r="Q96" s="51"/>
      <c r="R96" s="51"/>
      <c r="S96" s="51"/>
      <c r="T96" s="51"/>
      <c r="U96" s="51"/>
      <c r="V96" s="51"/>
      <c r="W96" s="51"/>
    </row>
    <row r="97" spans="1:23" ht="15.75" customHeight="1">
      <c r="A97" s="51"/>
      <c r="B97" s="51"/>
      <c r="C97" s="51"/>
      <c r="D97" s="51"/>
      <c r="E97" s="51"/>
      <c r="F97" s="51"/>
      <c r="G97" s="51"/>
      <c r="H97" s="51"/>
      <c r="I97" s="51"/>
      <c r="J97" s="51"/>
      <c r="K97" s="51"/>
      <c r="L97" s="51"/>
      <c r="M97" s="51"/>
      <c r="N97" s="51"/>
      <c r="O97" s="51"/>
      <c r="P97" s="51"/>
      <c r="Q97" s="51"/>
      <c r="R97" s="51"/>
      <c r="S97" s="51"/>
      <c r="T97" s="51"/>
      <c r="U97" s="51"/>
      <c r="V97" s="51"/>
      <c r="W97" s="51"/>
    </row>
    <row r="98" spans="1:23" ht="15.75" customHeight="1">
      <c r="A98" s="51"/>
      <c r="B98" s="51"/>
      <c r="C98" s="51"/>
      <c r="D98" s="51"/>
      <c r="E98" s="51"/>
      <c r="F98" s="51"/>
      <c r="G98" s="51"/>
      <c r="H98" s="51"/>
      <c r="I98" s="51"/>
      <c r="J98" s="51"/>
      <c r="K98" s="51"/>
      <c r="L98" s="51"/>
      <c r="M98" s="51"/>
      <c r="N98" s="51"/>
      <c r="O98" s="51"/>
      <c r="P98" s="51"/>
      <c r="Q98" s="51"/>
      <c r="R98" s="51"/>
      <c r="S98" s="51"/>
      <c r="T98" s="51"/>
      <c r="U98" s="51"/>
      <c r="V98" s="51"/>
      <c r="W98" s="51"/>
    </row>
    <row r="99" spans="1:23" ht="15.75" customHeight="1">
      <c r="A99" s="51"/>
      <c r="B99" s="51"/>
      <c r="C99" s="51"/>
      <c r="D99" s="51"/>
      <c r="E99" s="51"/>
      <c r="F99" s="51"/>
      <c r="G99" s="51"/>
      <c r="H99" s="51"/>
      <c r="I99" s="51"/>
      <c r="J99" s="51"/>
      <c r="K99" s="51"/>
      <c r="L99" s="51"/>
      <c r="M99" s="51"/>
      <c r="N99" s="51"/>
      <c r="O99" s="51"/>
      <c r="P99" s="51"/>
      <c r="Q99" s="51"/>
      <c r="R99" s="51"/>
      <c r="S99" s="51"/>
      <c r="T99" s="51"/>
      <c r="U99" s="51"/>
      <c r="V99" s="51"/>
      <c r="W99" s="51"/>
    </row>
    <row r="100" spans="1:23" ht="15.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row>
    <row r="101" spans="1:23" ht="15.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row>
    <row r="102" spans="1:23" ht="15.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row>
    <row r="103" spans="1:23" ht="15.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row>
    <row r="104" spans="1:23" ht="15.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row>
    <row r="105" spans="1:23" ht="15.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row>
    <row r="106" spans="1:23" ht="15.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row>
    <row r="107" spans="1:23" ht="15.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row>
    <row r="108" spans="1:23" ht="15.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row>
    <row r="109" spans="1:23" ht="15.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row>
    <row r="110" spans="1:23" ht="15.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row>
    <row r="111" spans="1:23" ht="15.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row>
    <row r="112" spans="1:23" ht="15.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row>
    <row r="113" spans="1:23" ht="15.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row>
    <row r="114" spans="1:23" ht="15.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row>
    <row r="115" spans="1:23" ht="15.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row>
    <row r="116" spans="1:23" ht="15.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row>
    <row r="117" spans="1:23" ht="15.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row>
    <row r="118" spans="1:23" ht="15.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row>
    <row r="119" spans="1:23" ht="15.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row>
    <row r="120" spans="1:23" ht="15.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row>
    <row r="121" spans="1:23" ht="15.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row>
    <row r="122" spans="1:23" ht="15.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row>
    <row r="123" spans="1:23" ht="15.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row>
    <row r="124" spans="1:23" ht="15.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row>
    <row r="125" spans="1:23" ht="15.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row>
    <row r="126" spans="1:23" ht="15.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row>
    <row r="127" spans="1:23" ht="15.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row>
    <row r="128" spans="1:23" ht="15.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row>
    <row r="129" spans="1:23" ht="15.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row>
    <row r="130" spans="1:23" ht="15.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row>
    <row r="131" spans="1:23" ht="15.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row>
    <row r="132" spans="1:23"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row>
    <row r="133" spans="1:2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row>
    <row r="134" spans="1:23" ht="15.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row>
    <row r="135" spans="1:23" ht="15.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row>
    <row r="136" spans="1:23" ht="15.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row>
    <row r="137" spans="1:23" ht="15.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row>
    <row r="138" spans="1:23" ht="15.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row>
    <row r="139" spans="1:23" ht="15.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row>
    <row r="140" spans="1:23" ht="15.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row>
    <row r="141" spans="1:23" ht="15.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row>
    <row r="142" spans="1:23" ht="15.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row>
    <row r="143" spans="1:23" ht="15.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row>
    <row r="144" spans="1:23" ht="15.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row>
    <row r="145" spans="1:23" ht="15.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row>
    <row r="146" spans="1:23" ht="15.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row>
    <row r="147" spans="1:23" ht="15.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row>
    <row r="148" spans="1:23" ht="15.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row>
    <row r="149" spans="1:23" ht="15.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row>
    <row r="150" spans="1:23" ht="15.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row>
    <row r="151" spans="1:23" ht="15.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row>
    <row r="152" spans="1:23" ht="15.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row>
    <row r="153" spans="1:23" ht="15.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row>
    <row r="154" spans="1:23" ht="15.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row>
    <row r="155" spans="1:23" ht="15.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row>
    <row r="156" spans="1:23" ht="15.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row>
    <row r="157" spans="1:23" ht="15.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row>
    <row r="158" spans="1:23" ht="15.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row>
    <row r="159" spans="1:23"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row>
    <row r="160" spans="1:23"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row>
    <row r="161" spans="1:23" ht="15.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row>
    <row r="162" spans="1:23" ht="15.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row>
    <row r="163" spans="1:23" ht="15.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row>
    <row r="164" spans="1:23" ht="15.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row>
    <row r="165" spans="1:23" ht="15.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row>
    <row r="166" spans="1:23" ht="15.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row>
    <row r="167" spans="1:23" ht="15.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row>
    <row r="168" spans="1:23" ht="15.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row>
    <row r="169" spans="1:23" ht="15.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row>
    <row r="170" spans="1:23" ht="15.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row>
    <row r="171" spans="1:23" ht="15.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row>
    <row r="172" spans="1:23" ht="15.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row>
    <row r="173" spans="1:23" ht="15.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row>
    <row r="174" spans="1:23" ht="15.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row>
    <row r="175" spans="1:23" ht="15.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row>
    <row r="176" spans="1:23" ht="15.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row>
    <row r="177" spans="1:23" ht="15.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row>
    <row r="178" spans="1:23" ht="15.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row>
    <row r="179" spans="1:23" ht="15.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row>
    <row r="180" spans="1:23" ht="15.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row>
    <row r="181" spans="1:23" ht="15.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row>
    <row r="182" spans="1:23" ht="15.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row>
    <row r="183" spans="1:23" ht="15.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row>
    <row r="184" spans="1:23" ht="15.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row>
    <row r="185" spans="1:23" ht="15.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row>
    <row r="186" spans="1:23" ht="15.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row>
    <row r="187" spans="1:23" ht="15.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row>
    <row r="188" spans="1:23" ht="15.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row>
    <row r="189" spans="1:23" ht="15.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row>
    <row r="190" spans="1:23" ht="15.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row>
    <row r="191" spans="1:23" ht="15.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row>
    <row r="192" spans="1:23" ht="15.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row>
    <row r="193" spans="1:23" ht="15.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row>
    <row r="194" spans="1:23" ht="15.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row>
    <row r="195" spans="1:23" ht="15.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row>
    <row r="196" spans="1:23" ht="15.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row>
    <row r="197" spans="1:23" ht="15.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row>
    <row r="198" spans="1:23" ht="15.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row>
    <row r="199" spans="1:23" ht="15.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row>
    <row r="200" spans="1:23" ht="15.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row>
    <row r="201" spans="1:23" ht="15.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row>
    <row r="202" spans="1:23" ht="15.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row>
    <row r="203" spans="1:23" ht="15.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row>
    <row r="204" spans="1:23" ht="15.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row>
    <row r="205" spans="1:23" ht="15.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row>
    <row r="206" spans="1:23" ht="15.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row>
    <row r="207" spans="1:23" ht="15.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row>
    <row r="208" spans="1:23" ht="15.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row>
    <row r="209" spans="1:23" ht="15.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row>
    <row r="210" spans="1:23" ht="15.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row>
    <row r="211" spans="1:23" ht="15.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row>
    <row r="212" spans="1:23" ht="15.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row>
    <row r="213" spans="1:23" ht="15.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row>
    <row r="214" spans="1:23" ht="15.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row>
    <row r="215" spans="1:23" ht="15.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row>
    <row r="216" spans="1:23" ht="15.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row>
    <row r="217" spans="1:23" ht="15.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row>
    <row r="218" spans="1:23" ht="15.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row>
    <row r="219" spans="1:23" ht="15.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row>
    <row r="220" spans="1:23" ht="15.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row>
    <row r="221" spans="1:23" ht="15.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row>
    <row r="222" spans="1:23" ht="15.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row>
    <row r="223" spans="1:23" ht="15.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row>
    <row r="224" spans="1:23" ht="15.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row>
    <row r="225" spans="1:23" ht="15.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row>
    <row r="226" spans="1:23" ht="15.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row>
    <row r="227" spans="1:23" ht="15.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row>
    <row r="228" spans="1:23"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row>
    <row r="229" spans="1:23"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row>
    <row r="230" spans="1:23"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row>
    <row r="231" spans="1:23"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row>
    <row r="232" spans="1:23"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row>
    <row r="233" spans="1:23" ht="15.75" customHeight="1">
      <c r="T233" s="51"/>
      <c r="U233" s="51"/>
      <c r="V233" s="51"/>
      <c r="W233" s="51"/>
    </row>
    <row r="234" spans="1:23" ht="15.75" customHeight="1">
      <c r="T234" s="51"/>
      <c r="U234" s="51"/>
      <c r="V234" s="51"/>
      <c r="W234" s="51"/>
    </row>
    <row r="235" spans="1:23" ht="15.75" customHeight="1">
      <c r="T235" s="51"/>
      <c r="U235" s="51"/>
      <c r="V235" s="51"/>
      <c r="W235" s="51"/>
    </row>
    <row r="236" spans="1:23" ht="15.75" customHeight="1">
      <c r="T236" s="51"/>
      <c r="U236" s="51"/>
      <c r="V236" s="51"/>
      <c r="W236" s="51"/>
    </row>
    <row r="237" spans="1:23" ht="15.75" customHeight="1">
      <c r="T237" s="51"/>
      <c r="U237" s="51"/>
      <c r="V237" s="51"/>
      <c r="W237" s="51"/>
    </row>
    <row r="238" spans="1:23" ht="15.75" customHeight="1">
      <c r="T238" s="51"/>
      <c r="U238" s="51"/>
      <c r="V238" s="51"/>
      <c r="W238" s="51"/>
    </row>
    <row r="239" spans="1:23" ht="15.75" customHeight="1">
      <c r="T239" s="51"/>
      <c r="U239" s="51"/>
      <c r="V239" s="51"/>
      <c r="W239" s="51"/>
    </row>
    <row r="240" spans="1:23" ht="15.75" customHeight="1">
      <c r="T240" s="51"/>
      <c r="U240" s="51"/>
      <c r="V240" s="51"/>
      <c r="W240" s="51"/>
    </row>
    <row r="241" spans="20:23" ht="15.75" customHeight="1">
      <c r="T241" s="51"/>
      <c r="U241" s="51"/>
      <c r="V241" s="51"/>
      <c r="W241" s="51"/>
    </row>
    <row r="242" spans="20:23" ht="15.75" customHeight="1">
      <c r="T242" s="51"/>
      <c r="U242" s="51"/>
      <c r="V242" s="51"/>
      <c r="W242" s="51"/>
    </row>
    <row r="243" spans="20:23" ht="15.75" customHeight="1">
      <c r="T243" s="51"/>
      <c r="U243" s="51"/>
      <c r="V243" s="51"/>
      <c r="W243" s="51"/>
    </row>
    <row r="244" spans="20:23" ht="15.75" customHeight="1">
      <c r="T244" s="51"/>
      <c r="U244" s="51"/>
      <c r="V244" s="51"/>
      <c r="W244" s="51"/>
    </row>
    <row r="245" spans="20:23" ht="15.75" customHeight="1">
      <c r="T245" s="51"/>
      <c r="U245" s="51"/>
      <c r="V245" s="51"/>
      <c r="W245" s="51"/>
    </row>
    <row r="246" spans="20:23" ht="15.75" customHeight="1">
      <c r="T246" s="51"/>
      <c r="U246" s="51"/>
      <c r="V246" s="51"/>
      <c r="W246" s="51"/>
    </row>
    <row r="247" spans="20:23" ht="15.75" customHeight="1">
      <c r="T247" s="51"/>
      <c r="U247" s="51"/>
      <c r="V247" s="51"/>
      <c r="W247" s="51"/>
    </row>
    <row r="248" spans="20:23" ht="15.75" customHeight="1">
      <c r="T248" s="51"/>
      <c r="U248" s="51"/>
      <c r="V248" s="51"/>
      <c r="W248" s="51"/>
    </row>
    <row r="249" spans="20:23" ht="15.75" customHeight="1">
      <c r="T249" s="51"/>
      <c r="U249" s="51"/>
      <c r="V249" s="51"/>
      <c r="W249" s="51"/>
    </row>
    <row r="250" spans="20:23" ht="15.75" customHeight="1">
      <c r="T250" s="51"/>
      <c r="U250" s="51"/>
      <c r="V250" s="51"/>
      <c r="W250" s="51"/>
    </row>
    <row r="251" spans="20:23" ht="15.75" customHeight="1">
      <c r="T251" s="51"/>
      <c r="U251" s="51"/>
      <c r="V251" s="51"/>
      <c r="W251" s="51"/>
    </row>
    <row r="252" spans="20:23" ht="15.75" customHeight="1">
      <c r="T252" s="51"/>
      <c r="U252" s="51"/>
      <c r="V252" s="51"/>
      <c r="W252" s="51"/>
    </row>
    <row r="253" spans="20:23" ht="15.75" customHeight="1">
      <c r="T253" s="51"/>
      <c r="U253" s="51"/>
      <c r="V253" s="51"/>
      <c r="W253" s="51"/>
    </row>
    <row r="254" spans="20:23" ht="15.75" customHeight="1">
      <c r="T254" s="51"/>
      <c r="U254" s="51"/>
      <c r="V254" s="51"/>
      <c r="W254" s="51"/>
    </row>
    <row r="255" spans="20:23" ht="15.75" customHeight="1">
      <c r="T255" s="51"/>
      <c r="U255" s="51"/>
      <c r="V255" s="51"/>
      <c r="W255" s="51"/>
    </row>
    <row r="256" spans="20:23" ht="15.75" customHeight="1">
      <c r="T256" s="51"/>
      <c r="U256" s="51"/>
      <c r="V256" s="51"/>
      <c r="W256" s="51"/>
    </row>
    <row r="257" spans="20:23" ht="15.75" customHeight="1">
      <c r="T257" s="51"/>
      <c r="U257" s="51"/>
      <c r="V257" s="51"/>
      <c r="W257" s="51"/>
    </row>
    <row r="258" spans="20:23" ht="15.75" customHeight="1">
      <c r="T258" s="51"/>
      <c r="U258" s="51"/>
      <c r="V258" s="51"/>
      <c r="W258" s="51"/>
    </row>
    <row r="259" spans="20:23" ht="15.75" customHeight="1">
      <c r="T259" s="51"/>
      <c r="U259" s="51"/>
      <c r="V259" s="51"/>
      <c r="W259" s="51"/>
    </row>
    <row r="260" spans="20:23" ht="15.75" customHeight="1">
      <c r="T260" s="51"/>
      <c r="U260" s="51"/>
      <c r="V260" s="51"/>
      <c r="W260" s="51"/>
    </row>
    <row r="261" spans="20:23" ht="15.75" customHeight="1">
      <c r="T261" s="51"/>
      <c r="U261" s="51"/>
      <c r="V261" s="51"/>
      <c r="W261" s="51"/>
    </row>
    <row r="262" spans="20:23" ht="15.75" customHeight="1">
      <c r="T262" s="51"/>
      <c r="U262" s="51"/>
      <c r="V262" s="51"/>
      <c r="W262" s="51"/>
    </row>
    <row r="263" spans="20:23" ht="15.75" customHeight="1">
      <c r="T263" s="51"/>
      <c r="U263" s="51"/>
      <c r="V263" s="51"/>
      <c r="W263" s="51"/>
    </row>
    <row r="264" spans="20:23" ht="15.75" customHeight="1">
      <c r="T264" s="51"/>
      <c r="U264" s="51"/>
      <c r="V264" s="51"/>
      <c r="W264" s="51"/>
    </row>
    <row r="265" spans="20:23" ht="15.75" customHeight="1">
      <c r="T265" s="51"/>
      <c r="U265" s="51"/>
      <c r="V265" s="51"/>
      <c r="W265" s="51"/>
    </row>
    <row r="266" spans="20:23" ht="15.75" customHeight="1">
      <c r="T266" s="51"/>
      <c r="U266" s="51"/>
      <c r="V266" s="51"/>
      <c r="W266" s="51"/>
    </row>
    <row r="267" spans="20:23" ht="15.75" customHeight="1">
      <c r="T267" s="51"/>
      <c r="U267" s="51"/>
      <c r="V267" s="51"/>
      <c r="W267" s="51"/>
    </row>
    <row r="268" spans="20:23" ht="15.75" customHeight="1">
      <c r="T268" s="51"/>
      <c r="U268" s="51"/>
      <c r="V268" s="51"/>
      <c r="W268" s="51"/>
    </row>
    <row r="269" spans="20:23" ht="15.75" customHeight="1">
      <c r="T269" s="51"/>
      <c r="U269" s="51"/>
      <c r="V269" s="51"/>
      <c r="W269" s="51"/>
    </row>
    <row r="270" spans="20:23" ht="15.75" customHeight="1">
      <c r="T270" s="51"/>
      <c r="U270" s="51"/>
      <c r="V270" s="51"/>
      <c r="W270" s="51"/>
    </row>
    <row r="271" spans="20:23" ht="15.75" customHeight="1">
      <c r="T271" s="51"/>
      <c r="U271" s="51"/>
      <c r="V271" s="51"/>
      <c r="W271" s="51"/>
    </row>
    <row r="272" spans="20:23" ht="15.75" customHeight="1">
      <c r="T272" s="51"/>
      <c r="U272" s="51"/>
      <c r="V272" s="51"/>
      <c r="W272" s="51"/>
    </row>
    <row r="273" spans="20:23" ht="15.75" customHeight="1">
      <c r="T273" s="51"/>
      <c r="U273" s="51"/>
      <c r="V273" s="51"/>
      <c r="W273" s="51"/>
    </row>
    <row r="274" spans="20:23" ht="15.75" customHeight="1">
      <c r="T274" s="51"/>
      <c r="U274" s="51"/>
      <c r="V274" s="51"/>
      <c r="W274" s="51"/>
    </row>
    <row r="275" spans="20:23" ht="15.75" customHeight="1">
      <c r="T275" s="51"/>
      <c r="U275" s="51"/>
      <c r="V275" s="51"/>
      <c r="W275" s="51"/>
    </row>
    <row r="276" spans="20:23" ht="15.75" customHeight="1">
      <c r="T276" s="51"/>
      <c r="U276" s="51"/>
      <c r="V276" s="51"/>
      <c r="W276" s="51"/>
    </row>
    <row r="277" spans="20:23" ht="15.75" customHeight="1">
      <c r="T277" s="51"/>
      <c r="U277" s="51"/>
      <c r="V277" s="51"/>
      <c r="W277" s="51"/>
    </row>
    <row r="278" spans="20:23" ht="15.75" customHeight="1">
      <c r="T278" s="51"/>
      <c r="U278" s="51"/>
      <c r="V278" s="51"/>
      <c r="W278" s="51"/>
    </row>
    <row r="279" spans="20:23" ht="15.75" customHeight="1">
      <c r="T279" s="51"/>
      <c r="U279" s="51"/>
      <c r="V279" s="51"/>
      <c r="W279" s="51"/>
    </row>
    <row r="280" spans="20:23" ht="15.75" customHeight="1">
      <c r="T280" s="51"/>
      <c r="U280" s="51"/>
      <c r="V280" s="51"/>
      <c r="W280" s="51"/>
    </row>
    <row r="281" spans="20:23" ht="15.75" customHeight="1">
      <c r="T281" s="51"/>
      <c r="U281" s="51"/>
      <c r="V281" s="51"/>
      <c r="W281" s="51"/>
    </row>
    <row r="282" spans="20:23" ht="15.75" customHeight="1">
      <c r="T282" s="51"/>
      <c r="U282" s="51"/>
      <c r="V282" s="51"/>
      <c r="W282" s="51"/>
    </row>
    <row r="283" spans="20:23" ht="15.75" customHeight="1">
      <c r="T283" s="51"/>
      <c r="U283" s="51"/>
      <c r="V283" s="51"/>
      <c r="W283" s="51"/>
    </row>
    <row r="284" spans="20:23" ht="15.75" customHeight="1">
      <c r="T284" s="51"/>
      <c r="U284" s="51"/>
      <c r="V284" s="51"/>
      <c r="W284" s="51"/>
    </row>
    <row r="285" spans="20:23" ht="15.75" customHeight="1">
      <c r="T285" s="51"/>
      <c r="U285" s="51"/>
      <c r="V285" s="51"/>
      <c r="W285" s="51"/>
    </row>
    <row r="286" spans="20:23" ht="15.75" customHeight="1">
      <c r="T286" s="51"/>
      <c r="U286" s="51"/>
      <c r="V286" s="51"/>
      <c r="W286" s="51"/>
    </row>
    <row r="287" spans="20:23" ht="15.75" customHeight="1">
      <c r="T287" s="51"/>
      <c r="U287" s="51"/>
      <c r="V287" s="51"/>
      <c r="W287" s="51"/>
    </row>
    <row r="288" spans="20:23" ht="15.75" customHeight="1">
      <c r="T288" s="51"/>
      <c r="U288" s="51"/>
      <c r="V288" s="51"/>
      <c r="W288" s="51"/>
    </row>
    <row r="289" spans="20:23" ht="15.75" customHeight="1">
      <c r="T289" s="51"/>
      <c r="U289" s="51"/>
      <c r="V289" s="51"/>
      <c r="W289" s="51"/>
    </row>
    <row r="290" spans="20:23" ht="15.75" customHeight="1">
      <c r="T290" s="51"/>
      <c r="U290" s="51"/>
      <c r="V290" s="51"/>
      <c r="W290" s="51"/>
    </row>
    <row r="291" spans="20:23" ht="15.75" customHeight="1">
      <c r="T291" s="51"/>
      <c r="U291" s="51"/>
      <c r="V291" s="51"/>
      <c r="W291" s="51"/>
    </row>
    <row r="292" spans="20:23" ht="15.75" customHeight="1">
      <c r="T292" s="51"/>
      <c r="U292" s="51"/>
      <c r="V292" s="51"/>
      <c r="W292" s="51"/>
    </row>
    <row r="293" spans="20:23" ht="15.75" customHeight="1">
      <c r="T293" s="51"/>
      <c r="U293" s="51"/>
      <c r="V293" s="51"/>
      <c r="W293" s="51"/>
    </row>
    <row r="294" spans="20:23" ht="15.75" customHeight="1">
      <c r="T294" s="51"/>
      <c r="U294" s="51"/>
      <c r="V294" s="51"/>
      <c r="W294" s="51"/>
    </row>
    <row r="295" spans="20:23" ht="15.75" customHeight="1">
      <c r="T295" s="51"/>
      <c r="U295" s="51"/>
      <c r="V295" s="51"/>
      <c r="W295" s="51"/>
    </row>
    <row r="296" spans="20:23" ht="15.75" customHeight="1">
      <c r="T296" s="51"/>
      <c r="U296" s="51"/>
      <c r="V296" s="51"/>
      <c r="W296" s="51"/>
    </row>
    <row r="297" spans="20:23" ht="15.75" customHeight="1">
      <c r="T297" s="51"/>
      <c r="U297" s="51"/>
      <c r="V297" s="51"/>
      <c r="W297" s="51"/>
    </row>
    <row r="298" spans="20:23" ht="15.75" customHeight="1">
      <c r="T298" s="51"/>
      <c r="U298" s="51"/>
      <c r="V298" s="51"/>
      <c r="W298" s="51"/>
    </row>
    <row r="299" spans="20:23" ht="15.75" customHeight="1">
      <c r="T299" s="51"/>
      <c r="U299" s="51"/>
      <c r="V299" s="51"/>
      <c r="W299" s="51"/>
    </row>
    <row r="300" spans="20:23" ht="15.75" customHeight="1">
      <c r="T300" s="51"/>
      <c r="U300" s="51"/>
      <c r="V300" s="51"/>
      <c r="W300" s="51"/>
    </row>
    <row r="301" spans="20:23" ht="15.75" customHeight="1">
      <c r="T301" s="51"/>
      <c r="U301" s="51"/>
      <c r="V301" s="51"/>
      <c r="W301" s="51"/>
    </row>
    <row r="302" spans="20:23" ht="15.75" customHeight="1">
      <c r="T302" s="51"/>
      <c r="U302" s="51"/>
      <c r="V302" s="51"/>
      <c r="W302" s="51"/>
    </row>
    <row r="303" spans="20:23" ht="15.75" customHeight="1">
      <c r="T303" s="51"/>
      <c r="U303" s="51"/>
      <c r="V303" s="51"/>
      <c r="W303" s="51"/>
    </row>
    <row r="304" spans="20:23" ht="15.75" customHeight="1">
      <c r="T304" s="51"/>
      <c r="U304" s="51"/>
      <c r="V304" s="51"/>
      <c r="W304" s="51"/>
    </row>
    <row r="305" spans="20:23" ht="15.75" customHeight="1">
      <c r="T305" s="51"/>
      <c r="U305" s="51"/>
      <c r="V305" s="51"/>
      <c r="W305" s="51"/>
    </row>
    <row r="306" spans="20:23" ht="15.75" customHeight="1">
      <c r="T306" s="51"/>
      <c r="U306" s="51"/>
      <c r="V306" s="51"/>
      <c r="W306" s="51"/>
    </row>
    <row r="307" spans="20:23" ht="15.75" customHeight="1">
      <c r="T307" s="51"/>
      <c r="U307" s="51"/>
      <c r="V307" s="51"/>
      <c r="W307" s="51"/>
    </row>
    <row r="308" spans="20:23" ht="15.75" customHeight="1">
      <c r="T308" s="51"/>
      <c r="U308" s="51"/>
      <c r="V308" s="51"/>
      <c r="W308" s="51"/>
    </row>
    <row r="309" spans="20:23" ht="15.75" customHeight="1">
      <c r="T309" s="51"/>
      <c r="U309" s="51"/>
      <c r="V309" s="51"/>
      <c r="W309" s="51"/>
    </row>
    <row r="310" spans="20:23" ht="15.75" customHeight="1">
      <c r="T310" s="51"/>
      <c r="U310" s="51"/>
      <c r="V310" s="51"/>
      <c r="W310" s="51"/>
    </row>
    <row r="311" spans="20:23" ht="15.75" customHeight="1">
      <c r="T311" s="51"/>
      <c r="U311" s="51"/>
      <c r="V311" s="51"/>
      <c r="W311" s="51"/>
    </row>
    <row r="312" spans="20:23" ht="15.75" customHeight="1">
      <c r="T312" s="51"/>
      <c r="U312" s="51"/>
      <c r="V312" s="51"/>
      <c r="W312" s="51"/>
    </row>
    <row r="313" spans="20:23" ht="15.75" customHeight="1">
      <c r="T313" s="51"/>
      <c r="U313" s="51"/>
      <c r="V313" s="51"/>
      <c r="W313" s="51"/>
    </row>
    <row r="314" spans="20:23" ht="15.75" customHeight="1">
      <c r="T314" s="51"/>
      <c r="U314" s="51"/>
      <c r="V314" s="51"/>
      <c r="W314" s="51"/>
    </row>
    <row r="315" spans="20:23" ht="15.75" customHeight="1">
      <c r="T315" s="51"/>
      <c r="U315" s="51"/>
      <c r="V315" s="51"/>
      <c r="W315" s="51"/>
    </row>
    <row r="316" spans="20:23" ht="15.75" customHeight="1">
      <c r="T316" s="51"/>
      <c r="U316" s="51"/>
      <c r="V316" s="51"/>
      <c r="W316" s="51"/>
    </row>
    <row r="317" spans="20:23" ht="15.75" customHeight="1">
      <c r="T317" s="51"/>
      <c r="U317" s="51"/>
      <c r="V317" s="51"/>
      <c r="W317" s="51"/>
    </row>
    <row r="318" spans="20:23" ht="15.75" customHeight="1">
      <c r="T318" s="51"/>
      <c r="U318" s="51"/>
      <c r="V318" s="51"/>
      <c r="W318" s="51"/>
    </row>
    <row r="319" spans="20:23" ht="15.75" customHeight="1">
      <c r="T319" s="51"/>
      <c r="U319" s="51"/>
      <c r="V319" s="51"/>
      <c r="W319" s="51"/>
    </row>
    <row r="320" spans="20:23" ht="15.75" customHeight="1">
      <c r="T320" s="51"/>
      <c r="U320" s="51"/>
      <c r="V320" s="51"/>
      <c r="W320" s="51"/>
    </row>
    <row r="321" spans="20:23" ht="15.75" customHeight="1">
      <c r="T321" s="51"/>
      <c r="U321" s="51"/>
      <c r="V321" s="51"/>
      <c r="W321" s="51"/>
    </row>
    <row r="322" spans="20:23" ht="15.75" customHeight="1">
      <c r="T322" s="51"/>
      <c r="U322" s="51"/>
      <c r="V322" s="51"/>
      <c r="W322" s="51"/>
    </row>
    <row r="323" spans="20:23" ht="15.75" customHeight="1">
      <c r="T323" s="51"/>
      <c r="U323" s="51"/>
      <c r="V323" s="51"/>
      <c r="W323" s="51"/>
    </row>
    <row r="324" spans="20:23" ht="15.75" customHeight="1">
      <c r="T324" s="51"/>
      <c r="U324" s="51"/>
      <c r="V324" s="51"/>
      <c r="W324" s="51"/>
    </row>
    <row r="325" spans="20:23" ht="15.75" customHeight="1">
      <c r="T325" s="51"/>
      <c r="U325" s="51"/>
      <c r="V325" s="51"/>
      <c r="W325" s="51"/>
    </row>
    <row r="326" spans="20:23" ht="15.75" customHeight="1">
      <c r="T326" s="51"/>
      <c r="U326" s="51"/>
      <c r="V326" s="51"/>
      <c r="W326" s="51"/>
    </row>
    <row r="327" spans="20:23" ht="15.75" customHeight="1">
      <c r="T327" s="51"/>
      <c r="U327" s="51"/>
      <c r="V327" s="51"/>
      <c r="W327" s="51"/>
    </row>
    <row r="328" spans="20:23" ht="15.75" customHeight="1">
      <c r="T328" s="51"/>
      <c r="U328" s="51"/>
      <c r="V328" s="51"/>
      <c r="W328" s="51"/>
    </row>
    <row r="329" spans="20:23" ht="15.75" customHeight="1">
      <c r="T329" s="51"/>
      <c r="U329" s="51"/>
      <c r="V329" s="51"/>
      <c r="W329" s="51"/>
    </row>
    <row r="330" spans="20:23" ht="15.75" customHeight="1">
      <c r="T330" s="51"/>
      <c r="U330" s="51"/>
      <c r="V330" s="51"/>
      <c r="W330" s="51"/>
    </row>
    <row r="331" spans="20:23" ht="15.75" customHeight="1">
      <c r="T331" s="51"/>
      <c r="U331" s="51"/>
      <c r="V331" s="51"/>
      <c r="W331" s="51"/>
    </row>
    <row r="332" spans="20:23" ht="15.75" customHeight="1">
      <c r="T332" s="51"/>
      <c r="U332" s="51"/>
      <c r="V332" s="51"/>
      <c r="W332" s="51"/>
    </row>
    <row r="333" spans="20:23" ht="15.75" customHeight="1">
      <c r="T333" s="51"/>
      <c r="U333" s="51"/>
      <c r="V333" s="51"/>
      <c r="W333" s="51"/>
    </row>
    <row r="334" spans="20:23" ht="15.75" customHeight="1">
      <c r="T334" s="51"/>
      <c r="U334" s="51"/>
      <c r="V334" s="51"/>
      <c r="W334" s="51"/>
    </row>
    <row r="335" spans="20:23" ht="15.75" customHeight="1">
      <c r="T335" s="51"/>
      <c r="U335" s="51"/>
      <c r="V335" s="51"/>
      <c r="W335" s="51"/>
    </row>
    <row r="336" spans="20:23" ht="15.75" customHeight="1">
      <c r="T336" s="51"/>
      <c r="U336" s="51"/>
      <c r="V336" s="51"/>
      <c r="W336" s="51"/>
    </row>
    <row r="337" spans="20:23" ht="15.75" customHeight="1">
      <c r="T337" s="51"/>
      <c r="U337" s="51"/>
      <c r="V337" s="51"/>
      <c r="W337" s="51"/>
    </row>
    <row r="338" spans="20:23" ht="15.75" customHeight="1">
      <c r="T338" s="51"/>
      <c r="U338" s="51"/>
      <c r="V338" s="51"/>
      <c r="W338" s="51"/>
    </row>
    <row r="339" spans="20:23" ht="15.75" customHeight="1">
      <c r="T339" s="51"/>
      <c r="U339" s="51"/>
      <c r="V339" s="51"/>
      <c r="W339" s="51"/>
    </row>
    <row r="340" spans="20:23" ht="15.75" customHeight="1">
      <c r="T340" s="51"/>
      <c r="U340" s="51"/>
      <c r="V340" s="51"/>
      <c r="W340" s="51"/>
    </row>
    <row r="341" spans="20:23" ht="15.75" customHeight="1">
      <c r="T341" s="51"/>
      <c r="U341" s="51"/>
      <c r="V341" s="51"/>
      <c r="W341" s="51"/>
    </row>
    <row r="342" spans="20:23" ht="15.75" customHeight="1">
      <c r="T342" s="51"/>
      <c r="U342" s="51"/>
      <c r="V342" s="51"/>
      <c r="W342" s="51"/>
    </row>
    <row r="343" spans="20:23" ht="15.75" customHeight="1">
      <c r="T343" s="51"/>
      <c r="U343" s="51"/>
      <c r="V343" s="51"/>
      <c r="W343" s="51"/>
    </row>
    <row r="344" spans="20:23" ht="15.75" customHeight="1">
      <c r="T344" s="51"/>
      <c r="U344" s="51"/>
      <c r="V344" s="51"/>
      <c r="W344" s="51"/>
    </row>
    <row r="345" spans="20:23" ht="15.75" customHeight="1">
      <c r="T345" s="51"/>
      <c r="U345" s="51"/>
      <c r="V345" s="51"/>
      <c r="W345" s="51"/>
    </row>
    <row r="346" spans="20:23" ht="15.75" customHeight="1">
      <c r="T346" s="51"/>
      <c r="U346" s="51"/>
      <c r="V346" s="51"/>
      <c r="W346" s="51"/>
    </row>
    <row r="347" spans="20:23" ht="15.75" customHeight="1">
      <c r="T347" s="51"/>
      <c r="U347" s="51"/>
      <c r="V347" s="51"/>
      <c r="W347" s="51"/>
    </row>
    <row r="348" spans="20:23" ht="15.75" customHeight="1">
      <c r="T348" s="51"/>
      <c r="U348" s="51"/>
      <c r="V348" s="51"/>
      <c r="W348" s="51"/>
    </row>
    <row r="349" spans="20:23" ht="15.75" customHeight="1">
      <c r="T349" s="51"/>
      <c r="U349" s="51"/>
      <c r="V349" s="51"/>
      <c r="W349" s="51"/>
    </row>
    <row r="350" spans="20:23" ht="15.75" customHeight="1">
      <c r="T350" s="51"/>
      <c r="U350" s="51"/>
      <c r="V350" s="51"/>
      <c r="W350" s="51"/>
    </row>
    <row r="351" spans="20:23" ht="15.75" customHeight="1">
      <c r="T351" s="51"/>
      <c r="U351" s="51"/>
      <c r="V351" s="51"/>
      <c r="W351" s="51"/>
    </row>
    <row r="352" spans="20:23" ht="15.75" customHeight="1">
      <c r="T352" s="51"/>
      <c r="U352" s="51"/>
      <c r="V352" s="51"/>
      <c r="W352" s="51"/>
    </row>
    <row r="353" spans="20:23" ht="15.75" customHeight="1">
      <c r="T353" s="51"/>
      <c r="U353" s="51"/>
      <c r="V353" s="51"/>
      <c r="W353" s="51"/>
    </row>
    <row r="354" spans="20:23" ht="15.75" customHeight="1">
      <c r="T354" s="51"/>
      <c r="U354" s="51"/>
      <c r="V354" s="51"/>
      <c r="W354" s="51"/>
    </row>
    <row r="355" spans="20:23" ht="15.75" customHeight="1">
      <c r="T355" s="51"/>
      <c r="U355" s="51"/>
      <c r="V355" s="51"/>
      <c r="W355" s="51"/>
    </row>
    <row r="356" spans="20:23" ht="15.75" customHeight="1">
      <c r="T356" s="51"/>
      <c r="U356" s="51"/>
      <c r="V356" s="51"/>
      <c r="W356" s="51"/>
    </row>
    <row r="357" spans="20:23" ht="15.75" customHeight="1">
      <c r="T357" s="51"/>
      <c r="U357" s="51"/>
      <c r="V357" s="51"/>
      <c r="W357" s="51"/>
    </row>
    <row r="358" spans="20:23" ht="15.75" customHeight="1">
      <c r="T358" s="51"/>
      <c r="U358" s="51"/>
      <c r="V358" s="51"/>
      <c r="W358" s="51"/>
    </row>
    <row r="359" spans="20:23" ht="15.75" customHeight="1">
      <c r="T359" s="51"/>
      <c r="U359" s="51"/>
      <c r="V359" s="51"/>
      <c r="W359" s="51"/>
    </row>
    <row r="360" spans="20:23" ht="15.75" customHeight="1">
      <c r="T360" s="51"/>
      <c r="U360" s="51"/>
      <c r="V360" s="51"/>
      <c r="W360" s="51"/>
    </row>
    <row r="361" spans="20:23" ht="15.75" customHeight="1">
      <c r="T361" s="51"/>
      <c r="U361" s="51"/>
      <c r="V361" s="51"/>
      <c r="W361" s="51"/>
    </row>
    <row r="362" spans="20:23" ht="15.75" customHeight="1">
      <c r="T362" s="51"/>
      <c r="U362" s="51"/>
      <c r="V362" s="51"/>
      <c r="W362" s="51"/>
    </row>
    <row r="363" spans="20:23" ht="15.75" customHeight="1">
      <c r="T363" s="51"/>
      <c r="U363" s="51"/>
      <c r="V363" s="51"/>
      <c r="W363" s="51"/>
    </row>
    <row r="364" spans="20:23" ht="15.75" customHeight="1">
      <c r="T364" s="51"/>
      <c r="U364" s="51"/>
      <c r="V364" s="51"/>
      <c r="W364" s="51"/>
    </row>
    <row r="365" spans="20:23" ht="15.75" customHeight="1">
      <c r="T365" s="51"/>
      <c r="U365" s="51"/>
      <c r="V365" s="51"/>
      <c r="W365" s="51"/>
    </row>
    <row r="366" spans="20:23" ht="15.75" customHeight="1">
      <c r="T366" s="51"/>
      <c r="U366" s="51"/>
      <c r="V366" s="51"/>
      <c r="W366" s="51"/>
    </row>
    <row r="367" spans="20:23" ht="15.75" customHeight="1">
      <c r="T367" s="51"/>
      <c r="U367" s="51"/>
      <c r="V367" s="51"/>
      <c r="W367" s="51"/>
    </row>
    <row r="368" spans="20:23" ht="15.75" customHeight="1">
      <c r="T368" s="51"/>
      <c r="U368" s="51"/>
      <c r="V368" s="51"/>
      <c r="W368" s="51"/>
    </row>
    <row r="369" spans="20:23" ht="15.75" customHeight="1">
      <c r="T369" s="51"/>
      <c r="U369" s="51"/>
      <c r="V369" s="51"/>
      <c r="W369" s="51"/>
    </row>
    <row r="370" spans="20:23" ht="15.75" customHeight="1">
      <c r="T370" s="51"/>
      <c r="U370" s="51"/>
      <c r="V370" s="51"/>
      <c r="W370" s="51"/>
    </row>
    <row r="371" spans="20:23" ht="15.75" customHeight="1">
      <c r="T371" s="51"/>
      <c r="U371" s="51"/>
      <c r="V371" s="51"/>
      <c r="W371" s="51"/>
    </row>
    <row r="372" spans="20:23" ht="15.75" customHeight="1">
      <c r="T372" s="51"/>
      <c r="U372" s="51"/>
      <c r="V372" s="51"/>
      <c r="W372" s="51"/>
    </row>
    <row r="373" spans="20:23" ht="15.75" customHeight="1">
      <c r="T373" s="51"/>
      <c r="U373" s="51"/>
      <c r="V373" s="51"/>
      <c r="W373" s="51"/>
    </row>
    <row r="374" spans="20:23" ht="15.75" customHeight="1">
      <c r="T374" s="51"/>
      <c r="U374" s="51"/>
      <c r="V374" s="51"/>
      <c r="W374" s="51"/>
    </row>
    <row r="375" spans="20:23" ht="15.75" customHeight="1">
      <c r="T375" s="51"/>
      <c r="U375" s="51"/>
      <c r="V375" s="51"/>
      <c r="W375" s="51"/>
    </row>
    <row r="376" spans="20:23" ht="15.75" customHeight="1">
      <c r="T376" s="51"/>
      <c r="U376" s="51"/>
      <c r="V376" s="51"/>
      <c r="W376" s="51"/>
    </row>
    <row r="377" spans="20:23" ht="15.75" customHeight="1">
      <c r="T377" s="51"/>
      <c r="U377" s="51"/>
      <c r="V377" s="51"/>
      <c r="W377" s="51"/>
    </row>
    <row r="378" spans="20:23" ht="15.75" customHeight="1">
      <c r="T378" s="51"/>
      <c r="U378" s="51"/>
      <c r="V378" s="51"/>
      <c r="W378" s="51"/>
    </row>
    <row r="379" spans="20:23" ht="15.75" customHeight="1">
      <c r="T379" s="51"/>
      <c r="U379" s="51"/>
      <c r="V379" s="51"/>
      <c r="W379" s="51"/>
    </row>
    <row r="380" spans="20:23" ht="15.75" customHeight="1">
      <c r="T380" s="51"/>
      <c r="U380" s="51"/>
      <c r="V380" s="51"/>
      <c r="W380" s="51"/>
    </row>
    <row r="381" spans="20:23" ht="15.75" customHeight="1">
      <c r="T381" s="51"/>
      <c r="U381" s="51"/>
      <c r="V381" s="51"/>
      <c r="W381" s="51"/>
    </row>
    <row r="382" spans="20:23" ht="15.75" customHeight="1">
      <c r="T382" s="51"/>
      <c r="U382" s="51"/>
      <c r="V382" s="51"/>
      <c r="W382" s="51"/>
    </row>
    <row r="383" spans="20:23" ht="15.75" customHeight="1">
      <c r="T383" s="51"/>
      <c r="U383" s="51"/>
      <c r="V383" s="51"/>
      <c r="W383" s="51"/>
    </row>
    <row r="384" spans="20:23" ht="15.75" customHeight="1">
      <c r="T384" s="51"/>
      <c r="U384" s="51"/>
      <c r="V384" s="51"/>
      <c r="W384" s="51"/>
    </row>
    <row r="385" spans="20:23" ht="15.75" customHeight="1">
      <c r="T385" s="51"/>
      <c r="U385" s="51"/>
      <c r="V385" s="51"/>
      <c r="W385" s="51"/>
    </row>
    <row r="386" spans="20:23" ht="15.75" customHeight="1">
      <c r="T386" s="51"/>
      <c r="U386" s="51"/>
      <c r="V386" s="51"/>
      <c r="W386" s="51"/>
    </row>
    <row r="387" spans="20:23" ht="15.75" customHeight="1">
      <c r="T387" s="51"/>
      <c r="U387" s="51"/>
      <c r="V387" s="51"/>
      <c r="W387" s="51"/>
    </row>
    <row r="388" spans="20:23" ht="15.75" customHeight="1">
      <c r="T388" s="51"/>
      <c r="U388" s="51"/>
      <c r="V388" s="51"/>
      <c r="W388" s="51"/>
    </row>
    <row r="389" spans="20:23" ht="15.75" customHeight="1">
      <c r="T389" s="51"/>
      <c r="U389" s="51"/>
      <c r="V389" s="51"/>
      <c r="W389" s="51"/>
    </row>
    <row r="390" spans="20:23" ht="15.75" customHeight="1">
      <c r="T390" s="51"/>
      <c r="U390" s="51"/>
      <c r="V390" s="51"/>
      <c r="W390" s="51"/>
    </row>
    <row r="391" spans="20:23" ht="15.75" customHeight="1">
      <c r="T391" s="51"/>
      <c r="U391" s="51"/>
      <c r="V391" s="51"/>
      <c r="W391" s="51"/>
    </row>
    <row r="392" spans="20:23" ht="15.75" customHeight="1">
      <c r="T392" s="51"/>
      <c r="U392" s="51"/>
      <c r="V392" s="51"/>
      <c r="W392" s="51"/>
    </row>
    <row r="393" spans="20:23" ht="15.75" customHeight="1">
      <c r="T393" s="51"/>
      <c r="U393" s="51"/>
      <c r="V393" s="51"/>
      <c r="W393" s="51"/>
    </row>
    <row r="394" spans="20:23" ht="15.75" customHeight="1">
      <c r="T394" s="51"/>
      <c r="U394" s="51"/>
      <c r="V394" s="51"/>
      <c r="W394" s="51"/>
    </row>
    <row r="395" spans="20:23" ht="15.75" customHeight="1">
      <c r="T395" s="51"/>
      <c r="U395" s="51"/>
      <c r="V395" s="51"/>
      <c r="W395" s="51"/>
    </row>
    <row r="396" spans="20:23" ht="15.75" customHeight="1">
      <c r="T396" s="51"/>
      <c r="U396" s="51"/>
      <c r="V396" s="51"/>
      <c r="W396" s="51"/>
    </row>
    <row r="397" spans="20:23" ht="15.75" customHeight="1">
      <c r="T397" s="51"/>
      <c r="U397" s="51"/>
      <c r="V397" s="51"/>
      <c r="W397" s="51"/>
    </row>
    <row r="398" spans="20:23" ht="15.75" customHeight="1">
      <c r="T398" s="51"/>
      <c r="U398" s="51"/>
      <c r="V398" s="51"/>
      <c r="W398" s="51"/>
    </row>
    <row r="399" spans="20:23" ht="15.75" customHeight="1">
      <c r="T399" s="51"/>
      <c r="U399" s="51"/>
      <c r="V399" s="51"/>
      <c r="W399" s="51"/>
    </row>
    <row r="400" spans="20:23" ht="15.75" customHeight="1">
      <c r="T400" s="51"/>
      <c r="U400" s="51"/>
      <c r="V400" s="51"/>
      <c r="W400" s="51"/>
    </row>
    <row r="401" spans="20:23" ht="15.75" customHeight="1">
      <c r="T401" s="51"/>
      <c r="U401" s="51"/>
      <c r="V401" s="51"/>
      <c r="W401" s="51"/>
    </row>
    <row r="402" spans="20:23" ht="15.75" customHeight="1">
      <c r="T402" s="51"/>
      <c r="U402" s="51"/>
      <c r="V402" s="51"/>
      <c r="W402" s="51"/>
    </row>
    <row r="403" spans="20:23" ht="15.75" customHeight="1">
      <c r="T403" s="51"/>
      <c r="U403" s="51"/>
      <c r="V403" s="51"/>
      <c r="W403" s="51"/>
    </row>
    <row r="404" spans="20:23" ht="15.75" customHeight="1">
      <c r="T404" s="51"/>
      <c r="U404" s="51"/>
      <c r="V404" s="51"/>
      <c r="W404" s="51"/>
    </row>
    <row r="405" spans="20:23" ht="15.75" customHeight="1">
      <c r="T405" s="51"/>
      <c r="U405" s="51"/>
      <c r="V405" s="51"/>
      <c r="W405" s="51"/>
    </row>
    <row r="406" spans="20:23" ht="15.75" customHeight="1">
      <c r="T406" s="51"/>
      <c r="U406" s="51"/>
      <c r="V406" s="51"/>
      <c r="W406" s="51"/>
    </row>
    <row r="407" spans="20:23" ht="15.75" customHeight="1">
      <c r="T407" s="51"/>
      <c r="U407" s="51"/>
      <c r="V407" s="51"/>
      <c r="W407" s="51"/>
    </row>
    <row r="408" spans="20:23" ht="15.75" customHeight="1">
      <c r="T408" s="51"/>
      <c r="U408" s="51"/>
      <c r="V408" s="51"/>
      <c r="W408" s="51"/>
    </row>
    <row r="409" spans="20:23" ht="15.75" customHeight="1">
      <c r="T409" s="51"/>
      <c r="U409" s="51"/>
      <c r="V409" s="51"/>
      <c r="W409" s="51"/>
    </row>
    <row r="410" spans="20:23" ht="15.75" customHeight="1">
      <c r="T410" s="51"/>
      <c r="U410" s="51"/>
      <c r="V410" s="51"/>
      <c r="W410" s="51"/>
    </row>
    <row r="411" spans="20:23" ht="15.75" customHeight="1">
      <c r="T411" s="51"/>
      <c r="U411" s="51"/>
      <c r="V411" s="51"/>
      <c r="W411" s="51"/>
    </row>
    <row r="412" spans="20:23" ht="15.75" customHeight="1">
      <c r="T412" s="51"/>
      <c r="U412" s="51"/>
      <c r="V412" s="51"/>
      <c r="W412" s="51"/>
    </row>
    <row r="413" spans="20:23" ht="15.75" customHeight="1">
      <c r="T413" s="51"/>
      <c r="U413" s="51"/>
      <c r="V413" s="51"/>
      <c r="W413" s="51"/>
    </row>
    <row r="414" spans="20:23" ht="15.75" customHeight="1">
      <c r="T414" s="51"/>
      <c r="U414" s="51"/>
      <c r="V414" s="51"/>
      <c r="W414" s="51"/>
    </row>
    <row r="415" spans="20:23" ht="15.75" customHeight="1">
      <c r="T415" s="51"/>
      <c r="U415" s="51"/>
      <c r="V415" s="51"/>
      <c r="W415" s="51"/>
    </row>
    <row r="416" spans="20:23" ht="15.75" customHeight="1">
      <c r="T416" s="51"/>
      <c r="U416" s="51"/>
      <c r="V416" s="51"/>
      <c r="W416" s="51"/>
    </row>
    <row r="417" spans="20:23" ht="15.75" customHeight="1">
      <c r="T417" s="51"/>
      <c r="U417" s="51"/>
      <c r="V417" s="51"/>
      <c r="W417" s="51"/>
    </row>
    <row r="418" spans="20:23" ht="15.75" customHeight="1">
      <c r="T418" s="51"/>
      <c r="U418" s="51"/>
      <c r="V418" s="51"/>
      <c r="W418" s="51"/>
    </row>
    <row r="419" spans="20:23" ht="15.75" customHeight="1">
      <c r="T419" s="51"/>
      <c r="U419" s="51"/>
      <c r="V419" s="51"/>
      <c r="W419" s="51"/>
    </row>
    <row r="420" spans="20:23" ht="15.75" customHeight="1">
      <c r="T420" s="51"/>
      <c r="U420" s="51"/>
      <c r="V420" s="51"/>
      <c r="W420" s="51"/>
    </row>
    <row r="421" spans="20:23" ht="15.75" customHeight="1">
      <c r="T421" s="51"/>
      <c r="U421" s="51"/>
      <c r="V421" s="51"/>
      <c r="W421" s="51"/>
    </row>
    <row r="422" spans="20:23" ht="15.75" customHeight="1">
      <c r="T422" s="51"/>
      <c r="U422" s="51"/>
      <c r="V422" s="51"/>
      <c r="W422" s="51"/>
    </row>
    <row r="423" spans="20:23" ht="15.75" customHeight="1">
      <c r="T423" s="51"/>
      <c r="U423" s="51"/>
      <c r="V423" s="51"/>
      <c r="W423" s="51"/>
    </row>
    <row r="424" spans="20:23" ht="15.75" customHeight="1">
      <c r="T424" s="51"/>
      <c r="U424" s="51"/>
      <c r="V424" s="51"/>
      <c r="W424" s="51"/>
    </row>
    <row r="425" spans="20:23" ht="15.75" customHeight="1">
      <c r="T425" s="51"/>
      <c r="U425" s="51"/>
      <c r="V425" s="51"/>
      <c r="W425" s="51"/>
    </row>
    <row r="426" spans="20:23" ht="15.75" customHeight="1">
      <c r="T426" s="51"/>
      <c r="U426" s="51"/>
      <c r="V426" s="51"/>
      <c r="W426" s="51"/>
    </row>
    <row r="427" spans="20:23" ht="15.75" customHeight="1">
      <c r="T427" s="51"/>
      <c r="U427" s="51"/>
      <c r="V427" s="51"/>
      <c r="W427" s="51"/>
    </row>
    <row r="428" spans="20:23" ht="15.75" customHeight="1">
      <c r="T428" s="51"/>
      <c r="U428" s="51"/>
      <c r="V428" s="51"/>
      <c r="W428" s="51"/>
    </row>
    <row r="429" spans="20:23" ht="15.75" customHeight="1">
      <c r="T429" s="51"/>
      <c r="U429" s="51"/>
      <c r="V429" s="51"/>
      <c r="W429" s="51"/>
    </row>
    <row r="430" spans="20:23" ht="15.75" customHeight="1">
      <c r="T430" s="51"/>
      <c r="U430" s="51"/>
      <c r="V430" s="51"/>
      <c r="W430" s="51"/>
    </row>
    <row r="431" spans="20:23" ht="15.75" customHeight="1">
      <c r="T431" s="51"/>
      <c r="U431" s="51"/>
      <c r="V431" s="51"/>
      <c r="W431" s="51"/>
    </row>
    <row r="432" spans="20:23" ht="15.75" customHeight="1">
      <c r="T432" s="51"/>
      <c r="U432" s="51"/>
      <c r="V432" s="51"/>
      <c r="W432" s="51"/>
    </row>
    <row r="433" spans="20:23" ht="15.75" customHeight="1">
      <c r="T433" s="51"/>
      <c r="U433" s="51"/>
      <c r="V433" s="51"/>
      <c r="W433" s="51"/>
    </row>
    <row r="434" spans="20:23" ht="15.75" customHeight="1">
      <c r="T434" s="51"/>
      <c r="U434" s="51"/>
      <c r="V434" s="51"/>
      <c r="W434" s="51"/>
    </row>
    <row r="435" spans="20:23" ht="15.75" customHeight="1">
      <c r="T435" s="51"/>
      <c r="U435" s="51"/>
      <c r="V435" s="51"/>
      <c r="W435" s="51"/>
    </row>
    <row r="436" spans="20:23" ht="15.75" customHeight="1">
      <c r="T436" s="51"/>
      <c r="U436" s="51"/>
      <c r="V436" s="51"/>
      <c r="W436" s="51"/>
    </row>
    <row r="437" spans="20:23" ht="15.75" customHeight="1">
      <c r="T437" s="51"/>
      <c r="U437" s="51"/>
      <c r="V437" s="51"/>
      <c r="W437" s="51"/>
    </row>
    <row r="438" spans="20:23" ht="15.75" customHeight="1">
      <c r="T438" s="51"/>
      <c r="U438" s="51"/>
      <c r="V438" s="51"/>
      <c r="W438" s="51"/>
    </row>
    <row r="439" spans="20:23" ht="15.75" customHeight="1">
      <c r="T439" s="51"/>
      <c r="U439" s="51"/>
      <c r="V439" s="51"/>
      <c r="W439" s="51"/>
    </row>
    <row r="440" spans="20:23" ht="15.75" customHeight="1">
      <c r="T440" s="51"/>
      <c r="U440" s="51"/>
      <c r="V440" s="51"/>
      <c r="W440" s="51"/>
    </row>
    <row r="441" spans="20:23" ht="15.75" customHeight="1">
      <c r="T441" s="51"/>
      <c r="U441" s="51"/>
      <c r="V441" s="51"/>
      <c r="W441" s="51"/>
    </row>
    <row r="442" spans="20:23" ht="15.75" customHeight="1">
      <c r="T442" s="51"/>
      <c r="U442" s="51"/>
      <c r="V442" s="51"/>
      <c r="W442" s="51"/>
    </row>
    <row r="443" spans="20:23" ht="15.75" customHeight="1">
      <c r="T443" s="51"/>
      <c r="U443" s="51"/>
      <c r="V443" s="51"/>
      <c r="W443" s="51"/>
    </row>
    <row r="444" spans="20:23" ht="15.75" customHeight="1">
      <c r="T444" s="51"/>
      <c r="U444" s="51"/>
      <c r="V444" s="51"/>
      <c r="W444" s="51"/>
    </row>
    <row r="445" spans="20:23" ht="15.75" customHeight="1">
      <c r="T445" s="51"/>
      <c r="U445" s="51"/>
      <c r="V445" s="51"/>
      <c r="W445" s="51"/>
    </row>
    <row r="446" spans="20:23" ht="15.75" customHeight="1">
      <c r="T446" s="51"/>
      <c r="U446" s="51"/>
      <c r="V446" s="51"/>
      <c r="W446" s="51"/>
    </row>
    <row r="447" spans="20:23" ht="15.75" customHeight="1">
      <c r="T447" s="51"/>
      <c r="U447" s="51"/>
      <c r="V447" s="51"/>
      <c r="W447" s="51"/>
    </row>
    <row r="448" spans="20:23" ht="15.75" customHeight="1">
      <c r="T448" s="51"/>
      <c r="U448" s="51"/>
      <c r="V448" s="51"/>
      <c r="W448" s="51"/>
    </row>
    <row r="449" spans="20:23" ht="15.75" customHeight="1">
      <c r="T449" s="51"/>
      <c r="U449" s="51"/>
      <c r="V449" s="51"/>
      <c r="W449" s="51"/>
    </row>
    <row r="450" spans="20:23" ht="15.75" customHeight="1">
      <c r="T450" s="51"/>
      <c r="U450" s="51"/>
      <c r="V450" s="51"/>
      <c r="W450" s="51"/>
    </row>
    <row r="451" spans="20:23" ht="15.75" customHeight="1">
      <c r="T451" s="51"/>
      <c r="U451" s="51"/>
      <c r="V451" s="51"/>
      <c r="W451" s="51"/>
    </row>
    <row r="452" spans="20:23" ht="15.75" customHeight="1">
      <c r="T452" s="51"/>
      <c r="U452" s="51"/>
      <c r="V452" s="51"/>
      <c r="W452" s="51"/>
    </row>
    <row r="453" spans="20:23" ht="15.75" customHeight="1">
      <c r="T453" s="51"/>
      <c r="U453" s="51"/>
      <c r="V453" s="51"/>
      <c r="W453" s="51"/>
    </row>
    <row r="454" spans="20:23" ht="15.75" customHeight="1">
      <c r="T454" s="51"/>
      <c r="U454" s="51"/>
      <c r="V454" s="51"/>
      <c r="W454" s="51"/>
    </row>
    <row r="455" spans="20:23" ht="15.75" customHeight="1">
      <c r="T455" s="51"/>
      <c r="U455" s="51"/>
      <c r="V455" s="51"/>
      <c r="W455" s="51"/>
    </row>
    <row r="456" spans="20:23" ht="15.75" customHeight="1">
      <c r="T456" s="51"/>
      <c r="U456" s="51"/>
      <c r="V456" s="51"/>
      <c r="W456" s="51"/>
    </row>
    <row r="457" spans="20:23" ht="15.75" customHeight="1">
      <c r="T457" s="51"/>
      <c r="U457" s="51"/>
      <c r="V457" s="51"/>
      <c r="W457" s="51"/>
    </row>
    <row r="458" spans="20:23" ht="15.75" customHeight="1">
      <c r="T458" s="51"/>
      <c r="U458" s="51"/>
      <c r="V458" s="51"/>
      <c r="W458" s="51"/>
    </row>
    <row r="459" spans="20:23" ht="15.75" customHeight="1">
      <c r="T459" s="51"/>
      <c r="U459" s="51"/>
      <c r="V459" s="51"/>
      <c r="W459" s="51"/>
    </row>
    <row r="460" spans="20:23" ht="15.75" customHeight="1">
      <c r="T460" s="51"/>
      <c r="U460" s="51"/>
      <c r="V460" s="51"/>
      <c r="W460" s="51"/>
    </row>
    <row r="461" spans="20:23" ht="15.75" customHeight="1">
      <c r="T461" s="51"/>
      <c r="U461" s="51"/>
      <c r="V461" s="51"/>
      <c r="W461" s="51"/>
    </row>
    <row r="462" spans="20:23" ht="15.75" customHeight="1">
      <c r="T462" s="51"/>
      <c r="U462" s="51"/>
      <c r="V462" s="51"/>
      <c r="W462" s="51"/>
    </row>
    <row r="463" spans="20:23" ht="15.75" customHeight="1">
      <c r="T463" s="51"/>
      <c r="U463" s="51"/>
      <c r="V463" s="51"/>
      <c r="W463" s="51"/>
    </row>
    <row r="464" spans="20:23" ht="15.75" customHeight="1">
      <c r="T464" s="51"/>
      <c r="U464" s="51"/>
      <c r="V464" s="51"/>
      <c r="W464" s="51"/>
    </row>
    <row r="465" spans="20:23" ht="15.75" customHeight="1">
      <c r="T465" s="51"/>
      <c r="U465" s="51"/>
      <c r="V465" s="51"/>
      <c r="W465" s="51"/>
    </row>
    <row r="466" spans="20:23" ht="15.75" customHeight="1">
      <c r="T466" s="51"/>
      <c r="U466" s="51"/>
      <c r="V466" s="51"/>
      <c r="W466" s="51"/>
    </row>
    <row r="467" spans="20:23" ht="15.75" customHeight="1">
      <c r="T467" s="51"/>
      <c r="U467" s="51"/>
      <c r="V467" s="51"/>
      <c r="W467" s="51"/>
    </row>
    <row r="468" spans="20:23" ht="15.75" customHeight="1">
      <c r="T468" s="51"/>
      <c r="U468" s="51"/>
      <c r="V468" s="51"/>
      <c r="W468" s="51"/>
    </row>
    <row r="469" spans="20:23" ht="15.75" customHeight="1">
      <c r="T469" s="51"/>
      <c r="U469" s="51"/>
      <c r="V469" s="51"/>
      <c r="W469" s="51"/>
    </row>
    <row r="470" spans="20:23" ht="15.75" customHeight="1">
      <c r="T470" s="51"/>
      <c r="U470" s="51"/>
      <c r="V470" s="51"/>
      <c r="W470" s="51"/>
    </row>
    <row r="471" spans="20:23" ht="15.75" customHeight="1">
      <c r="T471" s="51"/>
      <c r="U471" s="51"/>
      <c r="V471" s="51"/>
      <c r="W471" s="51"/>
    </row>
    <row r="472" spans="20:23" ht="15.75" customHeight="1">
      <c r="T472" s="51"/>
      <c r="U472" s="51"/>
      <c r="V472" s="51"/>
      <c r="W472" s="51"/>
    </row>
    <row r="473" spans="20:23" ht="15.75" customHeight="1">
      <c r="T473" s="51"/>
      <c r="U473" s="51"/>
      <c r="V473" s="51"/>
      <c r="W473" s="51"/>
    </row>
    <row r="474" spans="20:23" ht="15.75" customHeight="1">
      <c r="T474" s="51"/>
      <c r="U474" s="51"/>
      <c r="V474" s="51"/>
      <c r="W474" s="51"/>
    </row>
    <row r="475" spans="20:23" ht="15.75" customHeight="1">
      <c r="T475" s="51"/>
      <c r="U475" s="51"/>
      <c r="V475" s="51"/>
      <c r="W475" s="51"/>
    </row>
    <row r="476" spans="20:23" ht="15.75" customHeight="1">
      <c r="T476" s="51"/>
      <c r="U476" s="51"/>
      <c r="V476" s="51"/>
      <c r="W476" s="51"/>
    </row>
    <row r="477" spans="20:23" ht="15.75" customHeight="1">
      <c r="T477" s="51"/>
      <c r="U477" s="51"/>
      <c r="V477" s="51"/>
      <c r="W477" s="51"/>
    </row>
    <row r="478" spans="20:23" ht="15.75" customHeight="1">
      <c r="T478" s="51"/>
      <c r="U478" s="51"/>
      <c r="V478" s="51"/>
      <c r="W478" s="51"/>
    </row>
    <row r="479" spans="20:23" ht="15.75" customHeight="1">
      <c r="T479" s="51"/>
      <c r="U479" s="51"/>
      <c r="V479" s="51"/>
      <c r="W479" s="51"/>
    </row>
    <row r="480" spans="20:23" ht="15.75" customHeight="1">
      <c r="T480" s="51"/>
      <c r="U480" s="51"/>
      <c r="V480" s="51"/>
      <c r="W480" s="51"/>
    </row>
    <row r="481" spans="20:23" ht="15.75" customHeight="1">
      <c r="T481" s="51"/>
      <c r="U481" s="51"/>
      <c r="V481" s="51"/>
      <c r="W481" s="51"/>
    </row>
    <row r="482" spans="20:23" ht="15.75" customHeight="1">
      <c r="T482" s="51"/>
      <c r="U482" s="51"/>
      <c r="V482" s="51"/>
      <c r="W482" s="51"/>
    </row>
    <row r="483" spans="20:23" ht="15.75" customHeight="1">
      <c r="T483" s="51"/>
      <c r="U483" s="51"/>
      <c r="V483" s="51"/>
      <c r="W483" s="51"/>
    </row>
    <row r="484" spans="20:23" ht="15.75" customHeight="1">
      <c r="T484" s="51"/>
      <c r="U484" s="51"/>
      <c r="V484" s="51"/>
      <c r="W484" s="51"/>
    </row>
    <row r="485" spans="20:23" ht="15.75" customHeight="1">
      <c r="T485" s="51"/>
      <c r="U485" s="51"/>
      <c r="V485" s="51"/>
      <c r="W485" s="51"/>
    </row>
    <row r="486" spans="20:23" ht="15.75" customHeight="1">
      <c r="T486" s="51"/>
      <c r="U486" s="51"/>
      <c r="V486" s="51"/>
      <c r="W486" s="51"/>
    </row>
    <row r="487" spans="20:23" ht="15.75" customHeight="1">
      <c r="T487" s="51"/>
      <c r="U487" s="51"/>
      <c r="V487" s="51"/>
      <c r="W487" s="51"/>
    </row>
    <row r="488" spans="20:23" ht="15.75" customHeight="1">
      <c r="T488" s="51"/>
      <c r="U488" s="51"/>
      <c r="V488" s="51"/>
      <c r="W488" s="51"/>
    </row>
    <row r="489" spans="20:23" ht="15.75" customHeight="1">
      <c r="T489" s="51"/>
      <c r="U489" s="51"/>
      <c r="V489" s="51"/>
      <c r="W489" s="51"/>
    </row>
    <row r="490" spans="20:23" ht="15.75" customHeight="1">
      <c r="T490" s="51"/>
      <c r="U490" s="51"/>
      <c r="V490" s="51"/>
      <c r="W490" s="51"/>
    </row>
    <row r="491" spans="20:23" ht="15.75" customHeight="1">
      <c r="T491" s="51"/>
      <c r="U491" s="51"/>
      <c r="V491" s="51"/>
      <c r="W491" s="51"/>
    </row>
    <row r="492" spans="20:23" ht="15.75" customHeight="1">
      <c r="T492" s="51"/>
      <c r="U492" s="51"/>
      <c r="V492" s="51"/>
      <c r="W492" s="51"/>
    </row>
    <row r="493" spans="20:23" ht="15.75" customHeight="1">
      <c r="T493" s="51"/>
      <c r="U493" s="51"/>
      <c r="V493" s="51"/>
      <c r="W493" s="51"/>
    </row>
    <row r="494" spans="20:23" ht="15.75" customHeight="1">
      <c r="T494" s="51"/>
      <c r="U494" s="51"/>
      <c r="V494" s="51"/>
      <c r="W494" s="51"/>
    </row>
    <row r="495" spans="20:23" ht="15.75" customHeight="1">
      <c r="T495" s="51"/>
      <c r="U495" s="51"/>
      <c r="V495" s="51"/>
      <c r="W495" s="51"/>
    </row>
    <row r="496" spans="20:23" ht="15.75" customHeight="1">
      <c r="T496" s="51"/>
      <c r="U496" s="51"/>
      <c r="V496" s="51"/>
      <c r="W496" s="51"/>
    </row>
    <row r="497" spans="20:23" ht="15.75" customHeight="1">
      <c r="T497" s="51"/>
      <c r="U497" s="51"/>
      <c r="V497" s="51"/>
      <c r="W497" s="51"/>
    </row>
    <row r="498" spans="20:23" ht="15.75" customHeight="1">
      <c r="T498" s="51"/>
      <c r="U498" s="51"/>
      <c r="V498" s="51"/>
      <c r="W498" s="51"/>
    </row>
    <row r="499" spans="20:23" ht="15.75" customHeight="1">
      <c r="T499" s="51"/>
      <c r="U499" s="51"/>
      <c r="V499" s="51"/>
      <c r="W499" s="51"/>
    </row>
    <row r="500" spans="20:23" ht="15.75" customHeight="1">
      <c r="T500" s="51"/>
      <c r="U500" s="51"/>
      <c r="V500" s="51"/>
      <c r="W500" s="51"/>
    </row>
    <row r="501" spans="20:23" ht="15.75" customHeight="1">
      <c r="T501" s="51"/>
      <c r="U501" s="51"/>
      <c r="V501" s="51"/>
      <c r="W501" s="51"/>
    </row>
    <row r="502" spans="20:23" ht="15.75" customHeight="1">
      <c r="T502" s="51"/>
      <c r="U502" s="51"/>
      <c r="V502" s="51"/>
      <c r="W502" s="51"/>
    </row>
    <row r="503" spans="20:23" ht="15.75" customHeight="1">
      <c r="T503" s="51"/>
      <c r="U503" s="51"/>
      <c r="V503" s="51"/>
      <c r="W503" s="51"/>
    </row>
    <row r="504" spans="20:23" ht="15.75" customHeight="1">
      <c r="T504" s="51"/>
      <c r="U504" s="51"/>
      <c r="V504" s="51"/>
      <c r="W504" s="51"/>
    </row>
    <row r="505" spans="20:23" ht="15.75" customHeight="1">
      <c r="T505" s="51"/>
      <c r="U505" s="51"/>
      <c r="V505" s="51"/>
      <c r="W505" s="51"/>
    </row>
    <row r="506" spans="20:23" ht="15.75" customHeight="1">
      <c r="T506" s="51"/>
      <c r="U506" s="51"/>
      <c r="V506" s="51"/>
      <c r="W506" s="51"/>
    </row>
    <row r="507" spans="20:23" ht="15.75" customHeight="1">
      <c r="T507" s="51"/>
      <c r="U507" s="51"/>
      <c r="V507" s="51"/>
      <c r="W507" s="51"/>
    </row>
    <row r="508" spans="20:23" ht="15.75" customHeight="1">
      <c r="T508" s="51"/>
      <c r="U508" s="51"/>
      <c r="V508" s="51"/>
      <c r="W508" s="51"/>
    </row>
    <row r="509" spans="20:23" ht="15.75" customHeight="1">
      <c r="T509" s="51"/>
      <c r="U509" s="51"/>
      <c r="V509" s="51"/>
      <c r="W509" s="51"/>
    </row>
    <row r="510" spans="20:23" ht="15.75" customHeight="1">
      <c r="T510" s="51"/>
      <c r="U510" s="51"/>
      <c r="V510" s="51"/>
      <c r="W510" s="51"/>
    </row>
    <row r="511" spans="20:23" ht="15.75" customHeight="1">
      <c r="T511" s="51"/>
      <c r="U511" s="51"/>
      <c r="V511" s="51"/>
      <c r="W511" s="51"/>
    </row>
    <row r="512" spans="20:23" ht="15.75" customHeight="1">
      <c r="T512" s="51"/>
      <c r="U512" s="51"/>
      <c r="V512" s="51"/>
      <c r="W512" s="51"/>
    </row>
    <row r="513" spans="20:23" ht="15.75" customHeight="1">
      <c r="T513" s="51"/>
      <c r="U513" s="51"/>
      <c r="V513" s="51"/>
      <c r="W513" s="51"/>
    </row>
    <row r="514" spans="20:23" ht="15.75" customHeight="1">
      <c r="T514" s="51"/>
      <c r="U514" s="51"/>
      <c r="V514" s="51"/>
      <c r="W514" s="51"/>
    </row>
    <row r="515" spans="20:23" ht="15.75" customHeight="1">
      <c r="T515" s="51"/>
      <c r="U515" s="51"/>
      <c r="V515" s="51"/>
      <c r="W515" s="51"/>
    </row>
    <row r="516" spans="20:23" ht="15.75" customHeight="1">
      <c r="T516" s="51"/>
      <c r="U516" s="51"/>
      <c r="V516" s="51"/>
      <c r="W516" s="51"/>
    </row>
    <row r="517" spans="20:23" ht="15.75" customHeight="1">
      <c r="T517" s="51"/>
      <c r="U517" s="51"/>
      <c r="V517" s="51"/>
      <c r="W517" s="51"/>
    </row>
    <row r="518" spans="20:23" ht="15.75" customHeight="1">
      <c r="T518" s="51"/>
      <c r="U518" s="51"/>
      <c r="V518" s="51"/>
      <c r="W518" s="51"/>
    </row>
    <row r="519" spans="20:23" ht="15.75" customHeight="1">
      <c r="T519" s="51"/>
      <c r="U519" s="51"/>
      <c r="V519" s="51"/>
      <c r="W519" s="51"/>
    </row>
    <row r="520" spans="20:23" ht="15.75" customHeight="1">
      <c r="T520" s="51"/>
      <c r="U520" s="51"/>
      <c r="V520" s="51"/>
      <c r="W520" s="51"/>
    </row>
    <row r="521" spans="20:23" ht="15.75" customHeight="1">
      <c r="T521" s="51"/>
      <c r="U521" s="51"/>
      <c r="V521" s="51"/>
      <c r="W521" s="51"/>
    </row>
    <row r="522" spans="20:23" ht="15.75" customHeight="1">
      <c r="T522" s="51"/>
      <c r="U522" s="51"/>
      <c r="V522" s="51"/>
      <c r="W522" s="51"/>
    </row>
    <row r="523" spans="20:23" ht="15.75" customHeight="1">
      <c r="T523" s="51"/>
      <c r="U523" s="51"/>
      <c r="V523" s="51"/>
      <c r="W523" s="51"/>
    </row>
    <row r="524" spans="20:23" ht="15.75" customHeight="1">
      <c r="T524" s="51"/>
      <c r="U524" s="51"/>
      <c r="V524" s="51"/>
      <c r="W524" s="51"/>
    </row>
    <row r="525" spans="20:23" ht="15.75" customHeight="1">
      <c r="T525" s="51"/>
      <c r="U525" s="51"/>
      <c r="V525" s="51"/>
      <c r="W525" s="51"/>
    </row>
    <row r="526" spans="20:23" ht="15.75" customHeight="1">
      <c r="T526" s="51"/>
      <c r="U526" s="51"/>
      <c r="V526" s="51"/>
      <c r="W526" s="51"/>
    </row>
    <row r="527" spans="20:23" ht="15.75" customHeight="1">
      <c r="T527" s="51"/>
      <c r="U527" s="51"/>
      <c r="V527" s="51"/>
      <c r="W527" s="51"/>
    </row>
    <row r="528" spans="20:23" ht="15.75" customHeight="1">
      <c r="T528" s="51"/>
      <c r="U528" s="51"/>
      <c r="V528" s="51"/>
      <c r="W528" s="51"/>
    </row>
    <row r="529" spans="20:23" ht="15.75" customHeight="1">
      <c r="T529" s="51"/>
      <c r="U529" s="51"/>
      <c r="V529" s="51"/>
      <c r="W529" s="51"/>
    </row>
    <row r="530" spans="20:23" ht="15.75" customHeight="1">
      <c r="T530" s="51"/>
      <c r="U530" s="51"/>
      <c r="V530" s="51"/>
      <c r="W530" s="51"/>
    </row>
    <row r="531" spans="20:23" ht="15.75" customHeight="1">
      <c r="T531" s="51"/>
      <c r="U531" s="51"/>
      <c r="V531" s="51"/>
      <c r="W531" s="51"/>
    </row>
    <row r="532" spans="20:23" ht="15.75" customHeight="1">
      <c r="T532" s="51"/>
      <c r="U532" s="51"/>
      <c r="V532" s="51"/>
      <c r="W532" s="51"/>
    </row>
    <row r="533" spans="20:23" ht="15.75" customHeight="1">
      <c r="T533" s="51"/>
      <c r="U533" s="51"/>
      <c r="V533" s="51"/>
      <c r="W533" s="51"/>
    </row>
    <row r="534" spans="20:23" ht="15.75" customHeight="1">
      <c r="T534" s="51"/>
      <c r="U534" s="51"/>
      <c r="V534" s="51"/>
      <c r="W534" s="51"/>
    </row>
    <row r="535" spans="20:23" ht="15.75" customHeight="1">
      <c r="T535" s="51"/>
      <c r="U535" s="51"/>
      <c r="V535" s="51"/>
      <c r="W535" s="51"/>
    </row>
    <row r="536" spans="20:23" ht="15.75" customHeight="1">
      <c r="T536" s="51"/>
      <c r="U536" s="51"/>
      <c r="V536" s="51"/>
      <c r="W536" s="51"/>
    </row>
    <row r="537" spans="20:23" ht="15.75" customHeight="1">
      <c r="T537" s="51"/>
      <c r="U537" s="51"/>
      <c r="V537" s="51"/>
      <c r="W537" s="51"/>
    </row>
    <row r="538" spans="20:23" ht="15.75" customHeight="1">
      <c r="T538" s="51"/>
      <c r="U538" s="51"/>
      <c r="V538" s="51"/>
      <c r="W538" s="51"/>
    </row>
    <row r="539" spans="20:23" ht="15.75" customHeight="1">
      <c r="T539" s="51"/>
      <c r="U539" s="51"/>
      <c r="V539" s="51"/>
      <c r="W539" s="51"/>
    </row>
    <row r="540" spans="20:23" ht="15.75" customHeight="1">
      <c r="T540" s="51"/>
      <c r="U540" s="51"/>
      <c r="V540" s="51"/>
      <c r="W540" s="51"/>
    </row>
    <row r="541" spans="20:23" ht="15.75" customHeight="1">
      <c r="T541" s="51"/>
      <c r="U541" s="51"/>
      <c r="V541" s="51"/>
      <c r="W541" s="51"/>
    </row>
    <row r="542" spans="20:23" ht="15.75" customHeight="1">
      <c r="T542" s="51"/>
      <c r="U542" s="51"/>
      <c r="V542" s="51"/>
      <c r="W542" s="51"/>
    </row>
    <row r="543" spans="20:23" ht="15.75" customHeight="1">
      <c r="T543" s="51"/>
      <c r="U543" s="51"/>
      <c r="V543" s="51"/>
      <c r="W543" s="51"/>
    </row>
    <row r="544" spans="20:23" ht="15.75" customHeight="1">
      <c r="T544" s="51"/>
      <c r="U544" s="51"/>
      <c r="V544" s="51"/>
      <c r="W544" s="51"/>
    </row>
    <row r="545" spans="20:23" ht="15.75" customHeight="1">
      <c r="T545" s="51"/>
      <c r="U545" s="51"/>
      <c r="V545" s="51"/>
      <c r="W545" s="51"/>
    </row>
    <row r="546" spans="20:23" ht="15.75" customHeight="1">
      <c r="T546" s="51"/>
      <c r="U546" s="51"/>
      <c r="V546" s="51"/>
      <c r="W546" s="51"/>
    </row>
    <row r="547" spans="20:23" ht="15.75" customHeight="1">
      <c r="T547" s="51"/>
      <c r="U547" s="51"/>
      <c r="V547" s="51"/>
      <c r="W547" s="51"/>
    </row>
    <row r="548" spans="20:23" ht="15.75" customHeight="1">
      <c r="T548" s="51"/>
      <c r="U548" s="51"/>
      <c r="V548" s="51"/>
      <c r="W548" s="51"/>
    </row>
    <row r="549" spans="20:23" ht="15.75" customHeight="1">
      <c r="T549" s="51"/>
      <c r="U549" s="51"/>
      <c r="V549" s="51"/>
      <c r="W549" s="51"/>
    </row>
    <row r="550" spans="20:23" ht="15.75" customHeight="1">
      <c r="T550" s="51"/>
      <c r="U550" s="51"/>
      <c r="V550" s="51"/>
      <c r="W550" s="51"/>
    </row>
    <row r="551" spans="20:23" ht="15.75" customHeight="1">
      <c r="T551" s="51"/>
      <c r="U551" s="51"/>
      <c r="V551" s="51"/>
      <c r="W551" s="51"/>
    </row>
    <row r="552" spans="20:23" ht="15.75" customHeight="1">
      <c r="T552" s="51"/>
      <c r="U552" s="51"/>
      <c r="V552" s="51"/>
      <c r="W552" s="51"/>
    </row>
    <row r="553" spans="20:23" ht="15.75" customHeight="1">
      <c r="T553" s="51"/>
      <c r="U553" s="51"/>
      <c r="V553" s="51"/>
      <c r="W553" s="51"/>
    </row>
    <row r="554" spans="20:23" ht="15.75" customHeight="1">
      <c r="T554" s="51"/>
      <c r="U554" s="51"/>
      <c r="V554" s="51"/>
      <c r="W554" s="51"/>
    </row>
    <row r="555" spans="20:23" ht="15.75" customHeight="1">
      <c r="T555" s="51"/>
      <c r="U555" s="51"/>
      <c r="V555" s="51"/>
      <c r="W555" s="51"/>
    </row>
    <row r="556" spans="20:23" ht="15.75" customHeight="1">
      <c r="T556" s="51"/>
      <c r="U556" s="51"/>
      <c r="V556" s="51"/>
      <c r="W556" s="51"/>
    </row>
    <row r="557" spans="20:23" ht="15.75" customHeight="1">
      <c r="T557" s="51"/>
      <c r="U557" s="51"/>
      <c r="V557" s="51"/>
      <c r="W557" s="51"/>
    </row>
    <row r="558" spans="20:23" ht="15.75" customHeight="1">
      <c r="T558" s="51"/>
      <c r="U558" s="51"/>
      <c r="V558" s="51"/>
      <c r="W558" s="51"/>
    </row>
    <row r="559" spans="20:23" ht="15.75" customHeight="1">
      <c r="T559" s="51"/>
      <c r="U559" s="51"/>
      <c r="V559" s="51"/>
      <c r="W559" s="51"/>
    </row>
    <row r="560" spans="20:23" ht="15.75" customHeight="1">
      <c r="T560" s="51"/>
      <c r="U560" s="51"/>
      <c r="V560" s="51"/>
      <c r="W560" s="51"/>
    </row>
    <row r="561" spans="20:23" ht="15.75" customHeight="1">
      <c r="T561" s="51"/>
      <c r="U561" s="51"/>
      <c r="V561" s="51"/>
      <c r="W561" s="51"/>
    </row>
    <row r="562" spans="20:23" ht="15.75" customHeight="1">
      <c r="T562" s="51"/>
      <c r="U562" s="51"/>
      <c r="V562" s="51"/>
      <c r="W562" s="51"/>
    </row>
    <row r="563" spans="20:23" ht="15.75" customHeight="1">
      <c r="T563" s="51"/>
      <c r="U563" s="51"/>
      <c r="V563" s="51"/>
      <c r="W563" s="51"/>
    </row>
    <row r="564" spans="20:23" ht="15.75" customHeight="1">
      <c r="T564" s="51"/>
      <c r="U564" s="51"/>
      <c r="V564" s="51"/>
      <c r="W564" s="51"/>
    </row>
    <row r="565" spans="20:23" ht="15.75" customHeight="1">
      <c r="T565" s="51"/>
      <c r="U565" s="51"/>
      <c r="V565" s="51"/>
      <c r="W565" s="51"/>
    </row>
    <row r="566" spans="20:23" ht="15.75" customHeight="1">
      <c r="T566" s="51"/>
      <c r="U566" s="51"/>
      <c r="V566" s="51"/>
      <c r="W566" s="51"/>
    </row>
    <row r="567" spans="20:23" ht="15.75" customHeight="1">
      <c r="T567" s="51"/>
      <c r="U567" s="51"/>
      <c r="V567" s="51"/>
      <c r="W567" s="51"/>
    </row>
    <row r="568" spans="20:23" ht="15.75" customHeight="1">
      <c r="T568" s="51"/>
      <c r="U568" s="51"/>
      <c r="V568" s="51"/>
      <c r="W568" s="51"/>
    </row>
    <row r="569" spans="20:23" ht="15.75" customHeight="1">
      <c r="T569" s="51"/>
      <c r="U569" s="51"/>
      <c r="V569" s="51"/>
      <c r="W569" s="51"/>
    </row>
    <row r="570" spans="20:23" ht="15.75" customHeight="1">
      <c r="T570" s="51"/>
      <c r="U570" s="51"/>
      <c r="V570" s="51"/>
      <c r="W570" s="51"/>
    </row>
    <row r="571" spans="20:23" ht="15.75" customHeight="1">
      <c r="T571" s="51"/>
      <c r="U571" s="51"/>
      <c r="V571" s="51"/>
      <c r="W571" s="51"/>
    </row>
    <row r="572" spans="20:23" ht="15.75" customHeight="1">
      <c r="T572" s="51"/>
      <c r="U572" s="51"/>
      <c r="V572" s="51"/>
      <c r="W572" s="51"/>
    </row>
    <row r="573" spans="20:23" ht="15.75" customHeight="1">
      <c r="T573" s="51"/>
      <c r="U573" s="51"/>
      <c r="V573" s="51"/>
      <c r="W573" s="51"/>
    </row>
    <row r="574" spans="20:23" ht="15.75" customHeight="1">
      <c r="T574" s="51"/>
      <c r="U574" s="51"/>
      <c r="V574" s="51"/>
      <c r="W574" s="51"/>
    </row>
    <row r="575" spans="20:23" ht="15.75" customHeight="1">
      <c r="T575" s="51"/>
      <c r="U575" s="51"/>
      <c r="V575" s="51"/>
      <c r="W575" s="51"/>
    </row>
    <row r="576" spans="20:23" ht="15.75" customHeight="1">
      <c r="T576" s="51"/>
      <c r="U576" s="51"/>
      <c r="V576" s="51"/>
      <c r="W576" s="51"/>
    </row>
    <row r="577" spans="20:23" ht="15.75" customHeight="1">
      <c r="T577" s="51"/>
      <c r="U577" s="51"/>
      <c r="V577" s="51"/>
      <c r="W577" s="51"/>
    </row>
    <row r="578" spans="20:23" ht="15.75" customHeight="1">
      <c r="T578" s="51"/>
      <c r="U578" s="51"/>
      <c r="V578" s="51"/>
      <c r="W578" s="51"/>
    </row>
    <row r="579" spans="20:23" ht="15.75" customHeight="1">
      <c r="T579" s="51"/>
      <c r="U579" s="51"/>
      <c r="V579" s="51"/>
      <c r="W579" s="51"/>
    </row>
    <row r="580" spans="20:23" ht="15.75" customHeight="1">
      <c r="T580" s="51"/>
      <c r="U580" s="51"/>
      <c r="V580" s="51"/>
      <c r="W580" s="51"/>
    </row>
    <row r="581" spans="20:23" ht="15.75" customHeight="1">
      <c r="T581" s="51"/>
      <c r="U581" s="51"/>
      <c r="V581" s="51"/>
      <c r="W581" s="51"/>
    </row>
    <row r="582" spans="20:23" ht="15.75" customHeight="1">
      <c r="T582" s="51"/>
      <c r="U582" s="51"/>
      <c r="V582" s="51"/>
      <c r="W582" s="51"/>
    </row>
    <row r="583" spans="20:23" ht="15.75" customHeight="1">
      <c r="T583" s="51"/>
      <c r="U583" s="51"/>
      <c r="V583" s="51"/>
      <c r="W583" s="51"/>
    </row>
    <row r="584" spans="20:23" ht="15.75" customHeight="1">
      <c r="T584" s="51"/>
      <c r="U584" s="51"/>
      <c r="V584" s="51"/>
      <c r="W584" s="51"/>
    </row>
    <row r="585" spans="20:23" ht="15.75" customHeight="1">
      <c r="T585" s="51"/>
      <c r="U585" s="51"/>
      <c r="V585" s="51"/>
      <c r="W585" s="51"/>
    </row>
    <row r="586" spans="20:23" ht="15.75" customHeight="1">
      <c r="T586" s="51"/>
      <c r="U586" s="51"/>
      <c r="V586" s="51"/>
      <c r="W586" s="51"/>
    </row>
    <row r="587" spans="20:23" ht="15.75" customHeight="1">
      <c r="T587" s="51"/>
      <c r="U587" s="51"/>
      <c r="V587" s="51"/>
      <c r="W587" s="51"/>
    </row>
    <row r="588" spans="20:23" ht="15.75" customHeight="1">
      <c r="T588" s="51"/>
      <c r="U588" s="51"/>
      <c r="V588" s="51"/>
      <c r="W588" s="51"/>
    </row>
    <row r="589" spans="20:23" ht="15.75" customHeight="1">
      <c r="T589" s="51"/>
      <c r="U589" s="51"/>
      <c r="V589" s="51"/>
      <c r="W589" s="51"/>
    </row>
    <row r="590" spans="20:23" ht="15.75" customHeight="1">
      <c r="T590" s="51"/>
      <c r="U590" s="51"/>
      <c r="V590" s="51"/>
      <c r="W590" s="51"/>
    </row>
    <row r="591" spans="20:23" ht="15.75" customHeight="1">
      <c r="T591" s="51"/>
      <c r="U591" s="51"/>
      <c r="V591" s="51"/>
      <c r="W591" s="51"/>
    </row>
    <row r="592" spans="20:23" ht="15.75" customHeight="1">
      <c r="T592" s="51"/>
      <c r="U592" s="51"/>
      <c r="V592" s="51"/>
      <c r="W592" s="51"/>
    </row>
    <row r="593" spans="20:23" ht="15.75" customHeight="1">
      <c r="T593" s="51"/>
      <c r="U593" s="51"/>
      <c r="V593" s="51"/>
      <c r="W593" s="51"/>
    </row>
    <row r="594" spans="20:23" ht="15.75" customHeight="1">
      <c r="T594" s="51"/>
      <c r="U594" s="51"/>
      <c r="V594" s="51"/>
      <c r="W594" s="51"/>
    </row>
    <row r="595" spans="20:23" ht="15.75" customHeight="1">
      <c r="T595" s="51"/>
      <c r="U595" s="51"/>
      <c r="V595" s="51"/>
      <c r="W595" s="51"/>
    </row>
    <row r="596" spans="20:23" ht="15.75" customHeight="1">
      <c r="T596" s="51"/>
      <c r="U596" s="51"/>
      <c r="V596" s="51"/>
      <c r="W596" s="51"/>
    </row>
    <row r="597" spans="20:23" ht="15.75" customHeight="1">
      <c r="T597" s="51"/>
      <c r="U597" s="51"/>
      <c r="V597" s="51"/>
      <c r="W597" s="51"/>
    </row>
    <row r="598" spans="20:23" ht="15.75" customHeight="1">
      <c r="T598" s="51"/>
      <c r="U598" s="51"/>
      <c r="V598" s="51"/>
      <c r="W598" s="51"/>
    </row>
    <row r="599" spans="20:23" ht="15.75" customHeight="1">
      <c r="T599" s="51"/>
      <c r="U599" s="51"/>
      <c r="V599" s="51"/>
      <c r="W599" s="51"/>
    </row>
    <row r="600" spans="20:23" ht="15.75" customHeight="1">
      <c r="T600" s="51"/>
      <c r="U600" s="51"/>
      <c r="V600" s="51"/>
      <c r="W600" s="51"/>
    </row>
    <row r="601" spans="20:23" ht="15.75" customHeight="1">
      <c r="T601" s="51"/>
      <c r="U601" s="51"/>
      <c r="V601" s="51"/>
      <c r="W601" s="51"/>
    </row>
    <row r="602" spans="20:23" ht="15.75" customHeight="1">
      <c r="T602" s="51"/>
      <c r="U602" s="51"/>
      <c r="V602" s="51"/>
      <c r="W602" s="51"/>
    </row>
    <row r="603" spans="20:23" ht="15.75" customHeight="1">
      <c r="T603" s="51"/>
      <c r="U603" s="51"/>
      <c r="V603" s="51"/>
      <c r="W603" s="51"/>
    </row>
    <row r="604" spans="20:23" ht="15.75" customHeight="1">
      <c r="T604" s="51"/>
      <c r="U604" s="51"/>
      <c r="V604" s="51"/>
      <c r="W604" s="51"/>
    </row>
    <row r="605" spans="20:23" ht="15.75" customHeight="1">
      <c r="T605" s="51"/>
      <c r="U605" s="51"/>
      <c r="V605" s="51"/>
      <c r="W605" s="51"/>
    </row>
    <row r="606" spans="20:23" ht="15.75" customHeight="1">
      <c r="T606" s="51"/>
      <c r="U606" s="51"/>
      <c r="V606" s="51"/>
      <c r="W606" s="51"/>
    </row>
    <row r="607" spans="20:23" ht="15.75" customHeight="1">
      <c r="T607" s="51"/>
      <c r="U607" s="51"/>
      <c r="V607" s="51"/>
      <c r="W607" s="51"/>
    </row>
    <row r="608" spans="20:23" ht="15.75" customHeight="1">
      <c r="T608" s="51"/>
      <c r="U608" s="51"/>
      <c r="V608" s="51"/>
      <c r="W608" s="51"/>
    </row>
    <row r="609" spans="20:23" ht="15.75" customHeight="1">
      <c r="T609" s="51"/>
      <c r="U609" s="51"/>
      <c r="V609" s="51"/>
      <c r="W609" s="51"/>
    </row>
    <row r="610" spans="20:23" ht="15.75" customHeight="1">
      <c r="T610" s="51"/>
      <c r="U610" s="51"/>
      <c r="V610" s="51"/>
      <c r="W610" s="51"/>
    </row>
    <row r="611" spans="20:23" ht="15.75" customHeight="1">
      <c r="T611" s="51"/>
      <c r="U611" s="51"/>
      <c r="V611" s="51"/>
      <c r="W611" s="51"/>
    </row>
    <row r="612" spans="20:23" ht="15.75" customHeight="1">
      <c r="T612" s="51"/>
      <c r="U612" s="51"/>
      <c r="V612" s="51"/>
      <c r="W612" s="51"/>
    </row>
    <row r="613" spans="20:23" ht="15.75" customHeight="1">
      <c r="T613" s="51"/>
      <c r="U613" s="51"/>
      <c r="V613" s="51"/>
      <c r="W613" s="51"/>
    </row>
    <row r="614" spans="20:23" ht="15.75" customHeight="1">
      <c r="T614" s="51"/>
      <c r="U614" s="51"/>
      <c r="V614" s="51"/>
      <c r="W614" s="51"/>
    </row>
    <row r="615" spans="20:23" ht="15.75" customHeight="1">
      <c r="T615" s="51"/>
      <c r="U615" s="51"/>
      <c r="V615" s="51"/>
      <c r="W615" s="51"/>
    </row>
    <row r="616" spans="20:23" ht="15.75" customHeight="1">
      <c r="T616" s="51"/>
      <c r="U616" s="51"/>
      <c r="V616" s="51"/>
      <c r="W616" s="51"/>
    </row>
    <row r="617" spans="20:23" ht="15.75" customHeight="1">
      <c r="T617" s="51"/>
      <c r="U617" s="51"/>
      <c r="V617" s="51"/>
      <c r="W617" s="51"/>
    </row>
    <row r="618" spans="20:23" ht="15.75" customHeight="1">
      <c r="T618" s="51"/>
      <c r="U618" s="51"/>
      <c r="V618" s="51"/>
      <c r="W618" s="51"/>
    </row>
    <row r="619" spans="20:23" ht="15.75" customHeight="1">
      <c r="T619" s="51"/>
      <c r="U619" s="51"/>
      <c r="V619" s="51"/>
      <c r="W619" s="51"/>
    </row>
    <row r="620" spans="20:23" ht="15.75" customHeight="1">
      <c r="T620" s="51"/>
      <c r="U620" s="51"/>
      <c r="V620" s="51"/>
      <c r="W620" s="51"/>
    </row>
    <row r="621" spans="20:23" ht="15.75" customHeight="1">
      <c r="T621" s="51"/>
      <c r="U621" s="51"/>
      <c r="V621" s="51"/>
      <c r="W621" s="51"/>
    </row>
    <row r="622" spans="20:23" ht="15.75" customHeight="1">
      <c r="T622" s="51"/>
      <c r="U622" s="51"/>
      <c r="V622" s="51"/>
      <c r="W622" s="51"/>
    </row>
    <row r="623" spans="20:23" ht="15.75" customHeight="1">
      <c r="T623" s="51"/>
      <c r="U623" s="51"/>
      <c r="V623" s="51"/>
      <c r="W623" s="51"/>
    </row>
    <row r="624" spans="20:23" ht="15.75" customHeight="1">
      <c r="T624" s="51"/>
      <c r="U624" s="51"/>
      <c r="V624" s="51"/>
      <c r="W624" s="51"/>
    </row>
    <row r="625" spans="20:23" ht="15.75" customHeight="1">
      <c r="T625" s="51"/>
      <c r="U625" s="51"/>
      <c r="V625" s="51"/>
      <c r="W625" s="51"/>
    </row>
    <row r="626" spans="20:23" ht="15.75" customHeight="1">
      <c r="T626" s="51"/>
      <c r="U626" s="51"/>
      <c r="V626" s="51"/>
      <c r="W626" s="51"/>
    </row>
    <row r="627" spans="20:23" ht="15.75" customHeight="1">
      <c r="T627" s="51"/>
      <c r="U627" s="51"/>
      <c r="V627" s="51"/>
      <c r="W627" s="51"/>
    </row>
    <row r="628" spans="20:23" ht="15.75" customHeight="1">
      <c r="T628" s="51"/>
      <c r="U628" s="51"/>
      <c r="V628" s="51"/>
      <c r="W628" s="51"/>
    </row>
    <row r="629" spans="20:23" ht="15.75" customHeight="1">
      <c r="T629" s="51"/>
      <c r="U629" s="51"/>
      <c r="V629" s="51"/>
      <c r="W629" s="51"/>
    </row>
    <row r="630" spans="20:23" ht="15.75" customHeight="1">
      <c r="T630" s="51"/>
      <c r="U630" s="51"/>
      <c r="V630" s="51"/>
      <c r="W630" s="51"/>
    </row>
    <row r="631" spans="20:23" ht="15.75" customHeight="1">
      <c r="T631" s="51"/>
      <c r="U631" s="51"/>
      <c r="V631" s="51"/>
      <c r="W631" s="51"/>
    </row>
    <row r="632" spans="20:23" ht="15.75" customHeight="1">
      <c r="T632" s="51"/>
      <c r="U632" s="51"/>
      <c r="V632" s="51"/>
      <c r="W632" s="51"/>
    </row>
    <row r="633" spans="20:23" ht="15.75" customHeight="1">
      <c r="T633" s="51"/>
      <c r="U633" s="51"/>
      <c r="V633" s="51"/>
      <c r="W633" s="51"/>
    </row>
    <row r="634" spans="20:23" ht="15.75" customHeight="1">
      <c r="T634" s="51"/>
      <c r="U634" s="51"/>
      <c r="V634" s="51"/>
      <c r="W634" s="51"/>
    </row>
    <row r="635" spans="20:23" ht="15.75" customHeight="1">
      <c r="T635" s="51"/>
      <c r="U635" s="51"/>
      <c r="V635" s="51"/>
      <c r="W635" s="51"/>
    </row>
    <row r="636" spans="20:23" ht="15.75" customHeight="1">
      <c r="T636" s="51"/>
      <c r="U636" s="51"/>
      <c r="V636" s="51"/>
      <c r="W636" s="51"/>
    </row>
    <row r="637" spans="20:23" ht="15.75" customHeight="1">
      <c r="T637" s="51"/>
      <c r="U637" s="51"/>
      <c r="V637" s="51"/>
      <c r="W637" s="51"/>
    </row>
    <row r="638" spans="20:23" ht="15.75" customHeight="1">
      <c r="T638" s="51"/>
      <c r="U638" s="51"/>
      <c r="V638" s="51"/>
      <c r="W638" s="51"/>
    </row>
    <row r="639" spans="20:23" ht="15.75" customHeight="1">
      <c r="T639" s="51"/>
      <c r="U639" s="51"/>
      <c r="V639" s="51"/>
      <c r="W639" s="51"/>
    </row>
    <row r="640" spans="20:23" ht="15.75" customHeight="1">
      <c r="T640" s="51"/>
      <c r="U640" s="51"/>
      <c r="V640" s="51"/>
      <c r="W640" s="51"/>
    </row>
    <row r="641" spans="20:23" ht="15.75" customHeight="1">
      <c r="T641" s="51"/>
      <c r="U641" s="51"/>
      <c r="V641" s="51"/>
      <c r="W641" s="51"/>
    </row>
    <row r="642" spans="20:23" ht="15.75" customHeight="1">
      <c r="T642" s="51"/>
      <c r="U642" s="51"/>
      <c r="V642" s="51"/>
      <c r="W642" s="51"/>
    </row>
    <row r="643" spans="20:23" ht="15.75" customHeight="1">
      <c r="T643" s="51"/>
      <c r="U643" s="51"/>
      <c r="V643" s="51"/>
      <c r="W643" s="51"/>
    </row>
    <row r="644" spans="20:23" ht="15.75" customHeight="1">
      <c r="T644" s="51"/>
      <c r="U644" s="51"/>
      <c r="V644" s="51"/>
      <c r="W644" s="51"/>
    </row>
    <row r="645" spans="20:23" ht="15.75" customHeight="1">
      <c r="T645" s="51"/>
      <c r="U645" s="51"/>
      <c r="V645" s="51"/>
      <c r="W645" s="51"/>
    </row>
    <row r="646" spans="20:23" ht="15.75" customHeight="1">
      <c r="T646" s="51"/>
      <c r="U646" s="51"/>
      <c r="V646" s="51"/>
      <c r="W646" s="51"/>
    </row>
    <row r="647" spans="20:23" ht="15.75" customHeight="1">
      <c r="T647" s="51"/>
      <c r="U647" s="51"/>
      <c r="V647" s="51"/>
      <c r="W647" s="51"/>
    </row>
    <row r="648" spans="20:23" ht="15.75" customHeight="1">
      <c r="T648" s="51"/>
      <c r="U648" s="51"/>
      <c r="V648" s="51"/>
      <c r="W648" s="51"/>
    </row>
    <row r="649" spans="20:23" ht="15.75" customHeight="1">
      <c r="T649" s="51"/>
      <c r="U649" s="51"/>
      <c r="V649" s="51"/>
      <c r="W649" s="51"/>
    </row>
    <row r="650" spans="20:23" ht="15.75" customHeight="1">
      <c r="T650" s="51"/>
      <c r="U650" s="51"/>
      <c r="V650" s="51"/>
      <c r="W650" s="51"/>
    </row>
    <row r="651" spans="20:23" ht="15.75" customHeight="1">
      <c r="T651" s="51"/>
      <c r="U651" s="51"/>
      <c r="V651" s="51"/>
      <c r="W651" s="51"/>
    </row>
    <row r="652" spans="20:23" ht="15.75" customHeight="1">
      <c r="T652" s="51"/>
      <c r="U652" s="51"/>
      <c r="V652" s="51"/>
      <c r="W652" s="51"/>
    </row>
    <row r="653" spans="20:23" ht="15.75" customHeight="1">
      <c r="T653" s="51"/>
      <c r="U653" s="51"/>
      <c r="V653" s="51"/>
      <c r="W653" s="51"/>
    </row>
    <row r="654" spans="20:23" ht="15.75" customHeight="1">
      <c r="T654" s="51"/>
      <c r="U654" s="51"/>
      <c r="V654" s="51"/>
      <c r="W654" s="51"/>
    </row>
    <row r="655" spans="20:23" ht="15.75" customHeight="1">
      <c r="T655" s="51"/>
      <c r="U655" s="51"/>
      <c r="V655" s="51"/>
      <c r="W655" s="51"/>
    </row>
    <row r="656" spans="20:23" ht="15.75" customHeight="1">
      <c r="T656" s="51"/>
      <c r="U656" s="51"/>
      <c r="V656" s="51"/>
      <c r="W656" s="51"/>
    </row>
    <row r="657" spans="20:23" ht="15.75" customHeight="1">
      <c r="T657" s="51"/>
      <c r="U657" s="51"/>
      <c r="V657" s="51"/>
      <c r="W657" s="51"/>
    </row>
    <row r="658" spans="20:23" ht="15.75" customHeight="1">
      <c r="T658" s="51"/>
      <c r="U658" s="51"/>
      <c r="V658" s="51"/>
      <c r="W658" s="51"/>
    </row>
    <row r="659" spans="20:23" ht="15.75" customHeight="1">
      <c r="T659" s="51"/>
      <c r="U659" s="51"/>
      <c r="V659" s="51"/>
      <c r="W659" s="51"/>
    </row>
    <row r="660" spans="20:23" ht="15.75" customHeight="1">
      <c r="T660" s="51"/>
      <c r="U660" s="51"/>
      <c r="V660" s="51"/>
      <c r="W660" s="51"/>
    </row>
    <row r="661" spans="20:23" ht="15.75" customHeight="1">
      <c r="T661" s="51"/>
      <c r="U661" s="51"/>
      <c r="V661" s="51"/>
      <c r="W661" s="51"/>
    </row>
    <row r="662" spans="20:23" ht="15.75" customHeight="1">
      <c r="T662" s="51"/>
      <c r="U662" s="51"/>
      <c r="V662" s="51"/>
      <c r="W662" s="51"/>
    </row>
    <row r="663" spans="20:23" ht="15.75" customHeight="1">
      <c r="T663" s="51"/>
      <c r="U663" s="51"/>
      <c r="V663" s="51"/>
      <c r="W663" s="51"/>
    </row>
    <row r="664" spans="20:23" ht="15.75" customHeight="1">
      <c r="T664" s="51"/>
      <c r="U664" s="51"/>
      <c r="V664" s="51"/>
      <c r="W664" s="51"/>
    </row>
    <row r="665" spans="20:23" ht="15.75" customHeight="1">
      <c r="T665" s="51"/>
      <c r="U665" s="51"/>
      <c r="V665" s="51"/>
      <c r="W665" s="51"/>
    </row>
    <row r="666" spans="20:23" ht="15.75" customHeight="1">
      <c r="T666" s="51"/>
      <c r="U666" s="51"/>
      <c r="V666" s="51"/>
      <c r="W666" s="51"/>
    </row>
    <row r="667" spans="20:23" ht="15.75" customHeight="1">
      <c r="T667" s="51"/>
      <c r="U667" s="51"/>
      <c r="V667" s="51"/>
      <c r="W667" s="51"/>
    </row>
    <row r="668" spans="20:23" ht="15.75" customHeight="1">
      <c r="T668" s="51"/>
      <c r="U668" s="51"/>
      <c r="V668" s="51"/>
      <c r="W668" s="51"/>
    </row>
    <row r="669" spans="20:23" ht="15.75" customHeight="1">
      <c r="T669" s="51"/>
      <c r="U669" s="51"/>
      <c r="V669" s="51"/>
      <c r="W669" s="51"/>
    </row>
    <row r="670" spans="20:23" ht="15.75" customHeight="1">
      <c r="T670" s="51"/>
      <c r="U670" s="51"/>
      <c r="V670" s="51"/>
      <c r="W670" s="51"/>
    </row>
    <row r="671" spans="20:23" ht="15.75" customHeight="1">
      <c r="T671" s="51"/>
      <c r="U671" s="51"/>
      <c r="V671" s="51"/>
      <c r="W671" s="51"/>
    </row>
    <row r="672" spans="20:23" ht="15.75" customHeight="1">
      <c r="T672" s="51"/>
      <c r="U672" s="51"/>
      <c r="V672" s="51"/>
      <c r="W672" s="51"/>
    </row>
    <row r="673" spans="20:23" ht="15.75" customHeight="1">
      <c r="T673" s="51"/>
      <c r="U673" s="51"/>
      <c r="V673" s="51"/>
      <c r="W673" s="51"/>
    </row>
    <row r="674" spans="20:23" ht="15.75" customHeight="1">
      <c r="T674" s="51"/>
      <c r="U674" s="51"/>
      <c r="V674" s="51"/>
      <c r="W674" s="51"/>
    </row>
    <row r="675" spans="20:23" ht="15.75" customHeight="1">
      <c r="T675" s="51"/>
      <c r="U675" s="51"/>
      <c r="V675" s="51"/>
      <c r="W675" s="51"/>
    </row>
    <row r="676" spans="20:23" ht="15.75" customHeight="1">
      <c r="T676" s="51"/>
      <c r="U676" s="51"/>
      <c r="V676" s="51"/>
      <c r="W676" s="51"/>
    </row>
    <row r="677" spans="20:23" ht="15.75" customHeight="1">
      <c r="T677" s="51"/>
      <c r="U677" s="51"/>
      <c r="V677" s="51"/>
      <c r="W677" s="51"/>
    </row>
    <row r="678" spans="20:23" ht="15.75" customHeight="1">
      <c r="T678" s="51"/>
      <c r="U678" s="51"/>
      <c r="V678" s="51"/>
      <c r="W678" s="51"/>
    </row>
    <row r="679" spans="20:23" ht="15.75" customHeight="1">
      <c r="T679" s="51"/>
      <c r="U679" s="51"/>
      <c r="V679" s="51"/>
      <c r="W679" s="51"/>
    </row>
    <row r="680" spans="20:23" ht="15.75" customHeight="1">
      <c r="T680" s="51"/>
      <c r="U680" s="51"/>
      <c r="V680" s="51"/>
      <c r="W680" s="51"/>
    </row>
    <row r="681" spans="20:23" ht="15.75" customHeight="1">
      <c r="T681" s="51"/>
      <c r="U681" s="51"/>
      <c r="V681" s="51"/>
      <c r="W681" s="51"/>
    </row>
    <row r="682" spans="20:23" ht="15.75" customHeight="1">
      <c r="T682" s="51"/>
      <c r="U682" s="51"/>
      <c r="V682" s="51"/>
      <c r="W682" s="51"/>
    </row>
    <row r="683" spans="20:23" ht="15.75" customHeight="1">
      <c r="T683" s="51"/>
      <c r="U683" s="51"/>
      <c r="V683" s="51"/>
      <c r="W683" s="51"/>
    </row>
    <row r="684" spans="20:23" ht="15.75" customHeight="1">
      <c r="T684" s="51"/>
      <c r="U684" s="51"/>
      <c r="V684" s="51"/>
      <c r="W684" s="51"/>
    </row>
    <row r="685" spans="20:23" ht="15.75" customHeight="1">
      <c r="T685" s="51"/>
      <c r="U685" s="51"/>
      <c r="V685" s="51"/>
      <c r="W685" s="51"/>
    </row>
    <row r="686" spans="20:23" ht="15.75" customHeight="1">
      <c r="T686" s="51"/>
      <c r="U686" s="51"/>
      <c r="V686" s="51"/>
      <c r="W686" s="51"/>
    </row>
    <row r="687" spans="20:23" ht="15.75" customHeight="1">
      <c r="T687" s="51"/>
      <c r="U687" s="51"/>
      <c r="V687" s="51"/>
      <c r="W687" s="51"/>
    </row>
    <row r="688" spans="20:23" ht="15.75" customHeight="1">
      <c r="T688" s="51"/>
      <c r="U688" s="51"/>
      <c r="V688" s="51"/>
      <c r="W688" s="51"/>
    </row>
    <row r="689" spans="20:23" ht="15.75" customHeight="1">
      <c r="T689" s="51"/>
      <c r="U689" s="51"/>
      <c r="V689" s="51"/>
      <c r="W689" s="51"/>
    </row>
    <row r="690" spans="20:23" ht="15.75" customHeight="1">
      <c r="T690" s="51"/>
      <c r="U690" s="51"/>
      <c r="V690" s="51"/>
      <c r="W690" s="51"/>
    </row>
    <row r="691" spans="20:23" ht="15.75" customHeight="1">
      <c r="T691" s="51"/>
      <c r="U691" s="51"/>
      <c r="V691" s="51"/>
      <c r="W691" s="51"/>
    </row>
    <row r="692" spans="20:23" ht="15.75" customHeight="1">
      <c r="T692" s="51"/>
      <c r="U692" s="51"/>
      <c r="V692" s="51"/>
      <c r="W692" s="51"/>
    </row>
    <row r="693" spans="20:23" ht="15.75" customHeight="1">
      <c r="T693" s="51"/>
      <c r="U693" s="51"/>
      <c r="V693" s="51"/>
      <c r="W693" s="51"/>
    </row>
    <row r="694" spans="20:23" ht="15.75" customHeight="1">
      <c r="T694" s="51"/>
      <c r="U694" s="51"/>
      <c r="V694" s="51"/>
      <c r="W694" s="51"/>
    </row>
    <row r="695" spans="20:23" ht="15.75" customHeight="1">
      <c r="T695" s="51"/>
      <c r="U695" s="51"/>
      <c r="V695" s="51"/>
      <c r="W695" s="51"/>
    </row>
    <row r="696" spans="20:23" ht="15.75" customHeight="1">
      <c r="T696" s="51"/>
      <c r="U696" s="51"/>
      <c r="V696" s="51"/>
      <c r="W696" s="51"/>
    </row>
    <row r="697" spans="20:23" ht="15.75" customHeight="1">
      <c r="T697" s="51"/>
      <c r="U697" s="51"/>
      <c r="V697" s="51"/>
      <c r="W697" s="51"/>
    </row>
    <row r="698" spans="20:23" ht="15.75" customHeight="1">
      <c r="T698" s="51"/>
      <c r="U698" s="51"/>
      <c r="V698" s="51"/>
      <c r="W698" s="51"/>
    </row>
    <row r="699" spans="20:23" ht="15.75" customHeight="1">
      <c r="T699" s="51"/>
      <c r="U699" s="51"/>
      <c r="V699" s="51"/>
      <c r="W699" s="51"/>
    </row>
    <row r="700" spans="20:23" ht="15.75" customHeight="1">
      <c r="T700" s="51"/>
      <c r="U700" s="51"/>
      <c r="V700" s="51"/>
      <c r="W700" s="51"/>
    </row>
    <row r="701" spans="20:23" ht="15.75" customHeight="1">
      <c r="T701" s="51"/>
      <c r="U701" s="51"/>
      <c r="V701" s="51"/>
      <c r="W701" s="51"/>
    </row>
    <row r="702" spans="20:23" ht="15.75" customHeight="1">
      <c r="T702" s="51"/>
      <c r="U702" s="51"/>
      <c r="V702" s="51"/>
      <c r="W702" s="51"/>
    </row>
    <row r="703" spans="20:23" ht="15.75" customHeight="1">
      <c r="T703" s="51"/>
      <c r="U703" s="51"/>
      <c r="V703" s="51"/>
      <c r="W703" s="51"/>
    </row>
    <row r="704" spans="20:23" ht="15.75" customHeight="1">
      <c r="T704" s="51"/>
      <c r="U704" s="51"/>
      <c r="V704" s="51"/>
      <c r="W704" s="51"/>
    </row>
    <row r="705" spans="20:23" ht="15.75" customHeight="1">
      <c r="T705" s="51"/>
      <c r="U705" s="51"/>
      <c r="V705" s="51"/>
      <c r="W705" s="51"/>
    </row>
    <row r="706" spans="20:23" ht="15.75" customHeight="1">
      <c r="T706" s="51"/>
      <c r="U706" s="51"/>
      <c r="V706" s="51"/>
      <c r="W706" s="51"/>
    </row>
    <row r="707" spans="20:23" ht="15.75" customHeight="1">
      <c r="T707" s="51"/>
      <c r="U707" s="51"/>
      <c r="V707" s="51"/>
      <c r="W707" s="51"/>
    </row>
    <row r="708" spans="20:23" ht="15.75" customHeight="1">
      <c r="T708" s="51"/>
      <c r="U708" s="51"/>
      <c r="V708" s="51"/>
      <c r="W708" s="51"/>
    </row>
    <row r="709" spans="20:23" ht="15.75" customHeight="1">
      <c r="T709" s="51"/>
      <c r="U709" s="51"/>
      <c r="V709" s="51"/>
      <c r="W709" s="51"/>
    </row>
    <row r="710" spans="20:23" ht="15.75" customHeight="1">
      <c r="T710" s="51"/>
      <c r="U710" s="51"/>
      <c r="V710" s="51"/>
      <c r="W710" s="51"/>
    </row>
    <row r="711" spans="20:23" ht="15.75" customHeight="1">
      <c r="T711" s="51"/>
      <c r="U711" s="51"/>
      <c r="V711" s="51"/>
      <c r="W711" s="51"/>
    </row>
    <row r="712" spans="20:23" ht="15.75" customHeight="1">
      <c r="T712" s="51"/>
      <c r="U712" s="51"/>
      <c r="V712" s="51"/>
      <c r="W712" s="51"/>
    </row>
    <row r="713" spans="20:23" ht="15.75" customHeight="1">
      <c r="T713" s="51"/>
      <c r="U713" s="51"/>
      <c r="V713" s="51"/>
      <c r="W713" s="51"/>
    </row>
    <row r="714" spans="20:23" ht="15.75" customHeight="1">
      <c r="T714" s="51"/>
      <c r="U714" s="51"/>
      <c r="V714" s="51"/>
      <c r="W714" s="51"/>
    </row>
    <row r="715" spans="20:23" ht="15.75" customHeight="1">
      <c r="T715" s="51"/>
      <c r="U715" s="51"/>
      <c r="V715" s="51"/>
      <c r="W715" s="51"/>
    </row>
    <row r="716" spans="20:23" ht="15.75" customHeight="1">
      <c r="T716" s="51"/>
      <c r="U716" s="51"/>
      <c r="V716" s="51"/>
      <c r="W716" s="51"/>
    </row>
    <row r="717" spans="20:23" ht="15.75" customHeight="1">
      <c r="T717" s="51"/>
      <c r="U717" s="51"/>
      <c r="V717" s="51"/>
      <c r="W717" s="51"/>
    </row>
    <row r="718" spans="20:23" ht="15.75" customHeight="1">
      <c r="T718" s="51"/>
      <c r="U718" s="51"/>
      <c r="V718" s="51"/>
      <c r="W718" s="51"/>
    </row>
    <row r="719" spans="20:23" ht="15.75" customHeight="1">
      <c r="T719" s="51"/>
      <c r="U719" s="51"/>
      <c r="V719" s="51"/>
      <c r="W719" s="51"/>
    </row>
    <row r="720" spans="20:23" ht="15.75" customHeight="1">
      <c r="T720" s="51"/>
      <c r="U720" s="51"/>
      <c r="V720" s="51"/>
      <c r="W720" s="51"/>
    </row>
    <row r="721" spans="20:23" ht="15.75" customHeight="1">
      <c r="T721" s="51"/>
      <c r="U721" s="51"/>
      <c r="V721" s="51"/>
      <c r="W721" s="51"/>
    </row>
    <row r="722" spans="20:23" ht="15.75" customHeight="1">
      <c r="T722" s="51"/>
      <c r="U722" s="51"/>
      <c r="V722" s="51"/>
      <c r="W722" s="51"/>
    </row>
    <row r="723" spans="20:23" ht="15.75" customHeight="1">
      <c r="T723" s="51"/>
      <c r="U723" s="51"/>
      <c r="V723" s="51"/>
      <c r="W723" s="51"/>
    </row>
    <row r="724" spans="20:23" ht="15.75" customHeight="1">
      <c r="T724" s="51"/>
      <c r="U724" s="51"/>
      <c r="V724" s="51"/>
      <c r="W724" s="51"/>
    </row>
    <row r="725" spans="20:23" ht="15.75" customHeight="1">
      <c r="T725" s="51"/>
      <c r="U725" s="51"/>
      <c r="V725" s="51"/>
      <c r="W725" s="51"/>
    </row>
    <row r="726" spans="20:23" ht="15.75" customHeight="1">
      <c r="T726" s="51"/>
      <c r="U726" s="51"/>
      <c r="V726" s="51"/>
      <c r="W726" s="51"/>
    </row>
    <row r="727" spans="20:23" ht="15.75" customHeight="1">
      <c r="T727" s="51"/>
      <c r="U727" s="51"/>
      <c r="V727" s="51"/>
      <c r="W727" s="51"/>
    </row>
    <row r="728" spans="20:23" ht="15.75" customHeight="1">
      <c r="T728" s="51"/>
      <c r="U728" s="51"/>
      <c r="V728" s="51"/>
      <c r="W728" s="51"/>
    </row>
    <row r="729" spans="20:23" ht="15.75" customHeight="1">
      <c r="T729" s="51"/>
      <c r="U729" s="51"/>
      <c r="V729" s="51"/>
      <c r="W729" s="51"/>
    </row>
    <row r="730" spans="20:23" ht="15.75" customHeight="1">
      <c r="T730" s="51"/>
      <c r="U730" s="51"/>
      <c r="V730" s="51"/>
      <c r="W730" s="51"/>
    </row>
    <row r="731" spans="20:23" ht="15.75" customHeight="1">
      <c r="T731" s="51"/>
      <c r="U731" s="51"/>
      <c r="V731" s="51"/>
      <c r="W731" s="51"/>
    </row>
    <row r="732" spans="20:23" ht="15.75" customHeight="1">
      <c r="T732" s="51"/>
      <c r="U732" s="51"/>
      <c r="V732" s="51"/>
      <c r="W732" s="51"/>
    </row>
    <row r="733" spans="20:23" ht="15.75" customHeight="1">
      <c r="T733" s="51"/>
      <c r="U733" s="51"/>
      <c r="V733" s="51"/>
      <c r="W733" s="51"/>
    </row>
    <row r="734" spans="20:23" ht="15.75" customHeight="1">
      <c r="T734" s="51"/>
      <c r="U734" s="51"/>
      <c r="V734" s="51"/>
      <c r="W734" s="51"/>
    </row>
    <row r="735" spans="20:23" ht="15.75" customHeight="1">
      <c r="T735" s="51"/>
      <c r="U735" s="51"/>
      <c r="V735" s="51"/>
      <c r="W735" s="51"/>
    </row>
    <row r="736" spans="20:23" ht="15.75" customHeight="1">
      <c r="T736" s="51"/>
      <c r="U736" s="51"/>
      <c r="V736" s="51"/>
      <c r="W736" s="51"/>
    </row>
    <row r="737" spans="20:23" ht="15.75" customHeight="1">
      <c r="T737" s="51"/>
      <c r="U737" s="51"/>
      <c r="V737" s="51"/>
      <c r="W737" s="51"/>
    </row>
    <row r="738" spans="20:23" ht="15.75" customHeight="1">
      <c r="T738" s="51"/>
      <c r="U738" s="51"/>
      <c r="V738" s="51"/>
      <c r="W738" s="51"/>
    </row>
    <row r="739" spans="20:23" ht="15.75" customHeight="1">
      <c r="T739" s="51"/>
      <c r="U739" s="51"/>
      <c r="V739" s="51"/>
      <c r="W739" s="51"/>
    </row>
    <row r="740" spans="20:23" ht="15.75" customHeight="1">
      <c r="T740" s="51"/>
      <c r="U740" s="51"/>
      <c r="V740" s="51"/>
      <c r="W740" s="51"/>
    </row>
    <row r="741" spans="20:23" ht="15.75" customHeight="1">
      <c r="T741" s="51"/>
      <c r="U741" s="51"/>
      <c r="V741" s="51"/>
      <c r="W741" s="51"/>
    </row>
    <row r="742" spans="20:23" ht="15.75" customHeight="1">
      <c r="T742" s="51"/>
      <c r="U742" s="51"/>
      <c r="V742" s="51"/>
      <c r="W742" s="51"/>
    </row>
    <row r="743" spans="20:23" ht="15.75" customHeight="1">
      <c r="T743" s="51"/>
      <c r="U743" s="51"/>
      <c r="V743" s="51"/>
      <c r="W743" s="51"/>
    </row>
    <row r="744" spans="20:23" ht="15.75" customHeight="1">
      <c r="T744" s="51"/>
      <c r="U744" s="51"/>
      <c r="V744" s="51"/>
      <c r="W744" s="51"/>
    </row>
    <row r="745" spans="20:23" ht="15.75" customHeight="1">
      <c r="T745" s="51"/>
      <c r="U745" s="51"/>
      <c r="V745" s="51"/>
      <c r="W745" s="51"/>
    </row>
    <row r="746" spans="20:23" ht="15.75" customHeight="1">
      <c r="T746" s="51"/>
      <c r="U746" s="51"/>
      <c r="V746" s="51"/>
      <c r="W746" s="51"/>
    </row>
    <row r="747" spans="20:23" ht="15.75" customHeight="1">
      <c r="T747" s="51"/>
      <c r="U747" s="51"/>
      <c r="V747" s="51"/>
      <c r="W747" s="51"/>
    </row>
    <row r="748" spans="20:23" ht="15.75" customHeight="1">
      <c r="T748" s="51"/>
      <c r="U748" s="51"/>
      <c r="V748" s="51"/>
      <c r="W748" s="51"/>
    </row>
    <row r="749" spans="20:23" ht="15.75" customHeight="1">
      <c r="T749" s="51"/>
      <c r="U749" s="51"/>
      <c r="V749" s="51"/>
      <c r="W749" s="51"/>
    </row>
    <row r="750" spans="20:23" ht="15.75" customHeight="1">
      <c r="T750" s="51"/>
      <c r="U750" s="51"/>
      <c r="V750" s="51"/>
      <c r="W750" s="51"/>
    </row>
    <row r="751" spans="20:23" ht="15.75" customHeight="1">
      <c r="T751" s="51"/>
      <c r="U751" s="51"/>
      <c r="V751" s="51"/>
      <c r="W751" s="51"/>
    </row>
    <row r="752" spans="20:23" ht="15.75" customHeight="1">
      <c r="T752" s="51"/>
      <c r="U752" s="51"/>
      <c r="V752" s="51"/>
      <c r="W752" s="51"/>
    </row>
    <row r="753" spans="20:23" ht="15.75" customHeight="1">
      <c r="T753" s="51"/>
      <c r="U753" s="51"/>
      <c r="V753" s="51"/>
      <c r="W753" s="51"/>
    </row>
    <row r="754" spans="20:23" ht="15.75" customHeight="1">
      <c r="T754" s="51"/>
      <c r="U754" s="51"/>
      <c r="V754" s="51"/>
      <c r="W754" s="51"/>
    </row>
    <row r="755" spans="20:23" ht="15.75" customHeight="1">
      <c r="T755" s="51"/>
      <c r="U755" s="51"/>
      <c r="V755" s="51"/>
      <c r="W755" s="51"/>
    </row>
    <row r="756" spans="20:23" ht="15.75" customHeight="1">
      <c r="T756" s="51"/>
      <c r="U756" s="51"/>
      <c r="V756" s="51"/>
      <c r="W756" s="51"/>
    </row>
    <row r="757" spans="20:23" ht="15.75" customHeight="1">
      <c r="T757" s="51"/>
      <c r="U757" s="51"/>
      <c r="V757" s="51"/>
      <c r="W757" s="51"/>
    </row>
    <row r="758" spans="20:23" ht="15.75" customHeight="1">
      <c r="T758" s="51"/>
      <c r="U758" s="51"/>
      <c r="V758" s="51"/>
      <c r="W758" s="51"/>
    </row>
    <row r="759" spans="20:23" ht="15.75" customHeight="1">
      <c r="T759" s="51"/>
      <c r="U759" s="51"/>
      <c r="V759" s="51"/>
      <c r="W759" s="51"/>
    </row>
    <row r="760" spans="20:23" ht="15.75" customHeight="1">
      <c r="T760" s="51"/>
      <c r="U760" s="51"/>
      <c r="V760" s="51"/>
      <c r="W760" s="51"/>
    </row>
    <row r="761" spans="20:23" ht="15.75" customHeight="1">
      <c r="T761" s="51"/>
      <c r="U761" s="51"/>
      <c r="V761" s="51"/>
      <c r="W761" s="51"/>
    </row>
    <row r="762" spans="20:23" ht="15.75" customHeight="1">
      <c r="T762" s="51"/>
      <c r="U762" s="51"/>
      <c r="V762" s="51"/>
      <c r="W762" s="51"/>
    </row>
    <row r="763" spans="20:23" ht="15.75" customHeight="1">
      <c r="T763" s="51"/>
      <c r="U763" s="51"/>
      <c r="V763" s="51"/>
      <c r="W763" s="51"/>
    </row>
    <row r="764" spans="20:23" ht="15.75" customHeight="1">
      <c r="T764" s="51"/>
      <c r="U764" s="51"/>
      <c r="V764" s="51"/>
      <c r="W764" s="51"/>
    </row>
    <row r="765" spans="20:23" ht="15.75" customHeight="1">
      <c r="T765" s="51"/>
      <c r="U765" s="51"/>
      <c r="V765" s="51"/>
      <c r="W765" s="51"/>
    </row>
    <row r="766" spans="20:23" ht="15.75" customHeight="1">
      <c r="T766" s="51"/>
      <c r="U766" s="51"/>
      <c r="V766" s="51"/>
      <c r="W766" s="51"/>
    </row>
    <row r="767" spans="20:23" ht="15.75" customHeight="1">
      <c r="T767" s="51"/>
      <c r="U767" s="51"/>
      <c r="V767" s="51"/>
      <c r="W767" s="51"/>
    </row>
    <row r="768" spans="20:23" ht="15.75" customHeight="1">
      <c r="T768" s="51"/>
      <c r="U768" s="51"/>
      <c r="V768" s="51"/>
      <c r="W768" s="51"/>
    </row>
    <row r="769" spans="20:23" ht="15.75" customHeight="1">
      <c r="T769" s="51"/>
      <c r="U769" s="51"/>
      <c r="V769" s="51"/>
      <c r="W769" s="51"/>
    </row>
    <row r="770" spans="20:23" ht="15.75" customHeight="1">
      <c r="T770" s="51"/>
      <c r="U770" s="51"/>
      <c r="V770" s="51"/>
      <c r="W770" s="51"/>
    </row>
    <row r="771" spans="20:23" ht="15.75" customHeight="1">
      <c r="T771" s="51"/>
      <c r="U771" s="51"/>
      <c r="V771" s="51"/>
      <c r="W771" s="51"/>
    </row>
    <row r="772" spans="20:23" ht="15.75" customHeight="1">
      <c r="T772" s="51"/>
      <c r="U772" s="51"/>
      <c r="V772" s="51"/>
      <c r="W772" s="51"/>
    </row>
    <row r="773" spans="20:23" ht="15.75" customHeight="1">
      <c r="T773" s="51"/>
      <c r="U773" s="51"/>
      <c r="V773" s="51"/>
      <c r="W773" s="51"/>
    </row>
    <row r="774" spans="20:23" ht="15.75" customHeight="1">
      <c r="T774" s="51"/>
      <c r="U774" s="51"/>
      <c r="V774" s="51"/>
      <c r="W774" s="51"/>
    </row>
    <row r="775" spans="20:23" ht="15.75" customHeight="1">
      <c r="T775" s="51"/>
      <c r="U775" s="51"/>
      <c r="V775" s="51"/>
      <c r="W775" s="51"/>
    </row>
    <row r="776" spans="20:23" ht="15.75" customHeight="1">
      <c r="T776" s="51"/>
      <c r="U776" s="51"/>
      <c r="V776" s="51"/>
      <c r="W776" s="51"/>
    </row>
    <row r="777" spans="20:23" ht="15.75" customHeight="1">
      <c r="T777" s="51"/>
      <c r="U777" s="51"/>
      <c r="V777" s="51"/>
      <c r="W777" s="51"/>
    </row>
    <row r="778" spans="20:23" ht="15.75" customHeight="1">
      <c r="T778" s="51"/>
      <c r="U778" s="51"/>
      <c r="V778" s="51"/>
      <c r="W778" s="51"/>
    </row>
    <row r="779" spans="20:23" ht="15.75" customHeight="1">
      <c r="T779" s="51"/>
      <c r="U779" s="51"/>
      <c r="V779" s="51"/>
      <c r="W779" s="51"/>
    </row>
    <row r="780" spans="20:23" ht="15.75" customHeight="1">
      <c r="T780" s="51"/>
      <c r="U780" s="51"/>
      <c r="V780" s="51"/>
      <c r="W780" s="51"/>
    </row>
    <row r="781" spans="20:23" ht="15.75" customHeight="1">
      <c r="T781" s="51"/>
      <c r="U781" s="51"/>
      <c r="V781" s="51"/>
      <c r="W781" s="51"/>
    </row>
    <row r="782" spans="20:23" ht="15.75" customHeight="1">
      <c r="T782" s="51"/>
      <c r="U782" s="51"/>
      <c r="V782" s="51"/>
      <c r="W782" s="51"/>
    </row>
    <row r="783" spans="20:23" ht="15.75" customHeight="1">
      <c r="T783" s="51"/>
      <c r="U783" s="51"/>
      <c r="V783" s="51"/>
      <c r="W783" s="51"/>
    </row>
    <row r="784" spans="20:23" ht="15.75" customHeight="1">
      <c r="T784" s="51"/>
      <c r="U784" s="51"/>
      <c r="V784" s="51"/>
      <c r="W784" s="51"/>
    </row>
    <row r="785" spans="20:23" ht="15.75" customHeight="1">
      <c r="T785" s="51"/>
      <c r="U785" s="51"/>
      <c r="V785" s="51"/>
      <c r="W785" s="51"/>
    </row>
    <row r="786" spans="20:23" ht="15.75" customHeight="1">
      <c r="T786" s="51"/>
      <c r="U786" s="51"/>
      <c r="V786" s="51"/>
      <c r="W786" s="51"/>
    </row>
    <row r="787" spans="20:23" ht="15.75" customHeight="1">
      <c r="T787" s="51"/>
      <c r="U787" s="51"/>
      <c r="V787" s="51"/>
      <c r="W787" s="51"/>
    </row>
    <row r="788" spans="20:23" ht="15.75" customHeight="1">
      <c r="T788" s="51"/>
      <c r="U788" s="51"/>
      <c r="V788" s="51"/>
      <c r="W788" s="51"/>
    </row>
    <row r="789" spans="20:23" ht="15.75" customHeight="1">
      <c r="T789" s="51"/>
      <c r="U789" s="51"/>
      <c r="V789" s="51"/>
      <c r="W789" s="51"/>
    </row>
    <row r="790" spans="20:23" ht="15.75" customHeight="1">
      <c r="T790" s="51"/>
      <c r="U790" s="51"/>
      <c r="V790" s="51"/>
      <c r="W790" s="51"/>
    </row>
    <row r="791" spans="20:23" ht="15.75" customHeight="1">
      <c r="T791" s="51"/>
      <c r="U791" s="51"/>
      <c r="V791" s="51"/>
      <c r="W791" s="51"/>
    </row>
    <row r="792" spans="20:23" ht="15.75" customHeight="1">
      <c r="T792" s="51"/>
      <c r="U792" s="51"/>
      <c r="V792" s="51"/>
      <c r="W792" s="51"/>
    </row>
    <row r="793" spans="20:23" ht="15.75" customHeight="1">
      <c r="T793" s="51"/>
      <c r="U793" s="51"/>
      <c r="V793" s="51"/>
      <c r="W793" s="51"/>
    </row>
    <row r="794" spans="20:23" ht="15.75" customHeight="1">
      <c r="T794" s="51"/>
      <c r="U794" s="51"/>
      <c r="V794" s="51"/>
      <c r="W794" s="51"/>
    </row>
    <row r="795" spans="20:23" ht="15.75" customHeight="1">
      <c r="T795" s="51"/>
      <c r="U795" s="51"/>
      <c r="V795" s="51"/>
      <c r="W795" s="51"/>
    </row>
    <row r="796" spans="20:23" ht="15.75" customHeight="1">
      <c r="T796" s="51"/>
      <c r="U796" s="51"/>
      <c r="V796" s="51"/>
      <c r="W796" s="51"/>
    </row>
    <row r="797" spans="20:23" ht="15.75" customHeight="1">
      <c r="T797" s="51"/>
      <c r="U797" s="51"/>
      <c r="V797" s="51"/>
      <c r="W797" s="51"/>
    </row>
    <row r="798" spans="20:23" ht="15.75" customHeight="1">
      <c r="T798" s="51"/>
      <c r="U798" s="51"/>
      <c r="V798" s="51"/>
      <c r="W798" s="51"/>
    </row>
    <row r="799" spans="20:23" ht="15.75" customHeight="1">
      <c r="T799" s="51"/>
      <c r="U799" s="51"/>
      <c r="V799" s="51"/>
      <c r="W799" s="51"/>
    </row>
    <row r="800" spans="20:23" ht="15.75" customHeight="1">
      <c r="T800" s="51"/>
      <c r="U800" s="51"/>
      <c r="V800" s="51"/>
      <c r="W800" s="51"/>
    </row>
    <row r="801" spans="20:23" ht="15.75" customHeight="1">
      <c r="T801" s="51"/>
      <c r="U801" s="51"/>
      <c r="V801" s="51"/>
      <c r="W801" s="51"/>
    </row>
    <row r="802" spans="20:23" ht="15.75" customHeight="1">
      <c r="T802" s="51"/>
      <c r="U802" s="51"/>
      <c r="V802" s="51"/>
      <c r="W802" s="51"/>
    </row>
    <row r="803" spans="20:23" ht="15.75" customHeight="1">
      <c r="T803" s="51"/>
      <c r="U803" s="51"/>
      <c r="V803" s="51"/>
      <c r="W803" s="51"/>
    </row>
    <row r="804" spans="20:23" ht="15.75" customHeight="1">
      <c r="T804" s="51"/>
      <c r="U804" s="51"/>
      <c r="V804" s="51"/>
      <c r="W804" s="51"/>
    </row>
    <row r="805" spans="20:23" ht="15.75" customHeight="1">
      <c r="T805" s="51"/>
      <c r="U805" s="51"/>
      <c r="V805" s="51"/>
      <c r="W805" s="51"/>
    </row>
    <row r="806" spans="20:23" ht="15.75" customHeight="1">
      <c r="T806" s="51"/>
      <c r="U806" s="51"/>
      <c r="V806" s="51"/>
      <c r="W806" s="51"/>
    </row>
    <row r="807" spans="20:23" ht="15.75" customHeight="1">
      <c r="T807" s="51"/>
      <c r="U807" s="51"/>
      <c r="V807" s="51"/>
      <c r="W807" s="51"/>
    </row>
    <row r="808" spans="20:23" ht="15.75" customHeight="1">
      <c r="T808" s="51"/>
      <c r="U808" s="51"/>
      <c r="V808" s="51"/>
      <c r="W808" s="51"/>
    </row>
    <row r="809" spans="20:23" ht="15.75" customHeight="1">
      <c r="T809" s="51"/>
      <c r="U809" s="51"/>
      <c r="V809" s="51"/>
      <c r="W809" s="51"/>
    </row>
    <row r="810" spans="20:23" ht="15.75" customHeight="1">
      <c r="T810" s="51"/>
      <c r="U810" s="51"/>
      <c r="V810" s="51"/>
      <c r="W810" s="51"/>
    </row>
    <row r="811" spans="20:23" ht="15.75" customHeight="1">
      <c r="T811" s="51"/>
      <c r="U811" s="51"/>
      <c r="V811" s="51"/>
      <c r="W811" s="51"/>
    </row>
    <row r="812" spans="20:23" ht="15.75" customHeight="1">
      <c r="T812" s="51"/>
      <c r="U812" s="51"/>
      <c r="V812" s="51"/>
      <c r="W812" s="51"/>
    </row>
    <row r="813" spans="20:23" ht="15.75" customHeight="1">
      <c r="T813" s="51"/>
      <c r="U813" s="51"/>
      <c r="V813" s="51"/>
      <c r="W813" s="51"/>
    </row>
    <row r="814" spans="20:23" ht="15.75" customHeight="1">
      <c r="T814" s="51"/>
      <c r="U814" s="51"/>
      <c r="V814" s="51"/>
      <c r="W814" s="51"/>
    </row>
    <row r="815" spans="20:23" ht="15.75" customHeight="1">
      <c r="T815" s="51"/>
      <c r="U815" s="51"/>
      <c r="V815" s="51"/>
      <c r="W815" s="51"/>
    </row>
    <row r="816" spans="20:23" ht="15.75" customHeight="1">
      <c r="T816" s="51"/>
      <c r="U816" s="51"/>
      <c r="V816" s="51"/>
      <c r="W816" s="51"/>
    </row>
    <row r="817" spans="20:23" ht="15.75" customHeight="1">
      <c r="T817" s="51"/>
      <c r="U817" s="51"/>
      <c r="V817" s="51"/>
      <c r="W817" s="51"/>
    </row>
    <row r="818" spans="20:23" ht="15.75" customHeight="1">
      <c r="T818" s="51"/>
      <c r="U818" s="51"/>
      <c r="V818" s="51"/>
      <c r="W818" s="51"/>
    </row>
    <row r="819" spans="20:23" ht="15.75" customHeight="1">
      <c r="T819" s="51"/>
      <c r="U819" s="51"/>
      <c r="V819" s="51"/>
      <c r="W819" s="51"/>
    </row>
    <row r="820" spans="20:23" ht="15.75" customHeight="1">
      <c r="T820" s="51"/>
      <c r="U820" s="51"/>
      <c r="V820" s="51"/>
      <c r="W820" s="51"/>
    </row>
    <row r="821" spans="20:23" ht="15.75" customHeight="1">
      <c r="T821" s="51"/>
      <c r="U821" s="51"/>
      <c r="V821" s="51"/>
      <c r="W821" s="51"/>
    </row>
    <row r="822" spans="20:23" ht="15.75" customHeight="1">
      <c r="T822" s="51"/>
      <c r="U822" s="51"/>
      <c r="V822" s="51"/>
      <c r="W822" s="51"/>
    </row>
    <row r="823" spans="20:23" ht="15.75" customHeight="1">
      <c r="T823" s="51"/>
      <c r="U823" s="51"/>
      <c r="V823" s="51"/>
      <c r="W823" s="51"/>
    </row>
    <row r="824" spans="20:23" ht="15.75" customHeight="1">
      <c r="T824" s="51"/>
      <c r="U824" s="51"/>
      <c r="V824" s="51"/>
      <c r="W824" s="51"/>
    </row>
    <row r="825" spans="20:23" ht="15.75" customHeight="1">
      <c r="T825" s="51"/>
      <c r="U825" s="51"/>
      <c r="V825" s="51"/>
      <c r="W825" s="51"/>
    </row>
    <row r="826" spans="20:23" ht="15.75" customHeight="1">
      <c r="T826" s="51"/>
      <c r="U826" s="51"/>
      <c r="V826" s="51"/>
      <c r="W826" s="51"/>
    </row>
    <row r="827" spans="20:23" ht="15.75" customHeight="1">
      <c r="T827" s="51"/>
      <c r="U827" s="51"/>
      <c r="V827" s="51"/>
      <c r="W827" s="51"/>
    </row>
    <row r="828" spans="20:23" ht="15.75" customHeight="1">
      <c r="T828" s="51"/>
      <c r="U828" s="51"/>
      <c r="V828" s="51"/>
      <c r="W828" s="51"/>
    </row>
    <row r="829" spans="20:23" ht="15.75" customHeight="1">
      <c r="T829" s="51"/>
      <c r="U829" s="51"/>
      <c r="V829" s="51"/>
      <c r="W829" s="51"/>
    </row>
    <row r="830" spans="20:23" ht="15.75" customHeight="1">
      <c r="T830" s="51"/>
      <c r="U830" s="51"/>
      <c r="V830" s="51"/>
      <c r="W830" s="51"/>
    </row>
    <row r="831" spans="20:23" ht="15.75" customHeight="1">
      <c r="T831" s="51"/>
      <c r="U831" s="51"/>
      <c r="V831" s="51"/>
      <c r="W831" s="51"/>
    </row>
    <row r="832" spans="20:23" ht="15.75" customHeight="1">
      <c r="T832" s="51"/>
      <c r="U832" s="51"/>
      <c r="V832" s="51"/>
      <c r="W832" s="51"/>
    </row>
    <row r="833" spans="20:23" ht="15.75" customHeight="1">
      <c r="T833" s="51"/>
      <c r="U833" s="51"/>
      <c r="V833" s="51"/>
      <c r="W833" s="51"/>
    </row>
    <row r="834" spans="20:23" ht="15.75" customHeight="1">
      <c r="T834" s="51"/>
      <c r="U834" s="51"/>
      <c r="V834" s="51"/>
      <c r="W834" s="51"/>
    </row>
    <row r="835" spans="20:23" ht="15.75" customHeight="1">
      <c r="T835" s="51"/>
      <c r="U835" s="51"/>
      <c r="V835" s="51"/>
      <c r="W835" s="51"/>
    </row>
    <row r="836" spans="20:23" ht="15.75" customHeight="1">
      <c r="T836" s="51"/>
      <c r="U836" s="51"/>
      <c r="V836" s="51"/>
      <c r="W836" s="51"/>
    </row>
    <row r="837" spans="20:23" ht="15.75" customHeight="1">
      <c r="T837" s="51"/>
      <c r="U837" s="51"/>
      <c r="V837" s="51"/>
      <c r="W837" s="51"/>
    </row>
    <row r="838" spans="20:23" ht="15.75" customHeight="1">
      <c r="T838" s="51"/>
      <c r="U838" s="51"/>
      <c r="V838" s="51"/>
      <c r="W838" s="51"/>
    </row>
    <row r="839" spans="20:23" ht="15.75" customHeight="1">
      <c r="T839" s="51"/>
      <c r="U839" s="51"/>
      <c r="V839" s="51"/>
      <c r="W839" s="51"/>
    </row>
    <row r="840" spans="20:23" ht="15.75" customHeight="1">
      <c r="T840" s="51"/>
      <c r="U840" s="51"/>
      <c r="V840" s="51"/>
      <c r="W840" s="51"/>
    </row>
    <row r="841" spans="20:23" ht="15.75" customHeight="1">
      <c r="T841" s="51"/>
      <c r="U841" s="51"/>
      <c r="V841" s="51"/>
      <c r="W841" s="51"/>
    </row>
    <row r="842" spans="20:23" ht="15.75" customHeight="1">
      <c r="T842" s="51"/>
      <c r="U842" s="51"/>
      <c r="V842" s="51"/>
      <c r="W842" s="51"/>
    </row>
    <row r="843" spans="20:23" ht="15.75" customHeight="1">
      <c r="T843" s="51"/>
      <c r="U843" s="51"/>
      <c r="V843" s="51"/>
      <c r="W843" s="51"/>
    </row>
    <row r="844" spans="20:23" ht="15.75" customHeight="1">
      <c r="T844" s="51"/>
      <c r="U844" s="51"/>
      <c r="V844" s="51"/>
      <c r="W844" s="51"/>
    </row>
    <row r="845" spans="20:23" ht="15.75" customHeight="1">
      <c r="T845" s="51"/>
      <c r="U845" s="51"/>
      <c r="V845" s="51"/>
      <c r="W845" s="51"/>
    </row>
    <row r="846" spans="20:23" ht="15.75" customHeight="1">
      <c r="T846" s="51"/>
      <c r="U846" s="51"/>
      <c r="V846" s="51"/>
      <c r="W846" s="51"/>
    </row>
    <row r="847" spans="20:23" ht="15.75" customHeight="1">
      <c r="T847" s="51"/>
      <c r="U847" s="51"/>
      <c r="V847" s="51"/>
      <c r="W847" s="51"/>
    </row>
    <row r="848" spans="20:23" ht="15.75" customHeight="1">
      <c r="T848" s="51"/>
      <c r="U848" s="51"/>
      <c r="V848" s="51"/>
      <c r="W848" s="51"/>
    </row>
    <row r="849" spans="20:23" ht="15.75" customHeight="1">
      <c r="T849" s="51"/>
      <c r="U849" s="51"/>
      <c r="V849" s="51"/>
      <c r="W849" s="51"/>
    </row>
    <row r="850" spans="20:23" ht="15.75" customHeight="1">
      <c r="T850" s="51"/>
      <c r="U850" s="51"/>
      <c r="V850" s="51"/>
      <c r="W850" s="51"/>
    </row>
    <row r="851" spans="20:23" ht="15.75" customHeight="1">
      <c r="T851" s="51"/>
      <c r="U851" s="51"/>
      <c r="V851" s="51"/>
      <c r="W851" s="51"/>
    </row>
    <row r="852" spans="20:23" ht="15.75" customHeight="1">
      <c r="T852" s="51"/>
      <c r="U852" s="51"/>
      <c r="V852" s="51"/>
      <c r="W852" s="51"/>
    </row>
    <row r="853" spans="20:23" ht="15.75" customHeight="1">
      <c r="T853" s="51"/>
      <c r="U853" s="51"/>
      <c r="V853" s="51"/>
      <c r="W853" s="51"/>
    </row>
    <row r="854" spans="20:23" ht="15.75" customHeight="1">
      <c r="T854" s="51"/>
      <c r="U854" s="51"/>
      <c r="V854" s="51"/>
      <c r="W854" s="51"/>
    </row>
    <row r="855" spans="20:23" ht="15.75" customHeight="1">
      <c r="T855" s="51"/>
      <c r="U855" s="51"/>
      <c r="V855" s="51"/>
      <c r="W855" s="51"/>
    </row>
    <row r="856" spans="20:23" ht="15.75" customHeight="1">
      <c r="T856" s="51"/>
      <c r="U856" s="51"/>
      <c r="V856" s="51"/>
      <c r="W856" s="51"/>
    </row>
    <row r="857" spans="20:23" ht="15.75" customHeight="1">
      <c r="T857" s="51"/>
      <c r="U857" s="51"/>
      <c r="V857" s="51"/>
      <c r="W857" s="51"/>
    </row>
    <row r="858" spans="20:23" ht="15.75" customHeight="1">
      <c r="T858" s="51"/>
      <c r="U858" s="51"/>
      <c r="V858" s="51"/>
      <c r="W858" s="51"/>
    </row>
    <row r="859" spans="20:23" ht="15.75" customHeight="1">
      <c r="T859" s="51"/>
      <c r="U859" s="51"/>
      <c r="V859" s="51"/>
      <c r="W859" s="51"/>
    </row>
    <row r="860" spans="20:23" ht="15.75" customHeight="1">
      <c r="T860" s="51"/>
      <c r="U860" s="51"/>
      <c r="V860" s="51"/>
      <c r="W860" s="51"/>
    </row>
    <row r="861" spans="20:23" ht="15.75" customHeight="1">
      <c r="T861" s="51"/>
      <c r="U861" s="51"/>
      <c r="V861" s="51"/>
      <c r="W861" s="51"/>
    </row>
    <row r="862" spans="20:23" ht="15.75" customHeight="1">
      <c r="T862" s="51"/>
      <c r="U862" s="51"/>
      <c r="V862" s="51"/>
      <c r="W862" s="51"/>
    </row>
    <row r="863" spans="20:23" ht="15.75" customHeight="1">
      <c r="T863" s="51"/>
      <c r="U863" s="51"/>
      <c r="V863" s="51"/>
      <c r="W863" s="51"/>
    </row>
    <row r="864" spans="20:23" ht="15.75" customHeight="1">
      <c r="T864" s="51"/>
      <c r="U864" s="51"/>
      <c r="V864" s="51"/>
      <c r="W864" s="51"/>
    </row>
    <row r="865" spans="20:23" ht="15.75" customHeight="1">
      <c r="T865" s="51"/>
      <c r="U865" s="51"/>
      <c r="V865" s="51"/>
      <c r="W865" s="51"/>
    </row>
    <row r="866" spans="20:23" ht="15.75" customHeight="1">
      <c r="T866" s="51"/>
      <c r="U866" s="51"/>
      <c r="V866" s="51"/>
      <c r="W866" s="51"/>
    </row>
    <row r="867" spans="20:23" ht="15.75" customHeight="1">
      <c r="T867" s="51"/>
      <c r="U867" s="51"/>
      <c r="V867" s="51"/>
      <c r="W867" s="51"/>
    </row>
    <row r="868" spans="20:23" ht="15.75" customHeight="1">
      <c r="T868" s="51"/>
      <c r="U868" s="51"/>
      <c r="V868" s="51"/>
      <c r="W868" s="51"/>
    </row>
    <row r="869" spans="20:23" ht="15.75" customHeight="1">
      <c r="T869" s="51"/>
      <c r="U869" s="51"/>
      <c r="V869" s="51"/>
      <c r="W869" s="51"/>
    </row>
    <row r="870" spans="20:23" ht="15.75" customHeight="1">
      <c r="T870" s="51"/>
      <c r="U870" s="51"/>
      <c r="V870" s="51"/>
      <c r="W870" s="51"/>
    </row>
    <row r="871" spans="20:23" ht="15.75" customHeight="1">
      <c r="T871" s="51"/>
      <c r="U871" s="51"/>
      <c r="V871" s="51"/>
      <c r="W871" s="51"/>
    </row>
    <row r="872" spans="20:23" ht="15.75" customHeight="1">
      <c r="T872" s="51"/>
      <c r="U872" s="51"/>
      <c r="V872" s="51"/>
      <c r="W872" s="51"/>
    </row>
    <row r="873" spans="20:23" ht="15.75" customHeight="1">
      <c r="T873" s="51"/>
      <c r="U873" s="51"/>
      <c r="V873" s="51"/>
      <c r="W873" s="51"/>
    </row>
    <row r="874" spans="20:23" ht="15.75" customHeight="1">
      <c r="T874" s="51"/>
      <c r="U874" s="51"/>
      <c r="V874" s="51"/>
      <c r="W874" s="51"/>
    </row>
    <row r="875" spans="20:23" ht="15.75" customHeight="1">
      <c r="T875" s="51"/>
      <c r="U875" s="51"/>
      <c r="V875" s="51"/>
      <c r="W875" s="51"/>
    </row>
    <row r="876" spans="20:23" ht="15.75" customHeight="1">
      <c r="T876" s="51"/>
      <c r="U876" s="51"/>
      <c r="V876" s="51"/>
      <c r="W876" s="51"/>
    </row>
    <row r="877" spans="20:23" ht="15.75" customHeight="1">
      <c r="T877" s="51"/>
      <c r="U877" s="51"/>
      <c r="V877" s="51"/>
      <c r="W877" s="51"/>
    </row>
    <row r="878" spans="20:23" ht="15.75" customHeight="1">
      <c r="T878" s="51"/>
      <c r="U878" s="51"/>
      <c r="V878" s="51"/>
      <c r="W878" s="51"/>
    </row>
    <row r="879" spans="20:23" ht="15.75" customHeight="1">
      <c r="T879" s="51"/>
      <c r="U879" s="51"/>
      <c r="V879" s="51"/>
      <c r="W879" s="51"/>
    </row>
    <row r="880" spans="20:23" ht="15.75" customHeight="1">
      <c r="T880" s="51"/>
      <c r="U880" s="51"/>
      <c r="V880" s="51"/>
      <c r="W880" s="51"/>
    </row>
    <row r="881" spans="20:23" ht="15.75" customHeight="1">
      <c r="T881" s="51"/>
      <c r="U881" s="51"/>
      <c r="V881" s="51"/>
      <c r="W881" s="51"/>
    </row>
    <row r="882" spans="20:23" ht="15.75" customHeight="1">
      <c r="T882" s="51"/>
      <c r="U882" s="51"/>
      <c r="V882" s="51"/>
      <c r="W882" s="51"/>
    </row>
    <row r="883" spans="20:23" ht="15.75" customHeight="1">
      <c r="T883" s="51"/>
      <c r="U883" s="51"/>
      <c r="V883" s="51"/>
      <c r="W883" s="51"/>
    </row>
    <row r="884" spans="20:23" ht="15.75" customHeight="1">
      <c r="T884" s="51"/>
      <c r="U884" s="51"/>
      <c r="V884" s="51"/>
      <c r="W884" s="51"/>
    </row>
    <row r="885" spans="20:23" ht="15.75" customHeight="1">
      <c r="T885" s="51"/>
      <c r="U885" s="51"/>
      <c r="V885" s="51"/>
      <c r="W885" s="51"/>
    </row>
    <row r="886" spans="20:23" ht="15.75" customHeight="1">
      <c r="T886" s="51"/>
      <c r="U886" s="51"/>
      <c r="V886" s="51"/>
      <c r="W886" s="51"/>
    </row>
    <row r="887" spans="20:23" ht="15.75" customHeight="1">
      <c r="T887" s="51"/>
      <c r="U887" s="51"/>
      <c r="V887" s="51"/>
      <c r="W887" s="51"/>
    </row>
    <row r="888" spans="20:23" ht="15.75" customHeight="1">
      <c r="T888" s="51"/>
      <c r="U888" s="51"/>
      <c r="V888" s="51"/>
      <c r="W888" s="51"/>
    </row>
    <row r="889" spans="20:23" ht="15.75" customHeight="1">
      <c r="T889" s="51"/>
      <c r="U889" s="51"/>
      <c r="V889" s="51"/>
      <c r="W889" s="51"/>
    </row>
    <row r="890" spans="20:23" ht="15.75" customHeight="1">
      <c r="T890" s="51"/>
      <c r="U890" s="51"/>
      <c r="V890" s="51"/>
      <c r="W890" s="51"/>
    </row>
    <row r="891" spans="20:23" ht="15.75" customHeight="1">
      <c r="T891" s="51"/>
      <c r="U891" s="51"/>
      <c r="V891" s="51"/>
      <c r="W891" s="51"/>
    </row>
    <row r="892" spans="20:23" ht="15.75" customHeight="1">
      <c r="T892" s="51"/>
      <c r="U892" s="51"/>
      <c r="V892" s="51"/>
      <c r="W892" s="51"/>
    </row>
    <row r="893" spans="20:23" ht="15.75" customHeight="1">
      <c r="T893" s="51"/>
      <c r="U893" s="51"/>
      <c r="V893" s="51"/>
      <c r="W893" s="51"/>
    </row>
    <row r="894" spans="20:23" ht="15.75" customHeight="1">
      <c r="T894" s="51"/>
      <c r="U894" s="51"/>
      <c r="V894" s="51"/>
      <c r="W894" s="51"/>
    </row>
    <row r="895" spans="20:23" ht="15.75" customHeight="1">
      <c r="T895" s="51"/>
      <c r="U895" s="51"/>
      <c r="V895" s="51"/>
      <c r="W895" s="51"/>
    </row>
    <row r="896" spans="20:23" ht="15.75" customHeight="1">
      <c r="T896" s="51"/>
      <c r="U896" s="51"/>
      <c r="V896" s="51"/>
      <c r="W896" s="51"/>
    </row>
    <row r="897" spans="20:23" ht="15.75" customHeight="1">
      <c r="T897" s="51"/>
      <c r="U897" s="51"/>
      <c r="V897" s="51"/>
      <c r="W897" s="51"/>
    </row>
    <row r="898" spans="20:23" ht="15.75" customHeight="1">
      <c r="T898" s="51"/>
      <c r="U898" s="51"/>
      <c r="V898" s="51"/>
      <c r="W898" s="51"/>
    </row>
    <row r="899" spans="20:23" ht="15.75" customHeight="1">
      <c r="T899" s="51"/>
      <c r="U899" s="51"/>
      <c r="V899" s="51"/>
      <c r="W899" s="51"/>
    </row>
    <row r="900" spans="20:23" ht="15.75" customHeight="1">
      <c r="T900" s="51"/>
      <c r="U900" s="51"/>
      <c r="V900" s="51"/>
      <c r="W900" s="51"/>
    </row>
    <row r="901" spans="20:23" ht="15.75" customHeight="1">
      <c r="T901" s="51"/>
      <c r="U901" s="51"/>
      <c r="V901" s="51"/>
      <c r="W901" s="51"/>
    </row>
    <row r="902" spans="20:23" ht="15.75" customHeight="1">
      <c r="T902" s="51"/>
      <c r="U902" s="51"/>
      <c r="V902" s="51"/>
      <c r="W902" s="51"/>
    </row>
    <row r="903" spans="20:23" ht="15.75" customHeight="1">
      <c r="T903" s="51"/>
      <c r="U903" s="51"/>
      <c r="V903" s="51"/>
      <c r="W903" s="51"/>
    </row>
    <row r="904" spans="20:23" ht="15.75" customHeight="1">
      <c r="T904" s="51"/>
      <c r="U904" s="51"/>
      <c r="V904" s="51"/>
      <c r="W904" s="51"/>
    </row>
    <row r="905" spans="20:23" ht="15.75" customHeight="1">
      <c r="T905" s="51"/>
      <c r="U905" s="51"/>
      <c r="V905" s="51"/>
      <c r="W905" s="51"/>
    </row>
    <row r="906" spans="20:23" ht="15.75" customHeight="1">
      <c r="T906" s="51"/>
      <c r="U906" s="51"/>
      <c r="V906" s="51"/>
      <c r="W906" s="51"/>
    </row>
    <row r="907" spans="20:23" ht="15.75" customHeight="1">
      <c r="T907" s="51"/>
      <c r="U907" s="51"/>
      <c r="V907" s="51"/>
      <c r="W907" s="51"/>
    </row>
    <row r="908" spans="20:23" ht="15.75" customHeight="1">
      <c r="T908" s="51"/>
      <c r="U908" s="51"/>
      <c r="V908" s="51"/>
      <c r="W908" s="51"/>
    </row>
    <row r="909" spans="20:23" ht="15.75" customHeight="1">
      <c r="T909" s="51"/>
      <c r="U909" s="51"/>
      <c r="V909" s="51"/>
      <c r="W909" s="51"/>
    </row>
    <row r="910" spans="20:23" ht="15.75" customHeight="1">
      <c r="T910" s="51"/>
      <c r="U910" s="51"/>
      <c r="V910" s="51"/>
      <c r="W910" s="51"/>
    </row>
    <row r="911" spans="20:23" ht="15.75" customHeight="1">
      <c r="T911" s="51"/>
      <c r="U911" s="51"/>
      <c r="V911" s="51"/>
      <c r="W911" s="51"/>
    </row>
    <row r="912" spans="20:23" ht="15.75" customHeight="1">
      <c r="T912" s="51"/>
      <c r="U912" s="51"/>
      <c r="V912" s="51"/>
      <c r="W912" s="51"/>
    </row>
    <row r="913" spans="20:23" ht="15.75" customHeight="1">
      <c r="T913" s="51"/>
      <c r="U913" s="51"/>
      <c r="V913" s="51"/>
      <c r="W913" s="51"/>
    </row>
    <row r="914" spans="20:23" ht="15.75" customHeight="1">
      <c r="T914" s="51"/>
      <c r="U914" s="51"/>
      <c r="V914" s="51"/>
      <c r="W914" s="51"/>
    </row>
    <row r="915" spans="20:23" ht="15.75" customHeight="1">
      <c r="T915" s="51"/>
      <c r="U915" s="51"/>
      <c r="V915" s="51"/>
      <c r="W915" s="51"/>
    </row>
    <row r="916" spans="20:23" ht="15.75" customHeight="1">
      <c r="T916" s="51"/>
      <c r="U916" s="51"/>
      <c r="V916" s="51"/>
      <c r="W916" s="51"/>
    </row>
    <row r="917" spans="20:23" ht="15.75" customHeight="1">
      <c r="T917" s="51"/>
      <c r="U917" s="51"/>
      <c r="V917" s="51"/>
      <c r="W917" s="51"/>
    </row>
    <row r="918" spans="20:23" ht="15.75" customHeight="1">
      <c r="T918" s="51"/>
      <c r="U918" s="51"/>
      <c r="V918" s="51"/>
      <c r="W918" s="51"/>
    </row>
    <row r="919" spans="20:23" ht="15.75" customHeight="1">
      <c r="T919" s="51"/>
      <c r="U919" s="51"/>
      <c r="V919" s="51"/>
      <c r="W919" s="51"/>
    </row>
    <row r="920" spans="20:23" ht="15.75" customHeight="1">
      <c r="T920" s="51"/>
      <c r="U920" s="51"/>
      <c r="V920" s="51"/>
      <c r="W920" s="51"/>
    </row>
    <row r="921" spans="20:23" ht="15.75" customHeight="1">
      <c r="T921" s="51"/>
      <c r="U921" s="51"/>
      <c r="V921" s="51"/>
      <c r="W921" s="51"/>
    </row>
    <row r="922" spans="20:23" ht="15.75" customHeight="1">
      <c r="T922" s="51"/>
      <c r="U922" s="51"/>
      <c r="V922" s="51"/>
      <c r="W922" s="51"/>
    </row>
    <row r="923" spans="20:23" ht="15.75" customHeight="1">
      <c r="T923" s="51"/>
      <c r="U923" s="51"/>
      <c r="V923" s="51"/>
      <c r="W923" s="51"/>
    </row>
    <row r="924" spans="20:23" ht="15.75" customHeight="1">
      <c r="T924" s="51"/>
      <c r="U924" s="51"/>
      <c r="V924" s="51"/>
      <c r="W924" s="51"/>
    </row>
    <row r="925" spans="20:23" ht="15.75" customHeight="1">
      <c r="T925" s="51"/>
      <c r="U925" s="51"/>
      <c r="V925" s="51"/>
      <c r="W925" s="51"/>
    </row>
    <row r="926" spans="20:23" ht="15.75" customHeight="1">
      <c r="T926" s="51"/>
      <c r="U926" s="51"/>
      <c r="V926" s="51"/>
      <c r="W926" s="51"/>
    </row>
    <row r="927" spans="20:23" ht="15.75" customHeight="1">
      <c r="T927" s="51"/>
      <c r="U927" s="51"/>
      <c r="V927" s="51"/>
      <c r="W927" s="51"/>
    </row>
    <row r="928" spans="20:23" ht="15.75" customHeight="1">
      <c r="T928" s="51"/>
      <c r="U928" s="51"/>
      <c r="V928" s="51"/>
      <c r="W928" s="51"/>
    </row>
    <row r="929" spans="20:23" ht="15.75" customHeight="1">
      <c r="T929" s="51"/>
      <c r="U929" s="51"/>
      <c r="V929" s="51"/>
      <c r="W929" s="51"/>
    </row>
    <row r="930" spans="20:23" ht="15.75" customHeight="1">
      <c r="T930" s="51"/>
      <c r="U930" s="51"/>
      <c r="V930" s="51"/>
      <c r="W930" s="51"/>
    </row>
    <row r="931" spans="20:23" ht="15.75" customHeight="1">
      <c r="T931" s="51"/>
      <c r="U931" s="51"/>
      <c r="V931" s="51"/>
      <c r="W931" s="51"/>
    </row>
    <row r="932" spans="20:23" ht="15.75" customHeight="1">
      <c r="T932" s="51"/>
      <c r="U932" s="51"/>
      <c r="V932" s="51"/>
      <c r="W932" s="51"/>
    </row>
    <row r="933" spans="20:23" ht="15.75" customHeight="1">
      <c r="T933" s="51"/>
      <c r="U933" s="51"/>
      <c r="V933" s="51"/>
      <c r="W933" s="51"/>
    </row>
    <row r="934" spans="20:23" ht="15.75" customHeight="1">
      <c r="T934" s="51"/>
      <c r="U934" s="51"/>
      <c r="V934" s="51"/>
      <c r="W934" s="51"/>
    </row>
    <row r="935" spans="20:23" ht="15.75" customHeight="1">
      <c r="T935" s="51"/>
      <c r="U935" s="51"/>
      <c r="V935" s="51"/>
      <c r="W935" s="51"/>
    </row>
    <row r="936" spans="20:23" ht="15.75" customHeight="1">
      <c r="T936" s="51"/>
      <c r="U936" s="51"/>
      <c r="V936" s="51"/>
      <c r="W936" s="51"/>
    </row>
    <row r="937" spans="20:23" ht="15.75" customHeight="1">
      <c r="T937" s="51"/>
      <c r="U937" s="51"/>
      <c r="V937" s="51"/>
      <c r="W937" s="51"/>
    </row>
    <row r="938" spans="20:23" ht="15.75" customHeight="1">
      <c r="T938" s="51"/>
      <c r="U938" s="51"/>
      <c r="V938" s="51"/>
      <c r="W938" s="51"/>
    </row>
    <row r="939" spans="20:23" ht="15.75" customHeight="1">
      <c r="T939" s="51"/>
      <c r="U939" s="51"/>
      <c r="V939" s="51"/>
      <c r="W939" s="51"/>
    </row>
    <row r="940" spans="20:23" ht="15.75" customHeight="1">
      <c r="T940" s="51"/>
      <c r="U940" s="51"/>
      <c r="V940" s="51"/>
      <c r="W940" s="51"/>
    </row>
    <row r="941" spans="20:23" ht="15.75" customHeight="1">
      <c r="T941" s="51"/>
      <c r="U941" s="51"/>
      <c r="V941" s="51"/>
      <c r="W941" s="51"/>
    </row>
    <row r="942" spans="20:23" ht="15.75" customHeight="1">
      <c r="T942" s="51"/>
      <c r="U942" s="51"/>
      <c r="V942" s="51"/>
      <c r="W942" s="51"/>
    </row>
    <row r="943" spans="20:23" ht="15.75" customHeight="1">
      <c r="T943" s="51"/>
      <c r="U943" s="51"/>
      <c r="V943" s="51"/>
      <c r="W943" s="51"/>
    </row>
    <row r="944" spans="20:23" ht="15.75" customHeight="1">
      <c r="T944" s="51"/>
      <c r="U944" s="51"/>
      <c r="V944" s="51"/>
      <c r="W944" s="51"/>
    </row>
    <row r="945" spans="20:23" ht="15.75" customHeight="1">
      <c r="T945" s="51"/>
      <c r="U945" s="51"/>
      <c r="V945" s="51"/>
      <c r="W945" s="51"/>
    </row>
    <row r="946" spans="20:23" ht="15.75" customHeight="1">
      <c r="T946" s="51"/>
      <c r="U946" s="51"/>
      <c r="V946" s="51"/>
      <c r="W946" s="51"/>
    </row>
    <row r="947" spans="20:23" ht="15.75" customHeight="1">
      <c r="T947" s="51"/>
      <c r="U947" s="51"/>
      <c r="V947" s="51"/>
      <c r="W947" s="51"/>
    </row>
    <row r="948" spans="20:23" ht="15.75" customHeight="1">
      <c r="T948" s="51"/>
      <c r="U948" s="51"/>
      <c r="V948" s="51"/>
      <c r="W948" s="51"/>
    </row>
    <row r="949" spans="20:23" ht="15.75" customHeight="1">
      <c r="T949" s="51"/>
      <c r="U949" s="51"/>
      <c r="V949" s="51"/>
      <c r="W949" s="51"/>
    </row>
    <row r="950" spans="20:23" ht="15.75" customHeight="1">
      <c r="T950" s="51"/>
      <c r="U950" s="51"/>
      <c r="V950" s="51"/>
      <c r="W950" s="51"/>
    </row>
    <row r="951" spans="20:23" ht="15.75" customHeight="1">
      <c r="T951" s="51"/>
      <c r="U951" s="51"/>
      <c r="V951" s="51"/>
      <c r="W951" s="51"/>
    </row>
    <row r="952" spans="20:23" ht="15.75" customHeight="1">
      <c r="T952" s="51"/>
      <c r="U952" s="51"/>
      <c r="V952" s="51"/>
      <c r="W952" s="51"/>
    </row>
    <row r="953" spans="20:23" ht="15.75" customHeight="1">
      <c r="T953" s="51"/>
      <c r="U953" s="51"/>
      <c r="V953" s="51"/>
      <c r="W953" s="51"/>
    </row>
    <row r="954" spans="20:23" ht="15.75" customHeight="1">
      <c r="T954" s="51"/>
      <c r="U954" s="51"/>
      <c r="V954" s="51"/>
      <c r="W954" s="51"/>
    </row>
    <row r="955" spans="20:23" ht="15.75" customHeight="1">
      <c r="T955" s="51"/>
      <c r="U955" s="51"/>
      <c r="V955" s="51"/>
      <c r="W955" s="51"/>
    </row>
    <row r="956" spans="20:23" ht="15.75" customHeight="1">
      <c r="T956" s="51"/>
      <c r="U956" s="51"/>
      <c r="V956" s="51"/>
      <c r="W956" s="51"/>
    </row>
    <row r="957" spans="20:23" ht="15.75" customHeight="1">
      <c r="T957" s="51"/>
      <c r="U957" s="51"/>
      <c r="V957" s="51"/>
      <c r="W957" s="51"/>
    </row>
    <row r="958" spans="20:23" ht="15.75" customHeight="1">
      <c r="T958" s="51"/>
      <c r="U958" s="51"/>
      <c r="V958" s="51"/>
      <c r="W958" s="51"/>
    </row>
    <row r="959" spans="20:23" ht="15.75" customHeight="1">
      <c r="T959" s="51"/>
      <c r="U959" s="51"/>
      <c r="V959" s="51"/>
      <c r="W959" s="51"/>
    </row>
    <row r="960" spans="20:23" ht="15.75" customHeight="1">
      <c r="T960" s="51"/>
      <c r="U960" s="51"/>
      <c r="V960" s="51"/>
      <c r="W960" s="51"/>
    </row>
    <row r="961" spans="20:23" ht="15.75" customHeight="1">
      <c r="T961" s="51"/>
      <c r="U961" s="51"/>
      <c r="V961" s="51"/>
      <c r="W961" s="51"/>
    </row>
    <row r="962" spans="20:23" ht="15.75" customHeight="1">
      <c r="T962" s="51"/>
      <c r="U962" s="51"/>
      <c r="V962" s="51"/>
      <c r="W962" s="51"/>
    </row>
    <row r="963" spans="20:23" ht="15.75" customHeight="1">
      <c r="T963" s="51"/>
      <c r="U963" s="51"/>
      <c r="V963" s="51"/>
      <c r="W963" s="51"/>
    </row>
    <row r="964" spans="20:23" ht="15.75" customHeight="1">
      <c r="T964" s="51"/>
      <c r="U964" s="51"/>
      <c r="V964" s="51"/>
      <c r="W964" s="51"/>
    </row>
    <row r="965" spans="20:23" ht="15.75" customHeight="1">
      <c r="T965" s="51"/>
      <c r="U965" s="51"/>
      <c r="V965" s="51"/>
      <c r="W965" s="51"/>
    </row>
    <row r="966" spans="20:23" ht="15.75" customHeight="1">
      <c r="T966" s="51"/>
      <c r="U966" s="51"/>
      <c r="V966" s="51"/>
      <c r="W966" s="51"/>
    </row>
    <row r="967" spans="20:23" ht="15.75" customHeight="1">
      <c r="T967" s="51"/>
      <c r="U967" s="51"/>
      <c r="V967" s="51"/>
      <c r="W967" s="51"/>
    </row>
    <row r="968" spans="20:23" ht="15.75" customHeight="1">
      <c r="T968" s="51"/>
      <c r="U968" s="51"/>
      <c r="V968" s="51"/>
      <c r="W968" s="51"/>
    </row>
    <row r="969" spans="20:23" ht="15.75" customHeight="1">
      <c r="T969" s="51"/>
      <c r="U969" s="51"/>
      <c r="V969" s="51"/>
      <c r="W969" s="51"/>
    </row>
    <row r="970" spans="20:23" ht="15.75" customHeight="1">
      <c r="T970" s="51"/>
      <c r="U970" s="51"/>
      <c r="V970" s="51"/>
      <c r="W970" s="51"/>
    </row>
    <row r="971" spans="20:23" ht="15.75" customHeight="1">
      <c r="T971" s="51"/>
      <c r="U971" s="51"/>
      <c r="V971" s="51"/>
      <c r="W971" s="51"/>
    </row>
    <row r="972" spans="20:23" ht="15.75" customHeight="1">
      <c r="T972" s="51"/>
      <c r="U972" s="51"/>
      <c r="V972" s="51"/>
      <c r="W972" s="51"/>
    </row>
    <row r="973" spans="20:23" ht="15.75" customHeight="1">
      <c r="T973" s="51"/>
      <c r="U973" s="51"/>
      <c r="V973" s="51"/>
      <c r="W973" s="51"/>
    </row>
    <row r="974" spans="20:23" ht="15.75" customHeight="1">
      <c r="T974" s="51"/>
      <c r="U974" s="51"/>
      <c r="V974" s="51"/>
      <c r="W974" s="51"/>
    </row>
    <row r="975" spans="20:23" ht="15.75" customHeight="1">
      <c r="T975" s="51"/>
      <c r="U975" s="51"/>
      <c r="V975" s="51"/>
      <c r="W975" s="51"/>
    </row>
    <row r="976" spans="20:23" ht="15.75" customHeight="1">
      <c r="T976" s="51"/>
      <c r="U976" s="51"/>
      <c r="V976" s="51"/>
      <c r="W976" s="51"/>
    </row>
    <row r="977" spans="20:23" ht="15.75" customHeight="1">
      <c r="T977" s="51"/>
      <c r="U977" s="51"/>
      <c r="V977" s="51"/>
      <c r="W977" s="51"/>
    </row>
    <row r="978" spans="20:23" ht="15.75" customHeight="1">
      <c r="T978" s="51"/>
      <c r="U978" s="51"/>
      <c r="V978" s="51"/>
      <c r="W978" s="51"/>
    </row>
    <row r="979" spans="20:23" ht="15.75" customHeight="1">
      <c r="T979" s="51"/>
      <c r="U979" s="51"/>
      <c r="V979" s="51"/>
      <c r="W979" s="51"/>
    </row>
    <row r="980" spans="20:23" ht="15.75" customHeight="1">
      <c r="T980" s="51"/>
      <c r="U980" s="51"/>
      <c r="V980" s="51"/>
      <c r="W980" s="51"/>
    </row>
    <row r="981" spans="20:23" ht="15.75" customHeight="1">
      <c r="T981" s="51"/>
      <c r="U981" s="51"/>
      <c r="V981" s="51"/>
      <c r="W981" s="51"/>
    </row>
    <row r="982" spans="20:23" ht="15.75" customHeight="1">
      <c r="T982" s="51"/>
      <c r="U982" s="51"/>
      <c r="V982" s="51"/>
      <c r="W982" s="51"/>
    </row>
    <row r="983" spans="20:23" ht="15.75" customHeight="1">
      <c r="T983" s="51"/>
      <c r="U983" s="51"/>
      <c r="V983" s="51"/>
      <c r="W983" s="51"/>
    </row>
    <row r="984" spans="20:23" ht="15.75" customHeight="1">
      <c r="T984" s="51"/>
      <c r="U984" s="51"/>
      <c r="V984" s="51"/>
      <c r="W984" s="51"/>
    </row>
    <row r="985" spans="20:23" ht="15.75" customHeight="1">
      <c r="T985" s="51"/>
      <c r="U985" s="51"/>
      <c r="V985" s="51"/>
      <c r="W985" s="51"/>
    </row>
    <row r="986" spans="20:23" ht="15.75" customHeight="1">
      <c r="T986" s="51"/>
      <c r="U986" s="51"/>
      <c r="V986" s="51"/>
      <c r="W986" s="51"/>
    </row>
    <row r="987" spans="20:23" ht="15.75" customHeight="1">
      <c r="T987" s="51"/>
      <c r="U987" s="51"/>
      <c r="V987" s="51"/>
      <c r="W987" s="51"/>
    </row>
    <row r="988" spans="20:23" ht="15.75" customHeight="1">
      <c r="T988" s="51"/>
      <c r="U988" s="51"/>
      <c r="V988" s="51"/>
      <c r="W988" s="51"/>
    </row>
    <row r="989" spans="20:23" ht="15.75" customHeight="1">
      <c r="T989" s="51"/>
      <c r="U989" s="51"/>
      <c r="V989" s="51"/>
      <c r="W989" s="51"/>
    </row>
    <row r="990" spans="20:23" ht="15.75" customHeight="1">
      <c r="T990" s="51"/>
      <c r="U990" s="51"/>
      <c r="V990" s="51"/>
      <c r="W990" s="51"/>
    </row>
    <row r="991" spans="20:23" ht="15.75" customHeight="1">
      <c r="T991" s="51"/>
      <c r="U991" s="51"/>
      <c r="V991" s="51"/>
      <c r="W991" s="51"/>
    </row>
    <row r="992" spans="20:23" ht="15.75" customHeight="1">
      <c r="T992" s="51"/>
      <c r="U992" s="51"/>
      <c r="V992" s="51"/>
      <c r="W992" s="51"/>
    </row>
    <row r="993" spans="20:23" ht="15.75" customHeight="1">
      <c r="T993" s="51"/>
      <c r="U993" s="51"/>
      <c r="V993" s="51"/>
      <c r="W993" s="51"/>
    </row>
    <row r="994" spans="20:23" ht="15.75" customHeight="1">
      <c r="T994" s="51"/>
      <c r="U994" s="51"/>
      <c r="V994" s="51"/>
      <c r="W994" s="51"/>
    </row>
    <row r="995" spans="20:23" ht="15.75" customHeight="1">
      <c r="T995" s="51"/>
      <c r="U995" s="51"/>
      <c r="V995" s="51"/>
      <c r="W995" s="51"/>
    </row>
  </sheetData>
  <mergeCells count="6">
    <mergeCell ref="B5:G8"/>
    <mergeCell ref="B4:G4"/>
    <mergeCell ref="F14:G14"/>
    <mergeCell ref="B14:C14"/>
    <mergeCell ref="A1:H1"/>
    <mergeCell ref="A2:H2"/>
  </mergeCells>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199"/>
  <sheetViews>
    <sheetView topLeftCell="A259" zoomScale="133" zoomScaleNormal="62" workbookViewId="0">
      <selection activeCell="G271" sqref="G271:K271"/>
    </sheetView>
  </sheetViews>
  <sheetFormatPr defaultColWidth="14.42578125" defaultRowHeight="15" customHeight="1"/>
  <cols>
    <col min="1" max="1" width="32.85546875" style="35" bestFit="1" customWidth="1"/>
    <col min="2" max="4" width="8.7109375" style="35" customWidth="1"/>
    <col min="5" max="5" width="10.85546875" style="35" bestFit="1" customWidth="1"/>
    <col min="6" max="6" width="12.42578125" style="35" bestFit="1" customWidth="1"/>
    <col min="7" max="7" width="47.85546875" style="35" customWidth="1"/>
    <col min="8" max="11" width="9.42578125" style="35" customWidth="1"/>
    <col min="12" max="13" width="8.7109375" style="35" customWidth="1"/>
    <col min="14" max="14" width="9.42578125" style="35" customWidth="1"/>
    <col min="15" max="15" width="10.85546875" style="35" bestFit="1" customWidth="1"/>
    <col min="16" max="16" width="8.7109375" style="35" customWidth="1"/>
    <col min="17" max="17" width="20" style="35" customWidth="1"/>
    <col min="18" max="18" width="8.85546875" style="35" customWidth="1"/>
    <col min="19" max="30" width="8.7109375" style="35" customWidth="1"/>
    <col min="31" max="16384" width="14.42578125" style="35"/>
  </cols>
  <sheetData>
    <row r="1" spans="1:30">
      <c r="A1" s="164" t="s">
        <v>16</v>
      </c>
      <c r="B1" s="157"/>
      <c r="C1" s="157"/>
      <c r="D1" s="157"/>
      <c r="E1" s="157"/>
      <c r="F1" s="157"/>
      <c r="G1" s="157"/>
      <c r="H1" s="157"/>
      <c r="I1" s="157"/>
      <c r="J1" s="157"/>
      <c r="K1" s="157"/>
      <c r="L1" s="157"/>
      <c r="M1" s="157"/>
      <c r="N1" s="157"/>
      <c r="O1" s="157"/>
      <c r="P1" s="157"/>
      <c r="Q1" s="158"/>
      <c r="R1" s="34"/>
      <c r="S1" s="34"/>
      <c r="T1" s="34"/>
      <c r="U1" s="34"/>
      <c r="V1" s="34"/>
      <c r="W1" s="34"/>
      <c r="X1" s="34"/>
      <c r="Y1" s="34"/>
      <c r="Z1" s="34"/>
      <c r="AA1" s="34"/>
      <c r="AB1" s="34"/>
      <c r="AC1" s="34"/>
      <c r="AD1" s="34"/>
    </row>
    <row r="2" spans="1:30">
      <c r="A2" s="165"/>
      <c r="B2" s="166"/>
      <c r="C2" s="166"/>
      <c r="D2" s="166"/>
      <c r="E2" s="166"/>
      <c r="F2" s="166"/>
      <c r="G2" s="166"/>
      <c r="H2" s="166"/>
      <c r="I2" s="166"/>
      <c r="J2" s="166"/>
      <c r="K2" s="166"/>
      <c r="L2" s="166"/>
      <c r="M2" s="166"/>
      <c r="N2" s="166"/>
      <c r="O2" s="166"/>
      <c r="P2" s="166"/>
      <c r="Q2" s="162"/>
      <c r="R2" s="34"/>
      <c r="S2" s="34"/>
      <c r="T2" s="34"/>
      <c r="U2" s="34"/>
      <c r="V2" s="34"/>
      <c r="W2" s="34"/>
      <c r="X2" s="34"/>
      <c r="Y2" s="34"/>
      <c r="Z2" s="34"/>
      <c r="AA2" s="34"/>
      <c r="AB2" s="34"/>
      <c r="AC2" s="34"/>
      <c r="AD2" s="34"/>
    </row>
    <row r="3" spans="1:30">
      <c r="A3" s="147" t="s">
        <v>17</v>
      </c>
      <c r="B3" s="148"/>
      <c r="C3" s="153" t="s">
        <v>18</v>
      </c>
      <c r="D3" s="111"/>
      <c r="E3" s="111"/>
      <c r="F3" s="111"/>
      <c r="G3" s="111"/>
      <c r="H3" s="111"/>
      <c r="I3" s="111"/>
      <c r="J3" s="111"/>
      <c r="K3" s="111"/>
      <c r="L3" s="111"/>
      <c r="M3" s="138"/>
      <c r="N3" s="55"/>
      <c r="O3" s="55"/>
      <c r="P3" s="55"/>
      <c r="Q3" s="59"/>
      <c r="R3" s="34"/>
      <c r="S3" s="34"/>
      <c r="T3" s="34"/>
      <c r="U3" s="34"/>
      <c r="V3" s="34"/>
      <c r="W3" s="34"/>
      <c r="X3" s="34"/>
      <c r="Y3" s="34"/>
      <c r="Z3" s="34"/>
      <c r="AA3" s="34"/>
      <c r="AB3" s="34"/>
      <c r="AC3" s="34"/>
      <c r="AD3" s="34"/>
    </row>
    <row r="4" spans="1:30">
      <c r="A4" s="147" t="s">
        <v>19</v>
      </c>
      <c r="B4" s="162"/>
      <c r="C4" s="153" t="s">
        <v>20</v>
      </c>
      <c r="D4" s="111"/>
      <c r="E4" s="111"/>
      <c r="F4" s="111"/>
      <c r="G4" s="111"/>
      <c r="H4" s="111"/>
      <c r="I4" s="111"/>
      <c r="J4" s="111"/>
      <c r="K4" s="111"/>
      <c r="L4" s="111"/>
      <c r="M4" s="138"/>
      <c r="N4" s="55"/>
      <c r="O4" s="55"/>
      <c r="P4" s="55"/>
      <c r="Q4" s="59"/>
      <c r="R4" s="34"/>
      <c r="S4" s="34"/>
      <c r="T4" s="34"/>
      <c r="U4" s="34"/>
      <c r="V4" s="34"/>
      <c r="W4" s="34"/>
      <c r="X4" s="34"/>
      <c r="Y4" s="34"/>
      <c r="Z4" s="34"/>
      <c r="AA4" s="34"/>
      <c r="AB4" s="34"/>
      <c r="AC4" s="34"/>
      <c r="AD4" s="34"/>
    </row>
    <row r="5" spans="1:30">
      <c r="A5" s="147" t="s">
        <v>21</v>
      </c>
      <c r="B5" s="148"/>
      <c r="C5" s="149"/>
      <c r="D5" s="148"/>
      <c r="E5" s="148"/>
      <c r="F5" s="148"/>
      <c r="G5" s="148"/>
      <c r="H5" s="148"/>
      <c r="I5" s="148"/>
      <c r="J5" s="148"/>
      <c r="K5" s="148"/>
      <c r="L5" s="148"/>
      <c r="M5" s="148"/>
      <c r="N5" s="55"/>
      <c r="O5" s="55"/>
      <c r="P5" s="55"/>
      <c r="Q5" s="59"/>
      <c r="R5" s="34"/>
      <c r="S5" s="34"/>
      <c r="T5" s="34"/>
      <c r="U5" s="34"/>
      <c r="V5" s="34"/>
      <c r="W5" s="34"/>
      <c r="X5" s="34"/>
      <c r="Y5" s="34"/>
      <c r="Z5" s="34"/>
      <c r="AA5" s="34"/>
      <c r="AB5" s="34"/>
      <c r="AC5" s="34"/>
      <c r="AD5" s="34"/>
    </row>
    <row r="6" spans="1:30">
      <c r="A6" s="58"/>
      <c r="B6" s="55"/>
      <c r="C6" s="55"/>
      <c r="D6" s="55"/>
      <c r="E6" s="55"/>
      <c r="F6" s="55"/>
      <c r="G6" s="55"/>
      <c r="H6" s="55"/>
      <c r="I6" s="55"/>
      <c r="J6" s="55"/>
      <c r="K6" s="55"/>
      <c r="L6" s="55"/>
      <c r="M6" s="55"/>
      <c r="N6" s="55"/>
      <c r="O6" s="55"/>
      <c r="P6" s="55"/>
      <c r="Q6" s="59"/>
      <c r="R6" s="34"/>
      <c r="S6" s="34"/>
      <c r="T6" s="34"/>
      <c r="U6" s="34"/>
      <c r="V6" s="34"/>
      <c r="W6" s="34"/>
      <c r="X6" s="34"/>
      <c r="Y6" s="34"/>
      <c r="Z6" s="34"/>
      <c r="AA6" s="34"/>
      <c r="AB6" s="34"/>
      <c r="AC6" s="34"/>
      <c r="AD6" s="34"/>
    </row>
    <row r="7" spans="1:30">
      <c r="A7" s="147" t="s">
        <v>22</v>
      </c>
      <c r="B7" s="148"/>
      <c r="C7" s="55"/>
      <c r="D7" s="149" t="s">
        <v>23</v>
      </c>
      <c r="E7" s="148"/>
      <c r="F7" s="55"/>
      <c r="G7" s="55"/>
      <c r="H7" s="55"/>
      <c r="I7" s="55"/>
      <c r="J7" s="55"/>
      <c r="K7" s="55"/>
      <c r="L7" s="55"/>
      <c r="M7" s="149" t="s">
        <v>24</v>
      </c>
      <c r="N7" s="148"/>
      <c r="O7" s="153" t="s">
        <v>25</v>
      </c>
      <c r="P7" s="138"/>
      <c r="Q7" s="59"/>
      <c r="R7" s="34"/>
      <c r="S7" s="34"/>
      <c r="T7" s="34"/>
      <c r="U7" s="34"/>
      <c r="V7" s="34"/>
      <c r="W7" s="34"/>
      <c r="X7" s="34"/>
      <c r="Y7" s="34"/>
      <c r="Z7" s="34"/>
      <c r="AA7" s="34"/>
      <c r="AB7" s="34"/>
      <c r="AC7" s="34"/>
      <c r="AD7" s="34"/>
    </row>
    <row r="8" spans="1:30">
      <c r="A8" s="58"/>
      <c r="B8" s="55"/>
      <c r="C8" s="55"/>
      <c r="D8" s="55"/>
      <c r="E8" s="55"/>
      <c r="F8" s="55"/>
      <c r="G8" s="55"/>
      <c r="H8" s="55"/>
      <c r="I8" s="55"/>
      <c r="J8" s="55"/>
      <c r="K8" s="55"/>
      <c r="L8" s="55"/>
      <c r="M8" s="149" t="s">
        <v>26</v>
      </c>
      <c r="N8" s="148"/>
      <c r="O8" s="153" t="s">
        <v>27</v>
      </c>
      <c r="P8" s="138"/>
      <c r="Q8" s="59"/>
      <c r="R8" s="34"/>
      <c r="S8" s="34"/>
      <c r="T8" s="34"/>
      <c r="U8" s="34"/>
      <c r="V8" s="34"/>
      <c r="W8" s="34"/>
      <c r="X8" s="34"/>
      <c r="Y8" s="34"/>
      <c r="Z8" s="34"/>
      <c r="AA8" s="34"/>
      <c r="AB8" s="34"/>
      <c r="AC8" s="34"/>
      <c r="AD8" s="34"/>
    </row>
    <row r="9" spans="1:30">
      <c r="A9" s="60"/>
      <c r="B9" s="55"/>
      <c r="C9" s="55"/>
      <c r="D9" s="55"/>
      <c r="E9" s="55"/>
      <c r="F9" s="55"/>
      <c r="G9" s="55"/>
      <c r="H9" s="55"/>
      <c r="I9" s="55"/>
      <c r="J9" s="55"/>
      <c r="K9" s="55"/>
      <c r="L9" s="61"/>
      <c r="M9" s="61"/>
      <c r="N9" s="61"/>
      <c r="O9" s="61"/>
      <c r="P9" s="61"/>
      <c r="Q9" s="62"/>
      <c r="R9" s="34"/>
      <c r="S9" s="34"/>
      <c r="T9" s="34"/>
      <c r="U9" s="34"/>
      <c r="V9" s="34"/>
      <c r="W9" s="34"/>
      <c r="X9" s="34"/>
      <c r="Y9" s="34"/>
      <c r="Z9" s="34"/>
      <c r="AA9" s="34"/>
      <c r="AB9" s="34"/>
      <c r="AC9" s="34"/>
      <c r="AD9" s="34"/>
    </row>
    <row r="10" spans="1:30" ht="14.25" customHeight="1">
      <c r="A10" s="154" t="s">
        <v>28</v>
      </c>
      <c r="B10" s="150" t="s">
        <v>29</v>
      </c>
      <c r="C10" s="151"/>
      <c r="D10" s="151"/>
      <c r="E10" s="151"/>
      <c r="F10" s="151"/>
      <c r="G10" s="151"/>
      <c r="H10" s="151"/>
      <c r="I10" s="151"/>
      <c r="J10" s="151"/>
      <c r="K10" s="151"/>
      <c r="L10" s="152" t="s">
        <v>30</v>
      </c>
      <c r="M10" s="142"/>
      <c r="N10" s="142"/>
      <c r="O10" s="142"/>
      <c r="P10" s="142"/>
      <c r="Q10" s="140"/>
      <c r="R10" s="34"/>
      <c r="S10" s="34"/>
      <c r="T10" s="34"/>
      <c r="U10" s="34"/>
      <c r="V10" s="34"/>
      <c r="W10" s="34"/>
      <c r="X10" s="34"/>
      <c r="Y10" s="34"/>
      <c r="Z10" s="34"/>
      <c r="AA10" s="34"/>
      <c r="AB10" s="34"/>
      <c r="AC10" s="34"/>
      <c r="AD10" s="34"/>
    </row>
    <row r="11" spans="1:30" ht="14.25" customHeight="1">
      <c r="A11" s="155"/>
      <c r="B11" s="161" t="s">
        <v>31</v>
      </c>
      <c r="C11" s="148"/>
      <c r="D11" s="162"/>
      <c r="E11" s="163" t="s">
        <v>32</v>
      </c>
      <c r="F11" s="140"/>
      <c r="G11" s="161" t="s">
        <v>33</v>
      </c>
      <c r="H11" s="148"/>
      <c r="I11" s="162"/>
      <c r="J11" s="163" t="s">
        <v>32</v>
      </c>
      <c r="K11" s="140"/>
      <c r="L11" s="154" t="s">
        <v>34</v>
      </c>
      <c r="M11" s="157"/>
      <c r="N11" s="158"/>
      <c r="O11" s="139" t="s">
        <v>32</v>
      </c>
      <c r="P11" s="138"/>
      <c r="Q11" s="3" t="s">
        <v>35</v>
      </c>
      <c r="R11" s="34"/>
      <c r="S11" s="34"/>
      <c r="T11" s="34"/>
      <c r="U11" s="34"/>
      <c r="V11" s="34"/>
      <c r="W11" s="34"/>
      <c r="X11" s="34"/>
      <c r="Y11" s="34"/>
      <c r="Z11" s="34"/>
      <c r="AA11" s="34"/>
      <c r="AB11" s="34"/>
      <c r="AC11" s="34"/>
      <c r="AD11" s="34"/>
    </row>
    <row r="12" spans="1:30" ht="14.25" customHeight="1">
      <c r="A12" s="156"/>
      <c r="B12" s="159"/>
      <c r="C12" s="142"/>
      <c r="D12" s="140"/>
      <c r="E12" s="3" t="s">
        <v>36</v>
      </c>
      <c r="F12" s="4" t="s">
        <v>37</v>
      </c>
      <c r="G12" s="159"/>
      <c r="H12" s="142"/>
      <c r="I12" s="140"/>
      <c r="J12" s="3" t="s">
        <v>36</v>
      </c>
      <c r="K12" s="4" t="s">
        <v>37</v>
      </c>
      <c r="L12" s="159"/>
      <c r="M12" s="142"/>
      <c r="N12" s="140"/>
      <c r="O12" s="4" t="s">
        <v>36</v>
      </c>
      <c r="P12" s="5" t="s">
        <v>37</v>
      </c>
      <c r="Q12" s="4" t="s">
        <v>38</v>
      </c>
      <c r="R12" s="63" t="s">
        <v>37</v>
      </c>
      <c r="S12" s="63" t="s">
        <v>37</v>
      </c>
      <c r="T12" s="34"/>
      <c r="U12" s="34"/>
      <c r="V12" s="34"/>
      <c r="W12" s="34"/>
      <c r="X12" s="34"/>
      <c r="Y12" s="34"/>
      <c r="Z12" s="34"/>
      <c r="AA12" s="34"/>
      <c r="AB12" s="34"/>
      <c r="AC12" s="34"/>
      <c r="AD12" s="34"/>
    </row>
    <row r="13" spans="1:30" ht="40.5" customHeight="1">
      <c r="A13" s="7">
        <v>1</v>
      </c>
      <c r="B13" s="110" t="s">
        <v>39</v>
      </c>
      <c r="C13" s="111"/>
      <c r="D13" s="138"/>
      <c r="E13" s="77">
        <v>13.4</v>
      </c>
      <c r="F13" s="30"/>
      <c r="G13" s="115" t="s">
        <v>40</v>
      </c>
      <c r="H13" s="111"/>
      <c r="I13" s="111"/>
      <c r="J13" s="36">
        <f t="shared" ref="J13:J19" si="0">E13</f>
        <v>13.4</v>
      </c>
      <c r="K13" s="31"/>
      <c r="L13" s="115" t="s">
        <v>41</v>
      </c>
      <c r="M13" s="116"/>
      <c r="N13" s="117"/>
      <c r="O13" s="32">
        <f>J13</f>
        <v>13.4</v>
      </c>
      <c r="P13" s="31"/>
      <c r="Q13" s="40" t="s">
        <v>42</v>
      </c>
      <c r="R13" s="48" t="s">
        <v>43</v>
      </c>
      <c r="S13" s="48" t="s">
        <v>44</v>
      </c>
      <c r="T13" s="92">
        <f>SUM(O13:O42)</f>
        <v>97.759999999999977</v>
      </c>
      <c r="U13" s="34"/>
      <c r="V13" s="34"/>
      <c r="W13" s="34"/>
      <c r="X13" s="34"/>
      <c r="Y13" s="34"/>
      <c r="Z13" s="34"/>
      <c r="AA13" s="34"/>
      <c r="AB13" s="34"/>
      <c r="AC13" s="34"/>
      <c r="AD13" s="34"/>
    </row>
    <row r="14" spans="1:30" ht="40.5" customHeight="1">
      <c r="A14" s="7">
        <v>2</v>
      </c>
      <c r="B14" s="110" t="s">
        <v>45</v>
      </c>
      <c r="C14" s="126"/>
      <c r="D14" s="127"/>
      <c r="E14" s="32">
        <v>0.6</v>
      </c>
      <c r="F14" s="30"/>
      <c r="G14" s="115" t="s">
        <v>40</v>
      </c>
      <c r="H14" s="111"/>
      <c r="I14" s="111"/>
      <c r="J14" s="36">
        <f t="shared" si="0"/>
        <v>0.6</v>
      </c>
      <c r="K14" s="31"/>
      <c r="L14" s="115" t="s">
        <v>41</v>
      </c>
      <c r="M14" s="116"/>
      <c r="N14" s="117"/>
      <c r="O14" s="32">
        <f t="shared" ref="O14:O19" si="1">E14</f>
        <v>0.6</v>
      </c>
      <c r="P14" s="31"/>
      <c r="Q14" s="40" t="s">
        <v>42</v>
      </c>
      <c r="R14" s="48" t="s">
        <v>46</v>
      </c>
      <c r="S14" s="48" t="s">
        <v>44</v>
      </c>
      <c r="T14" s="34"/>
      <c r="U14" s="34"/>
      <c r="V14" s="34"/>
      <c r="W14" s="34"/>
      <c r="X14" s="34"/>
      <c r="Y14" s="34"/>
      <c r="Z14" s="34"/>
      <c r="AA14" s="34"/>
      <c r="AB14" s="34"/>
      <c r="AC14" s="34"/>
      <c r="AD14" s="34"/>
    </row>
    <row r="15" spans="1:30" ht="40.5" customHeight="1">
      <c r="A15" s="7">
        <v>3</v>
      </c>
      <c r="B15" s="110" t="s">
        <v>47</v>
      </c>
      <c r="C15" s="126"/>
      <c r="D15" s="127"/>
      <c r="E15" s="32">
        <v>2.5</v>
      </c>
      <c r="F15" s="30"/>
      <c r="G15" s="115" t="s">
        <v>40</v>
      </c>
      <c r="H15" s="111"/>
      <c r="I15" s="111"/>
      <c r="J15" s="36">
        <f t="shared" si="0"/>
        <v>2.5</v>
      </c>
      <c r="K15" s="31"/>
      <c r="L15" s="115" t="s">
        <v>41</v>
      </c>
      <c r="M15" s="116"/>
      <c r="N15" s="117"/>
      <c r="O15" s="32">
        <f t="shared" si="1"/>
        <v>2.5</v>
      </c>
      <c r="P15" s="31"/>
      <c r="Q15" s="40" t="s">
        <v>42</v>
      </c>
      <c r="R15" s="48" t="s">
        <v>48</v>
      </c>
      <c r="S15" s="48" t="s">
        <v>44</v>
      </c>
      <c r="T15" s="34"/>
      <c r="U15" s="34"/>
      <c r="V15" s="34"/>
      <c r="W15" s="34"/>
      <c r="X15" s="34"/>
      <c r="Y15" s="34"/>
      <c r="Z15" s="34"/>
      <c r="AA15" s="34"/>
      <c r="AB15" s="34"/>
      <c r="AC15" s="34"/>
      <c r="AD15" s="34"/>
    </row>
    <row r="16" spans="1:30" ht="40.5" customHeight="1">
      <c r="A16" s="7">
        <v>4</v>
      </c>
      <c r="B16" s="110" t="s">
        <v>49</v>
      </c>
      <c r="C16" s="126"/>
      <c r="D16" s="127"/>
      <c r="E16" s="33">
        <v>0.6</v>
      </c>
      <c r="F16" s="30"/>
      <c r="G16" s="115" t="s">
        <v>40</v>
      </c>
      <c r="H16" s="111"/>
      <c r="I16" s="111"/>
      <c r="J16" s="36">
        <f t="shared" si="0"/>
        <v>0.6</v>
      </c>
      <c r="K16" s="31"/>
      <c r="L16" s="115" t="s">
        <v>41</v>
      </c>
      <c r="M16" s="116"/>
      <c r="N16" s="117"/>
      <c r="O16" s="32">
        <f t="shared" si="1"/>
        <v>0.6</v>
      </c>
      <c r="P16" s="31"/>
      <c r="Q16" s="40" t="s">
        <v>42</v>
      </c>
      <c r="R16" s="48" t="s">
        <v>50</v>
      </c>
      <c r="S16" s="48" t="s">
        <v>44</v>
      </c>
      <c r="T16" s="34"/>
      <c r="U16" s="34"/>
      <c r="V16" s="34"/>
      <c r="W16" s="34"/>
      <c r="X16" s="34"/>
      <c r="Y16" s="34"/>
      <c r="Z16" s="34"/>
      <c r="AA16" s="34"/>
      <c r="AB16" s="34"/>
      <c r="AC16" s="34"/>
      <c r="AD16" s="34"/>
    </row>
    <row r="17" spans="1:30" ht="40.5" customHeight="1">
      <c r="A17" s="7">
        <v>5</v>
      </c>
      <c r="B17" s="110" t="s">
        <v>40</v>
      </c>
      <c r="C17" s="111"/>
      <c r="D17" s="111"/>
      <c r="E17" s="32">
        <v>0.7</v>
      </c>
      <c r="F17" s="31"/>
      <c r="G17" s="115" t="s">
        <v>45</v>
      </c>
      <c r="H17" s="111"/>
      <c r="I17" s="111"/>
      <c r="J17" s="36">
        <f t="shared" si="0"/>
        <v>0.7</v>
      </c>
      <c r="K17" s="30"/>
      <c r="L17" s="115" t="s">
        <v>41</v>
      </c>
      <c r="M17" s="116"/>
      <c r="N17" s="117"/>
      <c r="O17" s="32">
        <f t="shared" si="1"/>
        <v>0.7</v>
      </c>
      <c r="P17" s="31"/>
      <c r="Q17" s="40" t="s">
        <v>42</v>
      </c>
      <c r="R17" s="48" t="s">
        <v>44</v>
      </c>
      <c r="S17" s="48" t="s">
        <v>46</v>
      </c>
      <c r="T17" s="34"/>
      <c r="U17" s="34"/>
      <c r="V17" s="34"/>
      <c r="W17" s="34"/>
      <c r="X17" s="34"/>
      <c r="Y17" s="34"/>
      <c r="Z17" s="34"/>
      <c r="AA17" s="34"/>
      <c r="AB17" s="34"/>
      <c r="AC17" s="34"/>
      <c r="AD17" s="34"/>
    </row>
    <row r="18" spans="1:30" ht="40.5" customHeight="1">
      <c r="A18" s="7">
        <v>6</v>
      </c>
      <c r="B18" s="110" t="s">
        <v>40</v>
      </c>
      <c r="C18" s="111"/>
      <c r="D18" s="111"/>
      <c r="E18" s="32">
        <v>0.2</v>
      </c>
      <c r="F18" s="31"/>
      <c r="G18" s="115" t="s">
        <v>51</v>
      </c>
      <c r="H18" s="111"/>
      <c r="I18" s="111"/>
      <c r="J18" s="36">
        <f t="shared" si="0"/>
        <v>0.2</v>
      </c>
      <c r="K18" s="30"/>
      <c r="L18" s="115" t="s">
        <v>41</v>
      </c>
      <c r="M18" s="116"/>
      <c r="N18" s="117"/>
      <c r="O18" s="39">
        <f t="shared" si="1"/>
        <v>0.2</v>
      </c>
      <c r="P18" s="31"/>
      <c r="Q18" s="40" t="s">
        <v>42</v>
      </c>
      <c r="R18" s="48" t="s">
        <v>44</v>
      </c>
      <c r="S18" s="48" t="s">
        <v>52</v>
      </c>
      <c r="T18" s="34"/>
      <c r="U18" s="34"/>
      <c r="V18" s="34"/>
      <c r="W18" s="34"/>
      <c r="X18" s="34"/>
      <c r="Y18" s="34"/>
      <c r="Z18" s="34"/>
      <c r="AA18" s="34"/>
      <c r="AB18" s="34"/>
      <c r="AC18" s="34"/>
      <c r="AD18" s="34"/>
    </row>
    <row r="19" spans="1:30" ht="40.5" customHeight="1">
      <c r="A19" s="7">
        <v>7</v>
      </c>
      <c r="B19" s="110" t="s">
        <v>40</v>
      </c>
      <c r="C19" s="111"/>
      <c r="D19" s="111"/>
      <c r="E19" s="32">
        <v>0.7</v>
      </c>
      <c r="F19" s="31"/>
      <c r="G19" s="115" t="s">
        <v>53</v>
      </c>
      <c r="H19" s="111"/>
      <c r="I19" s="111"/>
      <c r="J19" s="36">
        <f t="shared" si="0"/>
        <v>0.7</v>
      </c>
      <c r="K19" s="30"/>
      <c r="L19" s="115" t="s">
        <v>41</v>
      </c>
      <c r="M19" s="116"/>
      <c r="N19" s="117"/>
      <c r="O19" s="39">
        <f t="shared" si="1"/>
        <v>0.7</v>
      </c>
      <c r="P19" s="31"/>
      <c r="Q19" s="40" t="s">
        <v>42</v>
      </c>
      <c r="R19" s="48" t="s">
        <v>44</v>
      </c>
      <c r="S19" s="48" t="s">
        <v>48</v>
      </c>
      <c r="T19" s="34"/>
      <c r="U19" s="34"/>
      <c r="V19" s="34"/>
      <c r="W19" s="34"/>
      <c r="X19" s="34"/>
      <c r="Y19" s="34"/>
      <c r="Z19" s="34"/>
      <c r="AA19" s="34"/>
      <c r="AB19" s="34"/>
      <c r="AC19" s="34"/>
      <c r="AD19" s="34"/>
    </row>
    <row r="20" spans="1:30" ht="40.5" customHeight="1">
      <c r="A20" s="7">
        <v>8</v>
      </c>
      <c r="B20" s="110" t="s">
        <v>40</v>
      </c>
      <c r="C20" s="111"/>
      <c r="D20" s="111"/>
      <c r="E20" s="32">
        <f>J20</f>
        <v>6.27</v>
      </c>
      <c r="F20" s="31"/>
      <c r="G20" s="115" t="s">
        <v>54</v>
      </c>
      <c r="H20" s="111"/>
      <c r="I20" s="111"/>
      <c r="J20" s="37">
        <v>6.27</v>
      </c>
      <c r="K20" s="30"/>
      <c r="L20" s="115" t="s">
        <v>41</v>
      </c>
      <c r="M20" s="116"/>
      <c r="N20" s="117"/>
      <c r="O20" s="38">
        <f>J20</f>
        <v>6.27</v>
      </c>
      <c r="P20" s="31"/>
      <c r="Q20" s="40" t="s">
        <v>42</v>
      </c>
      <c r="R20" s="48" t="s">
        <v>44</v>
      </c>
      <c r="S20" s="48" t="s">
        <v>55</v>
      </c>
      <c r="T20" s="34"/>
      <c r="U20" s="34"/>
      <c r="V20" s="34"/>
      <c r="W20" s="34"/>
      <c r="X20" s="34"/>
      <c r="Y20" s="34"/>
      <c r="Z20" s="34"/>
      <c r="AA20" s="34"/>
      <c r="AB20" s="34"/>
      <c r="AC20" s="34"/>
      <c r="AD20" s="34"/>
    </row>
    <row r="21" spans="1:30" ht="40.5" customHeight="1">
      <c r="A21" s="7"/>
      <c r="B21" s="110" t="s">
        <v>40</v>
      </c>
      <c r="C21" s="111"/>
      <c r="D21" s="111"/>
      <c r="E21" s="32">
        <f>J21</f>
        <v>4.22</v>
      </c>
      <c r="F21" s="31"/>
      <c r="G21" s="115" t="s">
        <v>56</v>
      </c>
      <c r="H21" s="111"/>
      <c r="I21" s="111"/>
      <c r="J21" s="37">
        <v>4.22</v>
      </c>
      <c r="K21" s="30"/>
      <c r="L21" s="115" t="s">
        <v>41</v>
      </c>
      <c r="M21" s="116"/>
      <c r="N21" s="117"/>
      <c r="O21" s="38">
        <f>J21</f>
        <v>4.22</v>
      </c>
      <c r="P21" s="31"/>
      <c r="Q21" s="40" t="s">
        <v>42</v>
      </c>
      <c r="R21" s="48" t="s">
        <v>44</v>
      </c>
      <c r="S21" s="48" t="s">
        <v>48</v>
      </c>
      <c r="T21" s="34"/>
      <c r="U21" s="34"/>
      <c r="V21" s="34"/>
      <c r="W21" s="34"/>
      <c r="X21" s="34"/>
      <c r="Y21" s="34"/>
      <c r="Z21" s="34"/>
      <c r="AA21" s="34"/>
      <c r="AB21" s="34"/>
      <c r="AC21" s="34"/>
      <c r="AD21" s="34"/>
    </row>
    <row r="22" spans="1:30" ht="40.5" customHeight="1">
      <c r="A22" s="7"/>
      <c r="B22" s="110" t="s">
        <v>40</v>
      </c>
      <c r="C22" s="111"/>
      <c r="D22" s="111"/>
      <c r="E22" s="32">
        <f t="shared" ref="E22:E32" si="2">J22</f>
        <v>4.18</v>
      </c>
      <c r="F22" s="31"/>
      <c r="G22" s="115" t="s">
        <v>57</v>
      </c>
      <c r="H22" s="111"/>
      <c r="I22" s="111"/>
      <c r="J22" s="37">
        <v>4.18</v>
      </c>
      <c r="K22" s="30"/>
      <c r="L22" s="115" t="s">
        <v>41</v>
      </c>
      <c r="M22" s="116"/>
      <c r="N22" s="117"/>
      <c r="O22" s="38">
        <f t="shared" ref="O22:O32" si="3">J22</f>
        <v>4.18</v>
      </c>
      <c r="P22" s="31"/>
      <c r="Q22" s="40" t="s">
        <v>42</v>
      </c>
      <c r="R22" s="48" t="s">
        <v>44</v>
      </c>
      <c r="S22" s="48" t="s">
        <v>58</v>
      </c>
      <c r="T22" s="34"/>
      <c r="U22" s="34"/>
      <c r="V22" s="34"/>
      <c r="X22" s="34"/>
      <c r="Y22" s="34"/>
      <c r="Z22" s="34"/>
      <c r="AA22" s="34"/>
      <c r="AB22" s="34"/>
      <c r="AC22" s="34"/>
      <c r="AD22" s="34"/>
    </row>
    <row r="23" spans="1:30" ht="40.5" customHeight="1">
      <c r="A23" s="7"/>
      <c r="B23" s="110" t="s">
        <v>40</v>
      </c>
      <c r="C23" s="111"/>
      <c r="D23" s="111"/>
      <c r="E23" s="32">
        <f t="shared" si="2"/>
        <v>1.03</v>
      </c>
      <c r="F23" s="31"/>
      <c r="G23" s="116" t="s">
        <v>59</v>
      </c>
      <c r="H23" s="116"/>
      <c r="I23" s="117"/>
      <c r="J23" s="37">
        <v>1.03</v>
      </c>
      <c r="K23" s="30"/>
      <c r="L23" s="115" t="s">
        <v>41</v>
      </c>
      <c r="M23" s="116"/>
      <c r="N23" s="117"/>
      <c r="O23" s="38">
        <f t="shared" si="3"/>
        <v>1.03</v>
      </c>
      <c r="P23" s="31"/>
      <c r="Q23" s="40" t="s">
        <v>42</v>
      </c>
      <c r="R23" s="48" t="s">
        <v>44</v>
      </c>
      <c r="S23" s="48" t="s">
        <v>46</v>
      </c>
      <c r="T23" s="34"/>
      <c r="U23" s="34"/>
      <c r="V23" s="34"/>
      <c r="X23" s="34"/>
      <c r="Y23" s="34"/>
      <c r="Z23" s="34"/>
      <c r="AA23" s="34"/>
      <c r="AB23" s="34"/>
      <c r="AC23" s="34"/>
      <c r="AD23" s="34"/>
    </row>
    <row r="24" spans="1:30" ht="40.5" customHeight="1">
      <c r="A24" s="7"/>
      <c r="B24" s="110" t="s">
        <v>40</v>
      </c>
      <c r="C24" s="111"/>
      <c r="D24" s="111"/>
      <c r="E24" s="32">
        <f t="shared" si="2"/>
        <v>0.11</v>
      </c>
      <c r="F24" s="31"/>
      <c r="G24" s="131" t="s">
        <v>60</v>
      </c>
      <c r="H24" s="119"/>
      <c r="I24" s="120"/>
      <c r="J24" s="37">
        <v>0.11</v>
      </c>
      <c r="K24" s="30"/>
      <c r="L24" s="115" t="s">
        <v>41</v>
      </c>
      <c r="M24" s="116"/>
      <c r="N24" s="117"/>
      <c r="O24" s="38">
        <f t="shared" si="3"/>
        <v>0.11</v>
      </c>
      <c r="P24" s="31"/>
      <c r="Q24" s="40" t="s">
        <v>42</v>
      </c>
      <c r="R24" s="48" t="s">
        <v>44</v>
      </c>
      <c r="S24" s="48" t="s">
        <v>61</v>
      </c>
      <c r="T24" s="34"/>
      <c r="U24" s="34"/>
      <c r="V24" s="34"/>
      <c r="X24" s="34"/>
      <c r="Y24" s="34"/>
      <c r="Z24" s="34"/>
      <c r="AA24" s="34"/>
      <c r="AB24" s="34"/>
      <c r="AC24" s="34"/>
      <c r="AD24" s="34"/>
    </row>
    <row r="25" spans="1:30" ht="40.5" customHeight="1">
      <c r="A25" s="7"/>
      <c r="B25" s="110" t="s">
        <v>40</v>
      </c>
      <c r="C25" s="111"/>
      <c r="D25" s="111"/>
      <c r="E25" s="32">
        <f t="shared" si="2"/>
        <v>1.0900000000000001</v>
      </c>
      <c r="F25" s="31"/>
      <c r="G25" s="130" t="s">
        <v>62</v>
      </c>
      <c r="H25" s="116"/>
      <c r="I25" s="117"/>
      <c r="J25" s="37">
        <v>1.0900000000000001</v>
      </c>
      <c r="K25" s="30"/>
      <c r="L25" s="115" t="s">
        <v>41</v>
      </c>
      <c r="M25" s="116"/>
      <c r="N25" s="117"/>
      <c r="O25" s="38">
        <f t="shared" si="3"/>
        <v>1.0900000000000001</v>
      </c>
      <c r="P25" s="31"/>
      <c r="Q25" s="40" t="s">
        <v>42</v>
      </c>
      <c r="R25" s="48" t="s">
        <v>44</v>
      </c>
      <c r="S25" s="48" t="s">
        <v>48</v>
      </c>
      <c r="T25" s="34"/>
      <c r="U25" s="34"/>
      <c r="V25" s="34"/>
      <c r="X25" s="34"/>
      <c r="Y25" s="34"/>
      <c r="Z25" s="34"/>
      <c r="AA25" s="34"/>
      <c r="AB25" s="34"/>
      <c r="AC25" s="34"/>
      <c r="AD25" s="34"/>
    </row>
    <row r="26" spans="1:30" ht="40.5" customHeight="1">
      <c r="A26" s="7"/>
      <c r="B26" s="110" t="s">
        <v>40</v>
      </c>
      <c r="C26" s="111"/>
      <c r="D26" s="111"/>
      <c r="E26" s="32">
        <f t="shared" si="2"/>
        <v>3.13</v>
      </c>
      <c r="F26" s="31"/>
      <c r="G26" s="130" t="s">
        <v>54</v>
      </c>
      <c r="H26" s="116"/>
      <c r="I26" s="117"/>
      <c r="J26" s="37">
        <v>3.13</v>
      </c>
      <c r="K26" s="30"/>
      <c r="L26" s="115" t="s">
        <v>41</v>
      </c>
      <c r="M26" s="116"/>
      <c r="N26" s="117"/>
      <c r="O26" s="38">
        <f t="shared" si="3"/>
        <v>3.13</v>
      </c>
      <c r="P26" s="31"/>
      <c r="Q26" s="40" t="s">
        <v>42</v>
      </c>
      <c r="R26" s="48" t="s">
        <v>44</v>
      </c>
      <c r="S26" s="48" t="s">
        <v>55</v>
      </c>
      <c r="T26" s="34"/>
      <c r="U26" s="34"/>
      <c r="V26" s="34"/>
      <c r="X26" s="34"/>
      <c r="Y26" s="34"/>
      <c r="Z26" s="34"/>
      <c r="AA26" s="34"/>
      <c r="AB26" s="34"/>
      <c r="AC26" s="34"/>
      <c r="AD26" s="34"/>
    </row>
    <row r="27" spans="1:30" ht="40.5" customHeight="1">
      <c r="A27" s="7"/>
      <c r="B27" s="110" t="s">
        <v>40</v>
      </c>
      <c r="C27" s="111"/>
      <c r="D27" s="111"/>
      <c r="E27" s="32">
        <f t="shared" si="2"/>
        <v>2.2200000000000002</v>
      </c>
      <c r="F27" s="31"/>
      <c r="G27" s="133" t="s">
        <v>63</v>
      </c>
      <c r="H27" s="124"/>
      <c r="I27" s="125"/>
      <c r="J27" s="37">
        <v>2.2200000000000002</v>
      </c>
      <c r="K27" s="30"/>
      <c r="L27" s="115" t="s">
        <v>41</v>
      </c>
      <c r="M27" s="116"/>
      <c r="N27" s="117"/>
      <c r="O27" s="38">
        <f t="shared" si="3"/>
        <v>2.2200000000000002</v>
      </c>
      <c r="P27" s="31"/>
      <c r="Q27" s="40" t="s">
        <v>42</v>
      </c>
      <c r="R27" s="48" t="s">
        <v>64</v>
      </c>
      <c r="S27" s="48" t="s">
        <v>64</v>
      </c>
      <c r="T27" s="34"/>
      <c r="U27" s="34"/>
      <c r="V27" s="34"/>
      <c r="X27" s="34"/>
      <c r="Y27" s="34"/>
      <c r="Z27" s="34"/>
      <c r="AA27" s="34"/>
      <c r="AB27" s="34"/>
      <c r="AC27" s="34"/>
      <c r="AD27" s="34"/>
    </row>
    <row r="28" spans="1:30" ht="40.5" customHeight="1">
      <c r="A28" s="7"/>
      <c r="B28" s="110" t="s">
        <v>40</v>
      </c>
      <c r="C28" s="111"/>
      <c r="D28" s="111"/>
      <c r="E28" s="32">
        <f t="shared" si="2"/>
        <v>6.22</v>
      </c>
      <c r="F28" s="31"/>
      <c r="G28" s="131" t="s">
        <v>65</v>
      </c>
      <c r="H28" s="119"/>
      <c r="I28" s="120"/>
      <c r="J28" s="37">
        <v>6.22</v>
      </c>
      <c r="K28" s="30"/>
      <c r="L28" s="115" t="s">
        <v>41</v>
      </c>
      <c r="M28" s="116"/>
      <c r="N28" s="117"/>
      <c r="O28" s="38">
        <f t="shared" si="3"/>
        <v>6.22</v>
      </c>
      <c r="P28" s="31"/>
      <c r="Q28" s="40" t="s">
        <v>42</v>
      </c>
      <c r="R28" s="48" t="s">
        <v>44</v>
      </c>
      <c r="S28" s="48" t="s">
        <v>46</v>
      </c>
      <c r="T28" s="91"/>
      <c r="U28" s="34"/>
      <c r="V28" s="34"/>
      <c r="X28" s="34"/>
      <c r="Y28" s="34"/>
      <c r="Z28" s="34"/>
      <c r="AA28" s="34"/>
      <c r="AB28" s="34"/>
      <c r="AC28" s="34"/>
      <c r="AD28" s="34"/>
    </row>
    <row r="29" spans="1:30" ht="40.5" customHeight="1">
      <c r="A29" s="7"/>
      <c r="B29" s="110" t="s">
        <v>40</v>
      </c>
      <c r="C29" s="111"/>
      <c r="D29" s="111"/>
      <c r="E29" s="32">
        <f t="shared" si="2"/>
        <v>3.21</v>
      </c>
      <c r="F29" s="31"/>
      <c r="G29" s="130" t="s">
        <v>66</v>
      </c>
      <c r="H29" s="116"/>
      <c r="I29" s="117"/>
      <c r="J29" s="37">
        <v>3.21</v>
      </c>
      <c r="K29" s="30"/>
      <c r="L29" s="115" t="s">
        <v>41</v>
      </c>
      <c r="M29" s="116"/>
      <c r="N29" s="117"/>
      <c r="O29" s="38">
        <f t="shared" si="3"/>
        <v>3.21</v>
      </c>
      <c r="P29" s="31"/>
      <c r="Q29" s="40" t="s">
        <v>42</v>
      </c>
      <c r="R29" s="48" t="s">
        <v>44</v>
      </c>
      <c r="S29" s="48" t="s">
        <v>67</v>
      </c>
      <c r="T29" s="34"/>
      <c r="U29" s="34"/>
      <c r="V29" s="34"/>
      <c r="X29" s="34"/>
      <c r="Y29" s="34"/>
      <c r="Z29" s="34"/>
      <c r="AA29" s="34"/>
      <c r="AB29" s="34"/>
      <c r="AC29" s="34"/>
      <c r="AD29" s="34"/>
    </row>
    <row r="30" spans="1:30" ht="40.5" customHeight="1">
      <c r="A30" s="7"/>
      <c r="B30" s="110" t="s">
        <v>40</v>
      </c>
      <c r="C30" s="111"/>
      <c r="D30" s="111"/>
      <c r="E30" s="32">
        <f t="shared" si="2"/>
        <v>1.1000000000000001</v>
      </c>
      <c r="F30" s="31"/>
      <c r="G30" s="131" t="s">
        <v>68</v>
      </c>
      <c r="H30" s="119"/>
      <c r="I30" s="120"/>
      <c r="J30" s="37">
        <v>1.1000000000000001</v>
      </c>
      <c r="K30" s="30"/>
      <c r="L30" s="115" t="s">
        <v>41</v>
      </c>
      <c r="M30" s="116"/>
      <c r="N30" s="117"/>
      <c r="O30" s="38">
        <f t="shared" si="3"/>
        <v>1.1000000000000001</v>
      </c>
      <c r="P30" s="31"/>
      <c r="Q30" s="40" t="s">
        <v>42</v>
      </c>
      <c r="R30" s="48" t="s">
        <v>44</v>
      </c>
      <c r="S30" s="48" t="s">
        <v>50</v>
      </c>
      <c r="T30" s="34"/>
      <c r="U30" s="34"/>
      <c r="V30" s="34"/>
      <c r="X30" s="34"/>
      <c r="Y30" s="34"/>
      <c r="Z30" s="34"/>
      <c r="AA30" s="34"/>
      <c r="AB30" s="34"/>
      <c r="AC30" s="34"/>
      <c r="AD30" s="34"/>
    </row>
    <row r="31" spans="1:30" ht="40.5" customHeight="1">
      <c r="A31" s="7"/>
      <c r="B31" s="110" t="s">
        <v>40</v>
      </c>
      <c r="C31" s="111"/>
      <c r="D31" s="111"/>
      <c r="E31" s="32">
        <f t="shared" si="2"/>
        <v>1.08</v>
      </c>
      <c r="F31" s="31"/>
      <c r="G31" s="131" t="s">
        <v>69</v>
      </c>
      <c r="H31" s="119"/>
      <c r="I31" s="120"/>
      <c r="J31" s="37">
        <v>1.08</v>
      </c>
      <c r="K31" s="30"/>
      <c r="L31" s="115" t="s">
        <v>41</v>
      </c>
      <c r="M31" s="116"/>
      <c r="N31" s="117"/>
      <c r="O31" s="38">
        <f t="shared" si="3"/>
        <v>1.08</v>
      </c>
      <c r="P31" s="31"/>
      <c r="Q31" s="40" t="s">
        <v>42</v>
      </c>
      <c r="R31" s="48" t="s">
        <v>44</v>
      </c>
      <c r="S31" s="48" t="s">
        <v>50</v>
      </c>
      <c r="T31" s="34"/>
      <c r="U31" s="34"/>
      <c r="V31" s="34"/>
      <c r="X31" s="34"/>
      <c r="Y31" s="34"/>
      <c r="Z31" s="34"/>
      <c r="AA31" s="34"/>
      <c r="AB31" s="34"/>
      <c r="AC31" s="34"/>
      <c r="AD31" s="34"/>
    </row>
    <row r="32" spans="1:30" ht="40.5" customHeight="1">
      <c r="A32" s="7"/>
      <c r="B32" s="110" t="s">
        <v>40</v>
      </c>
      <c r="C32" s="111"/>
      <c r="D32" s="111"/>
      <c r="E32" s="85">
        <f t="shared" si="2"/>
        <v>3.03</v>
      </c>
      <c r="F32" s="31"/>
      <c r="G32" s="116" t="s">
        <v>70</v>
      </c>
      <c r="H32" s="116"/>
      <c r="I32" s="117"/>
      <c r="J32" s="37">
        <v>3.03</v>
      </c>
      <c r="K32" s="30"/>
      <c r="L32" s="115" t="s">
        <v>41</v>
      </c>
      <c r="M32" s="116"/>
      <c r="N32" s="117"/>
      <c r="O32" s="38">
        <f t="shared" si="3"/>
        <v>3.03</v>
      </c>
      <c r="P32" s="31"/>
      <c r="Q32" s="40" t="s">
        <v>42</v>
      </c>
      <c r="R32" s="48" t="s">
        <v>44</v>
      </c>
      <c r="S32" s="48" t="s">
        <v>71</v>
      </c>
      <c r="T32" s="34"/>
      <c r="U32" s="34"/>
      <c r="V32" s="34"/>
      <c r="X32" s="34"/>
      <c r="Y32" s="34"/>
      <c r="Z32" s="34"/>
      <c r="AA32" s="34"/>
      <c r="AB32" s="34"/>
      <c r="AC32" s="34"/>
      <c r="AD32" s="34"/>
    </row>
    <row r="33" spans="1:30" ht="39.950000000000003" customHeight="1">
      <c r="A33" s="7"/>
      <c r="B33" s="110" t="s">
        <v>40</v>
      </c>
      <c r="C33" s="111"/>
      <c r="D33" s="111"/>
      <c r="E33" s="85">
        <f t="shared" ref="E33:E96" si="4">J33</f>
        <v>12.1</v>
      </c>
      <c r="F33" s="31"/>
      <c r="G33" s="130" t="s">
        <v>72</v>
      </c>
      <c r="H33" s="116"/>
      <c r="I33" s="117"/>
      <c r="J33" s="37">
        <v>12.1</v>
      </c>
      <c r="K33" s="30"/>
      <c r="L33" s="115" t="s">
        <v>41</v>
      </c>
      <c r="M33" s="116"/>
      <c r="N33" s="117"/>
      <c r="O33" s="38">
        <f t="shared" ref="O33:O96" si="5">J33</f>
        <v>12.1</v>
      </c>
      <c r="P33" s="31"/>
      <c r="Q33" s="40" t="s">
        <v>42</v>
      </c>
      <c r="R33" s="48" t="s">
        <v>44</v>
      </c>
      <c r="S33" s="48" t="s">
        <v>58</v>
      </c>
      <c r="T33" s="34"/>
      <c r="U33" s="34"/>
      <c r="V33" s="34"/>
      <c r="X33" s="34"/>
      <c r="Y33" s="34"/>
      <c r="Z33" s="34"/>
      <c r="AA33" s="34"/>
      <c r="AB33" s="34"/>
      <c r="AC33" s="34"/>
      <c r="AD33" s="34"/>
    </row>
    <row r="34" spans="1:30" ht="39.950000000000003" customHeight="1">
      <c r="A34" s="7"/>
      <c r="B34" s="110" t="s">
        <v>40</v>
      </c>
      <c r="C34" s="111"/>
      <c r="D34" s="111"/>
      <c r="E34" s="85">
        <f t="shared" si="4"/>
        <v>3.06</v>
      </c>
      <c r="F34" s="31"/>
      <c r="G34" s="131" t="s">
        <v>73</v>
      </c>
      <c r="H34" s="119"/>
      <c r="I34" s="120"/>
      <c r="J34" s="37">
        <v>3.06</v>
      </c>
      <c r="K34" s="30"/>
      <c r="L34" s="115" t="s">
        <v>41</v>
      </c>
      <c r="M34" s="116"/>
      <c r="N34" s="117"/>
      <c r="O34" s="38">
        <f t="shared" si="5"/>
        <v>3.06</v>
      </c>
      <c r="P34" s="31"/>
      <c r="Q34" s="40" t="s">
        <v>42</v>
      </c>
      <c r="R34" s="48" t="s">
        <v>44</v>
      </c>
      <c r="S34" s="48" t="s">
        <v>50</v>
      </c>
      <c r="T34" s="34"/>
      <c r="U34" s="34"/>
      <c r="V34" s="34"/>
      <c r="X34" s="34"/>
      <c r="Y34" s="34"/>
      <c r="Z34" s="34"/>
      <c r="AA34" s="34"/>
      <c r="AB34" s="34"/>
      <c r="AC34" s="34"/>
      <c r="AD34" s="34"/>
    </row>
    <row r="35" spans="1:30" ht="39.950000000000003" customHeight="1">
      <c r="A35" s="7"/>
      <c r="B35" s="110" t="s">
        <v>40</v>
      </c>
      <c r="C35" s="111"/>
      <c r="D35" s="111"/>
      <c r="E35" s="85">
        <f t="shared" si="4"/>
        <v>2.02</v>
      </c>
      <c r="F35" s="31"/>
      <c r="G35" s="130" t="s">
        <v>74</v>
      </c>
      <c r="H35" s="116"/>
      <c r="I35" s="117"/>
      <c r="J35" s="37">
        <v>2.02</v>
      </c>
      <c r="K35" s="30"/>
      <c r="L35" s="115" t="s">
        <v>41</v>
      </c>
      <c r="M35" s="116"/>
      <c r="N35" s="117"/>
      <c r="O35" s="38">
        <f t="shared" si="5"/>
        <v>2.02</v>
      </c>
      <c r="P35" s="31"/>
      <c r="Q35" s="40" t="s">
        <v>42</v>
      </c>
      <c r="R35" s="48" t="s">
        <v>44</v>
      </c>
      <c r="S35" s="48" t="s">
        <v>58</v>
      </c>
      <c r="T35" s="34"/>
      <c r="U35" s="34"/>
      <c r="V35" s="34"/>
      <c r="X35" s="34"/>
      <c r="Y35" s="34"/>
      <c r="Z35" s="34"/>
      <c r="AA35" s="34"/>
      <c r="AB35" s="34"/>
      <c r="AC35" s="34"/>
      <c r="AD35" s="34"/>
    </row>
    <row r="36" spans="1:30" ht="39.950000000000003" customHeight="1">
      <c r="A36" s="7"/>
      <c r="B36" s="110" t="s">
        <v>40</v>
      </c>
      <c r="C36" s="111"/>
      <c r="D36" s="111"/>
      <c r="E36" s="85">
        <f t="shared" si="4"/>
        <v>2.2200000000000002</v>
      </c>
      <c r="F36" s="31"/>
      <c r="G36" s="130" t="s">
        <v>75</v>
      </c>
      <c r="H36" s="116"/>
      <c r="I36" s="117"/>
      <c r="J36" s="37">
        <v>2.2200000000000002</v>
      </c>
      <c r="K36" s="30"/>
      <c r="L36" s="115" t="s">
        <v>76</v>
      </c>
      <c r="M36" s="116"/>
      <c r="N36" s="117"/>
      <c r="O36" s="38">
        <f t="shared" si="5"/>
        <v>2.2200000000000002</v>
      </c>
      <c r="P36" s="31"/>
      <c r="Q36" s="40" t="s">
        <v>42</v>
      </c>
      <c r="R36" s="48" t="s">
        <v>44</v>
      </c>
      <c r="S36" s="48" t="s">
        <v>58</v>
      </c>
      <c r="T36" s="34"/>
      <c r="U36" s="34"/>
      <c r="V36" s="34"/>
      <c r="X36" s="34"/>
      <c r="Y36" s="34"/>
      <c r="Z36" s="34"/>
      <c r="AA36" s="34"/>
      <c r="AB36" s="34"/>
      <c r="AC36" s="34"/>
      <c r="AD36" s="34"/>
    </row>
    <row r="37" spans="1:30" ht="39.950000000000003" customHeight="1">
      <c r="A37" s="7"/>
      <c r="B37" s="110" t="s">
        <v>40</v>
      </c>
      <c r="C37" s="111"/>
      <c r="D37" s="111"/>
      <c r="E37" s="85">
        <f t="shared" si="4"/>
        <v>1</v>
      </c>
      <c r="F37" s="31"/>
      <c r="G37" s="130" t="s">
        <v>77</v>
      </c>
      <c r="H37" s="116"/>
      <c r="I37" s="117"/>
      <c r="J37" s="37">
        <v>1</v>
      </c>
      <c r="K37" s="30"/>
      <c r="L37" s="115" t="s">
        <v>41</v>
      </c>
      <c r="M37" s="116"/>
      <c r="N37" s="117"/>
      <c r="O37" s="38">
        <f t="shared" si="5"/>
        <v>1</v>
      </c>
      <c r="P37" s="31"/>
      <c r="Q37" s="40" t="s">
        <v>42</v>
      </c>
      <c r="R37" s="48" t="s">
        <v>44</v>
      </c>
      <c r="S37" s="48" t="s">
        <v>58</v>
      </c>
      <c r="T37" s="34"/>
      <c r="U37" s="34"/>
      <c r="V37" s="34"/>
      <c r="X37" s="34"/>
      <c r="Y37" s="34"/>
      <c r="Z37" s="34"/>
      <c r="AA37" s="34"/>
      <c r="AB37" s="34"/>
      <c r="AC37" s="34"/>
      <c r="AD37" s="34"/>
    </row>
    <row r="38" spans="1:30" ht="39.950000000000003" customHeight="1">
      <c r="A38" s="7"/>
      <c r="B38" s="110" t="s">
        <v>40</v>
      </c>
      <c r="C38" s="111"/>
      <c r="D38" s="111"/>
      <c r="E38" s="85">
        <f t="shared" si="4"/>
        <v>1.02</v>
      </c>
      <c r="F38" s="31"/>
      <c r="G38" s="130" t="s">
        <v>74</v>
      </c>
      <c r="H38" s="116"/>
      <c r="I38" s="117"/>
      <c r="J38" s="37">
        <v>1.02</v>
      </c>
      <c r="K38" s="30"/>
      <c r="L38" s="115" t="s">
        <v>41</v>
      </c>
      <c r="M38" s="116"/>
      <c r="N38" s="117"/>
      <c r="O38" s="38">
        <f t="shared" si="5"/>
        <v>1.02</v>
      </c>
      <c r="P38" s="31"/>
      <c r="Q38" s="40" t="s">
        <v>42</v>
      </c>
      <c r="R38" s="48" t="s">
        <v>44</v>
      </c>
      <c r="S38" s="48" t="s">
        <v>58</v>
      </c>
      <c r="T38" s="34"/>
      <c r="U38" s="34"/>
      <c r="V38" s="34"/>
      <c r="X38" s="34"/>
      <c r="Y38" s="34"/>
      <c r="Z38" s="34"/>
      <c r="AA38" s="34"/>
      <c r="AB38" s="34"/>
      <c r="AC38" s="34"/>
      <c r="AD38" s="34"/>
    </row>
    <row r="39" spans="1:30" ht="39.950000000000003" customHeight="1">
      <c r="A39" s="7"/>
      <c r="B39" s="110" t="s">
        <v>40</v>
      </c>
      <c r="C39" s="111"/>
      <c r="D39" s="111"/>
      <c r="E39" s="85">
        <f t="shared" si="4"/>
        <v>13.05</v>
      </c>
      <c r="F39" s="31"/>
      <c r="G39" s="130" t="s">
        <v>78</v>
      </c>
      <c r="H39" s="116"/>
      <c r="I39" s="117"/>
      <c r="J39" s="37">
        <v>13.05</v>
      </c>
      <c r="K39" s="30"/>
      <c r="L39" s="115" t="s">
        <v>41</v>
      </c>
      <c r="M39" s="116"/>
      <c r="N39" s="117"/>
      <c r="O39" s="38">
        <f t="shared" si="5"/>
        <v>13.05</v>
      </c>
      <c r="P39" s="31"/>
      <c r="Q39" s="40" t="s">
        <v>42</v>
      </c>
      <c r="R39" s="48" t="s">
        <v>44</v>
      </c>
      <c r="S39" s="48" t="s">
        <v>58</v>
      </c>
      <c r="T39" s="34"/>
      <c r="U39" s="34"/>
      <c r="V39" s="34"/>
      <c r="X39" s="34"/>
      <c r="Y39" s="34"/>
      <c r="Z39" s="34"/>
      <c r="AA39" s="34"/>
      <c r="AB39" s="34"/>
      <c r="AC39" s="34"/>
      <c r="AD39" s="34"/>
    </row>
    <row r="40" spans="1:30" ht="39.950000000000003" customHeight="1">
      <c r="A40" s="7"/>
      <c r="B40" s="110" t="s">
        <v>40</v>
      </c>
      <c r="C40" s="111"/>
      <c r="D40" s="111"/>
      <c r="E40" s="85">
        <f t="shared" si="4"/>
        <v>1.17</v>
      </c>
      <c r="F40" s="31"/>
      <c r="G40" s="131" t="s">
        <v>73</v>
      </c>
      <c r="H40" s="119"/>
      <c r="I40" s="120"/>
      <c r="J40" s="37">
        <v>1.17</v>
      </c>
      <c r="K40" s="30"/>
      <c r="L40" s="115" t="s">
        <v>41</v>
      </c>
      <c r="M40" s="116"/>
      <c r="N40" s="117"/>
      <c r="O40" s="38">
        <f t="shared" si="5"/>
        <v>1.17</v>
      </c>
      <c r="P40" s="31"/>
      <c r="Q40" s="40" t="s">
        <v>42</v>
      </c>
      <c r="R40" s="48" t="s">
        <v>44</v>
      </c>
      <c r="S40" s="48" t="s">
        <v>50</v>
      </c>
      <c r="T40" s="34"/>
      <c r="U40" s="34"/>
      <c r="V40" s="34"/>
      <c r="X40" s="34"/>
      <c r="Y40" s="34"/>
      <c r="Z40" s="34"/>
      <c r="AA40" s="34"/>
      <c r="AB40" s="34"/>
      <c r="AC40" s="34"/>
      <c r="AD40" s="34"/>
    </row>
    <row r="41" spans="1:30" ht="39.950000000000003" customHeight="1">
      <c r="A41" s="7"/>
      <c r="B41" s="110" t="s">
        <v>40</v>
      </c>
      <c r="C41" s="111"/>
      <c r="D41" s="111"/>
      <c r="E41" s="85">
        <f t="shared" si="4"/>
        <v>3.32</v>
      </c>
      <c r="F41" s="31"/>
      <c r="G41" s="130" t="s">
        <v>74</v>
      </c>
      <c r="H41" s="116"/>
      <c r="I41" s="117"/>
      <c r="J41" s="37">
        <v>3.32</v>
      </c>
      <c r="K41" s="30"/>
      <c r="L41" s="115" t="s">
        <v>41</v>
      </c>
      <c r="M41" s="116"/>
      <c r="N41" s="117"/>
      <c r="O41" s="38">
        <f t="shared" si="5"/>
        <v>3.32</v>
      </c>
      <c r="P41" s="31"/>
      <c r="Q41" s="40" t="s">
        <v>42</v>
      </c>
      <c r="R41" s="48" t="s">
        <v>44</v>
      </c>
      <c r="S41" s="48" t="s">
        <v>58</v>
      </c>
      <c r="T41" s="34"/>
      <c r="U41" s="34"/>
      <c r="V41" s="34"/>
      <c r="X41" s="34"/>
      <c r="Y41" s="34"/>
      <c r="Z41" s="34"/>
      <c r="AA41" s="34"/>
      <c r="AB41" s="34"/>
      <c r="AC41" s="34"/>
      <c r="AD41" s="34"/>
    </row>
    <row r="42" spans="1:30" ht="39.950000000000003" customHeight="1">
      <c r="A42" s="7"/>
      <c r="B42" s="110" t="s">
        <v>40</v>
      </c>
      <c r="C42" s="111"/>
      <c r="D42" s="111"/>
      <c r="E42" s="85">
        <f t="shared" si="4"/>
        <v>3.21</v>
      </c>
      <c r="F42" s="31"/>
      <c r="G42" s="130" t="s">
        <v>75</v>
      </c>
      <c r="H42" s="116"/>
      <c r="I42" s="117"/>
      <c r="J42" s="37">
        <v>3.21</v>
      </c>
      <c r="K42" s="30"/>
      <c r="L42" s="115" t="s">
        <v>76</v>
      </c>
      <c r="M42" s="116"/>
      <c r="N42" s="117"/>
      <c r="O42" s="38">
        <f t="shared" si="5"/>
        <v>3.21</v>
      </c>
      <c r="P42" s="31"/>
      <c r="Q42" s="40" t="s">
        <v>42</v>
      </c>
      <c r="R42" s="48" t="s">
        <v>44</v>
      </c>
      <c r="S42" s="48" t="s">
        <v>58</v>
      </c>
      <c r="T42" s="34"/>
      <c r="U42" s="34"/>
      <c r="V42" s="34"/>
      <c r="X42" s="34"/>
      <c r="Y42" s="34"/>
      <c r="Z42" s="34"/>
      <c r="AA42" s="34"/>
      <c r="AB42" s="34"/>
      <c r="AC42" s="34"/>
      <c r="AD42" s="34"/>
    </row>
    <row r="43" spans="1:30" ht="39.950000000000003" customHeight="1">
      <c r="A43" s="7"/>
      <c r="B43" s="110" t="s">
        <v>40</v>
      </c>
      <c r="C43" s="111"/>
      <c r="D43" s="111"/>
      <c r="E43" s="85">
        <f t="shared" si="4"/>
        <v>2.1</v>
      </c>
      <c r="F43" s="31"/>
      <c r="G43" s="130" t="s">
        <v>79</v>
      </c>
      <c r="H43" s="116"/>
      <c r="I43" s="117"/>
      <c r="J43" s="37">
        <v>2.1</v>
      </c>
      <c r="K43" s="32"/>
      <c r="L43" s="115" t="s">
        <v>76</v>
      </c>
      <c r="M43" s="116"/>
      <c r="N43" s="117"/>
      <c r="O43" s="38">
        <f t="shared" si="5"/>
        <v>2.1</v>
      </c>
      <c r="P43" s="32"/>
      <c r="Q43" s="40" t="s">
        <v>80</v>
      </c>
      <c r="R43" s="48" t="s">
        <v>44</v>
      </c>
      <c r="S43" s="48" t="s">
        <v>58</v>
      </c>
      <c r="T43" s="34"/>
      <c r="U43" s="34"/>
      <c r="V43" s="34"/>
      <c r="X43" s="34"/>
      <c r="Y43" s="34"/>
      <c r="Z43" s="34"/>
      <c r="AA43" s="34"/>
      <c r="AB43" s="34"/>
      <c r="AC43" s="34"/>
      <c r="AD43" s="34"/>
    </row>
    <row r="44" spans="1:30" ht="39.950000000000003" customHeight="1">
      <c r="A44" s="7"/>
      <c r="B44" s="110" t="s">
        <v>40</v>
      </c>
      <c r="C44" s="111"/>
      <c r="D44" s="111"/>
      <c r="E44" s="85">
        <f t="shared" si="4"/>
        <v>56.81</v>
      </c>
      <c r="F44" s="31"/>
      <c r="G44" s="130" t="s">
        <v>81</v>
      </c>
      <c r="H44" s="116"/>
      <c r="I44" s="117"/>
      <c r="J44" s="37">
        <v>56.81</v>
      </c>
      <c r="K44" s="32"/>
      <c r="L44" s="115" t="s">
        <v>76</v>
      </c>
      <c r="M44" s="116"/>
      <c r="N44" s="117"/>
      <c r="O44" s="38">
        <f t="shared" si="5"/>
        <v>56.81</v>
      </c>
      <c r="P44" s="32"/>
      <c r="Q44" s="40" t="s">
        <v>80</v>
      </c>
      <c r="R44" s="48" t="s">
        <v>44</v>
      </c>
      <c r="S44" s="48" t="s">
        <v>58</v>
      </c>
      <c r="T44" s="34"/>
      <c r="U44" s="34"/>
      <c r="V44" s="34"/>
      <c r="X44" s="34"/>
      <c r="Y44" s="34"/>
      <c r="Z44" s="34"/>
      <c r="AA44" s="34"/>
      <c r="AB44" s="34"/>
      <c r="AC44" s="34"/>
      <c r="AD44" s="34"/>
    </row>
    <row r="45" spans="1:30" ht="39.950000000000003" customHeight="1">
      <c r="A45" s="7"/>
      <c r="B45" s="110" t="s">
        <v>40</v>
      </c>
      <c r="C45" s="111"/>
      <c r="D45" s="111"/>
      <c r="E45" s="85">
        <f t="shared" si="4"/>
        <v>2.0099999999999998</v>
      </c>
      <c r="F45" s="31"/>
      <c r="G45" s="131" t="s">
        <v>82</v>
      </c>
      <c r="H45" s="119"/>
      <c r="I45" s="120"/>
      <c r="J45" s="37">
        <v>2.0099999999999998</v>
      </c>
      <c r="K45" s="30"/>
      <c r="L45" s="115" t="s">
        <v>76</v>
      </c>
      <c r="M45" s="116"/>
      <c r="N45" s="117"/>
      <c r="O45" s="38">
        <f t="shared" si="5"/>
        <v>2.0099999999999998</v>
      </c>
      <c r="P45" s="31"/>
      <c r="Q45" s="40" t="s">
        <v>42</v>
      </c>
      <c r="R45" s="48" t="s">
        <v>44</v>
      </c>
      <c r="S45" s="48" t="s">
        <v>46</v>
      </c>
      <c r="T45" s="93">
        <f>SUM(O45:O47)</f>
        <v>7.24</v>
      </c>
      <c r="U45" s="34"/>
      <c r="V45" s="34"/>
      <c r="X45" s="34"/>
      <c r="Y45" s="34"/>
      <c r="Z45" s="34"/>
      <c r="AA45" s="34"/>
      <c r="AB45" s="34"/>
      <c r="AC45" s="34"/>
      <c r="AD45" s="34"/>
    </row>
    <row r="46" spans="1:30" ht="39.950000000000003" customHeight="1">
      <c r="A46" s="7"/>
      <c r="B46" s="110" t="s">
        <v>40</v>
      </c>
      <c r="C46" s="111"/>
      <c r="D46" s="111"/>
      <c r="E46" s="85">
        <f t="shared" si="4"/>
        <v>3.08</v>
      </c>
      <c r="F46" s="31"/>
      <c r="G46" s="130" t="s">
        <v>66</v>
      </c>
      <c r="H46" s="116"/>
      <c r="I46" s="117"/>
      <c r="J46" s="37">
        <v>3.08</v>
      </c>
      <c r="K46" s="30"/>
      <c r="L46" s="115" t="s">
        <v>76</v>
      </c>
      <c r="M46" s="116"/>
      <c r="N46" s="117"/>
      <c r="O46" s="38">
        <f t="shared" si="5"/>
        <v>3.08</v>
      </c>
      <c r="P46" s="31"/>
      <c r="Q46" s="40" t="s">
        <v>42</v>
      </c>
      <c r="R46" s="48" t="s">
        <v>44</v>
      </c>
      <c r="S46" s="48" t="s">
        <v>67</v>
      </c>
      <c r="T46" s="34"/>
      <c r="U46" s="34"/>
      <c r="V46" s="34"/>
      <c r="X46" s="34"/>
      <c r="Y46" s="34"/>
      <c r="Z46" s="34"/>
      <c r="AA46" s="34"/>
      <c r="AB46" s="34"/>
      <c r="AC46" s="34"/>
      <c r="AD46" s="34"/>
    </row>
    <row r="47" spans="1:30" ht="39.950000000000003" customHeight="1">
      <c r="A47" s="7"/>
      <c r="B47" s="110" t="s">
        <v>40</v>
      </c>
      <c r="C47" s="111"/>
      <c r="D47" s="111"/>
      <c r="E47" s="85">
        <f t="shared" si="4"/>
        <v>2.15</v>
      </c>
      <c r="F47" s="31"/>
      <c r="G47" s="131" t="s">
        <v>68</v>
      </c>
      <c r="H47" s="119"/>
      <c r="I47" s="120"/>
      <c r="J47" s="37">
        <v>2.15</v>
      </c>
      <c r="K47" s="30"/>
      <c r="L47" s="115" t="s">
        <v>76</v>
      </c>
      <c r="M47" s="116"/>
      <c r="N47" s="117"/>
      <c r="O47" s="38">
        <f t="shared" si="5"/>
        <v>2.15</v>
      </c>
      <c r="P47" s="31"/>
      <c r="Q47" s="40" t="s">
        <v>42</v>
      </c>
      <c r="R47" s="48" t="s">
        <v>44</v>
      </c>
      <c r="S47" s="48" t="s">
        <v>50</v>
      </c>
      <c r="T47" s="34"/>
      <c r="U47" s="34"/>
      <c r="V47" s="34"/>
      <c r="X47" s="34"/>
      <c r="Y47" s="34"/>
      <c r="Z47" s="34"/>
      <c r="AA47" s="34"/>
      <c r="AB47" s="34"/>
      <c r="AC47" s="34"/>
      <c r="AD47" s="34"/>
    </row>
    <row r="48" spans="1:30" ht="39.950000000000003" customHeight="1">
      <c r="A48" s="7"/>
      <c r="B48" s="110" t="s">
        <v>40</v>
      </c>
      <c r="C48" s="111"/>
      <c r="D48" s="111"/>
      <c r="E48" s="85">
        <f t="shared" si="4"/>
        <v>16.149999999999999</v>
      </c>
      <c r="F48" s="31"/>
      <c r="G48" s="130" t="s">
        <v>79</v>
      </c>
      <c r="H48" s="116"/>
      <c r="I48" s="117"/>
      <c r="J48" s="37">
        <v>16.149999999999999</v>
      </c>
      <c r="K48" s="32"/>
      <c r="L48" s="115" t="s">
        <v>76</v>
      </c>
      <c r="M48" s="116"/>
      <c r="N48" s="117"/>
      <c r="O48" s="38">
        <f t="shared" si="5"/>
        <v>16.149999999999999</v>
      </c>
      <c r="P48" s="32"/>
      <c r="Q48" s="40" t="s">
        <v>80</v>
      </c>
      <c r="R48" s="48" t="s">
        <v>44</v>
      </c>
      <c r="S48" s="48" t="s">
        <v>58</v>
      </c>
      <c r="T48" s="34"/>
      <c r="U48" s="34"/>
      <c r="V48" s="34"/>
      <c r="X48" s="34"/>
      <c r="Y48" s="34"/>
      <c r="Z48" s="34"/>
      <c r="AA48" s="34"/>
      <c r="AB48" s="34"/>
      <c r="AC48" s="34"/>
      <c r="AD48" s="34"/>
    </row>
    <row r="49" spans="1:30" ht="39.950000000000003" customHeight="1">
      <c r="A49" s="7"/>
      <c r="B49" s="110" t="s">
        <v>40</v>
      </c>
      <c r="C49" s="111"/>
      <c r="D49" s="111"/>
      <c r="E49" s="85">
        <f t="shared" si="4"/>
        <v>2.19</v>
      </c>
      <c r="F49" s="31"/>
      <c r="G49" s="130" t="s">
        <v>83</v>
      </c>
      <c r="H49" s="116"/>
      <c r="I49" s="117"/>
      <c r="J49" s="37">
        <v>2.19</v>
      </c>
      <c r="K49" s="31"/>
      <c r="L49" s="115" t="s">
        <v>76</v>
      </c>
      <c r="M49" s="116"/>
      <c r="N49" s="117"/>
      <c r="O49" s="38">
        <f t="shared" si="5"/>
        <v>2.19</v>
      </c>
      <c r="P49" s="30"/>
      <c r="Q49" s="40" t="s">
        <v>80</v>
      </c>
      <c r="R49" s="48" t="s">
        <v>44</v>
      </c>
      <c r="S49" s="48" t="s">
        <v>55</v>
      </c>
      <c r="T49" s="34"/>
      <c r="U49" s="34"/>
      <c r="V49" s="34"/>
      <c r="X49" s="34"/>
      <c r="Y49" s="34"/>
      <c r="Z49" s="34"/>
      <c r="AA49" s="34"/>
      <c r="AB49" s="34"/>
      <c r="AC49" s="34"/>
      <c r="AD49" s="34"/>
    </row>
    <row r="50" spans="1:30" ht="39.950000000000003" customHeight="1">
      <c r="A50" s="7"/>
      <c r="B50" s="110" t="s">
        <v>40</v>
      </c>
      <c r="C50" s="111"/>
      <c r="D50" s="111"/>
      <c r="E50" s="85">
        <f t="shared" si="4"/>
        <v>11</v>
      </c>
      <c r="F50" s="31"/>
      <c r="G50" s="130" t="s">
        <v>79</v>
      </c>
      <c r="H50" s="116"/>
      <c r="I50" s="117"/>
      <c r="J50" s="37">
        <v>11</v>
      </c>
      <c r="K50" s="32"/>
      <c r="L50" s="115" t="s">
        <v>76</v>
      </c>
      <c r="M50" s="116"/>
      <c r="N50" s="117"/>
      <c r="O50" s="38">
        <f t="shared" si="5"/>
        <v>11</v>
      </c>
      <c r="P50" s="32"/>
      <c r="Q50" s="40" t="s">
        <v>80</v>
      </c>
      <c r="R50" s="48" t="s">
        <v>44</v>
      </c>
      <c r="S50" s="48" t="s">
        <v>58</v>
      </c>
      <c r="T50" s="34"/>
      <c r="U50" s="34"/>
      <c r="V50" s="34"/>
      <c r="X50" s="34"/>
      <c r="Y50" s="34"/>
      <c r="Z50" s="34"/>
      <c r="AA50" s="34"/>
      <c r="AB50" s="34"/>
      <c r="AC50" s="34"/>
      <c r="AD50" s="34"/>
    </row>
    <row r="51" spans="1:30" ht="39.950000000000003" customHeight="1">
      <c r="A51" s="7"/>
      <c r="B51" s="110" t="s">
        <v>40</v>
      </c>
      <c r="C51" s="111"/>
      <c r="D51" s="111"/>
      <c r="E51" s="85">
        <f t="shared" si="4"/>
        <v>5.01</v>
      </c>
      <c r="F51" s="31"/>
      <c r="G51" s="130" t="s">
        <v>84</v>
      </c>
      <c r="H51" s="116"/>
      <c r="I51" s="117"/>
      <c r="J51" s="37">
        <v>5.01</v>
      </c>
      <c r="K51" s="31"/>
      <c r="L51" s="115" t="s">
        <v>76</v>
      </c>
      <c r="M51" s="116"/>
      <c r="N51" s="117"/>
      <c r="O51" s="38">
        <f t="shared" si="5"/>
        <v>5.01</v>
      </c>
      <c r="P51" s="30"/>
      <c r="Q51" s="40" t="s">
        <v>80</v>
      </c>
      <c r="R51" s="48" t="s">
        <v>44</v>
      </c>
      <c r="S51" s="48" t="s">
        <v>55</v>
      </c>
      <c r="T51" s="34"/>
      <c r="U51" s="34"/>
      <c r="V51" s="34"/>
      <c r="X51" s="34"/>
      <c r="Y51" s="34"/>
      <c r="Z51" s="34"/>
      <c r="AA51" s="34"/>
      <c r="AB51" s="34"/>
      <c r="AC51" s="34"/>
      <c r="AD51" s="34"/>
    </row>
    <row r="52" spans="1:30" ht="39.950000000000003" customHeight="1">
      <c r="A52" s="7"/>
      <c r="B52" s="110" t="s">
        <v>40</v>
      </c>
      <c r="C52" s="111"/>
      <c r="D52" s="111"/>
      <c r="E52" s="85">
        <f t="shared" si="4"/>
        <v>41.34</v>
      </c>
      <c r="F52" s="31"/>
      <c r="G52" s="130" t="s">
        <v>79</v>
      </c>
      <c r="H52" s="116"/>
      <c r="I52" s="117"/>
      <c r="J52" s="37">
        <v>41.34</v>
      </c>
      <c r="K52" s="32"/>
      <c r="L52" s="115" t="s">
        <v>76</v>
      </c>
      <c r="M52" s="116"/>
      <c r="N52" s="117"/>
      <c r="O52" s="38">
        <f t="shared" si="5"/>
        <v>41.34</v>
      </c>
      <c r="P52" s="32"/>
      <c r="Q52" s="40" t="s">
        <v>80</v>
      </c>
      <c r="R52" s="48" t="s">
        <v>44</v>
      </c>
      <c r="S52" s="48" t="s">
        <v>58</v>
      </c>
      <c r="T52" s="34"/>
      <c r="U52" s="34"/>
      <c r="V52" s="34"/>
      <c r="X52" s="34"/>
      <c r="Y52" s="34"/>
      <c r="Z52" s="34"/>
      <c r="AA52" s="34"/>
      <c r="AB52" s="34"/>
      <c r="AC52" s="34"/>
      <c r="AD52" s="34"/>
    </row>
    <row r="53" spans="1:30" ht="39.950000000000003" customHeight="1">
      <c r="A53" s="7"/>
      <c r="B53" s="110" t="s">
        <v>40</v>
      </c>
      <c r="C53" s="111"/>
      <c r="D53" s="111"/>
      <c r="E53" s="85">
        <f t="shared" si="4"/>
        <v>2.06</v>
      </c>
      <c r="F53" s="31"/>
      <c r="G53" s="130" t="s">
        <v>84</v>
      </c>
      <c r="H53" s="116"/>
      <c r="I53" s="117"/>
      <c r="J53" s="37">
        <v>2.06</v>
      </c>
      <c r="K53" s="31"/>
      <c r="L53" s="115" t="s">
        <v>76</v>
      </c>
      <c r="M53" s="116"/>
      <c r="N53" s="117"/>
      <c r="O53" s="38">
        <f t="shared" si="5"/>
        <v>2.06</v>
      </c>
      <c r="P53" s="30"/>
      <c r="Q53" s="40" t="s">
        <v>80</v>
      </c>
      <c r="R53" s="48" t="s">
        <v>44</v>
      </c>
      <c r="S53" s="48" t="s">
        <v>55</v>
      </c>
      <c r="T53" s="34"/>
      <c r="U53" s="34"/>
      <c r="V53" s="34"/>
      <c r="X53" s="34"/>
      <c r="Y53" s="34"/>
      <c r="Z53" s="34"/>
      <c r="AA53" s="34"/>
      <c r="AB53" s="34"/>
      <c r="AC53" s="34"/>
      <c r="AD53" s="34"/>
    </row>
    <row r="54" spans="1:30" ht="39.950000000000003" customHeight="1">
      <c r="A54" s="7"/>
      <c r="B54" s="110" t="s">
        <v>40</v>
      </c>
      <c r="C54" s="111"/>
      <c r="D54" s="111"/>
      <c r="E54" s="85">
        <f t="shared" si="4"/>
        <v>2.08</v>
      </c>
      <c r="F54" s="31"/>
      <c r="G54" s="133" t="s">
        <v>85</v>
      </c>
      <c r="H54" s="124"/>
      <c r="I54" s="125"/>
      <c r="J54" s="37">
        <v>2.08</v>
      </c>
      <c r="K54" s="30"/>
      <c r="L54" s="115" t="s">
        <v>76</v>
      </c>
      <c r="M54" s="116"/>
      <c r="N54" s="117"/>
      <c r="O54" s="38">
        <f t="shared" si="5"/>
        <v>2.08</v>
      </c>
      <c r="P54" s="31"/>
      <c r="Q54" s="40" t="s">
        <v>42</v>
      </c>
      <c r="R54" s="48" t="s">
        <v>44</v>
      </c>
      <c r="S54" s="48" t="s">
        <v>50</v>
      </c>
      <c r="T54" s="93">
        <f>O54</f>
        <v>2.08</v>
      </c>
      <c r="U54" s="34"/>
      <c r="V54" s="34"/>
      <c r="X54" s="34"/>
      <c r="Y54" s="34"/>
      <c r="Z54" s="34"/>
      <c r="AA54" s="34"/>
      <c r="AB54" s="34"/>
      <c r="AC54" s="34"/>
      <c r="AD54" s="34"/>
    </row>
    <row r="55" spans="1:30" ht="39.950000000000003" customHeight="1">
      <c r="A55" s="7"/>
      <c r="B55" s="110" t="s">
        <v>40</v>
      </c>
      <c r="C55" s="111"/>
      <c r="D55" s="111"/>
      <c r="E55" s="85">
        <f t="shared" si="4"/>
        <v>7.09</v>
      </c>
      <c r="F55" s="31"/>
      <c r="G55" s="130" t="s">
        <v>84</v>
      </c>
      <c r="H55" s="116"/>
      <c r="I55" s="117"/>
      <c r="J55" s="37">
        <v>7.09</v>
      </c>
      <c r="K55" s="31"/>
      <c r="L55" s="115" t="s">
        <v>76</v>
      </c>
      <c r="M55" s="116"/>
      <c r="N55" s="117"/>
      <c r="O55" s="38">
        <f t="shared" si="5"/>
        <v>7.09</v>
      </c>
      <c r="P55" s="30"/>
      <c r="Q55" s="40" t="s">
        <v>80</v>
      </c>
      <c r="R55" s="48" t="s">
        <v>44</v>
      </c>
      <c r="S55" s="48" t="s">
        <v>55</v>
      </c>
      <c r="T55" s="34"/>
      <c r="U55" s="34"/>
      <c r="V55" s="34"/>
      <c r="X55" s="34"/>
      <c r="Y55" s="34"/>
      <c r="Z55" s="34"/>
      <c r="AA55" s="34"/>
      <c r="AB55" s="34"/>
      <c r="AC55" s="34"/>
      <c r="AD55" s="34"/>
    </row>
    <row r="56" spans="1:30" ht="39.950000000000003" customHeight="1">
      <c r="A56" s="7"/>
      <c r="B56" s="110" t="s">
        <v>40</v>
      </c>
      <c r="C56" s="111"/>
      <c r="D56" s="111"/>
      <c r="E56" s="85">
        <f t="shared" si="4"/>
        <v>8.08</v>
      </c>
      <c r="F56" s="31"/>
      <c r="G56" s="130" t="s">
        <v>86</v>
      </c>
      <c r="H56" s="116"/>
      <c r="I56" s="117"/>
      <c r="J56" s="37">
        <v>8.08</v>
      </c>
      <c r="K56" s="30"/>
      <c r="L56" s="115" t="s">
        <v>76</v>
      </c>
      <c r="M56" s="116"/>
      <c r="N56" s="117"/>
      <c r="O56" s="38">
        <f t="shared" si="5"/>
        <v>8.08</v>
      </c>
      <c r="P56" s="32"/>
      <c r="Q56" s="40" t="s">
        <v>80</v>
      </c>
      <c r="R56" s="48" t="s">
        <v>44</v>
      </c>
      <c r="S56" s="48" t="s">
        <v>46</v>
      </c>
      <c r="T56" s="34"/>
      <c r="U56" s="34"/>
      <c r="V56" s="34"/>
      <c r="X56" s="34"/>
      <c r="Y56" s="34"/>
      <c r="Z56" s="34"/>
      <c r="AA56" s="34"/>
      <c r="AB56" s="34"/>
      <c r="AC56" s="34"/>
      <c r="AD56" s="34"/>
    </row>
    <row r="57" spans="1:30" ht="39.950000000000003" customHeight="1">
      <c r="A57" s="7"/>
      <c r="B57" s="110" t="s">
        <v>40</v>
      </c>
      <c r="C57" s="111"/>
      <c r="D57" s="111"/>
      <c r="E57" s="85">
        <f t="shared" si="4"/>
        <v>13.15</v>
      </c>
      <c r="F57" s="31"/>
      <c r="G57" s="130" t="s">
        <v>87</v>
      </c>
      <c r="H57" s="116"/>
      <c r="I57" s="117"/>
      <c r="J57" s="37">
        <v>13.15</v>
      </c>
      <c r="K57" s="31"/>
      <c r="L57" s="115" t="s">
        <v>76</v>
      </c>
      <c r="M57" s="116"/>
      <c r="N57" s="117"/>
      <c r="O57" s="38">
        <f t="shared" si="5"/>
        <v>13.15</v>
      </c>
      <c r="P57" s="30"/>
      <c r="Q57" s="40" t="s">
        <v>80</v>
      </c>
      <c r="R57" s="48" t="s">
        <v>44</v>
      </c>
      <c r="S57" s="48" t="s">
        <v>58</v>
      </c>
      <c r="T57" s="34"/>
      <c r="U57" s="34"/>
      <c r="V57" s="34"/>
      <c r="X57" s="34"/>
      <c r="Y57" s="34"/>
      <c r="Z57" s="34"/>
      <c r="AA57" s="34"/>
      <c r="AB57" s="34"/>
      <c r="AC57" s="34"/>
      <c r="AD57" s="34"/>
    </row>
    <row r="58" spans="1:30" ht="39.950000000000003" customHeight="1">
      <c r="A58" s="7"/>
      <c r="B58" s="110" t="s">
        <v>40</v>
      </c>
      <c r="C58" s="111"/>
      <c r="D58" s="111"/>
      <c r="E58" s="85">
        <f t="shared" si="4"/>
        <v>2.11</v>
      </c>
      <c r="F58" s="31"/>
      <c r="G58" s="130" t="s">
        <v>79</v>
      </c>
      <c r="H58" s="116"/>
      <c r="I58" s="117"/>
      <c r="J58" s="37">
        <v>2.11</v>
      </c>
      <c r="K58" s="32"/>
      <c r="L58" s="115" t="s">
        <v>76</v>
      </c>
      <c r="M58" s="116"/>
      <c r="N58" s="117"/>
      <c r="O58" s="38">
        <f t="shared" si="5"/>
        <v>2.11</v>
      </c>
      <c r="P58" s="32"/>
      <c r="Q58" s="40" t="s">
        <v>80</v>
      </c>
      <c r="R58" s="48" t="s">
        <v>44</v>
      </c>
      <c r="S58" s="48" t="s">
        <v>58</v>
      </c>
      <c r="T58" s="34"/>
      <c r="U58" s="34"/>
      <c r="V58" s="34"/>
      <c r="X58" s="34"/>
      <c r="Y58" s="34"/>
      <c r="Z58" s="34"/>
      <c r="AA58" s="34"/>
      <c r="AB58" s="34"/>
      <c r="AC58" s="34"/>
      <c r="AD58" s="34"/>
    </row>
    <row r="59" spans="1:30" ht="39.950000000000003" customHeight="1">
      <c r="A59" s="7"/>
      <c r="B59" s="110" t="s">
        <v>40</v>
      </c>
      <c r="C59" s="111"/>
      <c r="D59" s="111"/>
      <c r="E59" s="85">
        <f t="shared" si="4"/>
        <v>0.21</v>
      </c>
      <c r="F59" s="31"/>
      <c r="G59" s="130" t="s">
        <v>77</v>
      </c>
      <c r="H59" s="116"/>
      <c r="I59" s="117"/>
      <c r="J59" s="37">
        <v>0.21</v>
      </c>
      <c r="K59" s="30"/>
      <c r="L59" s="115" t="s">
        <v>41</v>
      </c>
      <c r="M59" s="116"/>
      <c r="N59" s="117"/>
      <c r="O59" s="38">
        <f t="shared" si="5"/>
        <v>0.21</v>
      </c>
      <c r="P59" s="31"/>
      <c r="Q59" s="40" t="s">
        <v>42</v>
      </c>
      <c r="R59" s="48" t="s">
        <v>44</v>
      </c>
      <c r="S59" s="48" t="s">
        <v>58</v>
      </c>
      <c r="T59" s="93">
        <f>SUM(O59:O64)</f>
        <v>12.690000000000001</v>
      </c>
      <c r="U59" s="34"/>
      <c r="V59" s="34"/>
      <c r="X59" s="34"/>
      <c r="Y59" s="34"/>
      <c r="Z59" s="34"/>
      <c r="AA59" s="34"/>
      <c r="AB59" s="34"/>
      <c r="AC59" s="34"/>
      <c r="AD59" s="34"/>
    </row>
    <row r="60" spans="1:30" ht="39.950000000000003" customHeight="1">
      <c r="A60" s="7"/>
      <c r="B60" s="110" t="s">
        <v>40</v>
      </c>
      <c r="C60" s="111"/>
      <c r="D60" s="111"/>
      <c r="E60" s="85">
        <f t="shared" si="4"/>
        <v>0.19</v>
      </c>
      <c r="F60" s="31"/>
      <c r="G60" s="131" t="s">
        <v>60</v>
      </c>
      <c r="H60" s="119"/>
      <c r="I60" s="120"/>
      <c r="J60" s="37">
        <v>0.19</v>
      </c>
      <c r="K60" s="30"/>
      <c r="L60" s="115" t="s">
        <v>41</v>
      </c>
      <c r="M60" s="116"/>
      <c r="N60" s="117"/>
      <c r="O60" s="38">
        <f t="shared" si="5"/>
        <v>0.19</v>
      </c>
      <c r="P60" s="31"/>
      <c r="Q60" s="40" t="s">
        <v>42</v>
      </c>
      <c r="R60" s="48" t="s">
        <v>44</v>
      </c>
      <c r="S60" s="48" t="s">
        <v>46</v>
      </c>
      <c r="T60" s="34"/>
      <c r="U60" s="34"/>
      <c r="V60" s="34"/>
      <c r="X60" s="34"/>
      <c r="Y60" s="34"/>
      <c r="Z60" s="34"/>
      <c r="AA60" s="34"/>
      <c r="AB60" s="34"/>
      <c r="AC60" s="34"/>
      <c r="AD60" s="34"/>
    </row>
    <row r="61" spans="1:30" ht="39.950000000000003" customHeight="1">
      <c r="A61" s="7"/>
      <c r="B61" s="110" t="s">
        <v>40</v>
      </c>
      <c r="C61" s="111"/>
      <c r="D61" s="111"/>
      <c r="E61" s="85">
        <f t="shared" si="4"/>
        <v>3.22</v>
      </c>
      <c r="F61" s="31"/>
      <c r="G61" s="130" t="s">
        <v>88</v>
      </c>
      <c r="H61" s="116"/>
      <c r="I61" s="117"/>
      <c r="J61" s="37">
        <v>3.22</v>
      </c>
      <c r="K61" s="30"/>
      <c r="L61" s="115" t="s">
        <v>41</v>
      </c>
      <c r="M61" s="116"/>
      <c r="N61" s="117"/>
      <c r="O61" s="38">
        <f t="shared" si="5"/>
        <v>3.22</v>
      </c>
      <c r="P61" s="31"/>
      <c r="Q61" s="40" t="s">
        <v>42</v>
      </c>
      <c r="R61" s="48" t="s">
        <v>44</v>
      </c>
      <c r="S61" s="48" t="s">
        <v>58</v>
      </c>
      <c r="T61" s="34"/>
      <c r="U61" s="34"/>
      <c r="V61" s="34"/>
      <c r="X61" s="34"/>
      <c r="Y61" s="34"/>
      <c r="Z61" s="34"/>
      <c r="AA61" s="34"/>
      <c r="AB61" s="34"/>
      <c r="AC61" s="34"/>
      <c r="AD61" s="34"/>
    </row>
    <row r="62" spans="1:30" ht="39.950000000000003" customHeight="1">
      <c r="A62" s="7"/>
      <c r="B62" s="110" t="s">
        <v>40</v>
      </c>
      <c r="C62" s="111"/>
      <c r="D62" s="111"/>
      <c r="E62" s="85">
        <f t="shared" si="4"/>
        <v>4.01</v>
      </c>
      <c r="F62" s="31"/>
      <c r="G62" s="130" t="s">
        <v>89</v>
      </c>
      <c r="H62" s="116"/>
      <c r="I62" s="117"/>
      <c r="J62" s="37">
        <v>4.01</v>
      </c>
      <c r="K62" s="30"/>
      <c r="L62" s="115" t="s">
        <v>41</v>
      </c>
      <c r="M62" s="116"/>
      <c r="N62" s="117"/>
      <c r="O62" s="38">
        <f t="shared" si="5"/>
        <v>4.01</v>
      </c>
      <c r="P62" s="31"/>
      <c r="Q62" s="40" t="s">
        <v>42</v>
      </c>
      <c r="R62" s="48" t="s">
        <v>44</v>
      </c>
      <c r="S62" s="48" t="s">
        <v>55</v>
      </c>
      <c r="T62" s="34"/>
      <c r="U62" s="34"/>
      <c r="V62" s="34"/>
      <c r="X62" s="34"/>
      <c r="Y62" s="34"/>
      <c r="Z62" s="34"/>
      <c r="AA62" s="34"/>
      <c r="AB62" s="34"/>
      <c r="AC62" s="34"/>
      <c r="AD62" s="34"/>
    </row>
    <row r="63" spans="1:30" ht="39.950000000000003" customHeight="1">
      <c r="A63" s="7"/>
      <c r="B63" s="110" t="s">
        <v>40</v>
      </c>
      <c r="C63" s="111"/>
      <c r="D63" s="111"/>
      <c r="E63" s="85">
        <f t="shared" si="4"/>
        <v>1.02</v>
      </c>
      <c r="F63" s="31"/>
      <c r="G63" s="131" t="s">
        <v>73</v>
      </c>
      <c r="H63" s="119"/>
      <c r="I63" s="120"/>
      <c r="J63" s="37">
        <v>1.02</v>
      </c>
      <c r="K63" s="30"/>
      <c r="L63" s="115" t="s">
        <v>41</v>
      </c>
      <c r="M63" s="116"/>
      <c r="N63" s="117"/>
      <c r="O63" s="38">
        <f t="shared" si="5"/>
        <v>1.02</v>
      </c>
      <c r="P63" s="31"/>
      <c r="Q63" s="40" t="s">
        <v>42</v>
      </c>
      <c r="R63" s="48" t="s">
        <v>44</v>
      </c>
      <c r="S63" s="48" t="s">
        <v>50</v>
      </c>
      <c r="T63" s="34"/>
      <c r="U63" s="34"/>
      <c r="V63" s="34"/>
      <c r="X63" s="34"/>
      <c r="Y63" s="34"/>
      <c r="Z63" s="34"/>
      <c r="AA63" s="34"/>
      <c r="AB63" s="34"/>
      <c r="AC63" s="34"/>
      <c r="AD63" s="34"/>
    </row>
    <row r="64" spans="1:30" ht="39.950000000000003" customHeight="1">
      <c r="A64" s="7"/>
      <c r="B64" s="110" t="s">
        <v>40</v>
      </c>
      <c r="C64" s="111"/>
      <c r="D64" s="111"/>
      <c r="E64" s="85">
        <f t="shared" si="4"/>
        <v>4.04</v>
      </c>
      <c r="F64" s="31"/>
      <c r="G64" s="130" t="s">
        <v>75</v>
      </c>
      <c r="H64" s="116"/>
      <c r="I64" s="117"/>
      <c r="J64" s="37">
        <v>4.04</v>
      </c>
      <c r="K64" s="30"/>
      <c r="L64" s="115" t="s">
        <v>76</v>
      </c>
      <c r="M64" s="116"/>
      <c r="N64" s="117"/>
      <c r="O64" s="38">
        <f t="shared" si="5"/>
        <v>4.04</v>
      </c>
      <c r="P64" s="31"/>
      <c r="Q64" s="40" t="s">
        <v>42</v>
      </c>
      <c r="R64" s="48" t="s">
        <v>44</v>
      </c>
      <c r="S64" s="48" t="s">
        <v>58</v>
      </c>
      <c r="T64" s="34"/>
      <c r="U64" s="34"/>
      <c r="V64" s="34"/>
      <c r="X64" s="34"/>
      <c r="Y64" s="34"/>
      <c r="Z64" s="34"/>
      <c r="AA64" s="34"/>
      <c r="AB64" s="34"/>
      <c r="AC64" s="34"/>
      <c r="AD64" s="34"/>
    </row>
    <row r="65" spans="1:30" ht="39.950000000000003" customHeight="1">
      <c r="A65" s="7"/>
      <c r="B65" s="110" t="s">
        <v>40</v>
      </c>
      <c r="C65" s="111"/>
      <c r="D65" s="111"/>
      <c r="E65" s="85">
        <f t="shared" si="4"/>
        <v>15.07</v>
      </c>
      <c r="F65" s="31"/>
      <c r="G65" s="130" t="s">
        <v>90</v>
      </c>
      <c r="H65" s="116"/>
      <c r="I65" s="117"/>
      <c r="J65" s="37">
        <v>15.07</v>
      </c>
      <c r="K65" s="32"/>
      <c r="L65" s="115" t="s">
        <v>76</v>
      </c>
      <c r="M65" s="116"/>
      <c r="N65" s="117"/>
      <c r="O65" s="38">
        <f t="shared" si="5"/>
        <v>15.07</v>
      </c>
      <c r="P65" s="32"/>
      <c r="Q65" s="40" t="s">
        <v>80</v>
      </c>
      <c r="R65" s="48" t="s">
        <v>44</v>
      </c>
      <c r="S65" s="48" t="s">
        <v>58</v>
      </c>
      <c r="T65" s="34"/>
      <c r="U65" s="34"/>
      <c r="V65" s="34"/>
      <c r="X65" s="34"/>
      <c r="Y65" s="34"/>
      <c r="Z65" s="34"/>
      <c r="AA65" s="34"/>
      <c r="AB65" s="34"/>
      <c r="AC65" s="34"/>
      <c r="AD65" s="34"/>
    </row>
    <row r="66" spans="1:30" ht="39.950000000000003" customHeight="1">
      <c r="A66" s="7"/>
      <c r="B66" s="110" t="s">
        <v>40</v>
      </c>
      <c r="C66" s="111"/>
      <c r="D66" s="111"/>
      <c r="E66" s="85">
        <f t="shared" si="4"/>
        <v>32.229999999999997</v>
      </c>
      <c r="F66" s="31"/>
      <c r="G66" s="130" t="s">
        <v>91</v>
      </c>
      <c r="H66" s="116"/>
      <c r="I66" s="117"/>
      <c r="J66" s="37">
        <v>32.229999999999997</v>
      </c>
      <c r="K66" s="31"/>
      <c r="L66" s="115" t="s">
        <v>76</v>
      </c>
      <c r="M66" s="116"/>
      <c r="N66" s="117"/>
      <c r="O66" s="38">
        <f t="shared" si="5"/>
        <v>32.229999999999997</v>
      </c>
      <c r="P66" s="30"/>
      <c r="Q66" s="40" t="s">
        <v>80</v>
      </c>
      <c r="R66" s="48" t="s">
        <v>44</v>
      </c>
      <c r="S66" s="48" t="s">
        <v>55</v>
      </c>
      <c r="T66" s="34"/>
      <c r="U66" s="34"/>
      <c r="V66" s="34"/>
      <c r="X66" s="34"/>
      <c r="Y66" s="34"/>
      <c r="Z66" s="34"/>
      <c r="AA66" s="34"/>
      <c r="AB66" s="34"/>
      <c r="AC66" s="34"/>
      <c r="AD66" s="34"/>
    </row>
    <row r="67" spans="1:30" ht="39.950000000000003" customHeight="1">
      <c r="A67" s="7"/>
      <c r="B67" s="110" t="s">
        <v>40</v>
      </c>
      <c r="C67" s="111"/>
      <c r="D67" s="111"/>
      <c r="E67" s="85">
        <f t="shared" si="4"/>
        <v>9.19</v>
      </c>
      <c r="F67" s="31"/>
      <c r="G67" s="130" t="s">
        <v>79</v>
      </c>
      <c r="H67" s="116"/>
      <c r="I67" s="117"/>
      <c r="J67" s="37">
        <v>9.19</v>
      </c>
      <c r="K67" s="32"/>
      <c r="L67" s="115" t="s">
        <v>76</v>
      </c>
      <c r="M67" s="116"/>
      <c r="N67" s="117"/>
      <c r="O67" s="38">
        <f t="shared" si="5"/>
        <v>9.19</v>
      </c>
      <c r="P67" s="32"/>
      <c r="Q67" s="40" t="s">
        <v>80</v>
      </c>
      <c r="R67" s="48" t="s">
        <v>44</v>
      </c>
      <c r="S67" s="48" t="s">
        <v>58</v>
      </c>
      <c r="T67" s="34"/>
      <c r="U67" s="34"/>
      <c r="V67" s="34"/>
      <c r="X67" s="34"/>
      <c r="Y67" s="34"/>
      <c r="Z67" s="34"/>
      <c r="AA67" s="34"/>
      <c r="AB67" s="34"/>
      <c r="AC67" s="34"/>
      <c r="AD67" s="34"/>
    </row>
    <row r="68" spans="1:30" ht="39.950000000000003" customHeight="1">
      <c r="A68" s="7"/>
      <c r="B68" s="110" t="s">
        <v>40</v>
      </c>
      <c r="C68" s="111"/>
      <c r="D68" s="111"/>
      <c r="E68" s="85">
        <f t="shared" si="4"/>
        <v>1.1100000000000001</v>
      </c>
      <c r="F68" s="31"/>
      <c r="G68" s="131" t="s">
        <v>92</v>
      </c>
      <c r="H68" s="119"/>
      <c r="I68" s="120"/>
      <c r="J68" s="37">
        <v>1.1100000000000001</v>
      </c>
      <c r="K68" s="30"/>
      <c r="L68" s="115" t="s">
        <v>76</v>
      </c>
      <c r="M68" s="116"/>
      <c r="N68" s="117"/>
      <c r="O68" s="38">
        <f t="shared" si="5"/>
        <v>1.1100000000000001</v>
      </c>
      <c r="P68" s="31"/>
      <c r="Q68" s="40" t="s">
        <v>42</v>
      </c>
      <c r="R68" s="48" t="s">
        <v>44</v>
      </c>
      <c r="S68" s="48" t="s">
        <v>46</v>
      </c>
      <c r="T68" s="93">
        <f>SUM(O68:O70)</f>
        <v>9.24</v>
      </c>
      <c r="U68" s="34"/>
      <c r="V68" s="34"/>
      <c r="X68" s="34"/>
      <c r="Y68" s="34"/>
      <c r="Z68" s="34"/>
      <c r="AA68" s="34"/>
      <c r="AB68" s="34"/>
      <c r="AC68" s="34"/>
      <c r="AD68" s="34"/>
    </row>
    <row r="69" spans="1:30" ht="39.950000000000003" customHeight="1">
      <c r="A69" s="7"/>
      <c r="B69" s="110" t="s">
        <v>40</v>
      </c>
      <c r="C69" s="111"/>
      <c r="D69" s="111"/>
      <c r="E69" s="85">
        <f t="shared" si="4"/>
        <v>3.13</v>
      </c>
      <c r="F69" s="31"/>
      <c r="G69" s="130" t="s">
        <v>93</v>
      </c>
      <c r="H69" s="116"/>
      <c r="I69" s="117"/>
      <c r="J69" s="37">
        <v>3.13</v>
      </c>
      <c r="K69" s="30"/>
      <c r="L69" s="115" t="s">
        <v>76</v>
      </c>
      <c r="M69" s="116"/>
      <c r="N69" s="117"/>
      <c r="O69" s="38">
        <f t="shared" si="5"/>
        <v>3.13</v>
      </c>
      <c r="P69" s="31"/>
      <c r="Q69" s="40" t="s">
        <v>42</v>
      </c>
      <c r="R69" s="48" t="s">
        <v>44</v>
      </c>
      <c r="S69" s="48" t="s">
        <v>67</v>
      </c>
      <c r="T69" s="34"/>
      <c r="U69" s="34"/>
      <c r="V69" s="34"/>
      <c r="X69" s="34"/>
      <c r="Y69" s="34"/>
      <c r="Z69" s="34"/>
      <c r="AA69" s="34"/>
      <c r="AB69" s="34"/>
      <c r="AC69" s="34"/>
      <c r="AD69" s="34"/>
    </row>
    <row r="70" spans="1:30" ht="39.950000000000003" customHeight="1">
      <c r="A70" s="7"/>
      <c r="B70" s="110" t="s">
        <v>40</v>
      </c>
      <c r="C70" s="111"/>
      <c r="D70" s="111"/>
      <c r="E70" s="85">
        <f t="shared" si="4"/>
        <v>5</v>
      </c>
      <c r="F70" s="31"/>
      <c r="G70" s="130" t="s">
        <v>94</v>
      </c>
      <c r="H70" s="116"/>
      <c r="I70" s="117"/>
      <c r="J70" s="37">
        <v>5</v>
      </c>
      <c r="K70" s="30"/>
      <c r="L70" s="115" t="s">
        <v>76</v>
      </c>
      <c r="M70" s="116"/>
      <c r="N70" s="117"/>
      <c r="O70" s="38">
        <f t="shared" si="5"/>
        <v>5</v>
      </c>
      <c r="P70" s="31"/>
      <c r="Q70" s="40" t="s">
        <v>42</v>
      </c>
      <c r="R70" s="48" t="s">
        <v>44</v>
      </c>
      <c r="S70" s="48" t="s">
        <v>58</v>
      </c>
      <c r="T70" s="34"/>
      <c r="U70" s="34"/>
      <c r="V70" s="34"/>
      <c r="X70" s="34"/>
      <c r="Y70" s="34"/>
      <c r="Z70" s="34"/>
      <c r="AA70" s="34"/>
      <c r="AB70" s="34"/>
      <c r="AC70" s="34"/>
      <c r="AD70" s="34"/>
    </row>
    <row r="71" spans="1:30" ht="39.950000000000003" customHeight="1">
      <c r="A71" s="7"/>
      <c r="B71" s="110" t="s">
        <v>40</v>
      </c>
      <c r="C71" s="111"/>
      <c r="D71" s="111"/>
      <c r="E71" s="85">
        <f t="shared" si="4"/>
        <v>1.06</v>
      </c>
      <c r="F71" s="31"/>
      <c r="G71" s="131" t="s">
        <v>95</v>
      </c>
      <c r="H71" s="119"/>
      <c r="I71" s="120"/>
      <c r="J71" s="37">
        <v>1.06</v>
      </c>
      <c r="K71" s="30"/>
      <c r="L71" s="115" t="s">
        <v>76</v>
      </c>
      <c r="M71" s="116"/>
      <c r="N71" s="117"/>
      <c r="O71" s="38">
        <f t="shared" si="5"/>
        <v>1.06</v>
      </c>
      <c r="P71" s="30"/>
      <c r="Q71" s="40" t="s">
        <v>80</v>
      </c>
      <c r="R71" s="48" t="s">
        <v>44</v>
      </c>
      <c r="S71" s="48" t="s">
        <v>50</v>
      </c>
      <c r="T71" s="34"/>
      <c r="U71" s="34"/>
      <c r="V71" s="34"/>
      <c r="X71" s="34"/>
      <c r="Y71" s="34"/>
      <c r="Z71" s="34"/>
      <c r="AA71" s="34"/>
      <c r="AB71" s="34"/>
      <c r="AC71" s="34"/>
      <c r="AD71" s="34"/>
    </row>
    <row r="72" spans="1:30" ht="39.950000000000003" customHeight="1">
      <c r="A72" s="7"/>
      <c r="B72" s="110" t="s">
        <v>40</v>
      </c>
      <c r="C72" s="111"/>
      <c r="D72" s="111"/>
      <c r="E72" s="85">
        <f t="shared" si="4"/>
        <v>27.1</v>
      </c>
      <c r="F72" s="31"/>
      <c r="G72" s="130" t="s">
        <v>91</v>
      </c>
      <c r="H72" s="116"/>
      <c r="I72" s="117"/>
      <c r="J72" s="37">
        <v>27.1</v>
      </c>
      <c r="K72" s="31"/>
      <c r="L72" s="115" t="s">
        <v>76</v>
      </c>
      <c r="M72" s="116"/>
      <c r="N72" s="117"/>
      <c r="O72" s="38">
        <f t="shared" si="5"/>
        <v>27.1</v>
      </c>
      <c r="P72" s="30"/>
      <c r="Q72" s="40" t="s">
        <v>80</v>
      </c>
      <c r="R72" s="48" t="s">
        <v>44</v>
      </c>
      <c r="S72" s="48" t="s">
        <v>55</v>
      </c>
      <c r="T72" s="34"/>
      <c r="U72" s="34"/>
      <c r="V72" s="34"/>
      <c r="X72" s="34"/>
      <c r="Y72" s="34"/>
      <c r="Z72" s="34"/>
      <c r="AA72" s="34"/>
      <c r="AB72" s="34"/>
      <c r="AC72" s="34"/>
      <c r="AD72" s="34"/>
    </row>
    <row r="73" spans="1:30" ht="39.950000000000003" customHeight="1">
      <c r="A73" s="7"/>
      <c r="B73" s="110" t="s">
        <v>40</v>
      </c>
      <c r="C73" s="111"/>
      <c r="D73" s="111"/>
      <c r="E73" s="85">
        <f t="shared" si="4"/>
        <v>2.11</v>
      </c>
      <c r="F73" s="31"/>
      <c r="G73" s="130" t="s">
        <v>79</v>
      </c>
      <c r="H73" s="116"/>
      <c r="I73" s="117"/>
      <c r="J73" s="37">
        <v>2.11</v>
      </c>
      <c r="K73" s="32"/>
      <c r="L73" s="115" t="s">
        <v>76</v>
      </c>
      <c r="M73" s="116"/>
      <c r="N73" s="117"/>
      <c r="O73" s="38">
        <f t="shared" si="5"/>
        <v>2.11</v>
      </c>
      <c r="P73" s="32"/>
      <c r="Q73" s="40" t="s">
        <v>80</v>
      </c>
      <c r="R73" s="48" t="s">
        <v>44</v>
      </c>
      <c r="S73" s="48" t="s">
        <v>58</v>
      </c>
      <c r="T73" s="34"/>
      <c r="U73" s="34"/>
      <c r="V73" s="34"/>
      <c r="X73" s="34"/>
      <c r="Y73" s="34"/>
      <c r="Z73" s="34"/>
      <c r="AA73" s="34"/>
      <c r="AB73" s="34"/>
      <c r="AC73" s="34"/>
      <c r="AD73" s="34"/>
    </row>
    <row r="74" spans="1:30" ht="39.950000000000003" customHeight="1">
      <c r="A74" s="7"/>
      <c r="B74" s="110" t="s">
        <v>40</v>
      </c>
      <c r="C74" s="111"/>
      <c r="D74" s="111"/>
      <c r="E74" s="85">
        <f t="shared" si="4"/>
        <v>7.09</v>
      </c>
      <c r="F74" s="31"/>
      <c r="G74" s="130" t="s">
        <v>96</v>
      </c>
      <c r="H74" s="116"/>
      <c r="I74" s="117"/>
      <c r="J74" s="37">
        <v>7.09</v>
      </c>
      <c r="K74" s="31"/>
      <c r="L74" s="115" t="s">
        <v>76</v>
      </c>
      <c r="M74" s="116"/>
      <c r="N74" s="117"/>
      <c r="O74" s="38">
        <f t="shared" si="5"/>
        <v>7.09</v>
      </c>
      <c r="P74" s="30"/>
      <c r="Q74" s="40" t="s">
        <v>80</v>
      </c>
      <c r="R74" s="48" t="s">
        <v>44</v>
      </c>
      <c r="S74" s="48" t="s">
        <v>55</v>
      </c>
      <c r="T74" s="34"/>
      <c r="U74" s="34"/>
      <c r="V74" s="34"/>
      <c r="X74" s="34"/>
      <c r="Y74" s="34"/>
      <c r="Z74" s="34"/>
      <c r="AA74" s="34"/>
      <c r="AB74" s="34"/>
      <c r="AC74" s="34"/>
      <c r="AD74" s="34"/>
    </row>
    <row r="75" spans="1:30" ht="39.950000000000003" customHeight="1">
      <c r="A75" s="7"/>
      <c r="B75" s="110" t="s">
        <v>40</v>
      </c>
      <c r="C75" s="111"/>
      <c r="D75" s="111"/>
      <c r="E75" s="85">
        <f t="shared" si="4"/>
        <v>1.02</v>
      </c>
      <c r="F75" s="31"/>
      <c r="G75" s="130" t="s">
        <v>77</v>
      </c>
      <c r="H75" s="116"/>
      <c r="I75" s="117"/>
      <c r="J75" s="37">
        <v>1.02</v>
      </c>
      <c r="K75" s="30"/>
      <c r="L75" s="115" t="s">
        <v>41</v>
      </c>
      <c r="M75" s="116"/>
      <c r="N75" s="117"/>
      <c r="O75" s="38">
        <f t="shared" si="5"/>
        <v>1.02</v>
      </c>
      <c r="P75" s="31"/>
      <c r="Q75" s="40" t="s">
        <v>42</v>
      </c>
      <c r="R75" s="48" t="s">
        <v>44</v>
      </c>
      <c r="S75" s="48" t="s">
        <v>58</v>
      </c>
      <c r="T75" s="93">
        <f>SUM(O75:O81)</f>
        <v>14.58</v>
      </c>
      <c r="U75" s="34"/>
      <c r="V75" s="34"/>
      <c r="X75" s="34"/>
      <c r="Y75" s="34"/>
      <c r="Z75" s="34"/>
      <c r="AA75" s="34"/>
      <c r="AB75" s="34"/>
      <c r="AC75" s="34"/>
      <c r="AD75" s="34"/>
    </row>
    <row r="76" spans="1:30" ht="39.950000000000003" customHeight="1">
      <c r="A76" s="7"/>
      <c r="B76" s="110" t="s">
        <v>40</v>
      </c>
      <c r="C76" s="111"/>
      <c r="D76" s="111"/>
      <c r="E76" s="85">
        <f t="shared" si="4"/>
        <v>4.05</v>
      </c>
      <c r="F76" s="31"/>
      <c r="G76" s="130" t="s">
        <v>97</v>
      </c>
      <c r="H76" s="116"/>
      <c r="I76" s="117"/>
      <c r="J76" s="37">
        <v>4.05</v>
      </c>
      <c r="K76" s="30"/>
      <c r="L76" s="115" t="s">
        <v>41</v>
      </c>
      <c r="M76" s="116"/>
      <c r="N76" s="117"/>
      <c r="O76" s="38">
        <f t="shared" si="5"/>
        <v>4.05</v>
      </c>
      <c r="P76" s="31"/>
      <c r="Q76" s="40" t="s">
        <v>42</v>
      </c>
      <c r="R76" s="48" t="s">
        <v>44</v>
      </c>
      <c r="S76" s="48" t="s">
        <v>50</v>
      </c>
      <c r="T76" s="34"/>
      <c r="U76" s="34"/>
      <c r="V76" s="34"/>
      <c r="X76" s="34"/>
      <c r="Y76" s="34"/>
      <c r="Z76" s="34"/>
      <c r="AA76" s="34"/>
      <c r="AB76" s="34"/>
      <c r="AC76" s="34"/>
      <c r="AD76" s="34"/>
    </row>
    <row r="77" spans="1:30" ht="39.950000000000003" customHeight="1">
      <c r="A77" s="7"/>
      <c r="B77" s="110" t="s">
        <v>40</v>
      </c>
      <c r="C77" s="111"/>
      <c r="D77" s="111"/>
      <c r="E77" s="85">
        <f t="shared" si="4"/>
        <v>1.07</v>
      </c>
      <c r="F77" s="31"/>
      <c r="G77" s="131" t="s">
        <v>60</v>
      </c>
      <c r="H77" s="119"/>
      <c r="I77" s="120"/>
      <c r="J77" s="37">
        <v>1.07</v>
      </c>
      <c r="K77" s="30"/>
      <c r="L77" s="115" t="s">
        <v>41</v>
      </c>
      <c r="M77" s="116"/>
      <c r="N77" s="117"/>
      <c r="O77" s="38">
        <f t="shared" si="5"/>
        <v>1.07</v>
      </c>
      <c r="P77" s="31"/>
      <c r="Q77" s="40" t="s">
        <v>42</v>
      </c>
      <c r="R77" s="48" t="s">
        <v>44</v>
      </c>
      <c r="S77" s="48" t="s">
        <v>46</v>
      </c>
      <c r="T77" s="34"/>
      <c r="U77" s="34"/>
      <c r="V77" s="34"/>
      <c r="X77" s="34"/>
      <c r="Y77" s="34"/>
      <c r="Z77" s="34"/>
      <c r="AA77" s="34"/>
      <c r="AB77" s="34"/>
      <c r="AC77" s="34"/>
      <c r="AD77" s="34"/>
    </row>
    <row r="78" spans="1:30" ht="39.950000000000003" customHeight="1">
      <c r="A78" s="7"/>
      <c r="B78" s="110" t="s">
        <v>40</v>
      </c>
      <c r="C78" s="111"/>
      <c r="D78" s="111"/>
      <c r="E78" s="85">
        <f t="shared" si="4"/>
        <v>4.2</v>
      </c>
      <c r="F78" s="31"/>
      <c r="G78" s="130" t="s">
        <v>89</v>
      </c>
      <c r="H78" s="116"/>
      <c r="I78" s="117"/>
      <c r="J78" s="37">
        <v>4.2</v>
      </c>
      <c r="K78" s="30"/>
      <c r="L78" s="115" t="s">
        <v>41</v>
      </c>
      <c r="M78" s="116"/>
      <c r="N78" s="117"/>
      <c r="O78" s="38">
        <f t="shared" si="5"/>
        <v>4.2</v>
      </c>
      <c r="P78" s="31"/>
      <c r="Q78" s="40" t="s">
        <v>42</v>
      </c>
      <c r="R78" s="48" t="s">
        <v>44</v>
      </c>
      <c r="S78" s="48" t="s">
        <v>55</v>
      </c>
      <c r="T78" s="34"/>
      <c r="U78" s="34"/>
      <c r="V78" s="34"/>
      <c r="X78" s="34"/>
      <c r="Y78" s="34"/>
      <c r="Z78" s="34"/>
      <c r="AA78" s="34"/>
      <c r="AB78" s="34"/>
      <c r="AC78" s="34"/>
      <c r="AD78" s="34"/>
    </row>
    <row r="79" spans="1:30" ht="39.950000000000003" customHeight="1">
      <c r="A79" s="7"/>
      <c r="B79" s="110" t="s">
        <v>40</v>
      </c>
      <c r="C79" s="111"/>
      <c r="D79" s="111"/>
      <c r="E79" s="85">
        <f t="shared" si="4"/>
        <v>1.01</v>
      </c>
      <c r="F79" s="31"/>
      <c r="G79" s="131" t="s">
        <v>73</v>
      </c>
      <c r="H79" s="119"/>
      <c r="I79" s="120"/>
      <c r="J79" s="37">
        <v>1.01</v>
      </c>
      <c r="K79" s="30"/>
      <c r="L79" s="115" t="s">
        <v>41</v>
      </c>
      <c r="M79" s="116"/>
      <c r="N79" s="117"/>
      <c r="O79" s="38">
        <f t="shared" si="5"/>
        <v>1.01</v>
      </c>
      <c r="P79" s="31"/>
      <c r="Q79" s="40" t="s">
        <v>42</v>
      </c>
      <c r="R79" s="48" t="s">
        <v>44</v>
      </c>
      <c r="S79" s="48" t="s">
        <v>50</v>
      </c>
      <c r="T79" s="34"/>
      <c r="U79" s="34"/>
      <c r="V79" s="34"/>
      <c r="X79" s="34"/>
      <c r="Y79" s="34"/>
      <c r="Z79" s="34"/>
      <c r="AA79" s="34"/>
      <c r="AB79" s="34"/>
      <c r="AC79" s="34"/>
      <c r="AD79" s="34"/>
    </row>
    <row r="80" spans="1:30" ht="39.950000000000003" customHeight="1">
      <c r="A80" s="7"/>
      <c r="B80" s="110" t="s">
        <v>40</v>
      </c>
      <c r="C80" s="111"/>
      <c r="D80" s="111"/>
      <c r="E80" s="85">
        <f t="shared" si="4"/>
        <v>2</v>
      </c>
      <c r="F80" s="31"/>
      <c r="G80" s="130" t="s">
        <v>79</v>
      </c>
      <c r="H80" s="116"/>
      <c r="I80" s="117"/>
      <c r="J80" s="37">
        <v>2</v>
      </c>
      <c r="K80" s="30"/>
      <c r="L80" s="115" t="s">
        <v>41</v>
      </c>
      <c r="M80" s="116"/>
      <c r="N80" s="117"/>
      <c r="O80" s="38">
        <f t="shared" si="5"/>
        <v>2</v>
      </c>
      <c r="P80" s="31"/>
      <c r="Q80" s="40" t="s">
        <v>42</v>
      </c>
      <c r="R80" s="48" t="s">
        <v>44</v>
      </c>
      <c r="S80" s="48" t="s">
        <v>58</v>
      </c>
      <c r="T80" s="34"/>
      <c r="U80" s="34"/>
      <c r="V80" s="34"/>
      <c r="X80" s="34"/>
      <c r="Y80" s="34"/>
      <c r="Z80" s="34"/>
      <c r="AA80" s="34"/>
      <c r="AB80" s="34"/>
      <c r="AC80" s="34"/>
      <c r="AD80" s="34"/>
    </row>
    <row r="81" spans="1:30" ht="39.950000000000003" customHeight="1">
      <c r="A81" s="7"/>
      <c r="B81" s="110" t="s">
        <v>40</v>
      </c>
      <c r="C81" s="111"/>
      <c r="D81" s="111"/>
      <c r="E81" s="85">
        <f t="shared" si="4"/>
        <v>1.23</v>
      </c>
      <c r="F81" s="31"/>
      <c r="G81" s="130" t="s">
        <v>75</v>
      </c>
      <c r="H81" s="116"/>
      <c r="I81" s="117"/>
      <c r="J81" s="37">
        <v>1.23</v>
      </c>
      <c r="K81" s="30"/>
      <c r="L81" s="115" t="s">
        <v>76</v>
      </c>
      <c r="M81" s="116"/>
      <c r="N81" s="117"/>
      <c r="O81" s="38">
        <f t="shared" si="5"/>
        <v>1.23</v>
      </c>
      <c r="P81" s="31"/>
      <c r="Q81" s="40" t="s">
        <v>42</v>
      </c>
      <c r="R81" s="48" t="s">
        <v>44</v>
      </c>
      <c r="S81" s="48" t="s">
        <v>58</v>
      </c>
      <c r="T81" s="34"/>
      <c r="U81" s="34"/>
      <c r="V81" s="34"/>
      <c r="X81" s="34"/>
      <c r="Y81" s="34"/>
      <c r="Z81" s="34"/>
      <c r="AA81" s="34"/>
      <c r="AB81" s="34"/>
      <c r="AC81" s="34"/>
      <c r="AD81" s="34"/>
    </row>
    <row r="82" spans="1:30" ht="39.950000000000003" customHeight="1">
      <c r="A82" s="7"/>
      <c r="B82" s="110" t="s">
        <v>40</v>
      </c>
      <c r="C82" s="111"/>
      <c r="D82" s="111"/>
      <c r="E82" s="85">
        <f t="shared" si="4"/>
        <v>28.1</v>
      </c>
      <c r="F82" s="31"/>
      <c r="G82" s="130" t="s">
        <v>98</v>
      </c>
      <c r="H82" s="116"/>
      <c r="I82" s="117"/>
      <c r="J82" s="37">
        <v>28.1</v>
      </c>
      <c r="K82" s="31"/>
      <c r="L82" s="115" t="s">
        <v>76</v>
      </c>
      <c r="M82" s="116"/>
      <c r="N82" s="117"/>
      <c r="O82" s="38">
        <f t="shared" si="5"/>
        <v>28.1</v>
      </c>
      <c r="P82" s="30"/>
      <c r="Q82" s="40" t="s">
        <v>80</v>
      </c>
      <c r="R82" s="48" t="s">
        <v>44</v>
      </c>
      <c r="S82" s="48" t="s">
        <v>55</v>
      </c>
      <c r="T82" s="34"/>
      <c r="U82" s="34"/>
      <c r="V82" s="34"/>
      <c r="X82" s="34"/>
      <c r="Y82" s="34"/>
      <c r="Z82" s="34"/>
      <c r="AA82" s="34"/>
      <c r="AB82" s="34"/>
      <c r="AC82" s="34"/>
      <c r="AD82" s="34"/>
    </row>
    <row r="83" spans="1:30" ht="39.950000000000003" customHeight="1">
      <c r="A83" s="7"/>
      <c r="B83" s="110" t="s">
        <v>40</v>
      </c>
      <c r="C83" s="111"/>
      <c r="D83" s="111"/>
      <c r="E83" s="85">
        <f t="shared" si="4"/>
        <v>26.07</v>
      </c>
      <c r="F83" s="31"/>
      <c r="G83" s="130" t="s">
        <v>99</v>
      </c>
      <c r="H83" s="116"/>
      <c r="I83" s="117"/>
      <c r="J83" s="37">
        <v>26.07</v>
      </c>
      <c r="K83" s="32"/>
      <c r="L83" s="115" t="s">
        <v>76</v>
      </c>
      <c r="M83" s="116"/>
      <c r="N83" s="117"/>
      <c r="O83" s="38">
        <f t="shared" si="5"/>
        <v>26.07</v>
      </c>
      <c r="P83" s="32"/>
      <c r="Q83" s="40" t="s">
        <v>80</v>
      </c>
      <c r="R83" s="48" t="s">
        <v>44</v>
      </c>
      <c r="S83" s="48" t="s">
        <v>58</v>
      </c>
      <c r="T83" s="34"/>
      <c r="U83" s="34"/>
      <c r="V83" s="34"/>
      <c r="X83" s="34"/>
      <c r="Y83" s="34"/>
      <c r="Z83" s="34"/>
      <c r="AA83" s="34"/>
      <c r="AB83" s="34"/>
      <c r="AC83" s="34"/>
      <c r="AD83" s="34"/>
    </row>
    <row r="84" spans="1:30" ht="39.950000000000003" customHeight="1">
      <c r="A84" s="7"/>
      <c r="B84" s="110" t="s">
        <v>40</v>
      </c>
      <c r="C84" s="111"/>
      <c r="D84" s="111"/>
      <c r="E84" s="85">
        <f t="shared" si="4"/>
        <v>0.19</v>
      </c>
      <c r="F84" s="31"/>
      <c r="G84" s="130" t="s">
        <v>96</v>
      </c>
      <c r="H84" s="116"/>
      <c r="I84" s="117"/>
      <c r="J84" s="37">
        <v>0.19</v>
      </c>
      <c r="K84" s="31"/>
      <c r="L84" s="115" t="s">
        <v>76</v>
      </c>
      <c r="M84" s="116"/>
      <c r="N84" s="117"/>
      <c r="O84" s="38">
        <f t="shared" si="5"/>
        <v>0.19</v>
      </c>
      <c r="P84" s="30"/>
      <c r="Q84" s="40" t="s">
        <v>80</v>
      </c>
      <c r="R84" s="48" t="s">
        <v>44</v>
      </c>
      <c r="S84" s="48" t="s">
        <v>55</v>
      </c>
      <c r="T84" s="34"/>
      <c r="U84" s="34"/>
      <c r="V84" s="34"/>
      <c r="X84" s="34"/>
      <c r="Y84" s="34"/>
      <c r="Z84" s="34"/>
      <c r="AA84" s="34"/>
      <c r="AB84" s="34"/>
      <c r="AC84" s="34"/>
      <c r="AD84" s="34"/>
    </row>
    <row r="85" spans="1:30" ht="39.950000000000003" customHeight="1">
      <c r="A85" s="7"/>
      <c r="B85" s="110" t="s">
        <v>40</v>
      </c>
      <c r="C85" s="111"/>
      <c r="D85" s="111"/>
      <c r="E85" s="85">
        <f t="shared" si="4"/>
        <v>0.23</v>
      </c>
      <c r="F85" s="31"/>
      <c r="G85" s="130" t="s">
        <v>100</v>
      </c>
      <c r="H85" s="116"/>
      <c r="I85" s="117"/>
      <c r="J85" s="37">
        <v>0.23</v>
      </c>
      <c r="K85" s="30"/>
      <c r="L85" s="115" t="s">
        <v>41</v>
      </c>
      <c r="M85" s="116"/>
      <c r="N85" s="117"/>
      <c r="O85" s="38">
        <f t="shared" si="5"/>
        <v>0.23</v>
      </c>
      <c r="P85" s="31"/>
      <c r="Q85" s="40" t="s">
        <v>42</v>
      </c>
      <c r="R85" s="48" t="s">
        <v>44</v>
      </c>
      <c r="S85" s="48" t="s">
        <v>58</v>
      </c>
      <c r="T85" s="93">
        <f>SUM(O85:O88)</f>
        <v>13.41</v>
      </c>
      <c r="U85" s="34"/>
      <c r="V85" s="34"/>
      <c r="X85" s="34"/>
      <c r="Y85" s="34"/>
      <c r="Z85" s="34"/>
      <c r="AA85" s="34"/>
      <c r="AB85" s="34"/>
      <c r="AC85" s="34"/>
      <c r="AD85" s="34"/>
    </row>
    <row r="86" spans="1:30" ht="39.950000000000003" customHeight="1">
      <c r="A86" s="7"/>
      <c r="B86" s="110" t="s">
        <v>40</v>
      </c>
      <c r="C86" s="111"/>
      <c r="D86" s="111"/>
      <c r="E86" s="85">
        <f t="shared" si="4"/>
        <v>9.14</v>
      </c>
      <c r="F86" s="31"/>
      <c r="G86" s="130" t="s">
        <v>89</v>
      </c>
      <c r="H86" s="116"/>
      <c r="I86" s="117"/>
      <c r="J86" s="37">
        <v>9.14</v>
      </c>
      <c r="K86" s="30"/>
      <c r="L86" s="115" t="s">
        <v>41</v>
      </c>
      <c r="M86" s="116"/>
      <c r="N86" s="117"/>
      <c r="O86" s="38">
        <f t="shared" si="5"/>
        <v>9.14</v>
      </c>
      <c r="P86" s="31"/>
      <c r="Q86" s="40" t="s">
        <v>42</v>
      </c>
      <c r="R86" s="48" t="s">
        <v>44</v>
      </c>
      <c r="S86" s="48" t="s">
        <v>55</v>
      </c>
      <c r="T86" s="34"/>
      <c r="U86" s="34"/>
      <c r="V86" s="34"/>
      <c r="X86" s="34"/>
      <c r="Y86" s="34"/>
      <c r="Z86" s="34"/>
      <c r="AA86" s="34"/>
      <c r="AB86" s="34"/>
      <c r="AC86" s="34"/>
      <c r="AD86" s="34"/>
    </row>
    <row r="87" spans="1:30" ht="40.5" customHeight="1">
      <c r="A87" s="84"/>
      <c r="B87" s="110" t="s">
        <v>40</v>
      </c>
      <c r="C87" s="111"/>
      <c r="D87" s="111"/>
      <c r="E87" s="85">
        <f t="shared" si="4"/>
        <v>2</v>
      </c>
      <c r="F87" s="31"/>
      <c r="G87" s="131" t="s">
        <v>73</v>
      </c>
      <c r="H87" s="119"/>
      <c r="I87" s="120"/>
      <c r="J87" s="32">
        <v>2</v>
      </c>
      <c r="K87" s="30"/>
      <c r="L87" s="115" t="s">
        <v>41</v>
      </c>
      <c r="M87" s="116"/>
      <c r="N87" s="117"/>
      <c r="O87" s="38">
        <f t="shared" si="5"/>
        <v>2</v>
      </c>
      <c r="P87" s="31"/>
      <c r="Q87" s="40" t="s">
        <v>42</v>
      </c>
      <c r="R87" s="48" t="s">
        <v>44</v>
      </c>
      <c r="S87" s="48" t="s">
        <v>50</v>
      </c>
      <c r="T87" s="34"/>
      <c r="U87" s="34"/>
      <c r="V87" s="34"/>
      <c r="X87" s="34"/>
      <c r="Y87" s="34"/>
      <c r="Z87" s="34"/>
      <c r="AA87" s="34"/>
      <c r="AB87" s="34"/>
      <c r="AC87" s="34"/>
      <c r="AD87" s="34"/>
    </row>
    <row r="88" spans="1:30" ht="40.5" customHeight="1">
      <c r="A88" s="84"/>
      <c r="B88" s="110" t="s">
        <v>40</v>
      </c>
      <c r="C88" s="111"/>
      <c r="D88" s="111"/>
      <c r="E88" s="85">
        <f t="shared" si="4"/>
        <v>2.04</v>
      </c>
      <c r="F88" s="31"/>
      <c r="G88" s="130" t="s">
        <v>75</v>
      </c>
      <c r="H88" s="116"/>
      <c r="I88" s="117"/>
      <c r="J88" s="32">
        <v>2.04</v>
      </c>
      <c r="K88" s="30"/>
      <c r="L88" s="115" t="s">
        <v>76</v>
      </c>
      <c r="M88" s="116"/>
      <c r="N88" s="117"/>
      <c r="O88" s="38">
        <f t="shared" si="5"/>
        <v>2.04</v>
      </c>
      <c r="P88" s="31"/>
      <c r="Q88" s="40" t="s">
        <v>42</v>
      </c>
      <c r="R88" s="48" t="s">
        <v>44</v>
      </c>
      <c r="S88" s="48" t="s">
        <v>58</v>
      </c>
      <c r="T88" s="34"/>
      <c r="U88" s="34"/>
      <c r="V88" s="34"/>
      <c r="X88" s="34"/>
      <c r="Y88" s="34"/>
      <c r="Z88" s="34"/>
      <c r="AA88" s="34"/>
      <c r="AB88" s="34"/>
      <c r="AC88" s="34"/>
      <c r="AD88" s="34"/>
    </row>
    <row r="89" spans="1:30" ht="40.5" customHeight="1">
      <c r="A89" s="84"/>
      <c r="B89" s="110" t="s">
        <v>40</v>
      </c>
      <c r="C89" s="111"/>
      <c r="D89" s="111"/>
      <c r="E89" s="85">
        <f t="shared" si="4"/>
        <v>21.08</v>
      </c>
      <c r="F89" s="31"/>
      <c r="G89" s="130" t="s">
        <v>99</v>
      </c>
      <c r="H89" s="116"/>
      <c r="I89" s="117"/>
      <c r="J89" s="32">
        <v>21.08</v>
      </c>
      <c r="K89" s="32"/>
      <c r="L89" s="115" t="s">
        <v>76</v>
      </c>
      <c r="M89" s="116"/>
      <c r="N89" s="117"/>
      <c r="O89" s="38">
        <f t="shared" si="5"/>
        <v>21.08</v>
      </c>
      <c r="P89" s="32"/>
      <c r="Q89" s="40" t="s">
        <v>80</v>
      </c>
      <c r="R89" s="48" t="s">
        <v>44</v>
      </c>
      <c r="S89" s="48" t="s">
        <v>58</v>
      </c>
      <c r="T89" s="34"/>
      <c r="U89" s="34"/>
      <c r="V89" s="34"/>
      <c r="X89" s="34"/>
      <c r="Y89" s="34"/>
      <c r="Z89" s="34"/>
      <c r="AA89" s="34"/>
      <c r="AB89" s="34"/>
      <c r="AC89" s="34"/>
      <c r="AD89" s="34"/>
    </row>
    <row r="90" spans="1:30" ht="40.5" customHeight="1">
      <c r="A90" s="84"/>
      <c r="B90" s="110" t="s">
        <v>40</v>
      </c>
      <c r="C90" s="111"/>
      <c r="D90" s="111"/>
      <c r="E90" s="85">
        <f t="shared" si="4"/>
        <v>0.41</v>
      </c>
      <c r="F90" s="31"/>
      <c r="G90" s="130" t="s">
        <v>101</v>
      </c>
      <c r="H90" s="116"/>
      <c r="I90" s="117"/>
      <c r="J90" s="32">
        <v>0.41</v>
      </c>
      <c r="K90" s="32"/>
      <c r="L90" s="115" t="s">
        <v>41</v>
      </c>
      <c r="M90" s="116"/>
      <c r="N90" s="117"/>
      <c r="O90" s="38">
        <f t="shared" si="5"/>
        <v>0.41</v>
      </c>
      <c r="P90" s="32"/>
      <c r="Q90" s="40" t="s">
        <v>80</v>
      </c>
      <c r="R90" s="48" t="s">
        <v>44</v>
      </c>
      <c r="S90" s="48" t="s">
        <v>58</v>
      </c>
      <c r="T90" s="34"/>
      <c r="U90" s="34"/>
      <c r="V90" s="34"/>
      <c r="X90" s="34"/>
      <c r="Y90" s="34"/>
      <c r="Z90" s="34"/>
      <c r="AA90" s="34"/>
      <c r="AB90" s="34"/>
      <c r="AC90" s="34"/>
      <c r="AD90" s="34"/>
    </row>
    <row r="91" spans="1:30" ht="40.5" customHeight="1">
      <c r="A91" s="84"/>
      <c r="B91" s="110" t="s">
        <v>40</v>
      </c>
      <c r="C91" s="111"/>
      <c r="D91" s="111"/>
      <c r="E91" s="85">
        <f t="shared" si="4"/>
        <v>1.1100000000000001</v>
      </c>
      <c r="F91" s="31"/>
      <c r="G91" s="131" t="s">
        <v>60</v>
      </c>
      <c r="H91" s="119"/>
      <c r="I91" s="120"/>
      <c r="J91" s="32">
        <v>1.1100000000000001</v>
      </c>
      <c r="K91" s="30"/>
      <c r="L91" s="115" t="s">
        <v>41</v>
      </c>
      <c r="M91" s="116"/>
      <c r="N91" s="117"/>
      <c r="O91" s="38">
        <f t="shared" si="5"/>
        <v>1.1100000000000001</v>
      </c>
      <c r="P91" s="31"/>
      <c r="Q91" s="40" t="s">
        <v>42</v>
      </c>
      <c r="R91" s="48" t="s">
        <v>44</v>
      </c>
      <c r="S91" s="48" t="s">
        <v>46</v>
      </c>
      <c r="T91" s="93">
        <f>SUM(O91:O94)</f>
        <v>12.36</v>
      </c>
      <c r="U91" s="34"/>
      <c r="V91" s="34"/>
      <c r="X91" s="34"/>
      <c r="Y91" s="34"/>
      <c r="Z91" s="34"/>
      <c r="AA91" s="34"/>
      <c r="AB91" s="34"/>
      <c r="AC91" s="34"/>
      <c r="AD91" s="34"/>
    </row>
    <row r="92" spans="1:30" ht="40.5" customHeight="1">
      <c r="A92" s="84"/>
      <c r="B92" s="110" t="s">
        <v>40</v>
      </c>
      <c r="C92" s="111"/>
      <c r="D92" s="111"/>
      <c r="E92" s="85">
        <f t="shared" si="4"/>
        <v>6.08</v>
      </c>
      <c r="F92" s="31"/>
      <c r="G92" s="130" t="s">
        <v>89</v>
      </c>
      <c r="H92" s="116"/>
      <c r="I92" s="117"/>
      <c r="J92" s="32">
        <v>6.08</v>
      </c>
      <c r="K92" s="30"/>
      <c r="L92" s="115" t="s">
        <v>41</v>
      </c>
      <c r="M92" s="116"/>
      <c r="N92" s="117"/>
      <c r="O92" s="38">
        <f t="shared" si="5"/>
        <v>6.08</v>
      </c>
      <c r="P92" s="31"/>
      <c r="Q92" s="40" t="s">
        <v>42</v>
      </c>
      <c r="R92" s="48" t="s">
        <v>44</v>
      </c>
      <c r="S92" s="48" t="s">
        <v>55</v>
      </c>
      <c r="T92" s="34"/>
      <c r="U92" s="34"/>
      <c r="V92" s="34"/>
      <c r="X92" s="34"/>
      <c r="Y92" s="34"/>
      <c r="Z92" s="34"/>
      <c r="AA92" s="34"/>
      <c r="AB92" s="34"/>
      <c r="AC92" s="34"/>
      <c r="AD92" s="34"/>
    </row>
    <row r="93" spans="1:30" ht="40.5" customHeight="1">
      <c r="A93" s="84"/>
      <c r="B93" s="110" t="s">
        <v>40</v>
      </c>
      <c r="C93" s="111"/>
      <c r="D93" s="111"/>
      <c r="E93" s="85">
        <f t="shared" si="4"/>
        <v>1.17</v>
      </c>
      <c r="F93" s="31"/>
      <c r="G93" s="131" t="s">
        <v>73</v>
      </c>
      <c r="H93" s="119"/>
      <c r="I93" s="120"/>
      <c r="J93" s="32">
        <v>1.17</v>
      </c>
      <c r="K93" s="30"/>
      <c r="L93" s="115" t="s">
        <v>41</v>
      </c>
      <c r="M93" s="116"/>
      <c r="N93" s="117"/>
      <c r="O93" s="38">
        <f t="shared" si="5"/>
        <v>1.17</v>
      </c>
      <c r="P93" s="31"/>
      <c r="Q93" s="40" t="s">
        <v>42</v>
      </c>
      <c r="R93" s="48" t="s">
        <v>44</v>
      </c>
      <c r="S93" s="48" t="s">
        <v>50</v>
      </c>
      <c r="T93" s="34"/>
      <c r="U93" s="34"/>
      <c r="V93" s="34"/>
      <c r="X93" s="34"/>
      <c r="Y93" s="34"/>
      <c r="Z93" s="34"/>
      <c r="AA93" s="34"/>
      <c r="AB93" s="34"/>
      <c r="AC93" s="34"/>
      <c r="AD93" s="34"/>
    </row>
    <row r="94" spans="1:30" ht="40.5" customHeight="1">
      <c r="A94" s="84"/>
      <c r="B94" s="110" t="s">
        <v>40</v>
      </c>
      <c r="C94" s="111"/>
      <c r="D94" s="111"/>
      <c r="E94" s="85">
        <f t="shared" si="4"/>
        <v>4</v>
      </c>
      <c r="F94" s="31"/>
      <c r="G94" s="130" t="s">
        <v>102</v>
      </c>
      <c r="H94" s="116"/>
      <c r="I94" s="117"/>
      <c r="J94" s="32">
        <v>4</v>
      </c>
      <c r="K94" s="30"/>
      <c r="L94" s="115" t="s">
        <v>76</v>
      </c>
      <c r="M94" s="116"/>
      <c r="N94" s="117"/>
      <c r="O94" s="38">
        <f t="shared" si="5"/>
        <v>4</v>
      </c>
      <c r="P94" s="31"/>
      <c r="Q94" s="40" t="s">
        <v>42</v>
      </c>
      <c r="R94" s="48" t="s">
        <v>44</v>
      </c>
      <c r="S94" s="48" t="s">
        <v>58</v>
      </c>
      <c r="T94" s="34"/>
      <c r="U94" s="34"/>
      <c r="V94" s="34"/>
      <c r="X94" s="34"/>
      <c r="Y94" s="34"/>
      <c r="Z94" s="34"/>
      <c r="AA94" s="34"/>
      <c r="AB94" s="34"/>
      <c r="AC94" s="34"/>
      <c r="AD94" s="34"/>
    </row>
    <row r="95" spans="1:30" ht="40.5" customHeight="1">
      <c r="A95" s="84"/>
      <c r="B95" s="110" t="s">
        <v>40</v>
      </c>
      <c r="C95" s="111"/>
      <c r="D95" s="111"/>
      <c r="E95" s="85">
        <f t="shared" si="4"/>
        <v>27.23</v>
      </c>
      <c r="F95" s="31"/>
      <c r="G95" s="130" t="s">
        <v>103</v>
      </c>
      <c r="H95" s="116"/>
      <c r="I95" s="117"/>
      <c r="J95" s="32">
        <v>27.23</v>
      </c>
      <c r="K95" s="32"/>
      <c r="L95" s="115" t="s">
        <v>76</v>
      </c>
      <c r="M95" s="116"/>
      <c r="N95" s="117"/>
      <c r="O95" s="38">
        <f t="shared" si="5"/>
        <v>27.23</v>
      </c>
      <c r="P95" s="32"/>
      <c r="Q95" s="40" t="s">
        <v>80</v>
      </c>
      <c r="R95" s="48" t="s">
        <v>44</v>
      </c>
      <c r="S95" s="48" t="s">
        <v>58</v>
      </c>
      <c r="T95" s="34"/>
      <c r="U95" s="34"/>
      <c r="V95" s="34"/>
      <c r="X95" s="34"/>
      <c r="Y95" s="34"/>
      <c r="Z95" s="34"/>
      <c r="AA95" s="34"/>
      <c r="AB95" s="34"/>
      <c r="AC95" s="34"/>
      <c r="AD95" s="34"/>
    </row>
    <row r="96" spans="1:30" ht="40.5" customHeight="1">
      <c r="A96" s="84"/>
      <c r="B96" s="110" t="s">
        <v>40</v>
      </c>
      <c r="C96" s="111"/>
      <c r="D96" s="111"/>
      <c r="E96" s="85">
        <f t="shared" si="4"/>
        <v>4.7</v>
      </c>
      <c r="F96" s="31"/>
      <c r="G96" s="110" t="s">
        <v>104</v>
      </c>
      <c r="H96" s="111"/>
      <c r="I96" s="111"/>
      <c r="J96" s="37">
        <v>4.7</v>
      </c>
      <c r="K96" s="32"/>
      <c r="L96" s="115" t="s">
        <v>76</v>
      </c>
      <c r="M96" s="116"/>
      <c r="N96" s="117"/>
      <c r="O96" s="38">
        <f t="shared" si="5"/>
        <v>4.7</v>
      </c>
      <c r="P96" s="32"/>
      <c r="Q96" s="40" t="s">
        <v>80</v>
      </c>
      <c r="R96" s="48" t="s">
        <v>44</v>
      </c>
      <c r="S96" s="48" t="s">
        <v>55</v>
      </c>
      <c r="T96" s="34"/>
      <c r="U96" s="34"/>
      <c r="V96" s="34"/>
      <c r="X96" s="34"/>
      <c r="Y96" s="34"/>
      <c r="Z96" s="34"/>
      <c r="AA96" s="34"/>
      <c r="AB96" s="34"/>
      <c r="AC96" s="34"/>
      <c r="AD96" s="34"/>
    </row>
    <row r="97" spans="1:30" ht="40.5" customHeight="1">
      <c r="A97" s="84"/>
      <c r="B97" s="110" t="s">
        <v>40</v>
      </c>
      <c r="C97" s="111"/>
      <c r="D97" s="111"/>
      <c r="E97" s="85">
        <f t="shared" ref="E97:E160" si="6">J97</f>
        <v>5.8</v>
      </c>
      <c r="F97" s="31"/>
      <c r="G97" s="110" t="s">
        <v>105</v>
      </c>
      <c r="H97" s="111"/>
      <c r="I97" s="111"/>
      <c r="J97" s="37">
        <v>5.8</v>
      </c>
      <c r="K97" s="32"/>
      <c r="L97" s="115" t="s">
        <v>76</v>
      </c>
      <c r="M97" s="116"/>
      <c r="N97" s="117"/>
      <c r="O97" s="38">
        <f t="shared" ref="O97:O160" si="7">J97</f>
        <v>5.8</v>
      </c>
      <c r="P97" s="32"/>
      <c r="Q97" s="40" t="s">
        <v>80</v>
      </c>
      <c r="R97" s="48" t="s">
        <v>44</v>
      </c>
      <c r="S97" s="48" t="s">
        <v>67</v>
      </c>
      <c r="T97" s="34"/>
      <c r="U97" s="34"/>
      <c r="V97" s="34"/>
      <c r="X97" s="34"/>
      <c r="Y97" s="34"/>
      <c r="Z97" s="34"/>
      <c r="AA97" s="34"/>
      <c r="AB97" s="34"/>
      <c r="AC97" s="34"/>
      <c r="AD97" s="34"/>
    </row>
    <row r="98" spans="1:30" ht="40.5" customHeight="1">
      <c r="A98" s="84"/>
      <c r="B98" s="110" t="s">
        <v>40</v>
      </c>
      <c r="C98" s="111"/>
      <c r="D98" s="111"/>
      <c r="E98" s="85">
        <f t="shared" si="6"/>
        <v>3.1</v>
      </c>
      <c r="F98" s="31"/>
      <c r="G98" s="128" t="s">
        <v>106</v>
      </c>
      <c r="H98" s="129"/>
      <c r="I98" s="129"/>
      <c r="J98" s="37">
        <v>3.1</v>
      </c>
      <c r="K98" s="32"/>
      <c r="L98" s="115" t="s">
        <v>76</v>
      </c>
      <c r="M98" s="116"/>
      <c r="N98" s="117"/>
      <c r="O98" s="38">
        <f t="shared" si="7"/>
        <v>3.1</v>
      </c>
      <c r="P98" s="32"/>
      <c r="Q98" s="40" t="s">
        <v>80</v>
      </c>
      <c r="R98" s="48" t="s">
        <v>64</v>
      </c>
      <c r="S98" s="48" t="s">
        <v>107</v>
      </c>
      <c r="T98" s="34"/>
      <c r="U98" s="34"/>
      <c r="V98" s="34"/>
      <c r="X98" s="34"/>
      <c r="Y98" s="34"/>
      <c r="Z98" s="34"/>
      <c r="AA98" s="34"/>
      <c r="AB98" s="34"/>
      <c r="AC98" s="34"/>
      <c r="AD98" s="34"/>
    </row>
    <row r="99" spans="1:30" ht="40.5" customHeight="1">
      <c r="A99" s="84"/>
      <c r="B99" s="110" t="s">
        <v>40</v>
      </c>
      <c r="C99" s="111"/>
      <c r="D99" s="111"/>
      <c r="E99" s="85">
        <f t="shared" si="6"/>
        <v>1</v>
      </c>
      <c r="F99" s="31"/>
      <c r="G99" s="121" t="s">
        <v>108</v>
      </c>
      <c r="H99" s="122"/>
      <c r="I99" s="122"/>
      <c r="J99" s="37">
        <v>1</v>
      </c>
      <c r="K99" s="32"/>
      <c r="L99" s="115" t="s">
        <v>76</v>
      </c>
      <c r="M99" s="116"/>
      <c r="N99" s="117"/>
      <c r="O99" s="38">
        <f t="shared" si="7"/>
        <v>1</v>
      </c>
      <c r="P99" s="32"/>
      <c r="Q99" s="40" t="s">
        <v>80</v>
      </c>
      <c r="R99" s="48" t="s">
        <v>44</v>
      </c>
      <c r="S99" s="48" t="s">
        <v>46</v>
      </c>
      <c r="T99" s="34"/>
      <c r="U99" s="34"/>
      <c r="V99" s="34"/>
      <c r="X99" s="34"/>
      <c r="Y99" s="34"/>
      <c r="Z99" s="34"/>
      <c r="AA99" s="34"/>
      <c r="AB99" s="34"/>
      <c r="AC99" s="34"/>
      <c r="AD99" s="34"/>
    </row>
    <row r="100" spans="1:30" ht="40.5" customHeight="1">
      <c r="A100" s="84"/>
      <c r="B100" s="110" t="s">
        <v>40</v>
      </c>
      <c r="C100" s="111"/>
      <c r="D100" s="111"/>
      <c r="E100" s="85">
        <f t="shared" si="6"/>
        <v>0.6</v>
      </c>
      <c r="F100" s="31"/>
      <c r="G100" s="121" t="s">
        <v>109</v>
      </c>
      <c r="H100" s="122"/>
      <c r="I100" s="122"/>
      <c r="J100" s="37">
        <v>0.6</v>
      </c>
      <c r="K100" s="32"/>
      <c r="L100" s="115" t="s">
        <v>76</v>
      </c>
      <c r="M100" s="116"/>
      <c r="N100" s="117"/>
      <c r="O100" s="38">
        <f t="shared" si="7"/>
        <v>0.6</v>
      </c>
      <c r="P100" s="32"/>
      <c r="Q100" s="40" t="s">
        <v>80</v>
      </c>
      <c r="R100" s="48" t="s">
        <v>44</v>
      </c>
      <c r="S100" s="48" t="s">
        <v>61</v>
      </c>
      <c r="T100" s="34"/>
      <c r="U100" s="34"/>
      <c r="V100" s="34"/>
      <c r="X100" s="34"/>
      <c r="Y100" s="34"/>
      <c r="Z100" s="34"/>
      <c r="AA100" s="34"/>
      <c r="AB100" s="34"/>
      <c r="AC100" s="34"/>
      <c r="AD100" s="34"/>
    </row>
    <row r="101" spans="1:30" ht="40.5" customHeight="1">
      <c r="A101" s="84"/>
      <c r="B101" s="110" t="s">
        <v>40</v>
      </c>
      <c r="C101" s="111"/>
      <c r="D101" s="111"/>
      <c r="E101" s="85">
        <f t="shared" si="6"/>
        <v>26.2</v>
      </c>
      <c r="F101" s="31"/>
      <c r="G101" s="110" t="s">
        <v>105</v>
      </c>
      <c r="H101" s="111"/>
      <c r="I101" s="111"/>
      <c r="J101" s="37">
        <v>26.2</v>
      </c>
      <c r="K101" s="32"/>
      <c r="L101" s="115" t="s">
        <v>76</v>
      </c>
      <c r="M101" s="116"/>
      <c r="N101" s="117"/>
      <c r="O101" s="38">
        <f t="shared" si="7"/>
        <v>26.2</v>
      </c>
      <c r="P101" s="32"/>
      <c r="Q101" s="40" t="s">
        <v>80</v>
      </c>
      <c r="R101" s="48" t="s">
        <v>44</v>
      </c>
      <c r="S101" s="48" t="s">
        <v>67</v>
      </c>
      <c r="T101" s="34"/>
      <c r="U101" s="34"/>
      <c r="V101" s="34"/>
      <c r="X101" s="34"/>
      <c r="Y101" s="34"/>
      <c r="Z101" s="34"/>
      <c r="AA101" s="34"/>
      <c r="AB101" s="34"/>
      <c r="AC101" s="34"/>
      <c r="AD101" s="34"/>
    </row>
    <row r="102" spans="1:30" ht="40.5" customHeight="1">
      <c r="A102" s="84"/>
      <c r="B102" s="110" t="s">
        <v>40</v>
      </c>
      <c r="C102" s="111"/>
      <c r="D102" s="111"/>
      <c r="E102" s="85">
        <f t="shared" si="6"/>
        <v>2</v>
      </c>
      <c r="F102" s="31"/>
      <c r="G102" s="110" t="s">
        <v>104</v>
      </c>
      <c r="H102" s="111"/>
      <c r="I102" s="111"/>
      <c r="J102" s="37">
        <v>2</v>
      </c>
      <c r="K102" s="32"/>
      <c r="L102" s="115" t="s">
        <v>76</v>
      </c>
      <c r="M102" s="116"/>
      <c r="N102" s="117"/>
      <c r="O102" s="38">
        <f t="shared" si="7"/>
        <v>2</v>
      </c>
      <c r="P102" s="32"/>
      <c r="Q102" s="40" t="s">
        <v>80</v>
      </c>
      <c r="R102" s="48" t="s">
        <v>44</v>
      </c>
      <c r="S102" s="48" t="s">
        <v>55</v>
      </c>
      <c r="T102" s="34"/>
      <c r="U102" s="34"/>
      <c r="V102" s="34"/>
      <c r="X102" s="34"/>
      <c r="Y102" s="34"/>
      <c r="Z102" s="34"/>
      <c r="AA102" s="34"/>
      <c r="AB102" s="34"/>
      <c r="AC102" s="34"/>
      <c r="AD102" s="34"/>
    </row>
    <row r="103" spans="1:30" ht="40.5" customHeight="1">
      <c r="A103" s="84"/>
      <c r="B103" s="110" t="s">
        <v>40</v>
      </c>
      <c r="C103" s="111"/>
      <c r="D103" s="111"/>
      <c r="E103" s="85">
        <f t="shared" si="6"/>
        <v>17.399999999999999</v>
      </c>
      <c r="F103" s="31"/>
      <c r="G103" s="110" t="s">
        <v>105</v>
      </c>
      <c r="H103" s="111"/>
      <c r="I103" s="111"/>
      <c r="J103" s="37">
        <v>17.399999999999999</v>
      </c>
      <c r="K103" s="32"/>
      <c r="L103" s="115" t="s">
        <v>76</v>
      </c>
      <c r="M103" s="116"/>
      <c r="N103" s="117"/>
      <c r="O103" s="38">
        <f t="shared" si="7"/>
        <v>17.399999999999999</v>
      </c>
      <c r="P103" s="32"/>
      <c r="Q103" s="40" t="s">
        <v>80</v>
      </c>
      <c r="R103" s="48" t="s">
        <v>44</v>
      </c>
      <c r="S103" s="48" t="s">
        <v>67</v>
      </c>
      <c r="T103" s="34"/>
      <c r="U103" s="34"/>
      <c r="V103" s="34"/>
      <c r="X103" s="34"/>
      <c r="Y103" s="34"/>
      <c r="Z103" s="34"/>
      <c r="AA103" s="34"/>
      <c r="AB103" s="34"/>
      <c r="AC103" s="34"/>
      <c r="AD103" s="34"/>
    </row>
    <row r="104" spans="1:30" ht="40.5" customHeight="1">
      <c r="A104" s="84"/>
      <c r="B104" s="110" t="s">
        <v>40</v>
      </c>
      <c r="C104" s="111"/>
      <c r="D104" s="111"/>
      <c r="E104" s="85">
        <f t="shared" si="6"/>
        <v>2</v>
      </c>
      <c r="F104" s="31"/>
      <c r="G104" s="110" t="s">
        <v>104</v>
      </c>
      <c r="H104" s="111"/>
      <c r="I104" s="111"/>
      <c r="J104" s="36">
        <v>2</v>
      </c>
      <c r="K104" s="39"/>
      <c r="L104" s="115" t="s">
        <v>76</v>
      </c>
      <c r="M104" s="116"/>
      <c r="N104" s="117"/>
      <c r="O104" s="38">
        <f t="shared" si="7"/>
        <v>2</v>
      </c>
      <c r="P104" s="32"/>
      <c r="Q104" s="40" t="s">
        <v>80</v>
      </c>
      <c r="R104" s="48" t="s">
        <v>44</v>
      </c>
      <c r="S104" s="48" t="s">
        <v>55</v>
      </c>
      <c r="T104" s="34"/>
      <c r="U104" s="34"/>
      <c r="V104" s="34"/>
      <c r="X104" s="34"/>
      <c r="Y104" s="34"/>
      <c r="Z104" s="34"/>
      <c r="AA104" s="34"/>
      <c r="AB104" s="34"/>
      <c r="AC104" s="34"/>
      <c r="AD104" s="34"/>
    </row>
    <row r="105" spans="1:30" ht="40.5" customHeight="1">
      <c r="A105" s="84"/>
      <c r="B105" s="110" t="s">
        <v>40</v>
      </c>
      <c r="C105" s="111"/>
      <c r="D105" s="111"/>
      <c r="E105" s="85">
        <f t="shared" si="6"/>
        <v>18.899999999999999</v>
      </c>
      <c r="F105" s="31"/>
      <c r="G105" s="110" t="s">
        <v>105</v>
      </c>
      <c r="H105" s="111"/>
      <c r="I105" s="111"/>
      <c r="J105" s="36">
        <v>18.899999999999999</v>
      </c>
      <c r="K105" s="39"/>
      <c r="L105" s="115" t="s">
        <v>76</v>
      </c>
      <c r="M105" s="116"/>
      <c r="N105" s="117"/>
      <c r="O105" s="38">
        <f t="shared" si="7"/>
        <v>18.899999999999999</v>
      </c>
      <c r="P105" s="32"/>
      <c r="Q105" s="40" t="s">
        <v>80</v>
      </c>
      <c r="R105" s="48" t="s">
        <v>44</v>
      </c>
      <c r="S105" s="48" t="s">
        <v>67</v>
      </c>
      <c r="T105" s="34"/>
      <c r="U105" s="34"/>
      <c r="V105" s="34"/>
      <c r="X105" s="34"/>
      <c r="Y105" s="34"/>
      <c r="Z105" s="34"/>
      <c r="AA105" s="34"/>
      <c r="AB105" s="34"/>
      <c r="AC105" s="34"/>
      <c r="AD105" s="34"/>
    </row>
    <row r="106" spans="1:30" ht="40.5" customHeight="1">
      <c r="A106" s="84"/>
      <c r="B106" s="110" t="s">
        <v>40</v>
      </c>
      <c r="C106" s="111"/>
      <c r="D106" s="111"/>
      <c r="E106" s="85">
        <f t="shared" si="6"/>
        <v>1.5</v>
      </c>
      <c r="F106" s="31"/>
      <c r="G106" s="110" t="s">
        <v>104</v>
      </c>
      <c r="H106" s="111"/>
      <c r="I106" s="111"/>
      <c r="J106" s="36">
        <v>1.5</v>
      </c>
      <c r="K106" s="39"/>
      <c r="L106" s="115" t="s">
        <v>76</v>
      </c>
      <c r="M106" s="116"/>
      <c r="N106" s="117"/>
      <c r="O106" s="38">
        <f t="shared" si="7"/>
        <v>1.5</v>
      </c>
      <c r="P106" s="32"/>
      <c r="Q106" s="40" t="s">
        <v>80</v>
      </c>
      <c r="R106" s="48" t="s">
        <v>44</v>
      </c>
      <c r="S106" s="48" t="s">
        <v>55</v>
      </c>
      <c r="T106" s="34"/>
      <c r="U106" s="34"/>
      <c r="V106" s="34"/>
      <c r="X106" s="34"/>
      <c r="Y106" s="34"/>
      <c r="Z106" s="34"/>
      <c r="AA106" s="34"/>
      <c r="AB106" s="34"/>
      <c r="AC106" s="34"/>
      <c r="AD106" s="34"/>
    </row>
    <row r="107" spans="1:30" ht="40.5" customHeight="1">
      <c r="A107" s="84"/>
      <c r="B107" s="110" t="s">
        <v>40</v>
      </c>
      <c r="C107" s="111"/>
      <c r="D107" s="111"/>
      <c r="E107" s="85">
        <f t="shared" si="6"/>
        <v>4.5</v>
      </c>
      <c r="F107" s="31"/>
      <c r="G107" s="110" t="s">
        <v>105</v>
      </c>
      <c r="H107" s="111"/>
      <c r="I107" s="111"/>
      <c r="J107" s="36">
        <v>4.5</v>
      </c>
      <c r="K107" s="39"/>
      <c r="L107" s="115" t="s">
        <v>76</v>
      </c>
      <c r="M107" s="116"/>
      <c r="N107" s="117"/>
      <c r="O107" s="38">
        <f t="shared" si="7"/>
        <v>4.5</v>
      </c>
      <c r="P107" s="32"/>
      <c r="Q107" s="40" t="s">
        <v>80</v>
      </c>
      <c r="R107" s="48" t="s">
        <v>44</v>
      </c>
      <c r="S107" s="48" t="s">
        <v>67</v>
      </c>
      <c r="T107" s="34"/>
      <c r="U107" s="34"/>
      <c r="V107" s="34"/>
      <c r="X107" s="34"/>
      <c r="Y107" s="34"/>
      <c r="Z107" s="34"/>
      <c r="AA107" s="34"/>
      <c r="AB107" s="34"/>
      <c r="AC107" s="34"/>
      <c r="AD107" s="34"/>
    </row>
    <row r="108" spans="1:30" ht="40.5" customHeight="1">
      <c r="A108" s="84"/>
      <c r="B108" s="110" t="s">
        <v>40</v>
      </c>
      <c r="C108" s="111"/>
      <c r="D108" s="111"/>
      <c r="E108" s="85">
        <f t="shared" si="6"/>
        <v>1.1000000000000001</v>
      </c>
      <c r="F108" s="31"/>
      <c r="G108" s="110" t="s">
        <v>104</v>
      </c>
      <c r="H108" s="111"/>
      <c r="I108" s="111"/>
      <c r="J108" s="37">
        <v>1.1000000000000001</v>
      </c>
      <c r="K108" s="39"/>
      <c r="L108" s="115" t="s">
        <v>76</v>
      </c>
      <c r="M108" s="116"/>
      <c r="N108" s="117"/>
      <c r="O108" s="38">
        <f t="shared" si="7"/>
        <v>1.1000000000000001</v>
      </c>
      <c r="P108" s="32"/>
      <c r="Q108" s="40" t="s">
        <v>80</v>
      </c>
      <c r="R108" s="48" t="s">
        <v>44</v>
      </c>
      <c r="S108" s="48" t="s">
        <v>55</v>
      </c>
      <c r="T108" s="34"/>
      <c r="U108" s="34"/>
      <c r="V108" s="34"/>
      <c r="X108" s="34"/>
      <c r="Y108" s="34"/>
      <c r="Z108" s="34"/>
      <c r="AA108" s="34"/>
      <c r="AB108" s="34"/>
      <c r="AC108" s="34"/>
      <c r="AD108" s="34"/>
    </row>
    <row r="109" spans="1:30" ht="40.5" customHeight="1">
      <c r="A109" s="84"/>
      <c r="B109" s="110" t="s">
        <v>40</v>
      </c>
      <c r="C109" s="111"/>
      <c r="D109" s="111"/>
      <c r="E109" s="85">
        <f t="shared" si="6"/>
        <v>3.6</v>
      </c>
      <c r="F109" s="31"/>
      <c r="G109" s="110" t="s">
        <v>105</v>
      </c>
      <c r="H109" s="111"/>
      <c r="I109" s="111"/>
      <c r="J109" s="37">
        <v>3.6</v>
      </c>
      <c r="K109" s="39"/>
      <c r="L109" s="115" t="s">
        <v>76</v>
      </c>
      <c r="M109" s="116"/>
      <c r="N109" s="117"/>
      <c r="O109" s="38">
        <f t="shared" si="7"/>
        <v>3.6</v>
      </c>
      <c r="P109" s="32"/>
      <c r="Q109" s="40" t="s">
        <v>80</v>
      </c>
      <c r="R109" s="48" t="s">
        <v>44</v>
      </c>
      <c r="S109" s="48" t="s">
        <v>67</v>
      </c>
      <c r="T109" s="34"/>
      <c r="U109" s="34"/>
      <c r="V109" s="34"/>
      <c r="X109" s="34"/>
      <c r="Y109" s="34"/>
      <c r="Z109" s="34"/>
      <c r="AA109" s="34"/>
      <c r="AB109" s="34"/>
      <c r="AC109" s="34"/>
      <c r="AD109" s="34"/>
    </row>
    <row r="110" spans="1:30" ht="40.5" customHeight="1">
      <c r="A110" s="84"/>
      <c r="B110" s="110" t="s">
        <v>40</v>
      </c>
      <c r="C110" s="111"/>
      <c r="D110" s="111"/>
      <c r="E110" s="85">
        <f t="shared" si="6"/>
        <v>1</v>
      </c>
      <c r="F110" s="31"/>
      <c r="G110" s="110" t="s">
        <v>104</v>
      </c>
      <c r="H110" s="111"/>
      <c r="I110" s="111"/>
      <c r="J110" s="37">
        <v>1</v>
      </c>
      <c r="K110" s="39"/>
      <c r="L110" s="115" t="s">
        <v>76</v>
      </c>
      <c r="M110" s="116"/>
      <c r="N110" s="117"/>
      <c r="O110" s="38">
        <f t="shared" si="7"/>
        <v>1</v>
      </c>
      <c r="P110" s="32"/>
      <c r="Q110" s="40" t="s">
        <v>80</v>
      </c>
      <c r="R110" s="48" t="s">
        <v>44</v>
      </c>
      <c r="S110" s="48" t="s">
        <v>55</v>
      </c>
      <c r="T110" s="34"/>
      <c r="U110" s="34"/>
      <c r="V110" s="34"/>
      <c r="X110" s="34"/>
      <c r="Y110" s="34"/>
      <c r="Z110" s="34"/>
      <c r="AA110" s="34"/>
      <c r="AB110" s="34"/>
      <c r="AC110" s="34"/>
      <c r="AD110" s="34"/>
    </row>
    <row r="111" spans="1:30" ht="40.5" customHeight="1">
      <c r="A111" s="84"/>
      <c r="B111" s="110" t="s">
        <v>40</v>
      </c>
      <c r="C111" s="111"/>
      <c r="D111" s="111"/>
      <c r="E111" s="85">
        <f t="shared" si="6"/>
        <v>4.4000000000000004</v>
      </c>
      <c r="F111" s="31"/>
      <c r="G111" s="110" t="s">
        <v>105</v>
      </c>
      <c r="H111" s="111"/>
      <c r="I111" s="111"/>
      <c r="J111" s="37">
        <v>4.4000000000000004</v>
      </c>
      <c r="K111" s="32"/>
      <c r="L111" s="115" t="s">
        <v>76</v>
      </c>
      <c r="M111" s="116"/>
      <c r="N111" s="117"/>
      <c r="O111" s="38">
        <f t="shared" si="7"/>
        <v>4.4000000000000004</v>
      </c>
      <c r="P111" s="32"/>
      <c r="Q111" s="40" t="s">
        <v>80</v>
      </c>
      <c r="R111" s="48" t="s">
        <v>44</v>
      </c>
      <c r="S111" s="48" t="s">
        <v>67</v>
      </c>
      <c r="T111" s="34"/>
      <c r="U111" s="34"/>
      <c r="V111" s="34"/>
      <c r="X111" s="34"/>
      <c r="Y111" s="34"/>
      <c r="Z111" s="34"/>
      <c r="AA111" s="34"/>
      <c r="AB111" s="34"/>
      <c r="AC111" s="34"/>
      <c r="AD111" s="34"/>
    </row>
    <row r="112" spans="1:30" ht="40.5" customHeight="1">
      <c r="A112" s="84"/>
      <c r="B112" s="110" t="s">
        <v>40</v>
      </c>
      <c r="C112" s="111"/>
      <c r="D112" s="111"/>
      <c r="E112" s="85">
        <f t="shared" si="6"/>
        <v>0.6</v>
      </c>
      <c r="F112" s="31"/>
      <c r="G112" s="121" t="s">
        <v>109</v>
      </c>
      <c r="H112" s="122"/>
      <c r="I112" s="122"/>
      <c r="J112" s="37">
        <v>0.6</v>
      </c>
      <c r="K112" s="32"/>
      <c r="L112" s="115" t="s">
        <v>76</v>
      </c>
      <c r="M112" s="116"/>
      <c r="N112" s="117"/>
      <c r="O112" s="38">
        <f t="shared" si="7"/>
        <v>0.6</v>
      </c>
      <c r="P112" s="32"/>
      <c r="Q112" s="40" t="s">
        <v>80</v>
      </c>
      <c r="R112" s="48" t="s">
        <v>44</v>
      </c>
      <c r="S112" s="48" t="s">
        <v>61</v>
      </c>
      <c r="T112" s="34"/>
      <c r="U112" s="34"/>
      <c r="V112" s="34"/>
      <c r="X112" s="34"/>
      <c r="Y112" s="34"/>
      <c r="Z112" s="34"/>
      <c r="AA112" s="34"/>
      <c r="AB112" s="34"/>
      <c r="AC112" s="34"/>
      <c r="AD112" s="34"/>
    </row>
    <row r="113" spans="1:30" ht="40.5" customHeight="1">
      <c r="A113" s="84"/>
      <c r="B113" s="110" t="s">
        <v>40</v>
      </c>
      <c r="C113" s="111"/>
      <c r="D113" s="111"/>
      <c r="E113" s="85">
        <f t="shared" si="6"/>
        <v>21.2</v>
      </c>
      <c r="F113" s="31"/>
      <c r="G113" s="110" t="s">
        <v>105</v>
      </c>
      <c r="H113" s="111"/>
      <c r="I113" s="111"/>
      <c r="J113" s="37">
        <f>19.5+1.7</f>
        <v>21.2</v>
      </c>
      <c r="K113" s="30"/>
      <c r="L113" s="115" t="s">
        <v>41</v>
      </c>
      <c r="M113" s="116"/>
      <c r="N113" s="117"/>
      <c r="O113" s="38">
        <f t="shared" si="7"/>
        <v>21.2</v>
      </c>
      <c r="P113" s="31"/>
      <c r="Q113" s="40" t="s">
        <v>42</v>
      </c>
      <c r="R113" s="48" t="s">
        <v>44</v>
      </c>
      <c r="S113" s="48" t="s">
        <v>67</v>
      </c>
      <c r="T113" s="93">
        <f>SUM(O113:O121)</f>
        <v>61</v>
      </c>
      <c r="U113" s="34"/>
      <c r="V113" s="34"/>
      <c r="X113" s="34"/>
      <c r="Y113" s="34"/>
      <c r="Z113" s="34"/>
      <c r="AA113" s="34"/>
      <c r="AB113" s="34"/>
      <c r="AC113" s="34"/>
      <c r="AD113" s="34"/>
    </row>
    <row r="114" spans="1:30" ht="40.5" customHeight="1">
      <c r="A114" s="84"/>
      <c r="B114" s="110" t="s">
        <v>40</v>
      </c>
      <c r="C114" s="111"/>
      <c r="D114" s="111"/>
      <c r="E114" s="85">
        <f t="shared" si="6"/>
        <v>0.4</v>
      </c>
      <c r="F114" s="31"/>
      <c r="G114" s="121" t="s">
        <v>109</v>
      </c>
      <c r="H114" s="122"/>
      <c r="I114" s="122"/>
      <c r="J114" s="37">
        <v>0.4</v>
      </c>
      <c r="K114" s="30"/>
      <c r="L114" s="115" t="s">
        <v>41</v>
      </c>
      <c r="M114" s="116"/>
      <c r="N114" s="117"/>
      <c r="O114" s="38">
        <f t="shared" si="7"/>
        <v>0.4</v>
      </c>
      <c r="P114" s="31"/>
      <c r="Q114" s="40" t="s">
        <v>42</v>
      </c>
      <c r="R114" s="48" t="s">
        <v>44</v>
      </c>
      <c r="S114" s="48" t="s">
        <v>61</v>
      </c>
      <c r="T114" s="34"/>
      <c r="U114" s="34"/>
      <c r="V114" s="34"/>
      <c r="X114" s="34"/>
      <c r="Y114" s="34"/>
      <c r="Z114" s="34"/>
      <c r="AA114" s="34"/>
      <c r="AB114" s="34"/>
      <c r="AC114" s="34"/>
      <c r="AD114" s="34"/>
    </row>
    <row r="115" spans="1:30" ht="40.5" customHeight="1">
      <c r="A115" s="84"/>
      <c r="B115" s="110" t="s">
        <v>40</v>
      </c>
      <c r="C115" s="111"/>
      <c r="D115" s="111"/>
      <c r="E115" s="85">
        <f t="shared" si="6"/>
        <v>7.9</v>
      </c>
      <c r="F115" s="31"/>
      <c r="G115" s="110" t="s">
        <v>105</v>
      </c>
      <c r="H115" s="111"/>
      <c r="I115" s="111"/>
      <c r="J115" s="37">
        <v>7.9</v>
      </c>
      <c r="K115" s="30"/>
      <c r="L115" s="115" t="s">
        <v>41</v>
      </c>
      <c r="M115" s="116"/>
      <c r="N115" s="117"/>
      <c r="O115" s="38">
        <f t="shared" si="7"/>
        <v>7.9</v>
      </c>
      <c r="P115" s="31"/>
      <c r="Q115" s="40" t="s">
        <v>42</v>
      </c>
      <c r="R115" s="48" t="s">
        <v>44</v>
      </c>
      <c r="S115" s="48" t="s">
        <v>67</v>
      </c>
      <c r="T115" s="34"/>
      <c r="U115" s="34"/>
      <c r="V115" s="34"/>
      <c r="X115" s="34"/>
      <c r="Y115" s="34"/>
      <c r="Z115" s="34"/>
      <c r="AA115" s="34"/>
      <c r="AB115" s="34"/>
      <c r="AC115" s="34"/>
      <c r="AD115" s="34"/>
    </row>
    <row r="116" spans="1:30" ht="40.5" customHeight="1">
      <c r="A116" s="84"/>
      <c r="B116" s="110" t="s">
        <v>40</v>
      </c>
      <c r="C116" s="111"/>
      <c r="D116" s="111"/>
      <c r="E116" s="85">
        <f t="shared" si="6"/>
        <v>2.7</v>
      </c>
      <c r="F116" s="31"/>
      <c r="G116" s="118" t="s">
        <v>108</v>
      </c>
      <c r="H116" s="119"/>
      <c r="I116" s="120"/>
      <c r="J116" s="37">
        <v>2.7</v>
      </c>
      <c r="K116" s="30"/>
      <c r="L116" s="115" t="s">
        <v>41</v>
      </c>
      <c r="M116" s="116"/>
      <c r="N116" s="117"/>
      <c r="O116" s="38">
        <f t="shared" si="7"/>
        <v>2.7</v>
      </c>
      <c r="P116" s="31"/>
      <c r="Q116" s="40" t="s">
        <v>42</v>
      </c>
      <c r="R116" s="48" t="s">
        <v>44</v>
      </c>
      <c r="S116" s="48" t="s">
        <v>46</v>
      </c>
      <c r="T116" s="34"/>
      <c r="U116" s="34"/>
      <c r="V116" s="34"/>
      <c r="X116" s="34"/>
      <c r="Y116" s="34"/>
      <c r="Z116" s="34"/>
      <c r="AA116" s="34"/>
      <c r="AB116" s="34"/>
      <c r="AC116" s="34"/>
      <c r="AD116" s="34"/>
    </row>
    <row r="117" spans="1:30" ht="40.5" customHeight="1">
      <c r="A117" s="84"/>
      <c r="B117" s="110" t="s">
        <v>40</v>
      </c>
      <c r="C117" s="111"/>
      <c r="D117" s="111"/>
      <c r="E117" s="85">
        <f t="shared" si="6"/>
        <v>24</v>
      </c>
      <c r="F117" s="31"/>
      <c r="G117" s="110" t="s">
        <v>105</v>
      </c>
      <c r="H117" s="111"/>
      <c r="I117" s="111"/>
      <c r="J117" s="37">
        <v>24</v>
      </c>
      <c r="K117" s="30"/>
      <c r="L117" s="115" t="s">
        <v>41</v>
      </c>
      <c r="M117" s="116"/>
      <c r="N117" s="117"/>
      <c r="O117" s="38">
        <f t="shared" si="7"/>
        <v>24</v>
      </c>
      <c r="P117" s="31"/>
      <c r="Q117" s="40" t="s">
        <v>42</v>
      </c>
      <c r="R117" s="48" t="s">
        <v>44</v>
      </c>
      <c r="S117" s="48" t="s">
        <v>67</v>
      </c>
      <c r="T117" s="34"/>
      <c r="U117" s="34"/>
      <c r="V117" s="34"/>
      <c r="X117" s="34"/>
      <c r="Y117" s="34"/>
      <c r="Z117" s="34"/>
      <c r="AA117" s="34"/>
      <c r="AB117" s="34"/>
      <c r="AC117" s="34"/>
      <c r="AD117" s="34"/>
    </row>
    <row r="118" spans="1:30" ht="40.5" customHeight="1">
      <c r="A118" s="84"/>
      <c r="B118" s="110" t="s">
        <v>40</v>
      </c>
      <c r="C118" s="111"/>
      <c r="D118" s="111"/>
      <c r="E118" s="85">
        <f t="shared" si="6"/>
        <v>1</v>
      </c>
      <c r="F118" s="31"/>
      <c r="G118" s="118" t="s">
        <v>108</v>
      </c>
      <c r="H118" s="119"/>
      <c r="I118" s="120"/>
      <c r="J118" s="36">
        <v>1</v>
      </c>
      <c r="K118" s="30"/>
      <c r="L118" s="115" t="s">
        <v>41</v>
      </c>
      <c r="M118" s="116"/>
      <c r="N118" s="117"/>
      <c r="O118" s="38">
        <f t="shared" si="7"/>
        <v>1</v>
      </c>
      <c r="P118" s="31"/>
      <c r="Q118" s="40" t="s">
        <v>42</v>
      </c>
      <c r="R118" s="48" t="s">
        <v>44</v>
      </c>
      <c r="S118" s="48" t="s">
        <v>46</v>
      </c>
      <c r="T118" s="34"/>
      <c r="U118" s="34"/>
      <c r="V118" s="34"/>
      <c r="X118" s="34"/>
      <c r="Y118" s="34"/>
      <c r="Z118" s="34"/>
      <c r="AA118" s="34"/>
      <c r="AB118" s="34"/>
      <c r="AC118" s="34"/>
      <c r="AD118" s="34"/>
    </row>
    <row r="119" spans="1:30" ht="40.5" customHeight="1">
      <c r="A119" s="84"/>
      <c r="B119" s="110" t="s">
        <v>40</v>
      </c>
      <c r="C119" s="111"/>
      <c r="D119" s="111"/>
      <c r="E119" s="85">
        <f t="shared" si="6"/>
        <v>0.9</v>
      </c>
      <c r="F119" s="31"/>
      <c r="G119" s="110" t="s">
        <v>105</v>
      </c>
      <c r="H119" s="111"/>
      <c r="I119" s="111"/>
      <c r="J119" s="36">
        <v>0.9</v>
      </c>
      <c r="K119" s="30"/>
      <c r="L119" s="115" t="s">
        <v>41</v>
      </c>
      <c r="M119" s="116"/>
      <c r="N119" s="117"/>
      <c r="O119" s="38">
        <f t="shared" si="7"/>
        <v>0.9</v>
      </c>
      <c r="P119" s="31"/>
      <c r="Q119" s="40" t="s">
        <v>42</v>
      </c>
      <c r="R119" s="48" t="s">
        <v>44</v>
      </c>
      <c r="S119" s="48" t="s">
        <v>67</v>
      </c>
      <c r="T119" s="34"/>
      <c r="U119" s="34"/>
      <c r="V119" s="34"/>
      <c r="X119" s="34"/>
      <c r="Y119" s="34"/>
      <c r="Z119" s="34"/>
      <c r="AA119" s="34"/>
      <c r="AB119" s="34"/>
      <c r="AC119" s="34"/>
      <c r="AD119" s="34"/>
    </row>
    <row r="120" spans="1:30" ht="40.5" customHeight="1">
      <c r="A120" s="84"/>
      <c r="B120" s="110" t="s">
        <v>40</v>
      </c>
      <c r="C120" s="111"/>
      <c r="D120" s="111"/>
      <c r="E120" s="85">
        <f t="shared" si="6"/>
        <v>1.3</v>
      </c>
      <c r="F120" s="31"/>
      <c r="G120" s="118" t="s">
        <v>108</v>
      </c>
      <c r="H120" s="119"/>
      <c r="I120" s="120"/>
      <c r="J120" s="36">
        <v>1.3</v>
      </c>
      <c r="K120" s="30"/>
      <c r="L120" s="115" t="s">
        <v>41</v>
      </c>
      <c r="M120" s="116"/>
      <c r="N120" s="117"/>
      <c r="O120" s="38">
        <f t="shared" si="7"/>
        <v>1.3</v>
      </c>
      <c r="P120" s="31"/>
      <c r="Q120" s="40" t="s">
        <v>42</v>
      </c>
      <c r="R120" s="48" t="s">
        <v>44</v>
      </c>
      <c r="S120" s="48" t="s">
        <v>46</v>
      </c>
      <c r="T120" s="34"/>
      <c r="U120" s="34"/>
      <c r="V120" s="34"/>
      <c r="X120" s="34"/>
      <c r="Y120" s="34"/>
      <c r="Z120" s="34"/>
      <c r="AA120" s="34"/>
      <c r="AB120" s="34"/>
      <c r="AC120" s="34"/>
      <c r="AD120" s="34"/>
    </row>
    <row r="121" spans="1:30" ht="40.5" customHeight="1">
      <c r="A121" s="84"/>
      <c r="B121" s="110" t="s">
        <v>40</v>
      </c>
      <c r="C121" s="111"/>
      <c r="D121" s="111"/>
      <c r="E121" s="85">
        <f t="shared" si="6"/>
        <v>1.6</v>
      </c>
      <c r="F121" s="31"/>
      <c r="G121" s="121" t="s">
        <v>109</v>
      </c>
      <c r="H121" s="122"/>
      <c r="I121" s="122"/>
      <c r="J121" s="36">
        <v>1.6</v>
      </c>
      <c r="K121" s="30"/>
      <c r="L121" s="115" t="s">
        <v>41</v>
      </c>
      <c r="M121" s="116"/>
      <c r="N121" s="117"/>
      <c r="O121" s="38">
        <f t="shared" si="7"/>
        <v>1.6</v>
      </c>
      <c r="P121" s="31"/>
      <c r="Q121" s="40" t="s">
        <v>42</v>
      </c>
      <c r="R121" s="48" t="s">
        <v>44</v>
      </c>
      <c r="S121" s="48" t="s">
        <v>61</v>
      </c>
      <c r="T121" s="34"/>
      <c r="U121" s="34"/>
      <c r="V121" s="34"/>
      <c r="X121" s="34"/>
      <c r="Y121" s="34"/>
      <c r="Z121" s="34"/>
      <c r="AA121" s="34"/>
      <c r="AB121" s="34"/>
      <c r="AC121" s="34"/>
      <c r="AD121" s="34"/>
    </row>
    <row r="122" spans="1:30" ht="40.5" customHeight="1">
      <c r="A122" s="84"/>
      <c r="B122" s="110" t="s">
        <v>40</v>
      </c>
      <c r="C122" s="111"/>
      <c r="D122" s="111"/>
      <c r="E122" s="85">
        <f t="shared" si="6"/>
        <v>3.4</v>
      </c>
      <c r="F122" s="31"/>
      <c r="G122" s="115" t="s">
        <v>110</v>
      </c>
      <c r="H122" s="116"/>
      <c r="I122" s="117"/>
      <c r="J122" s="37">
        <v>3.4</v>
      </c>
      <c r="K122" s="39"/>
      <c r="L122" s="115" t="s">
        <v>76</v>
      </c>
      <c r="M122" s="116"/>
      <c r="N122" s="117"/>
      <c r="O122" s="38">
        <f t="shared" si="7"/>
        <v>3.4</v>
      </c>
      <c r="P122" s="32"/>
      <c r="Q122" s="40" t="s">
        <v>80</v>
      </c>
      <c r="R122" s="48" t="s">
        <v>44</v>
      </c>
      <c r="S122" s="48" t="s">
        <v>48</v>
      </c>
      <c r="T122" s="34"/>
      <c r="U122" s="34"/>
      <c r="V122" s="34"/>
      <c r="X122" s="34"/>
      <c r="Y122" s="34"/>
      <c r="Z122" s="34"/>
      <c r="AA122" s="34"/>
      <c r="AB122" s="34"/>
      <c r="AC122" s="34"/>
      <c r="AD122" s="34"/>
    </row>
    <row r="123" spans="1:30" ht="40.5" customHeight="1">
      <c r="A123" s="84"/>
      <c r="B123" s="110" t="s">
        <v>40</v>
      </c>
      <c r="C123" s="111"/>
      <c r="D123" s="111"/>
      <c r="E123" s="85">
        <f t="shared" si="6"/>
        <v>6.4</v>
      </c>
      <c r="F123" s="31"/>
      <c r="G123" s="110" t="s">
        <v>105</v>
      </c>
      <c r="H123" s="111"/>
      <c r="I123" s="111"/>
      <c r="J123" s="37">
        <v>6.4</v>
      </c>
      <c r="K123" s="30"/>
      <c r="L123" s="115" t="s">
        <v>41</v>
      </c>
      <c r="M123" s="116"/>
      <c r="N123" s="117"/>
      <c r="O123" s="38">
        <f t="shared" si="7"/>
        <v>6.4</v>
      </c>
      <c r="P123" s="31"/>
      <c r="Q123" s="40" t="s">
        <v>42</v>
      </c>
      <c r="R123" s="48" t="s">
        <v>44</v>
      </c>
      <c r="S123" s="48" t="s">
        <v>67</v>
      </c>
      <c r="T123" s="93">
        <f>SUM(O123:O156)</f>
        <v>117.69999999999999</v>
      </c>
      <c r="U123" s="34"/>
      <c r="V123" s="34"/>
      <c r="X123" s="34"/>
      <c r="Y123" s="34"/>
      <c r="Z123" s="34"/>
      <c r="AA123" s="34"/>
      <c r="AB123" s="34"/>
      <c r="AC123" s="34"/>
      <c r="AD123" s="34"/>
    </row>
    <row r="124" spans="1:30" ht="40.5" customHeight="1">
      <c r="A124" s="84"/>
      <c r="B124" s="110" t="s">
        <v>40</v>
      </c>
      <c r="C124" s="111"/>
      <c r="D124" s="111"/>
      <c r="E124" s="85">
        <f t="shared" si="6"/>
        <v>2.1</v>
      </c>
      <c r="F124" s="31"/>
      <c r="G124" s="118" t="s">
        <v>108</v>
      </c>
      <c r="H124" s="119"/>
      <c r="I124" s="120"/>
      <c r="J124" s="37">
        <v>2.1</v>
      </c>
      <c r="K124" s="30"/>
      <c r="L124" s="115" t="s">
        <v>41</v>
      </c>
      <c r="M124" s="116"/>
      <c r="N124" s="117"/>
      <c r="O124" s="38">
        <f t="shared" si="7"/>
        <v>2.1</v>
      </c>
      <c r="P124" s="31"/>
      <c r="Q124" s="40" t="s">
        <v>42</v>
      </c>
      <c r="R124" s="48" t="s">
        <v>44</v>
      </c>
      <c r="S124" s="48" t="s">
        <v>46</v>
      </c>
      <c r="T124" s="34"/>
      <c r="U124" s="34"/>
      <c r="V124" s="34"/>
      <c r="X124" s="34"/>
      <c r="Y124" s="34"/>
      <c r="Z124" s="34"/>
      <c r="AA124" s="34"/>
      <c r="AB124" s="34"/>
      <c r="AC124" s="34"/>
      <c r="AD124" s="34"/>
    </row>
    <row r="125" spans="1:30" ht="40.5" customHeight="1">
      <c r="A125" s="84"/>
      <c r="B125" s="110" t="s">
        <v>40</v>
      </c>
      <c r="C125" s="111"/>
      <c r="D125" s="111"/>
      <c r="E125" s="85">
        <f t="shared" si="6"/>
        <v>2.7</v>
      </c>
      <c r="F125" s="31"/>
      <c r="G125" s="115" t="s">
        <v>110</v>
      </c>
      <c r="H125" s="116"/>
      <c r="I125" s="117"/>
      <c r="J125" s="37">
        <v>2.7</v>
      </c>
      <c r="K125" s="30"/>
      <c r="L125" s="115" t="s">
        <v>41</v>
      </c>
      <c r="M125" s="116"/>
      <c r="N125" s="117"/>
      <c r="O125" s="38">
        <f t="shared" si="7"/>
        <v>2.7</v>
      </c>
      <c r="P125" s="31"/>
      <c r="Q125" s="40" t="s">
        <v>42</v>
      </c>
      <c r="R125" s="48" t="s">
        <v>44</v>
      </c>
      <c r="S125" s="48" t="s">
        <v>48</v>
      </c>
      <c r="T125" s="34"/>
      <c r="U125" s="34"/>
      <c r="V125" s="34"/>
      <c r="X125" s="34"/>
      <c r="Y125" s="34"/>
      <c r="Z125" s="34"/>
      <c r="AA125" s="34"/>
      <c r="AB125" s="34"/>
      <c r="AC125" s="34"/>
      <c r="AD125" s="34"/>
    </row>
    <row r="126" spans="1:30" ht="40.5" customHeight="1">
      <c r="A126" s="84"/>
      <c r="B126" s="110" t="s">
        <v>40</v>
      </c>
      <c r="C126" s="111"/>
      <c r="D126" s="111"/>
      <c r="E126" s="85">
        <f t="shared" si="6"/>
        <v>0.6</v>
      </c>
      <c r="F126" s="31"/>
      <c r="G126" s="110" t="s">
        <v>109</v>
      </c>
      <c r="H126" s="111"/>
      <c r="I126" s="111"/>
      <c r="J126" s="37">
        <v>0.6</v>
      </c>
      <c r="K126" s="30"/>
      <c r="L126" s="115" t="s">
        <v>41</v>
      </c>
      <c r="M126" s="116"/>
      <c r="N126" s="117"/>
      <c r="O126" s="38">
        <f t="shared" si="7"/>
        <v>0.6</v>
      </c>
      <c r="P126" s="31"/>
      <c r="Q126" s="40" t="s">
        <v>42</v>
      </c>
      <c r="R126" s="48" t="s">
        <v>44</v>
      </c>
      <c r="S126" s="48" t="s">
        <v>61</v>
      </c>
      <c r="T126" s="34"/>
      <c r="U126" s="34"/>
      <c r="V126" s="34"/>
      <c r="X126" s="34"/>
      <c r="Y126" s="34"/>
      <c r="Z126" s="34"/>
      <c r="AA126" s="34"/>
      <c r="AB126" s="34"/>
      <c r="AC126" s="34"/>
      <c r="AD126" s="34"/>
    </row>
    <row r="127" spans="1:30" ht="40.5" customHeight="1">
      <c r="A127" s="84"/>
      <c r="B127" s="110" t="s">
        <v>40</v>
      </c>
      <c r="C127" s="111"/>
      <c r="D127" s="111"/>
      <c r="E127" s="85">
        <f t="shared" si="6"/>
        <v>3.5</v>
      </c>
      <c r="F127" s="31"/>
      <c r="G127" s="110" t="s">
        <v>105</v>
      </c>
      <c r="H127" s="111"/>
      <c r="I127" s="111"/>
      <c r="J127" s="37">
        <v>3.5</v>
      </c>
      <c r="K127" s="30"/>
      <c r="L127" s="115" t="s">
        <v>41</v>
      </c>
      <c r="M127" s="116"/>
      <c r="N127" s="117"/>
      <c r="O127" s="38">
        <f t="shared" si="7"/>
        <v>3.5</v>
      </c>
      <c r="P127" s="31"/>
      <c r="Q127" s="40" t="s">
        <v>42</v>
      </c>
      <c r="R127" s="48" t="s">
        <v>44</v>
      </c>
      <c r="S127" s="48" t="s">
        <v>67</v>
      </c>
      <c r="T127" s="34"/>
      <c r="U127" s="34"/>
      <c r="V127" s="34"/>
      <c r="X127" s="34"/>
      <c r="Y127" s="34"/>
      <c r="Z127" s="34"/>
      <c r="AA127" s="34"/>
      <c r="AB127" s="34"/>
      <c r="AC127" s="34"/>
      <c r="AD127" s="34"/>
    </row>
    <row r="128" spans="1:30" ht="40.5" customHeight="1">
      <c r="A128" s="84"/>
      <c r="B128" s="110" t="s">
        <v>40</v>
      </c>
      <c r="C128" s="111"/>
      <c r="D128" s="111"/>
      <c r="E128" s="85">
        <f t="shared" si="6"/>
        <v>3.6</v>
      </c>
      <c r="F128" s="31"/>
      <c r="G128" s="118" t="s">
        <v>111</v>
      </c>
      <c r="H128" s="122"/>
      <c r="I128" s="122"/>
      <c r="J128" s="37">
        <v>3.6</v>
      </c>
      <c r="K128" s="30"/>
      <c r="L128" s="115" t="s">
        <v>41</v>
      </c>
      <c r="M128" s="116"/>
      <c r="N128" s="117"/>
      <c r="O128" s="38">
        <f t="shared" si="7"/>
        <v>3.6</v>
      </c>
      <c r="P128" s="31"/>
      <c r="Q128" s="40" t="s">
        <v>42</v>
      </c>
      <c r="R128" s="48" t="s">
        <v>44</v>
      </c>
      <c r="S128" s="48" t="s">
        <v>50</v>
      </c>
      <c r="T128" s="34"/>
      <c r="U128" s="34"/>
      <c r="V128" s="34"/>
      <c r="X128" s="34"/>
      <c r="Y128" s="34"/>
      <c r="Z128" s="34"/>
      <c r="AA128" s="34"/>
      <c r="AB128" s="34"/>
      <c r="AC128" s="34"/>
      <c r="AD128" s="34"/>
    </row>
    <row r="129" spans="1:30" ht="40.5" customHeight="1">
      <c r="A129" s="84"/>
      <c r="B129" s="110" t="s">
        <v>40</v>
      </c>
      <c r="C129" s="111"/>
      <c r="D129" s="111"/>
      <c r="E129" s="85">
        <f t="shared" si="6"/>
        <v>3.5</v>
      </c>
      <c r="F129" s="31"/>
      <c r="G129" s="118" t="s">
        <v>108</v>
      </c>
      <c r="H129" s="119"/>
      <c r="I129" s="120"/>
      <c r="J129" s="37">
        <v>3.5</v>
      </c>
      <c r="K129" s="30"/>
      <c r="L129" s="115" t="s">
        <v>41</v>
      </c>
      <c r="M129" s="116"/>
      <c r="N129" s="117"/>
      <c r="O129" s="38">
        <f t="shared" si="7"/>
        <v>3.5</v>
      </c>
      <c r="P129" s="31"/>
      <c r="Q129" s="40" t="s">
        <v>42</v>
      </c>
      <c r="R129" s="48" t="s">
        <v>44</v>
      </c>
      <c r="S129" s="48" t="s">
        <v>46</v>
      </c>
      <c r="T129" s="34"/>
      <c r="U129" s="34"/>
      <c r="V129" s="34"/>
      <c r="X129" s="34"/>
      <c r="Y129" s="34"/>
      <c r="Z129" s="34"/>
      <c r="AA129" s="34"/>
      <c r="AB129" s="34"/>
      <c r="AC129" s="34"/>
      <c r="AD129" s="34"/>
    </row>
    <row r="130" spans="1:30" ht="40.5" customHeight="1">
      <c r="A130" s="84"/>
      <c r="B130" s="110" t="s">
        <v>40</v>
      </c>
      <c r="C130" s="111"/>
      <c r="D130" s="111"/>
      <c r="E130" s="85">
        <f t="shared" si="6"/>
        <v>0.9</v>
      </c>
      <c r="F130" s="31"/>
      <c r="G130" s="121" t="s">
        <v>109</v>
      </c>
      <c r="H130" s="122"/>
      <c r="I130" s="122"/>
      <c r="J130" s="37">
        <v>0.9</v>
      </c>
      <c r="K130" s="30"/>
      <c r="L130" s="115" t="s">
        <v>41</v>
      </c>
      <c r="M130" s="116"/>
      <c r="N130" s="117"/>
      <c r="O130" s="38">
        <f t="shared" si="7"/>
        <v>0.9</v>
      </c>
      <c r="P130" s="31"/>
      <c r="Q130" s="40" t="s">
        <v>42</v>
      </c>
      <c r="R130" s="48" t="s">
        <v>44</v>
      </c>
      <c r="S130" s="48" t="s">
        <v>61</v>
      </c>
      <c r="T130" s="34"/>
      <c r="U130" s="34"/>
      <c r="V130" s="34"/>
      <c r="X130" s="34"/>
      <c r="Y130" s="34"/>
      <c r="Z130" s="34"/>
      <c r="AA130" s="34"/>
      <c r="AB130" s="34"/>
      <c r="AC130" s="34"/>
      <c r="AD130" s="34"/>
    </row>
    <row r="131" spans="1:30" ht="40.5" customHeight="1">
      <c r="A131" s="84"/>
      <c r="B131" s="110" t="s">
        <v>40</v>
      </c>
      <c r="C131" s="111"/>
      <c r="D131" s="111"/>
      <c r="E131" s="85">
        <f t="shared" si="6"/>
        <v>8.6</v>
      </c>
      <c r="F131" s="31"/>
      <c r="G131" s="110" t="s">
        <v>105</v>
      </c>
      <c r="H131" s="111"/>
      <c r="I131" s="111"/>
      <c r="J131" s="37">
        <v>8.6</v>
      </c>
      <c r="K131" s="30"/>
      <c r="L131" s="115" t="s">
        <v>41</v>
      </c>
      <c r="M131" s="116"/>
      <c r="N131" s="117"/>
      <c r="O131" s="38">
        <f t="shared" si="7"/>
        <v>8.6</v>
      </c>
      <c r="P131" s="31"/>
      <c r="Q131" s="40" t="s">
        <v>42</v>
      </c>
      <c r="R131" s="48" t="s">
        <v>44</v>
      </c>
      <c r="S131" s="48" t="s">
        <v>67</v>
      </c>
      <c r="T131" s="34"/>
      <c r="U131" s="34"/>
      <c r="V131" s="34"/>
      <c r="X131" s="34"/>
      <c r="Y131" s="34"/>
      <c r="Z131" s="34"/>
      <c r="AA131" s="34"/>
      <c r="AB131" s="34"/>
      <c r="AC131" s="34"/>
      <c r="AD131" s="34"/>
    </row>
    <row r="132" spans="1:30" ht="40.5" customHeight="1">
      <c r="A132" s="84"/>
      <c r="B132" s="110" t="s">
        <v>40</v>
      </c>
      <c r="C132" s="111"/>
      <c r="D132" s="111"/>
      <c r="E132" s="85">
        <f t="shared" si="6"/>
        <v>0.8</v>
      </c>
      <c r="F132" s="31"/>
      <c r="G132" s="118" t="s">
        <v>111</v>
      </c>
      <c r="H132" s="122"/>
      <c r="I132" s="122"/>
      <c r="J132" s="36">
        <v>0.8</v>
      </c>
      <c r="K132" s="30"/>
      <c r="L132" s="115" t="s">
        <v>41</v>
      </c>
      <c r="M132" s="116"/>
      <c r="N132" s="117"/>
      <c r="O132" s="38">
        <f t="shared" si="7"/>
        <v>0.8</v>
      </c>
      <c r="P132" s="31"/>
      <c r="Q132" s="40" t="s">
        <v>42</v>
      </c>
      <c r="R132" s="48" t="s">
        <v>44</v>
      </c>
      <c r="S132" s="48" t="s">
        <v>50</v>
      </c>
      <c r="T132" s="34"/>
      <c r="U132" s="34"/>
      <c r="V132" s="34"/>
      <c r="X132" s="34"/>
      <c r="Y132" s="34"/>
      <c r="Z132" s="34"/>
      <c r="AA132" s="34"/>
      <c r="AB132" s="34"/>
      <c r="AC132" s="34"/>
      <c r="AD132" s="34"/>
    </row>
    <row r="133" spans="1:30" ht="40.5" customHeight="1">
      <c r="A133" s="84"/>
      <c r="B133" s="110" t="s">
        <v>40</v>
      </c>
      <c r="C133" s="111"/>
      <c r="D133" s="111"/>
      <c r="E133" s="85">
        <f t="shared" si="6"/>
        <v>2.2999999999999998</v>
      </c>
      <c r="F133" s="31"/>
      <c r="G133" s="118" t="s">
        <v>108</v>
      </c>
      <c r="H133" s="119"/>
      <c r="I133" s="120"/>
      <c r="J133" s="36">
        <v>2.2999999999999998</v>
      </c>
      <c r="K133" s="30"/>
      <c r="L133" s="115" t="s">
        <v>41</v>
      </c>
      <c r="M133" s="116"/>
      <c r="N133" s="117"/>
      <c r="O133" s="38">
        <f t="shared" si="7"/>
        <v>2.2999999999999998</v>
      </c>
      <c r="P133" s="31"/>
      <c r="Q133" s="40" t="s">
        <v>42</v>
      </c>
      <c r="R133" s="48" t="s">
        <v>44</v>
      </c>
      <c r="S133" s="48" t="s">
        <v>46</v>
      </c>
      <c r="T133" s="34"/>
      <c r="U133" s="34"/>
      <c r="V133" s="34"/>
      <c r="X133" s="34"/>
      <c r="Y133" s="34"/>
      <c r="Z133" s="34"/>
      <c r="AA133" s="34"/>
      <c r="AB133" s="34"/>
      <c r="AC133" s="34"/>
      <c r="AD133" s="34"/>
    </row>
    <row r="134" spans="1:30" ht="40.5" customHeight="1">
      <c r="A134" s="84"/>
      <c r="B134" s="110" t="s">
        <v>40</v>
      </c>
      <c r="C134" s="111"/>
      <c r="D134" s="111"/>
      <c r="E134" s="85">
        <f t="shared" si="6"/>
        <v>3.1</v>
      </c>
      <c r="F134" s="31"/>
      <c r="G134" s="121" t="s">
        <v>109</v>
      </c>
      <c r="H134" s="122"/>
      <c r="I134" s="122"/>
      <c r="J134" s="36">
        <v>3.1</v>
      </c>
      <c r="K134" s="30"/>
      <c r="L134" s="115" t="s">
        <v>41</v>
      </c>
      <c r="M134" s="116"/>
      <c r="N134" s="117"/>
      <c r="O134" s="38">
        <f t="shared" si="7"/>
        <v>3.1</v>
      </c>
      <c r="P134" s="31"/>
      <c r="Q134" s="40" t="s">
        <v>42</v>
      </c>
      <c r="R134" s="48" t="s">
        <v>44</v>
      </c>
      <c r="S134" s="48" t="s">
        <v>61</v>
      </c>
      <c r="T134" s="34"/>
      <c r="U134" s="34"/>
      <c r="V134" s="34"/>
      <c r="X134" s="34"/>
      <c r="Y134" s="34"/>
      <c r="Z134" s="34"/>
      <c r="AA134" s="34"/>
      <c r="AB134" s="34"/>
      <c r="AC134" s="34"/>
      <c r="AD134" s="34"/>
    </row>
    <row r="135" spans="1:30" ht="40.5" customHeight="1">
      <c r="A135" s="84"/>
      <c r="B135" s="110" t="s">
        <v>40</v>
      </c>
      <c r="C135" s="111"/>
      <c r="D135" s="111"/>
      <c r="E135" s="85">
        <f t="shared" si="6"/>
        <v>5.6</v>
      </c>
      <c r="F135" s="31"/>
      <c r="G135" s="115" t="s">
        <v>112</v>
      </c>
      <c r="H135" s="116"/>
      <c r="I135" s="117"/>
      <c r="J135" s="36">
        <v>5.6</v>
      </c>
      <c r="K135" s="30"/>
      <c r="L135" s="115" t="s">
        <v>41</v>
      </c>
      <c r="M135" s="116"/>
      <c r="N135" s="117"/>
      <c r="O135" s="38">
        <f t="shared" si="7"/>
        <v>5.6</v>
      </c>
      <c r="P135" s="31"/>
      <c r="Q135" s="40" t="s">
        <v>42</v>
      </c>
      <c r="R135" s="48" t="s">
        <v>44</v>
      </c>
      <c r="S135" s="48" t="s">
        <v>113</v>
      </c>
      <c r="T135" s="34"/>
      <c r="U135" s="34"/>
      <c r="V135" s="34"/>
      <c r="X135" s="34"/>
      <c r="Y135" s="34"/>
      <c r="Z135" s="34"/>
      <c r="AA135" s="34"/>
      <c r="AB135" s="34"/>
      <c r="AC135" s="34"/>
      <c r="AD135" s="34"/>
    </row>
    <row r="136" spans="1:30" ht="40.5" customHeight="1">
      <c r="A136" s="84"/>
      <c r="B136" s="110" t="s">
        <v>40</v>
      </c>
      <c r="C136" s="111"/>
      <c r="D136" s="111"/>
      <c r="E136" s="85">
        <f t="shared" si="6"/>
        <v>1.1000000000000001</v>
      </c>
      <c r="F136" s="31"/>
      <c r="G136" s="118" t="s">
        <v>108</v>
      </c>
      <c r="H136" s="119"/>
      <c r="I136" s="120"/>
      <c r="J136" s="37">
        <v>1.1000000000000001</v>
      </c>
      <c r="K136" s="30"/>
      <c r="L136" s="115" t="s">
        <v>41</v>
      </c>
      <c r="M136" s="116"/>
      <c r="N136" s="117"/>
      <c r="O136" s="38">
        <f t="shared" si="7"/>
        <v>1.1000000000000001</v>
      </c>
      <c r="P136" s="31"/>
      <c r="Q136" s="40" t="s">
        <v>42</v>
      </c>
      <c r="R136" s="48" t="s">
        <v>44</v>
      </c>
      <c r="S136" s="48" t="s">
        <v>46</v>
      </c>
      <c r="T136" s="34"/>
      <c r="U136" s="34"/>
      <c r="V136" s="34"/>
      <c r="X136" s="34"/>
      <c r="Y136" s="34"/>
      <c r="Z136" s="34"/>
      <c r="AA136" s="34"/>
      <c r="AB136" s="34"/>
      <c r="AC136" s="34"/>
      <c r="AD136" s="34"/>
    </row>
    <row r="137" spans="1:30" ht="40.5" customHeight="1">
      <c r="A137" s="84"/>
      <c r="B137" s="110" t="s">
        <v>40</v>
      </c>
      <c r="C137" s="111"/>
      <c r="D137" s="111"/>
      <c r="E137" s="85">
        <f t="shared" si="6"/>
        <v>2</v>
      </c>
      <c r="F137" s="31"/>
      <c r="G137" s="115" t="s">
        <v>53</v>
      </c>
      <c r="H137" s="111"/>
      <c r="I137" s="111"/>
      <c r="J137" s="37">
        <v>2</v>
      </c>
      <c r="K137" s="30"/>
      <c r="L137" s="115" t="s">
        <v>41</v>
      </c>
      <c r="M137" s="116"/>
      <c r="N137" s="117"/>
      <c r="O137" s="38">
        <f t="shared" si="7"/>
        <v>2</v>
      </c>
      <c r="P137" s="31"/>
      <c r="Q137" s="40" t="s">
        <v>42</v>
      </c>
      <c r="R137" s="48" t="s">
        <v>44</v>
      </c>
      <c r="S137" s="48" t="s">
        <v>48</v>
      </c>
      <c r="T137" s="34"/>
      <c r="U137" s="34"/>
      <c r="V137" s="34"/>
      <c r="X137" s="34"/>
      <c r="Y137" s="34"/>
      <c r="Z137" s="34"/>
      <c r="AA137" s="34"/>
      <c r="AB137" s="34"/>
      <c r="AC137" s="34"/>
      <c r="AD137" s="34"/>
    </row>
    <row r="138" spans="1:30" ht="40.5" customHeight="1">
      <c r="A138" s="84"/>
      <c r="B138" s="110" t="s">
        <v>40</v>
      </c>
      <c r="C138" s="111"/>
      <c r="D138" s="111"/>
      <c r="E138" s="85">
        <f t="shared" si="6"/>
        <v>24.9</v>
      </c>
      <c r="F138" s="31"/>
      <c r="G138" s="110" t="s">
        <v>105</v>
      </c>
      <c r="H138" s="111"/>
      <c r="I138" s="111"/>
      <c r="J138" s="37">
        <v>24.9</v>
      </c>
      <c r="K138" s="30"/>
      <c r="L138" s="115" t="s">
        <v>41</v>
      </c>
      <c r="M138" s="116"/>
      <c r="N138" s="117"/>
      <c r="O138" s="38">
        <f t="shared" si="7"/>
        <v>24.9</v>
      </c>
      <c r="P138" s="31"/>
      <c r="Q138" s="40" t="s">
        <v>42</v>
      </c>
      <c r="R138" s="48" t="s">
        <v>44</v>
      </c>
      <c r="S138" s="48" t="s">
        <v>67</v>
      </c>
      <c r="T138" s="34"/>
      <c r="U138" s="34"/>
      <c r="V138" s="34"/>
      <c r="X138" s="34"/>
      <c r="Y138" s="34"/>
      <c r="Z138" s="34"/>
      <c r="AA138" s="34"/>
      <c r="AB138" s="34"/>
      <c r="AC138" s="34"/>
      <c r="AD138" s="34"/>
    </row>
    <row r="139" spans="1:30" ht="40.5" customHeight="1">
      <c r="A139" s="84"/>
      <c r="B139" s="110" t="s">
        <v>40</v>
      </c>
      <c r="C139" s="111"/>
      <c r="D139" s="111"/>
      <c r="E139" s="85">
        <f t="shared" si="6"/>
        <v>1.3</v>
      </c>
      <c r="F139" s="31"/>
      <c r="G139" s="118" t="s">
        <v>108</v>
      </c>
      <c r="H139" s="119"/>
      <c r="I139" s="120"/>
      <c r="J139" s="37">
        <v>1.3</v>
      </c>
      <c r="K139" s="30"/>
      <c r="L139" s="115" t="s">
        <v>41</v>
      </c>
      <c r="M139" s="116"/>
      <c r="N139" s="117"/>
      <c r="O139" s="38">
        <f t="shared" si="7"/>
        <v>1.3</v>
      </c>
      <c r="P139" s="31"/>
      <c r="Q139" s="40" t="s">
        <v>42</v>
      </c>
      <c r="R139" s="48" t="s">
        <v>44</v>
      </c>
      <c r="S139" s="48" t="s">
        <v>46</v>
      </c>
      <c r="T139" s="34"/>
      <c r="U139" s="34"/>
      <c r="V139" s="34"/>
      <c r="X139" s="34"/>
      <c r="Y139" s="34"/>
      <c r="Z139" s="34"/>
      <c r="AA139" s="34"/>
      <c r="AB139" s="34"/>
      <c r="AC139" s="34"/>
      <c r="AD139" s="34"/>
    </row>
    <row r="140" spans="1:30" ht="40.5" customHeight="1">
      <c r="A140" s="84"/>
      <c r="B140" s="110" t="s">
        <v>40</v>
      </c>
      <c r="C140" s="111"/>
      <c r="D140" s="111"/>
      <c r="E140" s="85">
        <f t="shared" si="6"/>
        <v>3.9</v>
      </c>
      <c r="F140" s="31"/>
      <c r="G140" s="110" t="s">
        <v>105</v>
      </c>
      <c r="H140" s="111"/>
      <c r="I140" s="111"/>
      <c r="J140" s="37">
        <v>3.9</v>
      </c>
      <c r="K140" s="30"/>
      <c r="L140" s="115" t="s">
        <v>41</v>
      </c>
      <c r="M140" s="116"/>
      <c r="N140" s="117"/>
      <c r="O140" s="38">
        <f t="shared" si="7"/>
        <v>3.9</v>
      </c>
      <c r="P140" s="31"/>
      <c r="Q140" s="40" t="s">
        <v>42</v>
      </c>
      <c r="R140" s="48" t="s">
        <v>44</v>
      </c>
      <c r="S140" s="48" t="s">
        <v>67</v>
      </c>
      <c r="T140" s="34"/>
      <c r="U140" s="34"/>
      <c r="V140" s="34"/>
      <c r="X140" s="34"/>
      <c r="Y140" s="34"/>
      <c r="Z140" s="34"/>
      <c r="AA140" s="34"/>
      <c r="AB140" s="34"/>
      <c r="AC140" s="34"/>
      <c r="AD140" s="34"/>
    </row>
    <row r="141" spans="1:30" ht="40.5" customHeight="1">
      <c r="A141" s="84"/>
      <c r="B141" s="110" t="s">
        <v>40</v>
      </c>
      <c r="C141" s="111"/>
      <c r="D141" s="111"/>
      <c r="E141" s="85">
        <f t="shared" si="6"/>
        <v>2.1</v>
      </c>
      <c r="F141" s="31"/>
      <c r="G141" s="115" t="s">
        <v>53</v>
      </c>
      <c r="H141" s="111"/>
      <c r="I141" s="111"/>
      <c r="J141" s="37">
        <v>2.1</v>
      </c>
      <c r="K141" s="30"/>
      <c r="L141" s="115" t="s">
        <v>41</v>
      </c>
      <c r="M141" s="116"/>
      <c r="N141" s="117"/>
      <c r="O141" s="38">
        <f t="shared" si="7"/>
        <v>2.1</v>
      </c>
      <c r="P141" s="31"/>
      <c r="Q141" s="40" t="s">
        <v>42</v>
      </c>
      <c r="R141" s="48" t="s">
        <v>44</v>
      </c>
      <c r="S141" s="48" t="s">
        <v>48</v>
      </c>
      <c r="T141" s="34"/>
      <c r="U141" s="34"/>
      <c r="V141" s="34"/>
      <c r="X141" s="34"/>
      <c r="Y141" s="34"/>
      <c r="Z141" s="34"/>
      <c r="AA141" s="34"/>
      <c r="AB141" s="34"/>
      <c r="AC141" s="34"/>
      <c r="AD141" s="34"/>
    </row>
    <row r="142" spans="1:30" ht="40.5" customHeight="1">
      <c r="A142" s="84"/>
      <c r="B142" s="110" t="s">
        <v>40</v>
      </c>
      <c r="C142" s="111"/>
      <c r="D142" s="111"/>
      <c r="E142" s="85">
        <f t="shared" si="6"/>
        <v>0.5</v>
      </c>
      <c r="F142" s="31"/>
      <c r="G142" s="118" t="s">
        <v>111</v>
      </c>
      <c r="H142" s="122"/>
      <c r="I142" s="122"/>
      <c r="J142" s="37">
        <v>0.5</v>
      </c>
      <c r="K142" s="30"/>
      <c r="L142" s="115" t="s">
        <v>41</v>
      </c>
      <c r="M142" s="116"/>
      <c r="N142" s="117"/>
      <c r="O142" s="38">
        <f t="shared" si="7"/>
        <v>0.5</v>
      </c>
      <c r="P142" s="31"/>
      <c r="Q142" s="40" t="s">
        <v>42</v>
      </c>
      <c r="R142" s="48" t="s">
        <v>44</v>
      </c>
      <c r="S142" s="48" t="s">
        <v>50</v>
      </c>
      <c r="T142" s="34"/>
      <c r="U142" s="34"/>
      <c r="V142" s="34"/>
      <c r="X142" s="34"/>
      <c r="Y142" s="34"/>
      <c r="Z142" s="34"/>
      <c r="AA142" s="34"/>
      <c r="AB142" s="34"/>
      <c r="AC142" s="34"/>
      <c r="AD142" s="34"/>
    </row>
    <row r="143" spans="1:30" ht="40.5" customHeight="1">
      <c r="A143" s="84"/>
      <c r="B143" s="110" t="s">
        <v>40</v>
      </c>
      <c r="C143" s="111"/>
      <c r="D143" s="111"/>
      <c r="E143" s="85">
        <f t="shared" si="6"/>
        <v>1.5</v>
      </c>
      <c r="F143" s="31"/>
      <c r="G143" s="110" t="s">
        <v>105</v>
      </c>
      <c r="H143" s="111"/>
      <c r="I143" s="111"/>
      <c r="J143" s="37">
        <v>1.5</v>
      </c>
      <c r="K143" s="30"/>
      <c r="L143" s="115" t="s">
        <v>41</v>
      </c>
      <c r="M143" s="116"/>
      <c r="N143" s="117"/>
      <c r="O143" s="38">
        <f t="shared" si="7"/>
        <v>1.5</v>
      </c>
      <c r="P143" s="31"/>
      <c r="Q143" s="40" t="s">
        <v>42</v>
      </c>
      <c r="R143" s="48" t="s">
        <v>44</v>
      </c>
      <c r="S143" s="48" t="s">
        <v>67</v>
      </c>
      <c r="T143" s="34"/>
      <c r="U143" s="34"/>
      <c r="V143" s="34"/>
      <c r="X143" s="34"/>
      <c r="Y143" s="34"/>
      <c r="Z143" s="34"/>
      <c r="AA143" s="34"/>
      <c r="AB143" s="34"/>
      <c r="AC143" s="34"/>
      <c r="AD143" s="34"/>
    </row>
    <row r="144" spans="1:30" ht="40.5" customHeight="1">
      <c r="A144" s="84"/>
      <c r="B144" s="110" t="s">
        <v>40</v>
      </c>
      <c r="C144" s="111"/>
      <c r="D144" s="111"/>
      <c r="E144" s="85">
        <f t="shared" si="6"/>
        <v>1</v>
      </c>
      <c r="F144" s="31"/>
      <c r="G144" s="118" t="s">
        <v>111</v>
      </c>
      <c r="H144" s="122"/>
      <c r="I144" s="122"/>
      <c r="J144" s="37">
        <v>1</v>
      </c>
      <c r="K144" s="30"/>
      <c r="L144" s="115" t="s">
        <v>41</v>
      </c>
      <c r="M144" s="116"/>
      <c r="N144" s="117"/>
      <c r="O144" s="38">
        <f t="shared" si="7"/>
        <v>1</v>
      </c>
      <c r="P144" s="31"/>
      <c r="Q144" s="40" t="s">
        <v>42</v>
      </c>
      <c r="R144" s="48" t="s">
        <v>44</v>
      </c>
      <c r="S144" s="48" t="s">
        <v>50</v>
      </c>
      <c r="T144" s="34"/>
      <c r="U144" s="34"/>
      <c r="V144" s="34"/>
      <c r="X144" s="34"/>
      <c r="Y144" s="34"/>
      <c r="Z144" s="34"/>
      <c r="AA144" s="34"/>
      <c r="AB144" s="34"/>
      <c r="AC144" s="34"/>
      <c r="AD144" s="34"/>
    </row>
    <row r="145" spans="1:30" ht="40.5" customHeight="1">
      <c r="A145" s="84"/>
      <c r="B145" s="110" t="s">
        <v>40</v>
      </c>
      <c r="C145" s="111"/>
      <c r="D145" s="111"/>
      <c r="E145" s="85">
        <f t="shared" si="6"/>
        <v>2.7</v>
      </c>
      <c r="F145" s="31"/>
      <c r="G145" s="110" t="s">
        <v>105</v>
      </c>
      <c r="H145" s="111"/>
      <c r="I145" s="111"/>
      <c r="J145" s="37">
        <v>2.7</v>
      </c>
      <c r="K145" s="30"/>
      <c r="L145" s="115" t="s">
        <v>41</v>
      </c>
      <c r="M145" s="116"/>
      <c r="N145" s="117"/>
      <c r="O145" s="38">
        <f t="shared" si="7"/>
        <v>2.7</v>
      </c>
      <c r="P145" s="31"/>
      <c r="Q145" s="40" t="s">
        <v>42</v>
      </c>
      <c r="R145" s="48" t="s">
        <v>44</v>
      </c>
      <c r="S145" s="48" t="s">
        <v>67</v>
      </c>
      <c r="T145" s="34"/>
      <c r="U145" s="34"/>
      <c r="V145" s="34"/>
      <c r="X145" s="34"/>
      <c r="Y145" s="34"/>
      <c r="Z145" s="34"/>
      <c r="AA145" s="34"/>
      <c r="AB145" s="34"/>
      <c r="AC145" s="34"/>
      <c r="AD145" s="34"/>
    </row>
    <row r="146" spans="1:30" ht="40.5" customHeight="1">
      <c r="A146" s="84"/>
      <c r="B146" s="110" t="s">
        <v>40</v>
      </c>
      <c r="C146" s="111"/>
      <c r="D146" s="111"/>
      <c r="E146" s="85">
        <f t="shared" si="6"/>
        <v>0.5</v>
      </c>
      <c r="F146" s="31"/>
      <c r="G146" s="118" t="s">
        <v>108</v>
      </c>
      <c r="H146" s="119"/>
      <c r="I146" s="120"/>
      <c r="J146" s="36">
        <v>0.5</v>
      </c>
      <c r="K146" s="30"/>
      <c r="L146" s="115" t="s">
        <v>41</v>
      </c>
      <c r="M146" s="116"/>
      <c r="N146" s="117"/>
      <c r="O146" s="38">
        <f t="shared" si="7"/>
        <v>0.5</v>
      </c>
      <c r="P146" s="31"/>
      <c r="Q146" s="40" t="s">
        <v>42</v>
      </c>
      <c r="R146" s="48" t="s">
        <v>44</v>
      </c>
      <c r="S146" s="48" t="s">
        <v>46</v>
      </c>
      <c r="T146" s="34"/>
      <c r="U146" s="34"/>
      <c r="V146" s="34"/>
      <c r="X146" s="34"/>
      <c r="Y146" s="34"/>
      <c r="Z146" s="34"/>
      <c r="AA146" s="34"/>
      <c r="AB146" s="34"/>
      <c r="AC146" s="34"/>
      <c r="AD146" s="34"/>
    </row>
    <row r="147" spans="1:30" ht="40.5" customHeight="1">
      <c r="A147" s="84"/>
      <c r="B147" s="110" t="s">
        <v>40</v>
      </c>
      <c r="C147" s="111"/>
      <c r="D147" s="111"/>
      <c r="E147" s="85">
        <f t="shared" si="6"/>
        <v>1.9</v>
      </c>
      <c r="F147" s="31"/>
      <c r="G147" s="115" t="s">
        <v>53</v>
      </c>
      <c r="H147" s="111"/>
      <c r="I147" s="111"/>
      <c r="J147" s="36">
        <v>1.9</v>
      </c>
      <c r="K147" s="30"/>
      <c r="L147" s="115" t="s">
        <v>41</v>
      </c>
      <c r="M147" s="116"/>
      <c r="N147" s="117"/>
      <c r="O147" s="38">
        <f t="shared" si="7"/>
        <v>1.9</v>
      </c>
      <c r="P147" s="31"/>
      <c r="Q147" s="40" t="s">
        <v>42</v>
      </c>
      <c r="R147" s="48" t="s">
        <v>44</v>
      </c>
      <c r="S147" s="48" t="s">
        <v>48</v>
      </c>
      <c r="T147" s="34"/>
      <c r="U147" s="34"/>
      <c r="V147" s="34"/>
      <c r="X147" s="34"/>
      <c r="Y147" s="34"/>
      <c r="Z147" s="34"/>
      <c r="AA147" s="34"/>
      <c r="AB147" s="34"/>
      <c r="AC147" s="34"/>
      <c r="AD147" s="34"/>
    </row>
    <row r="148" spans="1:30" ht="40.5" customHeight="1">
      <c r="A148" s="84"/>
      <c r="B148" s="110" t="s">
        <v>40</v>
      </c>
      <c r="C148" s="111"/>
      <c r="D148" s="111"/>
      <c r="E148" s="85">
        <f t="shared" si="6"/>
        <v>9.3000000000000007</v>
      </c>
      <c r="F148" s="31"/>
      <c r="G148" s="110" t="s">
        <v>105</v>
      </c>
      <c r="H148" s="111"/>
      <c r="I148" s="111"/>
      <c r="J148" s="36">
        <v>9.3000000000000007</v>
      </c>
      <c r="K148" s="30"/>
      <c r="L148" s="115" t="s">
        <v>41</v>
      </c>
      <c r="M148" s="116"/>
      <c r="N148" s="117"/>
      <c r="O148" s="38">
        <f t="shared" si="7"/>
        <v>9.3000000000000007</v>
      </c>
      <c r="P148" s="31"/>
      <c r="Q148" s="40" t="s">
        <v>42</v>
      </c>
      <c r="R148" s="48" t="s">
        <v>44</v>
      </c>
      <c r="S148" s="48" t="s">
        <v>67</v>
      </c>
      <c r="T148" s="34"/>
      <c r="U148" s="34"/>
      <c r="V148" s="34"/>
      <c r="X148" s="34"/>
      <c r="Y148" s="34"/>
      <c r="Z148" s="34"/>
      <c r="AA148" s="34"/>
      <c r="AB148" s="34"/>
      <c r="AC148" s="34"/>
      <c r="AD148" s="34"/>
    </row>
    <row r="149" spans="1:30" ht="40.5" customHeight="1">
      <c r="A149" s="84"/>
      <c r="B149" s="110" t="s">
        <v>40</v>
      </c>
      <c r="C149" s="111"/>
      <c r="D149" s="111"/>
      <c r="E149" s="85">
        <f t="shared" si="6"/>
        <v>1.1000000000000001</v>
      </c>
      <c r="F149" s="31"/>
      <c r="G149" s="115" t="s">
        <v>53</v>
      </c>
      <c r="H149" s="111"/>
      <c r="I149" s="111"/>
      <c r="J149" s="36">
        <v>1.1000000000000001</v>
      </c>
      <c r="K149" s="30"/>
      <c r="L149" s="115" t="s">
        <v>41</v>
      </c>
      <c r="M149" s="116"/>
      <c r="N149" s="117"/>
      <c r="O149" s="38">
        <f t="shared" si="7"/>
        <v>1.1000000000000001</v>
      </c>
      <c r="P149" s="31"/>
      <c r="Q149" s="40" t="s">
        <v>42</v>
      </c>
      <c r="R149" s="48" t="s">
        <v>44</v>
      </c>
      <c r="S149" s="48" t="s">
        <v>48</v>
      </c>
      <c r="T149" s="34"/>
      <c r="U149" s="34"/>
      <c r="V149" s="34"/>
      <c r="X149" s="34"/>
      <c r="Y149" s="34"/>
      <c r="Z149" s="34"/>
      <c r="AA149" s="34"/>
      <c r="AB149" s="34"/>
      <c r="AC149" s="34"/>
      <c r="AD149" s="34"/>
    </row>
    <row r="150" spans="1:30" ht="40.5" customHeight="1">
      <c r="A150" s="84"/>
      <c r="B150" s="110" t="s">
        <v>40</v>
      </c>
      <c r="C150" s="111"/>
      <c r="D150" s="111"/>
      <c r="E150" s="85">
        <f t="shared" si="6"/>
        <v>0.4</v>
      </c>
      <c r="F150" s="31"/>
      <c r="G150" s="118" t="s">
        <v>111</v>
      </c>
      <c r="H150" s="122"/>
      <c r="I150" s="122"/>
      <c r="J150" s="37">
        <v>0.4</v>
      </c>
      <c r="K150" s="30"/>
      <c r="L150" s="115" t="s">
        <v>41</v>
      </c>
      <c r="M150" s="116"/>
      <c r="N150" s="117"/>
      <c r="O150" s="38">
        <f t="shared" si="7"/>
        <v>0.4</v>
      </c>
      <c r="P150" s="31"/>
      <c r="Q150" s="40" t="s">
        <v>42</v>
      </c>
      <c r="R150" s="48" t="s">
        <v>44</v>
      </c>
      <c r="S150" s="48" t="s">
        <v>50</v>
      </c>
      <c r="T150" s="34"/>
      <c r="U150" s="34"/>
      <c r="V150" s="34"/>
      <c r="X150" s="34"/>
      <c r="Y150" s="34"/>
      <c r="Z150" s="34"/>
      <c r="AA150" s="34"/>
      <c r="AB150" s="34"/>
      <c r="AC150" s="34"/>
      <c r="AD150" s="34"/>
    </row>
    <row r="151" spans="1:30" ht="40.5" customHeight="1">
      <c r="A151" s="84"/>
      <c r="B151" s="110" t="s">
        <v>40</v>
      </c>
      <c r="C151" s="111"/>
      <c r="D151" s="111"/>
      <c r="E151" s="85">
        <f t="shared" si="6"/>
        <v>2.2999999999999998</v>
      </c>
      <c r="F151" s="31"/>
      <c r="G151" s="118" t="s">
        <v>108</v>
      </c>
      <c r="H151" s="119"/>
      <c r="I151" s="120"/>
      <c r="J151" s="37">
        <v>2.2999999999999998</v>
      </c>
      <c r="K151" s="30"/>
      <c r="L151" s="115" t="s">
        <v>41</v>
      </c>
      <c r="M151" s="116"/>
      <c r="N151" s="117"/>
      <c r="O151" s="38">
        <f t="shared" si="7"/>
        <v>2.2999999999999998</v>
      </c>
      <c r="P151" s="31"/>
      <c r="Q151" s="40" t="s">
        <v>42</v>
      </c>
      <c r="R151" s="48" t="s">
        <v>44</v>
      </c>
      <c r="S151" s="48" t="s">
        <v>46</v>
      </c>
      <c r="T151" s="34"/>
      <c r="U151" s="34"/>
      <c r="V151" s="34"/>
      <c r="X151" s="34"/>
      <c r="Y151" s="34"/>
      <c r="Z151" s="34"/>
      <c r="AA151" s="34"/>
      <c r="AB151" s="34"/>
      <c r="AC151" s="34"/>
      <c r="AD151" s="34"/>
    </row>
    <row r="152" spans="1:30" ht="40.5" customHeight="1">
      <c r="A152" s="84"/>
      <c r="B152" s="110" t="s">
        <v>40</v>
      </c>
      <c r="C152" s="111"/>
      <c r="D152" s="111"/>
      <c r="E152" s="85">
        <f t="shared" si="6"/>
        <v>11.9</v>
      </c>
      <c r="F152" s="31"/>
      <c r="G152" s="110" t="s">
        <v>105</v>
      </c>
      <c r="H152" s="111"/>
      <c r="I152" s="111"/>
      <c r="J152" s="37">
        <v>11.9</v>
      </c>
      <c r="K152" s="30"/>
      <c r="L152" s="115" t="s">
        <v>41</v>
      </c>
      <c r="M152" s="116"/>
      <c r="N152" s="117"/>
      <c r="O152" s="38">
        <f t="shared" si="7"/>
        <v>11.9</v>
      </c>
      <c r="P152" s="31"/>
      <c r="Q152" s="40" t="s">
        <v>42</v>
      </c>
      <c r="R152" s="48" t="s">
        <v>44</v>
      </c>
      <c r="S152" s="48" t="s">
        <v>67</v>
      </c>
      <c r="T152" s="34"/>
      <c r="U152" s="34"/>
      <c r="V152" s="34"/>
      <c r="X152" s="34"/>
      <c r="Y152" s="34"/>
      <c r="Z152" s="34"/>
      <c r="AA152" s="34"/>
      <c r="AB152" s="34"/>
      <c r="AC152" s="34"/>
      <c r="AD152" s="34"/>
    </row>
    <row r="153" spans="1:30" ht="40.5" customHeight="1">
      <c r="A153" s="84"/>
      <c r="B153" s="110" t="s">
        <v>40</v>
      </c>
      <c r="C153" s="111"/>
      <c r="D153" s="111"/>
      <c r="E153" s="85">
        <f t="shared" si="6"/>
        <v>0.5</v>
      </c>
      <c r="F153" s="31"/>
      <c r="G153" s="118" t="s">
        <v>108</v>
      </c>
      <c r="H153" s="119"/>
      <c r="I153" s="120"/>
      <c r="J153" s="36">
        <v>0.5</v>
      </c>
      <c r="K153" s="30"/>
      <c r="L153" s="115" t="s">
        <v>41</v>
      </c>
      <c r="M153" s="116"/>
      <c r="N153" s="117"/>
      <c r="O153" s="38">
        <f t="shared" si="7"/>
        <v>0.5</v>
      </c>
      <c r="P153" s="31"/>
      <c r="Q153" s="40" t="s">
        <v>42</v>
      </c>
      <c r="R153" s="48" t="s">
        <v>44</v>
      </c>
      <c r="S153" s="48" t="s">
        <v>46</v>
      </c>
      <c r="T153" s="34"/>
      <c r="U153" s="34"/>
      <c r="V153" s="34"/>
      <c r="X153" s="34"/>
      <c r="Y153" s="34"/>
      <c r="Z153" s="34"/>
      <c r="AA153" s="34"/>
      <c r="AB153" s="34"/>
      <c r="AC153" s="34"/>
      <c r="AD153" s="34"/>
    </row>
    <row r="154" spans="1:30" ht="40.5" customHeight="1">
      <c r="A154" s="84"/>
      <c r="B154" s="110" t="s">
        <v>40</v>
      </c>
      <c r="C154" s="111"/>
      <c r="D154" s="111"/>
      <c r="E154" s="85">
        <f t="shared" si="6"/>
        <v>0.3</v>
      </c>
      <c r="F154" s="31"/>
      <c r="G154" s="110" t="s">
        <v>109</v>
      </c>
      <c r="H154" s="111"/>
      <c r="I154" s="111"/>
      <c r="J154" s="36">
        <v>0.3</v>
      </c>
      <c r="K154" s="30"/>
      <c r="L154" s="115" t="s">
        <v>41</v>
      </c>
      <c r="M154" s="116"/>
      <c r="N154" s="117"/>
      <c r="O154" s="38">
        <f t="shared" si="7"/>
        <v>0.3</v>
      </c>
      <c r="P154" s="31"/>
      <c r="Q154" s="40" t="s">
        <v>42</v>
      </c>
      <c r="R154" s="48" t="s">
        <v>44</v>
      </c>
      <c r="S154" s="48" t="s">
        <v>61</v>
      </c>
      <c r="T154" s="34"/>
      <c r="U154" s="34"/>
      <c r="V154" s="34"/>
      <c r="X154" s="34"/>
      <c r="Y154" s="34"/>
      <c r="Z154" s="34"/>
      <c r="AA154" s="34"/>
      <c r="AB154" s="34"/>
      <c r="AC154" s="34"/>
      <c r="AD154" s="34"/>
    </row>
    <row r="155" spans="1:30" ht="40.5" customHeight="1">
      <c r="A155" s="84"/>
      <c r="B155" s="110" t="s">
        <v>40</v>
      </c>
      <c r="C155" s="111"/>
      <c r="D155" s="111"/>
      <c r="E155" s="85">
        <f t="shared" si="6"/>
        <v>0.7</v>
      </c>
      <c r="F155" s="31"/>
      <c r="G155" s="110" t="s">
        <v>105</v>
      </c>
      <c r="H155" s="111"/>
      <c r="I155" s="111"/>
      <c r="J155" s="37">
        <v>0.7</v>
      </c>
      <c r="K155" s="30"/>
      <c r="L155" s="115" t="s">
        <v>41</v>
      </c>
      <c r="M155" s="116"/>
      <c r="N155" s="117"/>
      <c r="O155" s="38">
        <f t="shared" si="7"/>
        <v>0.7</v>
      </c>
      <c r="P155" s="31"/>
      <c r="Q155" s="40" t="s">
        <v>42</v>
      </c>
      <c r="R155" s="48" t="s">
        <v>44</v>
      </c>
      <c r="S155" s="48" t="s">
        <v>67</v>
      </c>
      <c r="T155" s="34"/>
      <c r="U155" s="34"/>
      <c r="V155" s="34"/>
      <c r="X155" s="34"/>
      <c r="Y155" s="34"/>
      <c r="Z155" s="34"/>
      <c r="AA155" s="34"/>
      <c r="AB155" s="34"/>
      <c r="AC155" s="34"/>
      <c r="AD155" s="34"/>
    </row>
    <row r="156" spans="1:30" ht="40.5" customHeight="1">
      <c r="A156" s="84"/>
      <c r="B156" s="110" t="s">
        <v>40</v>
      </c>
      <c r="C156" s="111"/>
      <c r="D156" s="111"/>
      <c r="E156" s="85">
        <f t="shared" si="6"/>
        <v>4.0999999999999996</v>
      </c>
      <c r="F156" s="31"/>
      <c r="G156" s="110" t="s">
        <v>104</v>
      </c>
      <c r="H156" s="111"/>
      <c r="I156" s="111"/>
      <c r="J156" s="37">
        <v>4.0999999999999996</v>
      </c>
      <c r="K156" s="30"/>
      <c r="L156" s="115" t="s">
        <v>41</v>
      </c>
      <c r="M156" s="116"/>
      <c r="N156" s="117"/>
      <c r="O156" s="38">
        <f t="shared" si="7"/>
        <v>4.0999999999999996</v>
      </c>
      <c r="P156" s="31"/>
      <c r="Q156" s="40" t="s">
        <v>42</v>
      </c>
      <c r="R156" s="48" t="s">
        <v>44</v>
      </c>
      <c r="S156" s="48" t="s">
        <v>55</v>
      </c>
      <c r="T156" s="34"/>
      <c r="U156" s="34"/>
      <c r="V156" s="34"/>
      <c r="X156" s="34"/>
      <c r="Y156" s="34"/>
      <c r="Z156" s="34"/>
      <c r="AA156" s="34"/>
      <c r="AB156" s="34"/>
      <c r="AC156" s="34"/>
      <c r="AD156" s="34"/>
    </row>
    <row r="157" spans="1:30" ht="40.5" customHeight="1">
      <c r="A157" s="84"/>
      <c r="B157" s="110" t="s">
        <v>40</v>
      </c>
      <c r="C157" s="111"/>
      <c r="D157" s="111"/>
      <c r="E157" s="85">
        <f t="shared" si="6"/>
        <v>0.8</v>
      </c>
      <c r="F157" s="31"/>
      <c r="G157" s="110" t="s">
        <v>109</v>
      </c>
      <c r="H157" s="111"/>
      <c r="I157" s="111"/>
      <c r="J157" s="37">
        <v>0.8</v>
      </c>
      <c r="K157" s="39"/>
      <c r="L157" s="115" t="s">
        <v>76</v>
      </c>
      <c r="M157" s="116"/>
      <c r="N157" s="117"/>
      <c r="O157" s="38">
        <f t="shared" si="7"/>
        <v>0.8</v>
      </c>
      <c r="P157" s="32"/>
      <c r="Q157" s="40" t="s">
        <v>80</v>
      </c>
      <c r="R157" s="48" t="s">
        <v>44</v>
      </c>
      <c r="S157" s="48" t="s">
        <v>61</v>
      </c>
      <c r="T157" s="34"/>
      <c r="U157" s="34"/>
      <c r="V157" s="34"/>
      <c r="X157" s="34"/>
      <c r="Y157" s="34"/>
      <c r="Z157" s="34"/>
      <c r="AA157" s="34"/>
      <c r="AB157" s="34"/>
      <c r="AC157" s="34"/>
      <c r="AD157" s="34"/>
    </row>
    <row r="158" spans="1:30" ht="40.5" customHeight="1">
      <c r="A158" s="84"/>
      <c r="B158" s="110" t="s">
        <v>40</v>
      </c>
      <c r="C158" s="111"/>
      <c r="D158" s="111"/>
      <c r="E158" s="85">
        <f t="shared" si="6"/>
        <v>4.5999999999999996</v>
      </c>
      <c r="F158" s="31"/>
      <c r="G158" s="110" t="s">
        <v>105</v>
      </c>
      <c r="H158" s="111"/>
      <c r="I158" s="111"/>
      <c r="J158" s="36">
        <v>4.5999999999999996</v>
      </c>
      <c r="K158" s="39"/>
      <c r="L158" s="115" t="s">
        <v>76</v>
      </c>
      <c r="M158" s="116"/>
      <c r="N158" s="117"/>
      <c r="O158" s="38">
        <f t="shared" si="7"/>
        <v>4.5999999999999996</v>
      </c>
      <c r="P158" s="32"/>
      <c r="Q158" s="40" t="s">
        <v>80</v>
      </c>
      <c r="R158" s="48" t="s">
        <v>44</v>
      </c>
      <c r="S158" s="48" t="s">
        <v>67</v>
      </c>
      <c r="T158" s="34"/>
      <c r="U158" s="34"/>
      <c r="V158" s="34"/>
      <c r="X158" s="34"/>
      <c r="Y158" s="34"/>
      <c r="Z158" s="34"/>
      <c r="AA158" s="34"/>
      <c r="AB158" s="34"/>
      <c r="AC158" s="34"/>
      <c r="AD158" s="34"/>
    </row>
    <row r="159" spans="1:30" ht="40.5" customHeight="1">
      <c r="A159" s="84"/>
      <c r="B159" s="110" t="s">
        <v>40</v>
      </c>
      <c r="C159" s="111"/>
      <c r="D159" s="111"/>
      <c r="E159" s="85">
        <f t="shared" si="6"/>
        <v>3.8</v>
      </c>
      <c r="F159" s="31"/>
      <c r="G159" s="110" t="s">
        <v>104</v>
      </c>
      <c r="H159" s="111"/>
      <c r="I159" s="111"/>
      <c r="J159" s="36">
        <v>3.8</v>
      </c>
      <c r="K159" s="39"/>
      <c r="L159" s="115" t="s">
        <v>76</v>
      </c>
      <c r="M159" s="116"/>
      <c r="N159" s="117"/>
      <c r="O159" s="38">
        <f t="shared" si="7"/>
        <v>3.8</v>
      </c>
      <c r="P159" s="32"/>
      <c r="Q159" s="40" t="s">
        <v>80</v>
      </c>
      <c r="R159" s="48" t="s">
        <v>44</v>
      </c>
      <c r="S159" s="48" t="s">
        <v>55</v>
      </c>
      <c r="T159" s="34"/>
      <c r="U159" s="34"/>
      <c r="V159" s="34"/>
      <c r="X159" s="34"/>
      <c r="Y159" s="34"/>
      <c r="Z159" s="34"/>
      <c r="AA159" s="34"/>
      <c r="AB159" s="34"/>
      <c r="AC159" s="34"/>
      <c r="AD159" s="34"/>
    </row>
    <row r="160" spans="1:30" ht="40.5" customHeight="1">
      <c r="A160" s="84"/>
      <c r="B160" s="110" t="s">
        <v>40</v>
      </c>
      <c r="C160" s="111"/>
      <c r="D160" s="111"/>
      <c r="E160" s="85">
        <f t="shared" si="6"/>
        <v>0.2</v>
      </c>
      <c r="F160" s="31"/>
      <c r="G160" s="118" t="s">
        <v>108</v>
      </c>
      <c r="H160" s="119"/>
      <c r="I160" s="120"/>
      <c r="J160" s="37">
        <v>0.2</v>
      </c>
      <c r="K160" s="39"/>
      <c r="L160" s="115" t="s">
        <v>76</v>
      </c>
      <c r="M160" s="116"/>
      <c r="N160" s="117"/>
      <c r="O160" s="38">
        <f t="shared" si="7"/>
        <v>0.2</v>
      </c>
      <c r="P160" s="32"/>
      <c r="Q160" s="40" t="s">
        <v>80</v>
      </c>
      <c r="R160" s="48" t="s">
        <v>44</v>
      </c>
      <c r="S160" s="34" t="s">
        <v>46</v>
      </c>
      <c r="T160" s="34"/>
      <c r="U160" s="34"/>
      <c r="V160" s="34"/>
      <c r="X160" s="34"/>
      <c r="Y160" s="34"/>
      <c r="Z160" s="34"/>
      <c r="AA160" s="34"/>
      <c r="AB160" s="34"/>
      <c r="AC160" s="34"/>
      <c r="AD160" s="34"/>
    </row>
    <row r="161" spans="1:30" ht="40.5" customHeight="1">
      <c r="A161" s="84"/>
      <c r="B161" s="110" t="s">
        <v>40</v>
      </c>
      <c r="C161" s="111"/>
      <c r="D161" s="111"/>
      <c r="E161" s="85">
        <f t="shared" ref="E161:E199" si="8">J161</f>
        <v>3.9</v>
      </c>
      <c r="F161" s="31"/>
      <c r="G161" s="110" t="s">
        <v>105</v>
      </c>
      <c r="H161" s="111"/>
      <c r="I161" s="111"/>
      <c r="J161" s="37">
        <v>3.9</v>
      </c>
      <c r="K161" s="30"/>
      <c r="L161" s="115" t="s">
        <v>41</v>
      </c>
      <c r="M161" s="116"/>
      <c r="N161" s="117"/>
      <c r="O161" s="38">
        <f t="shared" ref="O161:O199" si="9">J161</f>
        <v>3.9</v>
      </c>
      <c r="P161" s="31"/>
      <c r="Q161" s="40" t="s">
        <v>42</v>
      </c>
      <c r="R161" s="48" t="s">
        <v>44</v>
      </c>
      <c r="S161" s="34" t="s">
        <v>67</v>
      </c>
      <c r="T161" s="93">
        <f>SUM(O161:O175)</f>
        <v>63.300000000000011</v>
      </c>
      <c r="U161" s="34"/>
      <c r="V161" s="34"/>
      <c r="X161" s="34"/>
      <c r="Y161" s="34"/>
      <c r="Z161" s="34"/>
      <c r="AA161" s="34"/>
      <c r="AB161" s="34"/>
      <c r="AC161" s="34"/>
      <c r="AD161" s="34"/>
    </row>
    <row r="162" spans="1:30" ht="40.5" customHeight="1">
      <c r="A162" s="84"/>
      <c r="B162" s="110" t="s">
        <v>40</v>
      </c>
      <c r="C162" s="111"/>
      <c r="D162" s="111"/>
      <c r="E162" s="85">
        <f t="shared" si="8"/>
        <v>15</v>
      </c>
      <c r="F162" s="31"/>
      <c r="G162" s="118" t="s">
        <v>111</v>
      </c>
      <c r="H162" s="122"/>
      <c r="I162" s="122"/>
      <c r="J162" s="37">
        <v>15</v>
      </c>
      <c r="K162" s="30"/>
      <c r="L162" s="115" t="s">
        <v>41</v>
      </c>
      <c r="M162" s="116"/>
      <c r="N162" s="117"/>
      <c r="O162" s="38">
        <f t="shared" si="9"/>
        <v>15</v>
      </c>
      <c r="P162" s="31"/>
      <c r="Q162" s="40" t="s">
        <v>42</v>
      </c>
      <c r="R162" s="48" t="s">
        <v>44</v>
      </c>
      <c r="S162" s="34" t="s">
        <v>50</v>
      </c>
      <c r="T162" s="34"/>
      <c r="U162" s="34"/>
      <c r="V162" s="34"/>
      <c r="X162" s="34"/>
      <c r="Y162" s="34"/>
      <c r="Z162" s="34"/>
      <c r="AA162" s="34"/>
      <c r="AB162" s="34"/>
      <c r="AC162" s="34"/>
      <c r="AD162" s="34"/>
    </row>
    <row r="163" spans="1:30" ht="40.5" customHeight="1">
      <c r="A163" s="84"/>
      <c r="B163" s="110" t="s">
        <v>40</v>
      </c>
      <c r="C163" s="111"/>
      <c r="D163" s="111"/>
      <c r="E163" s="85">
        <f t="shared" si="8"/>
        <v>0.6</v>
      </c>
      <c r="F163" s="31"/>
      <c r="G163" s="118" t="s">
        <v>108</v>
      </c>
      <c r="H163" s="119"/>
      <c r="I163" s="120"/>
      <c r="J163" s="36">
        <v>0.6</v>
      </c>
      <c r="K163" s="30"/>
      <c r="L163" s="115" t="s">
        <v>41</v>
      </c>
      <c r="M163" s="116"/>
      <c r="N163" s="117"/>
      <c r="O163" s="38">
        <f t="shared" si="9"/>
        <v>0.6</v>
      </c>
      <c r="P163" s="31"/>
      <c r="Q163" s="40" t="s">
        <v>42</v>
      </c>
      <c r="R163" s="48" t="s">
        <v>44</v>
      </c>
      <c r="S163" s="34" t="s">
        <v>46</v>
      </c>
      <c r="T163" s="34"/>
      <c r="U163" s="34"/>
      <c r="V163" s="34"/>
      <c r="X163" s="34"/>
      <c r="Y163" s="34"/>
      <c r="Z163" s="34"/>
      <c r="AA163" s="34"/>
      <c r="AB163" s="34"/>
      <c r="AC163" s="34"/>
      <c r="AD163" s="34"/>
    </row>
    <row r="164" spans="1:30" ht="40.5" customHeight="1">
      <c r="A164" s="84"/>
      <c r="B164" s="110" t="s">
        <v>40</v>
      </c>
      <c r="C164" s="111"/>
      <c r="D164" s="111"/>
      <c r="E164" s="85">
        <f t="shared" si="8"/>
        <v>0.6</v>
      </c>
      <c r="F164" s="31"/>
      <c r="G164" s="110" t="s">
        <v>105</v>
      </c>
      <c r="H164" s="111"/>
      <c r="I164" s="111"/>
      <c r="J164" s="36">
        <v>0.6</v>
      </c>
      <c r="K164" s="30"/>
      <c r="L164" s="115" t="s">
        <v>41</v>
      </c>
      <c r="M164" s="116"/>
      <c r="N164" s="117"/>
      <c r="O164" s="38">
        <f t="shared" si="9"/>
        <v>0.6</v>
      </c>
      <c r="P164" s="31"/>
      <c r="Q164" s="40" t="s">
        <v>42</v>
      </c>
      <c r="R164" s="48" t="s">
        <v>44</v>
      </c>
      <c r="S164" s="34" t="s">
        <v>67</v>
      </c>
      <c r="T164" s="34"/>
      <c r="U164" s="34"/>
      <c r="V164" s="34"/>
      <c r="X164" s="34"/>
      <c r="Y164" s="34"/>
      <c r="Z164" s="34"/>
      <c r="AA164" s="34"/>
      <c r="AB164" s="34"/>
      <c r="AC164" s="34"/>
      <c r="AD164" s="34"/>
    </row>
    <row r="165" spans="1:30" ht="40.5" customHeight="1">
      <c r="A165" s="84"/>
      <c r="B165" s="110" t="s">
        <v>40</v>
      </c>
      <c r="C165" s="111"/>
      <c r="D165" s="111"/>
      <c r="E165" s="85">
        <f t="shared" si="8"/>
        <v>3.7</v>
      </c>
      <c r="F165" s="31"/>
      <c r="G165" s="123" t="s">
        <v>106</v>
      </c>
      <c r="H165" s="124"/>
      <c r="I165" s="125"/>
      <c r="J165" s="37">
        <v>3.7</v>
      </c>
      <c r="K165" s="30"/>
      <c r="L165" s="115" t="s">
        <v>41</v>
      </c>
      <c r="M165" s="116"/>
      <c r="N165" s="117"/>
      <c r="O165" s="38">
        <f t="shared" si="9"/>
        <v>3.7</v>
      </c>
      <c r="P165" s="31"/>
      <c r="Q165" s="40" t="s">
        <v>42</v>
      </c>
      <c r="R165" s="48" t="s">
        <v>64</v>
      </c>
      <c r="S165" s="34" t="s">
        <v>107</v>
      </c>
      <c r="T165" s="34"/>
      <c r="U165" s="34"/>
      <c r="V165" s="34"/>
      <c r="X165" s="34"/>
      <c r="Y165" s="34"/>
      <c r="Z165" s="34"/>
      <c r="AA165" s="34"/>
      <c r="AB165" s="34"/>
      <c r="AC165" s="34"/>
      <c r="AD165" s="34"/>
    </row>
    <row r="166" spans="1:30" ht="40.5" customHeight="1">
      <c r="A166" s="84"/>
      <c r="B166" s="110" t="s">
        <v>40</v>
      </c>
      <c r="C166" s="111"/>
      <c r="D166" s="111"/>
      <c r="E166" s="85">
        <f t="shared" si="8"/>
        <v>0.6</v>
      </c>
      <c r="F166" s="31"/>
      <c r="G166" s="118" t="s">
        <v>108</v>
      </c>
      <c r="H166" s="119"/>
      <c r="I166" s="120"/>
      <c r="J166" s="37">
        <v>0.6</v>
      </c>
      <c r="K166" s="30"/>
      <c r="L166" s="115" t="s">
        <v>41</v>
      </c>
      <c r="M166" s="116"/>
      <c r="N166" s="117"/>
      <c r="O166" s="38">
        <f t="shared" si="9"/>
        <v>0.6</v>
      </c>
      <c r="P166" s="31"/>
      <c r="Q166" s="40" t="s">
        <v>42</v>
      </c>
      <c r="R166" s="48" t="s">
        <v>44</v>
      </c>
      <c r="S166" s="34" t="s">
        <v>46</v>
      </c>
      <c r="T166" s="34"/>
      <c r="U166" s="34"/>
      <c r="V166" s="34"/>
      <c r="X166" s="34"/>
      <c r="Y166" s="34"/>
      <c r="Z166" s="34"/>
      <c r="AA166" s="34"/>
      <c r="AB166" s="34"/>
      <c r="AC166" s="34"/>
      <c r="AD166" s="34"/>
    </row>
    <row r="167" spans="1:30" ht="40.5" customHeight="1">
      <c r="A167" s="84"/>
      <c r="B167" s="110" t="s">
        <v>40</v>
      </c>
      <c r="C167" s="111"/>
      <c r="D167" s="111"/>
      <c r="E167" s="85">
        <f t="shared" si="8"/>
        <v>11.2</v>
      </c>
      <c r="F167" s="31"/>
      <c r="G167" s="110" t="s">
        <v>105</v>
      </c>
      <c r="H167" s="111"/>
      <c r="I167" s="111"/>
      <c r="J167" s="37">
        <v>11.2</v>
      </c>
      <c r="K167" s="30"/>
      <c r="L167" s="115" t="s">
        <v>41</v>
      </c>
      <c r="M167" s="116"/>
      <c r="N167" s="117"/>
      <c r="O167" s="38">
        <f t="shared" si="9"/>
        <v>11.2</v>
      </c>
      <c r="P167" s="31"/>
      <c r="Q167" s="40" t="s">
        <v>42</v>
      </c>
      <c r="R167" s="48" t="s">
        <v>44</v>
      </c>
      <c r="S167" s="34" t="s">
        <v>67</v>
      </c>
      <c r="T167" s="34"/>
      <c r="U167" s="34"/>
      <c r="V167" s="34"/>
      <c r="X167" s="34"/>
      <c r="Y167" s="34"/>
      <c r="Z167" s="34"/>
      <c r="AA167" s="34"/>
      <c r="AB167" s="34"/>
      <c r="AC167" s="34"/>
      <c r="AD167" s="34"/>
    </row>
    <row r="168" spans="1:30" ht="40.5" customHeight="1">
      <c r="A168" s="84"/>
      <c r="B168" s="110" t="s">
        <v>40</v>
      </c>
      <c r="C168" s="111"/>
      <c r="D168" s="111"/>
      <c r="E168" s="85">
        <f t="shared" si="8"/>
        <v>0.4</v>
      </c>
      <c r="F168" s="31"/>
      <c r="G168" s="118" t="s">
        <v>108</v>
      </c>
      <c r="H168" s="119"/>
      <c r="I168" s="120"/>
      <c r="J168" s="37">
        <v>0.4</v>
      </c>
      <c r="K168" s="30"/>
      <c r="L168" s="115" t="s">
        <v>41</v>
      </c>
      <c r="M168" s="116"/>
      <c r="N168" s="117"/>
      <c r="O168" s="38">
        <f t="shared" si="9"/>
        <v>0.4</v>
      </c>
      <c r="P168" s="31"/>
      <c r="Q168" s="40" t="s">
        <v>42</v>
      </c>
      <c r="R168" s="48" t="s">
        <v>44</v>
      </c>
      <c r="S168" s="34" t="s">
        <v>46</v>
      </c>
      <c r="T168" s="34"/>
      <c r="U168" s="34"/>
      <c r="V168" s="34"/>
      <c r="X168" s="34"/>
      <c r="Y168" s="34"/>
      <c r="Z168" s="34"/>
      <c r="AA168" s="34"/>
      <c r="AB168" s="34"/>
      <c r="AC168" s="34"/>
      <c r="AD168" s="34"/>
    </row>
    <row r="169" spans="1:30" ht="40.5" customHeight="1">
      <c r="A169" s="84"/>
      <c r="B169" s="110" t="s">
        <v>40</v>
      </c>
      <c r="C169" s="111"/>
      <c r="D169" s="111"/>
      <c r="E169" s="85">
        <f t="shared" si="8"/>
        <v>1</v>
      </c>
      <c r="F169" s="31"/>
      <c r="G169" s="110" t="s">
        <v>105</v>
      </c>
      <c r="H169" s="111"/>
      <c r="I169" s="111"/>
      <c r="J169" s="37">
        <v>1</v>
      </c>
      <c r="K169" s="30"/>
      <c r="L169" s="115" t="s">
        <v>41</v>
      </c>
      <c r="M169" s="116"/>
      <c r="N169" s="117"/>
      <c r="O169" s="38">
        <f t="shared" si="9"/>
        <v>1</v>
      </c>
      <c r="P169" s="31"/>
      <c r="Q169" s="40" t="s">
        <v>42</v>
      </c>
      <c r="R169" s="48" t="s">
        <v>44</v>
      </c>
      <c r="S169" s="34" t="s">
        <v>67</v>
      </c>
      <c r="T169" s="34"/>
      <c r="U169" s="34"/>
      <c r="V169" s="34"/>
      <c r="X169" s="34"/>
      <c r="Y169" s="34"/>
      <c r="Z169" s="34"/>
      <c r="AA169" s="34"/>
      <c r="AB169" s="34"/>
      <c r="AC169" s="34"/>
      <c r="AD169" s="34"/>
    </row>
    <row r="170" spans="1:30" ht="40.5" customHeight="1">
      <c r="A170" s="84"/>
      <c r="B170" s="110" t="s">
        <v>40</v>
      </c>
      <c r="C170" s="111"/>
      <c r="D170" s="111"/>
      <c r="E170" s="85">
        <f t="shared" si="8"/>
        <v>0.7</v>
      </c>
      <c r="F170" s="31"/>
      <c r="G170" s="118" t="s">
        <v>108</v>
      </c>
      <c r="H170" s="119"/>
      <c r="I170" s="120"/>
      <c r="J170" s="37">
        <v>0.7</v>
      </c>
      <c r="K170" s="30"/>
      <c r="L170" s="115" t="s">
        <v>41</v>
      </c>
      <c r="M170" s="116"/>
      <c r="N170" s="117"/>
      <c r="O170" s="38">
        <f t="shared" si="9"/>
        <v>0.7</v>
      </c>
      <c r="P170" s="31"/>
      <c r="Q170" s="40" t="s">
        <v>42</v>
      </c>
      <c r="R170" s="48" t="s">
        <v>44</v>
      </c>
      <c r="S170" s="34" t="s">
        <v>46</v>
      </c>
      <c r="T170" s="34"/>
      <c r="U170" s="34"/>
      <c r="V170" s="34"/>
      <c r="X170" s="34"/>
      <c r="Y170" s="34"/>
      <c r="Z170" s="34"/>
      <c r="AA170" s="34"/>
      <c r="AB170" s="34"/>
      <c r="AC170" s="34"/>
      <c r="AD170" s="34"/>
    </row>
    <row r="171" spans="1:30" ht="40.5" customHeight="1">
      <c r="A171" s="84"/>
      <c r="B171" s="110" t="s">
        <v>40</v>
      </c>
      <c r="C171" s="111"/>
      <c r="D171" s="111"/>
      <c r="E171" s="85">
        <f t="shared" si="8"/>
        <v>0.7</v>
      </c>
      <c r="F171" s="31"/>
      <c r="G171" s="121" t="s">
        <v>109</v>
      </c>
      <c r="H171" s="122"/>
      <c r="I171" s="122"/>
      <c r="J171" s="37">
        <v>0.7</v>
      </c>
      <c r="K171" s="30"/>
      <c r="L171" s="115" t="s">
        <v>41</v>
      </c>
      <c r="M171" s="116"/>
      <c r="N171" s="117"/>
      <c r="O171" s="38">
        <f t="shared" si="9"/>
        <v>0.7</v>
      </c>
      <c r="P171" s="31"/>
      <c r="Q171" s="40" t="s">
        <v>42</v>
      </c>
      <c r="R171" s="48" t="s">
        <v>44</v>
      </c>
      <c r="S171" s="34" t="s">
        <v>61</v>
      </c>
      <c r="T171" s="34"/>
      <c r="U171" s="34"/>
      <c r="V171" s="34"/>
      <c r="X171" s="34"/>
      <c r="Y171" s="34"/>
      <c r="Z171" s="34"/>
      <c r="AA171" s="34"/>
      <c r="AB171" s="34"/>
      <c r="AC171" s="34"/>
      <c r="AD171" s="34"/>
    </row>
    <row r="172" spans="1:30" ht="40.5" customHeight="1">
      <c r="A172" s="84"/>
      <c r="B172" s="110" t="s">
        <v>40</v>
      </c>
      <c r="C172" s="111"/>
      <c r="D172" s="111"/>
      <c r="E172" s="85">
        <f t="shared" si="8"/>
        <v>7.1</v>
      </c>
      <c r="F172" s="31"/>
      <c r="G172" s="110" t="s">
        <v>105</v>
      </c>
      <c r="H172" s="111"/>
      <c r="I172" s="111"/>
      <c r="J172" s="37">
        <v>7.1</v>
      </c>
      <c r="K172" s="30"/>
      <c r="L172" s="115" t="s">
        <v>41</v>
      </c>
      <c r="M172" s="116"/>
      <c r="N172" s="117"/>
      <c r="O172" s="38">
        <f t="shared" si="9"/>
        <v>7.1</v>
      </c>
      <c r="P172" s="31"/>
      <c r="Q172" s="40" t="s">
        <v>42</v>
      </c>
      <c r="R172" s="48" t="s">
        <v>44</v>
      </c>
      <c r="S172" s="34" t="s">
        <v>67</v>
      </c>
      <c r="T172" s="34"/>
      <c r="U172" s="34"/>
      <c r="V172" s="34"/>
      <c r="X172" s="34"/>
      <c r="Y172" s="34"/>
      <c r="Z172" s="34"/>
      <c r="AA172" s="34"/>
      <c r="AB172" s="34"/>
      <c r="AC172" s="34"/>
      <c r="AD172" s="34"/>
    </row>
    <row r="173" spans="1:30" ht="40.5" customHeight="1">
      <c r="A173" s="84"/>
      <c r="B173" s="110" t="s">
        <v>40</v>
      </c>
      <c r="C173" s="111"/>
      <c r="D173" s="111"/>
      <c r="E173" s="85">
        <f t="shared" si="8"/>
        <v>0.4</v>
      </c>
      <c r="F173" s="31"/>
      <c r="G173" s="118" t="s">
        <v>108</v>
      </c>
      <c r="H173" s="119"/>
      <c r="I173" s="120"/>
      <c r="J173" s="36">
        <v>0.4</v>
      </c>
      <c r="K173" s="30"/>
      <c r="L173" s="115" t="s">
        <v>41</v>
      </c>
      <c r="M173" s="116"/>
      <c r="N173" s="117"/>
      <c r="O173" s="38">
        <f t="shared" si="9"/>
        <v>0.4</v>
      </c>
      <c r="P173" s="31"/>
      <c r="Q173" s="40" t="s">
        <v>42</v>
      </c>
      <c r="R173" s="48" t="s">
        <v>44</v>
      </c>
      <c r="S173" s="34" t="s">
        <v>46</v>
      </c>
      <c r="T173" s="34"/>
      <c r="U173" s="34"/>
      <c r="V173" s="34"/>
      <c r="X173" s="34"/>
      <c r="Y173" s="34"/>
      <c r="Z173" s="34"/>
      <c r="AA173" s="34"/>
      <c r="AB173" s="34"/>
      <c r="AC173" s="34"/>
      <c r="AD173" s="34"/>
    </row>
    <row r="174" spans="1:30" ht="40.5" customHeight="1">
      <c r="A174" s="84"/>
      <c r="B174" s="110" t="s">
        <v>40</v>
      </c>
      <c r="C174" s="111"/>
      <c r="D174" s="111"/>
      <c r="E174" s="85">
        <f t="shared" si="8"/>
        <v>16.2</v>
      </c>
      <c r="F174" s="31"/>
      <c r="G174" s="110" t="s">
        <v>105</v>
      </c>
      <c r="H174" s="111"/>
      <c r="I174" s="111"/>
      <c r="J174" s="36">
        <v>16.2</v>
      </c>
      <c r="K174" s="30"/>
      <c r="L174" s="115" t="s">
        <v>41</v>
      </c>
      <c r="M174" s="116"/>
      <c r="N174" s="117"/>
      <c r="O174" s="38">
        <f t="shared" si="9"/>
        <v>16.2</v>
      </c>
      <c r="P174" s="31"/>
      <c r="Q174" s="40" t="s">
        <v>42</v>
      </c>
      <c r="R174" s="48" t="s">
        <v>44</v>
      </c>
      <c r="S174" s="34" t="s">
        <v>67</v>
      </c>
      <c r="T174" s="34"/>
      <c r="U174" s="34"/>
      <c r="V174" s="34"/>
      <c r="X174" s="34"/>
      <c r="Y174" s="34"/>
      <c r="Z174" s="34"/>
      <c r="AA174" s="34"/>
      <c r="AB174" s="34"/>
      <c r="AC174" s="34"/>
      <c r="AD174" s="34"/>
    </row>
    <row r="175" spans="1:30" ht="40.5" customHeight="1">
      <c r="A175" s="84"/>
      <c r="B175" s="110" t="s">
        <v>40</v>
      </c>
      <c r="C175" s="111"/>
      <c r="D175" s="111"/>
      <c r="E175" s="85">
        <f t="shared" si="8"/>
        <v>1.2</v>
      </c>
      <c r="F175" s="31"/>
      <c r="G175" s="118" t="s">
        <v>108</v>
      </c>
      <c r="H175" s="119"/>
      <c r="I175" s="120"/>
      <c r="J175" s="37">
        <v>1.2</v>
      </c>
      <c r="K175" s="30"/>
      <c r="L175" s="115" t="s">
        <v>41</v>
      </c>
      <c r="M175" s="116"/>
      <c r="N175" s="117"/>
      <c r="O175" s="38">
        <f t="shared" si="9"/>
        <v>1.2</v>
      </c>
      <c r="P175" s="31"/>
      <c r="Q175" s="40" t="s">
        <v>42</v>
      </c>
      <c r="R175" s="48" t="s">
        <v>44</v>
      </c>
      <c r="S175" s="34" t="s">
        <v>46</v>
      </c>
      <c r="T175" s="34"/>
      <c r="U175" s="34"/>
      <c r="V175" s="34"/>
      <c r="X175" s="34"/>
      <c r="Y175" s="34"/>
      <c r="Z175" s="34"/>
      <c r="AA175" s="34"/>
      <c r="AB175" s="34"/>
      <c r="AC175" s="34"/>
      <c r="AD175" s="34"/>
    </row>
    <row r="176" spans="1:30" ht="40.5" customHeight="1">
      <c r="A176" s="84"/>
      <c r="B176" s="110" t="s">
        <v>40</v>
      </c>
      <c r="C176" s="111"/>
      <c r="D176" s="111"/>
      <c r="E176" s="85">
        <f t="shared" si="8"/>
        <v>14.1</v>
      </c>
      <c r="F176" s="31"/>
      <c r="G176" s="110" t="s">
        <v>105</v>
      </c>
      <c r="H176" s="111"/>
      <c r="I176" s="111"/>
      <c r="J176" s="37">
        <v>14.1</v>
      </c>
      <c r="K176" s="39"/>
      <c r="L176" s="115" t="s">
        <v>76</v>
      </c>
      <c r="M176" s="116"/>
      <c r="N176" s="117"/>
      <c r="O176" s="38">
        <f t="shared" si="9"/>
        <v>14.1</v>
      </c>
      <c r="P176" s="32"/>
      <c r="Q176" s="40" t="s">
        <v>80</v>
      </c>
      <c r="R176" s="48" t="s">
        <v>44</v>
      </c>
      <c r="S176" s="34" t="s">
        <v>67</v>
      </c>
      <c r="T176" s="34"/>
      <c r="U176" s="34"/>
      <c r="V176" s="34"/>
      <c r="X176" s="34"/>
      <c r="Y176" s="34"/>
      <c r="Z176" s="34"/>
      <c r="AA176" s="34"/>
      <c r="AB176" s="34"/>
      <c r="AC176" s="34"/>
      <c r="AD176" s="34"/>
    </row>
    <row r="177" spans="1:30" ht="40.5" customHeight="1">
      <c r="A177" s="84"/>
      <c r="B177" s="110" t="s">
        <v>40</v>
      </c>
      <c r="C177" s="111"/>
      <c r="D177" s="111"/>
      <c r="E177" s="85">
        <f t="shared" si="8"/>
        <v>0.9</v>
      </c>
      <c r="F177" s="31"/>
      <c r="G177" s="118" t="s">
        <v>108</v>
      </c>
      <c r="H177" s="119"/>
      <c r="I177" s="120"/>
      <c r="J177" s="37">
        <v>0.9</v>
      </c>
      <c r="K177" s="39"/>
      <c r="L177" s="115" t="s">
        <v>76</v>
      </c>
      <c r="M177" s="116"/>
      <c r="N177" s="117"/>
      <c r="O177" s="38">
        <f t="shared" si="9"/>
        <v>0.9</v>
      </c>
      <c r="P177" s="32"/>
      <c r="Q177" s="40" t="s">
        <v>80</v>
      </c>
      <c r="R177" s="48" t="s">
        <v>44</v>
      </c>
      <c r="S177" s="34" t="s">
        <v>46</v>
      </c>
      <c r="T177" s="34"/>
      <c r="U177" s="34"/>
      <c r="V177" s="34"/>
      <c r="X177" s="34"/>
      <c r="Y177" s="34"/>
      <c r="Z177" s="34"/>
      <c r="AA177" s="34"/>
      <c r="AB177" s="34"/>
      <c r="AC177" s="34"/>
      <c r="AD177" s="34"/>
    </row>
    <row r="178" spans="1:30" ht="40.5" customHeight="1">
      <c r="A178" s="84"/>
      <c r="B178" s="110" t="s">
        <v>40</v>
      </c>
      <c r="C178" s="111"/>
      <c r="D178" s="111"/>
      <c r="E178" s="85">
        <f t="shared" si="8"/>
        <v>0.5</v>
      </c>
      <c r="F178" s="31"/>
      <c r="G178" s="110" t="s">
        <v>105</v>
      </c>
      <c r="H178" s="111"/>
      <c r="I178" s="111"/>
      <c r="J178" s="36">
        <v>0.5</v>
      </c>
      <c r="K178" s="39"/>
      <c r="L178" s="115" t="s">
        <v>76</v>
      </c>
      <c r="M178" s="116"/>
      <c r="N178" s="117"/>
      <c r="O178" s="38">
        <f t="shared" si="9"/>
        <v>0.5</v>
      </c>
      <c r="P178" s="32"/>
      <c r="Q178" s="40" t="s">
        <v>80</v>
      </c>
      <c r="R178" s="48" t="s">
        <v>44</v>
      </c>
      <c r="S178" s="34" t="s">
        <v>67</v>
      </c>
      <c r="T178" s="34"/>
      <c r="U178" s="34"/>
      <c r="V178" s="34"/>
      <c r="X178" s="34"/>
      <c r="Y178" s="34"/>
      <c r="Z178" s="34"/>
      <c r="AA178" s="34"/>
      <c r="AB178" s="34"/>
      <c r="AC178" s="34"/>
      <c r="AD178" s="34"/>
    </row>
    <row r="179" spans="1:30" ht="40.5" customHeight="1">
      <c r="A179" s="84"/>
      <c r="B179" s="110" t="s">
        <v>40</v>
      </c>
      <c r="C179" s="111"/>
      <c r="D179" s="111"/>
      <c r="E179" s="85">
        <f t="shared" si="8"/>
        <v>1.8</v>
      </c>
      <c r="F179" s="31"/>
      <c r="G179" s="118" t="s">
        <v>108</v>
      </c>
      <c r="H179" s="119"/>
      <c r="I179" s="120"/>
      <c r="J179" s="36">
        <v>1.8</v>
      </c>
      <c r="K179" s="39"/>
      <c r="L179" s="115" t="s">
        <v>76</v>
      </c>
      <c r="M179" s="116"/>
      <c r="N179" s="117"/>
      <c r="O179" s="38">
        <f t="shared" si="9"/>
        <v>1.8</v>
      </c>
      <c r="P179" s="32"/>
      <c r="Q179" s="40" t="s">
        <v>80</v>
      </c>
      <c r="R179" s="48" t="s">
        <v>44</v>
      </c>
      <c r="S179" s="34" t="s">
        <v>46</v>
      </c>
      <c r="T179" s="34"/>
      <c r="U179" s="34"/>
      <c r="V179" s="34"/>
      <c r="X179" s="34"/>
      <c r="Y179" s="34"/>
      <c r="Z179" s="34"/>
      <c r="AA179" s="34"/>
      <c r="AB179" s="34"/>
      <c r="AC179" s="34"/>
      <c r="AD179" s="34"/>
    </row>
    <row r="180" spans="1:30" ht="40.5" customHeight="1">
      <c r="A180" s="84"/>
      <c r="B180" s="110" t="s">
        <v>40</v>
      </c>
      <c r="C180" s="111"/>
      <c r="D180" s="111"/>
      <c r="E180" s="85">
        <f t="shared" si="8"/>
        <v>1.8</v>
      </c>
      <c r="F180" s="31"/>
      <c r="G180" s="121" t="s">
        <v>109</v>
      </c>
      <c r="H180" s="122"/>
      <c r="I180" s="122"/>
      <c r="J180" s="37">
        <v>1.8</v>
      </c>
      <c r="K180" s="39"/>
      <c r="L180" s="115" t="s">
        <v>76</v>
      </c>
      <c r="M180" s="116"/>
      <c r="N180" s="117"/>
      <c r="O180" s="38">
        <f t="shared" si="9"/>
        <v>1.8</v>
      </c>
      <c r="P180" s="32"/>
      <c r="Q180" s="40" t="s">
        <v>80</v>
      </c>
      <c r="R180" s="48" t="s">
        <v>44</v>
      </c>
      <c r="S180" s="34" t="s">
        <v>61</v>
      </c>
      <c r="T180" s="34"/>
      <c r="U180" s="34"/>
      <c r="V180" s="34"/>
      <c r="X180" s="34"/>
      <c r="Y180" s="34"/>
      <c r="Z180" s="34"/>
      <c r="AA180" s="34"/>
      <c r="AB180" s="34"/>
      <c r="AC180" s="34"/>
      <c r="AD180" s="34"/>
    </row>
    <row r="181" spans="1:30" ht="40.5" customHeight="1">
      <c r="A181" s="84"/>
      <c r="B181" s="110" t="s">
        <v>40</v>
      </c>
      <c r="C181" s="111"/>
      <c r="D181" s="111"/>
      <c r="E181" s="85">
        <f t="shared" si="8"/>
        <v>2.9</v>
      </c>
      <c r="F181" s="31"/>
      <c r="G181" s="110" t="s">
        <v>104</v>
      </c>
      <c r="H181" s="111"/>
      <c r="I181" s="111"/>
      <c r="J181" s="37">
        <v>2.9</v>
      </c>
      <c r="K181" s="39"/>
      <c r="L181" s="115" t="s">
        <v>76</v>
      </c>
      <c r="M181" s="116"/>
      <c r="N181" s="117"/>
      <c r="O181" s="38">
        <f t="shared" si="9"/>
        <v>2.9</v>
      </c>
      <c r="P181" s="32"/>
      <c r="Q181" s="40" t="s">
        <v>80</v>
      </c>
      <c r="R181" s="48" t="s">
        <v>44</v>
      </c>
      <c r="S181" s="34" t="s">
        <v>55</v>
      </c>
      <c r="T181" s="34"/>
      <c r="U181" s="34"/>
      <c r="V181" s="34"/>
      <c r="X181" s="34"/>
      <c r="Y181" s="34"/>
      <c r="Z181" s="34"/>
      <c r="AA181" s="34"/>
      <c r="AB181" s="34"/>
      <c r="AC181" s="34"/>
      <c r="AD181" s="34"/>
    </row>
    <row r="182" spans="1:30" ht="40.5" customHeight="1">
      <c r="A182" s="84"/>
      <c r="B182" s="110" t="s">
        <v>40</v>
      </c>
      <c r="C182" s="111"/>
      <c r="D182" s="111"/>
      <c r="E182" s="85">
        <f t="shared" si="8"/>
        <v>9</v>
      </c>
      <c r="F182" s="31"/>
      <c r="G182" s="110" t="s">
        <v>105</v>
      </c>
      <c r="H182" s="111"/>
      <c r="I182" s="111"/>
      <c r="J182" s="37">
        <v>9</v>
      </c>
      <c r="K182" s="39"/>
      <c r="L182" s="115" t="s">
        <v>76</v>
      </c>
      <c r="M182" s="116"/>
      <c r="N182" s="117"/>
      <c r="O182" s="38">
        <f t="shared" si="9"/>
        <v>9</v>
      </c>
      <c r="P182" s="32"/>
      <c r="Q182" s="40" t="s">
        <v>80</v>
      </c>
      <c r="R182" s="48" t="s">
        <v>44</v>
      </c>
      <c r="S182" s="34" t="s">
        <v>67</v>
      </c>
      <c r="T182" s="34"/>
      <c r="U182" s="34"/>
      <c r="V182" s="34"/>
      <c r="X182" s="34"/>
      <c r="Y182" s="34"/>
      <c r="Z182" s="34"/>
      <c r="AA182" s="34"/>
      <c r="AB182" s="34"/>
      <c r="AC182" s="34"/>
      <c r="AD182" s="34"/>
    </row>
    <row r="183" spans="1:30" ht="40.5" customHeight="1">
      <c r="A183" s="84"/>
      <c r="B183" s="110" t="s">
        <v>40</v>
      </c>
      <c r="C183" s="111"/>
      <c r="D183" s="111"/>
      <c r="E183" s="85">
        <f t="shared" si="8"/>
        <v>1.6</v>
      </c>
      <c r="F183" s="31"/>
      <c r="G183" s="118" t="s">
        <v>108</v>
      </c>
      <c r="H183" s="119"/>
      <c r="I183" s="120"/>
      <c r="J183" s="36">
        <v>1.6</v>
      </c>
      <c r="K183" s="39"/>
      <c r="L183" s="115" t="s">
        <v>76</v>
      </c>
      <c r="M183" s="116"/>
      <c r="N183" s="117"/>
      <c r="O183" s="38">
        <f t="shared" si="9"/>
        <v>1.6</v>
      </c>
      <c r="P183" s="32"/>
      <c r="Q183" s="40" t="s">
        <v>80</v>
      </c>
      <c r="R183" s="48" t="s">
        <v>44</v>
      </c>
      <c r="S183" s="34" t="s">
        <v>46</v>
      </c>
      <c r="T183" s="34"/>
      <c r="U183" s="34"/>
      <c r="V183" s="34"/>
      <c r="X183" s="34"/>
      <c r="Y183" s="34"/>
      <c r="Z183" s="34"/>
      <c r="AA183" s="34"/>
      <c r="AB183" s="34"/>
      <c r="AC183" s="34"/>
      <c r="AD183" s="34"/>
    </row>
    <row r="184" spans="1:30" ht="40.5" customHeight="1">
      <c r="A184" s="84"/>
      <c r="B184" s="110" t="s">
        <v>40</v>
      </c>
      <c r="C184" s="111"/>
      <c r="D184" s="111"/>
      <c r="E184" s="85">
        <f t="shared" si="8"/>
        <v>2.8</v>
      </c>
      <c r="F184" s="31"/>
      <c r="G184" s="110" t="s">
        <v>105</v>
      </c>
      <c r="H184" s="111"/>
      <c r="I184" s="111"/>
      <c r="J184" s="36">
        <v>2.8</v>
      </c>
      <c r="K184" s="39"/>
      <c r="L184" s="115" t="s">
        <v>76</v>
      </c>
      <c r="M184" s="116"/>
      <c r="N184" s="117"/>
      <c r="O184" s="38">
        <f t="shared" si="9"/>
        <v>2.8</v>
      </c>
      <c r="P184" s="32"/>
      <c r="Q184" s="40" t="s">
        <v>80</v>
      </c>
      <c r="R184" s="48" t="s">
        <v>44</v>
      </c>
      <c r="S184" s="34" t="s">
        <v>67</v>
      </c>
      <c r="T184" s="34"/>
      <c r="U184" s="34"/>
      <c r="V184" s="34"/>
      <c r="X184" s="34"/>
      <c r="Y184" s="34"/>
      <c r="Z184" s="34"/>
      <c r="AA184" s="34"/>
      <c r="AB184" s="34"/>
      <c r="AC184" s="34"/>
      <c r="AD184" s="34"/>
    </row>
    <row r="185" spans="1:30" ht="40.5" customHeight="1">
      <c r="A185" s="84"/>
      <c r="B185" s="110" t="s">
        <v>40</v>
      </c>
      <c r="C185" s="111"/>
      <c r="D185" s="111"/>
      <c r="E185" s="85">
        <f t="shared" si="8"/>
        <v>3</v>
      </c>
      <c r="F185" s="31"/>
      <c r="G185" s="110" t="s">
        <v>104</v>
      </c>
      <c r="H185" s="111"/>
      <c r="I185" s="111"/>
      <c r="J185" s="37">
        <v>3</v>
      </c>
      <c r="K185" s="39"/>
      <c r="L185" s="115" t="s">
        <v>76</v>
      </c>
      <c r="M185" s="116"/>
      <c r="N185" s="117"/>
      <c r="O185" s="38">
        <f t="shared" si="9"/>
        <v>3</v>
      </c>
      <c r="P185" s="32"/>
      <c r="Q185" s="40" t="s">
        <v>80</v>
      </c>
      <c r="R185" s="48" t="s">
        <v>44</v>
      </c>
      <c r="S185" s="34" t="s">
        <v>55</v>
      </c>
      <c r="T185" s="34"/>
      <c r="U185" s="34"/>
      <c r="V185" s="34"/>
      <c r="X185" s="34"/>
      <c r="Y185" s="34"/>
      <c r="Z185" s="34"/>
      <c r="AA185" s="34"/>
      <c r="AB185" s="34"/>
      <c r="AC185" s="34"/>
      <c r="AD185" s="34"/>
    </row>
    <row r="186" spans="1:30" ht="40.5" customHeight="1">
      <c r="A186" s="84"/>
      <c r="B186" s="110" t="s">
        <v>40</v>
      </c>
      <c r="C186" s="111"/>
      <c r="D186" s="111"/>
      <c r="E186" s="85">
        <f t="shared" si="8"/>
        <v>12</v>
      </c>
      <c r="F186" s="31"/>
      <c r="G186" s="115" t="s">
        <v>105</v>
      </c>
      <c r="H186" s="116"/>
      <c r="I186" s="117"/>
      <c r="J186" s="37">
        <v>12</v>
      </c>
      <c r="K186" s="39"/>
      <c r="L186" s="115" t="s">
        <v>76</v>
      </c>
      <c r="M186" s="116"/>
      <c r="N186" s="117"/>
      <c r="O186" s="38">
        <f t="shared" si="9"/>
        <v>12</v>
      </c>
      <c r="P186" s="32"/>
      <c r="Q186" s="40" t="s">
        <v>80</v>
      </c>
      <c r="R186" s="48" t="s">
        <v>44</v>
      </c>
      <c r="S186" s="34" t="s">
        <v>67</v>
      </c>
      <c r="T186" s="34"/>
      <c r="U186" s="34"/>
      <c r="V186" s="34"/>
      <c r="X186" s="34"/>
      <c r="Y186" s="34"/>
      <c r="Z186" s="34"/>
      <c r="AA186" s="34"/>
      <c r="AB186" s="34"/>
      <c r="AC186" s="34"/>
      <c r="AD186" s="34"/>
    </row>
    <row r="187" spans="1:30" ht="40.5" customHeight="1">
      <c r="A187" s="84"/>
      <c r="B187" s="110" t="s">
        <v>40</v>
      </c>
      <c r="C187" s="111"/>
      <c r="D187" s="111"/>
      <c r="E187" s="85">
        <f t="shared" si="8"/>
        <v>1.6</v>
      </c>
      <c r="F187" s="31"/>
      <c r="G187" s="115" t="s">
        <v>104</v>
      </c>
      <c r="H187" s="116"/>
      <c r="I187" s="117"/>
      <c r="J187" s="37">
        <v>1.6</v>
      </c>
      <c r="K187" s="39"/>
      <c r="L187" s="115" t="s">
        <v>76</v>
      </c>
      <c r="M187" s="116"/>
      <c r="N187" s="117"/>
      <c r="O187" s="38">
        <f t="shared" si="9"/>
        <v>1.6</v>
      </c>
      <c r="P187" s="32"/>
      <c r="Q187" s="40" t="s">
        <v>80</v>
      </c>
      <c r="R187" s="48" t="s">
        <v>44</v>
      </c>
      <c r="S187" s="34" t="s">
        <v>55</v>
      </c>
      <c r="T187" s="34"/>
      <c r="U187" s="34"/>
      <c r="V187" s="34"/>
      <c r="X187" s="34"/>
      <c r="Y187" s="34"/>
      <c r="Z187" s="34"/>
      <c r="AA187" s="34"/>
      <c r="AB187" s="34"/>
      <c r="AC187" s="34"/>
      <c r="AD187" s="34"/>
    </row>
    <row r="188" spans="1:30" ht="40.5" customHeight="1">
      <c r="A188" s="84"/>
      <c r="B188" s="110" t="s">
        <v>40</v>
      </c>
      <c r="C188" s="111"/>
      <c r="D188" s="111"/>
      <c r="E188" s="85">
        <f t="shared" si="8"/>
        <v>2</v>
      </c>
      <c r="F188" s="31"/>
      <c r="G188" s="115" t="s">
        <v>105</v>
      </c>
      <c r="H188" s="116"/>
      <c r="I188" s="117"/>
      <c r="J188" s="36">
        <v>2</v>
      </c>
      <c r="K188" s="39"/>
      <c r="L188" s="115" t="s">
        <v>76</v>
      </c>
      <c r="M188" s="116"/>
      <c r="N188" s="117"/>
      <c r="O188" s="38">
        <f t="shared" si="9"/>
        <v>2</v>
      </c>
      <c r="P188" s="32"/>
      <c r="Q188" s="40" t="s">
        <v>80</v>
      </c>
      <c r="R188" s="48" t="s">
        <v>44</v>
      </c>
      <c r="S188" s="34" t="s">
        <v>67</v>
      </c>
      <c r="T188" s="34"/>
      <c r="U188" s="34"/>
      <c r="V188" s="34"/>
      <c r="X188" s="34"/>
      <c r="Y188" s="34"/>
      <c r="Z188" s="34"/>
      <c r="AA188" s="34"/>
      <c r="AB188" s="34"/>
      <c r="AC188" s="34"/>
      <c r="AD188" s="34"/>
    </row>
    <row r="189" spans="1:30" ht="40.5" customHeight="1">
      <c r="A189" s="84"/>
      <c r="B189" s="110" t="s">
        <v>40</v>
      </c>
      <c r="C189" s="111"/>
      <c r="D189" s="111"/>
      <c r="E189" s="85">
        <f t="shared" si="8"/>
        <v>2.2999999999999998</v>
      </c>
      <c r="F189" s="31"/>
      <c r="G189" s="115" t="s">
        <v>104</v>
      </c>
      <c r="H189" s="116"/>
      <c r="I189" s="117"/>
      <c r="J189" s="36">
        <v>2.2999999999999998</v>
      </c>
      <c r="K189" s="39"/>
      <c r="L189" s="115" t="s">
        <v>76</v>
      </c>
      <c r="M189" s="116"/>
      <c r="N189" s="117"/>
      <c r="O189" s="38">
        <f t="shared" si="9"/>
        <v>2.2999999999999998</v>
      </c>
      <c r="P189" s="32"/>
      <c r="Q189" s="40" t="s">
        <v>80</v>
      </c>
      <c r="R189" s="48" t="s">
        <v>44</v>
      </c>
      <c r="S189" s="34" t="s">
        <v>55</v>
      </c>
      <c r="T189" s="34"/>
      <c r="U189" s="34"/>
      <c r="V189" s="34"/>
      <c r="X189" s="34"/>
      <c r="Y189" s="34"/>
      <c r="Z189" s="34"/>
      <c r="AA189" s="34"/>
      <c r="AB189" s="34"/>
      <c r="AC189" s="34"/>
      <c r="AD189" s="34"/>
    </row>
    <row r="190" spans="1:30" ht="40.5" customHeight="1">
      <c r="A190" s="84"/>
      <c r="B190" s="110" t="s">
        <v>40</v>
      </c>
      <c r="C190" s="111"/>
      <c r="D190" s="111"/>
      <c r="E190" s="85">
        <f t="shared" si="8"/>
        <v>36.799999999999997</v>
      </c>
      <c r="F190" s="31"/>
      <c r="G190" s="115" t="s">
        <v>105</v>
      </c>
      <c r="H190" s="116"/>
      <c r="I190" s="117"/>
      <c r="J190" s="37">
        <f>25.1+11.7</f>
        <v>36.799999999999997</v>
      </c>
      <c r="K190" s="39"/>
      <c r="L190" s="115" t="s">
        <v>76</v>
      </c>
      <c r="M190" s="116"/>
      <c r="N190" s="117"/>
      <c r="O190" s="38">
        <f t="shared" si="9"/>
        <v>36.799999999999997</v>
      </c>
      <c r="P190" s="32"/>
      <c r="Q190" s="40" t="s">
        <v>80</v>
      </c>
      <c r="R190" s="48" t="s">
        <v>44</v>
      </c>
      <c r="S190" s="34" t="s">
        <v>67</v>
      </c>
      <c r="T190" s="34"/>
      <c r="U190" s="34"/>
      <c r="V190" s="34"/>
      <c r="X190" s="34"/>
      <c r="Y190" s="34"/>
      <c r="Z190" s="34"/>
      <c r="AA190" s="34"/>
      <c r="AB190" s="34"/>
      <c r="AC190" s="34"/>
      <c r="AD190" s="34"/>
    </row>
    <row r="191" spans="1:30" ht="40.5" customHeight="1">
      <c r="A191" s="84"/>
      <c r="B191" s="110" t="s">
        <v>40</v>
      </c>
      <c r="C191" s="111"/>
      <c r="D191" s="111"/>
      <c r="E191" s="85">
        <f t="shared" si="8"/>
        <v>2.7</v>
      </c>
      <c r="F191" s="31"/>
      <c r="G191" s="115" t="s">
        <v>104</v>
      </c>
      <c r="H191" s="116"/>
      <c r="I191" s="117"/>
      <c r="J191" s="37">
        <v>2.7</v>
      </c>
      <c r="K191" s="39"/>
      <c r="L191" s="115" t="s">
        <v>76</v>
      </c>
      <c r="M191" s="116"/>
      <c r="N191" s="117"/>
      <c r="O191" s="38">
        <f t="shared" si="9"/>
        <v>2.7</v>
      </c>
      <c r="P191" s="32"/>
      <c r="Q191" s="40" t="s">
        <v>80</v>
      </c>
      <c r="R191" s="48" t="s">
        <v>44</v>
      </c>
      <c r="S191" s="34" t="s">
        <v>55</v>
      </c>
      <c r="T191" s="34"/>
      <c r="U191" s="34"/>
      <c r="V191" s="34"/>
      <c r="X191" s="34"/>
      <c r="Y191" s="34"/>
      <c r="Z191" s="34"/>
      <c r="AA191" s="34"/>
      <c r="AB191" s="34"/>
      <c r="AC191" s="34"/>
      <c r="AD191" s="34"/>
    </row>
    <row r="192" spans="1:30" ht="40.5" customHeight="1">
      <c r="A192" s="84"/>
      <c r="B192" s="110" t="s">
        <v>40</v>
      </c>
      <c r="C192" s="111"/>
      <c r="D192" s="111"/>
      <c r="E192" s="85">
        <f t="shared" si="8"/>
        <v>19.3</v>
      </c>
      <c r="F192" s="31"/>
      <c r="G192" s="115" t="s">
        <v>105</v>
      </c>
      <c r="H192" s="116"/>
      <c r="I192" s="117"/>
      <c r="J192" s="37">
        <v>19.3</v>
      </c>
      <c r="K192" s="39"/>
      <c r="L192" s="115" t="s">
        <v>76</v>
      </c>
      <c r="M192" s="116"/>
      <c r="N192" s="117"/>
      <c r="O192" s="38">
        <f t="shared" si="9"/>
        <v>19.3</v>
      </c>
      <c r="P192" s="32"/>
      <c r="Q192" s="40" t="s">
        <v>80</v>
      </c>
      <c r="R192" s="48" t="s">
        <v>44</v>
      </c>
      <c r="S192" s="34" t="s">
        <v>67</v>
      </c>
      <c r="T192" s="34"/>
      <c r="U192" s="34"/>
      <c r="V192" s="34"/>
      <c r="X192" s="34"/>
      <c r="Y192" s="34"/>
      <c r="Z192" s="34"/>
      <c r="AA192" s="34"/>
      <c r="AB192" s="34"/>
      <c r="AC192" s="34"/>
      <c r="AD192" s="34"/>
    </row>
    <row r="193" spans="1:30" ht="40.5" customHeight="1">
      <c r="A193" s="84"/>
      <c r="B193" s="110" t="s">
        <v>40</v>
      </c>
      <c r="C193" s="111"/>
      <c r="D193" s="111"/>
      <c r="E193" s="85">
        <f t="shared" si="8"/>
        <v>3.7</v>
      </c>
      <c r="F193" s="31"/>
      <c r="G193" s="115" t="s">
        <v>104</v>
      </c>
      <c r="H193" s="116"/>
      <c r="I193" s="117"/>
      <c r="J193" s="36">
        <v>3.7</v>
      </c>
      <c r="K193" s="39"/>
      <c r="L193" s="115" t="s">
        <v>76</v>
      </c>
      <c r="M193" s="116"/>
      <c r="N193" s="117"/>
      <c r="O193" s="38">
        <f t="shared" si="9"/>
        <v>3.7</v>
      </c>
      <c r="P193" s="32"/>
      <c r="Q193" s="40" t="s">
        <v>80</v>
      </c>
      <c r="R193" s="48" t="s">
        <v>44</v>
      </c>
      <c r="S193" s="34" t="s">
        <v>55</v>
      </c>
      <c r="T193" s="34"/>
      <c r="U193" s="34"/>
      <c r="V193" s="34"/>
      <c r="X193" s="34"/>
      <c r="Y193" s="34"/>
      <c r="Z193" s="34"/>
      <c r="AA193" s="34"/>
      <c r="AB193" s="34"/>
      <c r="AC193" s="34"/>
      <c r="AD193" s="34"/>
    </row>
    <row r="194" spans="1:30" ht="40.5" customHeight="1">
      <c r="A194" s="84"/>
      <c r="B194" s="110" t="s">
        <v>40</v>
      </c>
      <c r="C194" s="111"/>
      <c r="D194" s="111"/>
      <c r="E194" s="85">
        <f t="shared" si="8"/>
        <v>16.100000000000001</v>
      </c>
      <c r="F194" s="31"/>
      <c r="G194" s="115" t="s">
        <v>105</v>
      </c>
      <c r="H194" s="116"/>
      <c r="I194" s="117"/>
      <c r="J194" s="36">
        <v>16.100000000000001</v>
      </c>
      <c r="K194" s="39"/>
      <c r="L194" s="115" t="s">
        <v>76</v>
      </c>
      <c r="M194" s="116"/>
      <c r="N194" s="117"/>
      <c r="O194" s="38">
        <f t="shared" si="9"/>
        <v>16.100000000000001</v>
      </c>
      <c r="P194" s="32"/>
      <c r="Q194" s="40" t="s">
        <v>80</v>
      </c>
      <c r="R194" s="48" t="s">
        <v>44</v>
      </c>
      <c r="S194" s="34" t="s">
        <v>67</v>
      </c>
      <c r="T194" s="34"/>
      <c r="U194" s="34"/>
      <c r="V194" s="34"/>
      <c r="X194" s="34"/>
      <c r="Y194" s="34"/>
      <c r="Z194" s="34"/>
      <c r="AA194" s="34"/>
      <c r="AB194" s="34"/>
      <c r="AC194" s="34"/>
      <c r="AD194" s="34"/>
    </row>
    <row r="195" spans="1:30" ht="40.5" customHeight="1">
      <c r="A195" s="84"/>
      <c r="B195" s="110" t="s">
        <v>40</v>
      </c>
      <c r="C195" s="111"/>
      <c r="D195" s="111"/>
      <c r="E195" s="85">
        <f t="shared" si="8"/>
        <v>4.5999999999999996</v>
      </c>
      <c r="F195" s="31"/>
      <c r="G195" s="115" t="s">
        <v>104</v>
      </c>
      <c r="H195" s="116"/>
      <c r="I195" s="117"/>
      <c r="J195" s="37">
        <v>4.5999999999999996</v>
      </c>
      <c r="K195" s="39"/>
      <c r="L195" s="115" t="s">
        <v>76</v>
      </c>
      <c r="M195" s="116"/>
      <c r="N195" s="117"/>
      <c r="O195" s="38">
        <f t="shared" si="9"/>
        <v>4.5999999999999996</v>
      </c>
      <c r="P195" s="32"/>
      <c r="Q195" s="40" t="s">
        <v>80</v>
      </c>
      <c r="R195" s="48" t="s">
        <v>44</v>
      </c>
      <c r="S195" s="34" t="s">
        <v>55</v>
      </c>
      <c r="T195" s="34"/>
      <c r="U195" s="34"/>
      <c r="V195" s="34"/>
      <c r="X195" s="34"/>
      <c r="Y195" s="34"/>
      <c r="Z195" s="34"/>
      <c r="AA195" s="34"/>
      <c r="AB195" s="34"/>
      <c r="AC195" s="34"/>
      <c r="AD195" s="34"/>
    </row>
    <row r="196" spans="1:30" ht="40.5" customHeight="1">
      <c r="A196" s="84"/>
      <c r="B196" s="110" t="s">
        <v>40</v>
      </c>
      <c r="C196" s="111"/>
      <c r="D196" s="111"/>
      <c r="E196" s="85">
        <f t="shared" si="8"/>
        <v>20.8</v>
      </c>
      <c r="F196" s="31"/>
      <c r="G196" s="115" t="s">
        <v>105</v>
      </c>
      <c r="H196" s="116"/>
      <c r="I196" s="117"/>
      <c r="J196" s="37">
        <v>20.8</v>
      </c>
      <c r="K196" s="39"/>
      <c r="L196" s="115" t="s">
        <v>76</v>
      </c>
      <c r="M196" s="116"/>
      <c r="N196" s="117"/>
      <c r="O196" s="38">
        <f t="shared" si="9"/>
        <v>20.8</v>
      </c>
      <c r="P196" s="32"/>
      <c r="Q196" s="40" t="s">
        <v>80</v>
      </c>
      <c r="R196" s="48" t="s">
        <v>44</v>
      </c>
      <c r="S196" s="34" t="s">
        <v>67</v>
      </c>
      <c r="T196" s="34"/>
      <c r="U196" s="34"/>
      <c r="V196" s="34"/>
      <c r="X196" s="34"/>
      <c r="Y196" s="34"/>
      <c r="Z196" s="34"/>
      <c r="AA196" s="34"/>
      <c r="AB196" s="34"/>
      <c r="AC196" s="34"/>
      <c r="AD196" s="34"/>
    </row>
    <row r="197" spans="1:30" ht="40.5" customHeight="1">
      <c r="A197" s="84"/>
      <c r="B197" s="110" t="s">
        <v>40</v>
      </c>
      <c r="C197" s="111"/>
      <c r="D197" s="111"/>
      <c r="E197" s="85">
        <f t="shared" si="8"/>
        <v>7.8</v>
      </c>
      <c r="F197" s="31"/>
      <c r="G197" s="115" t="s">
        <v>104</v>
      </c>
      <c r="H197" s="116"/>
      <c r="I197" s="117"/>
      <c r="J197" s="37">
        <v>7.8</v>
      </c>
      <c r="K197" s="39"/>
      <c r="L197" s="115" t="s">
        <v>76</v>
      </c>
      <c r="M197" s="116"/>
      <c r="N197" s="117"/>
      <c r="O197" s="38">
        <f t="shared" si="9"/>
        <v>7.8</v>
      </c>
      <c r="P197" s="32"/>
      <c r="Q197" s="40" t="s">
        <v>80</v>
      </c>
      <c r="R197" s="48" t="s">
        <v>44</v>
      </c>
      <c r="S197" s="34" t="s">
        <v>55</v>
      </c>
      <c r="T197" s="34"/>
      <c r="U197" s="34"/>
      <c r="V197" s="34"/>
      <c r="X197" s="34"/>
      <c r="Y197" s="34"/>
      <c r="Z197" s="34"/>
      <c r="AA197" s="34"/>
      <c r="AB197" s="34"/>
      <c r="AC197" s="34"/>
      <c r="AD197" s="34"/>
    </row>
    <row r="198" spans="1:30" ht="40.5" customHeight="1">
      <c r="A198" s="84"/>
      <c r="B198" s="110" t="s">
        <v>40</v>
      </c>
      <c r="C198" s="111"/>
      <c r="D198" s="111"/>
      <c r="E198" s="85">
        <f t="shared" si="8"/>
        <v>12.8</v>
      </c>
      <c r="F198" s="31"/>
      <c r="G198" s="115" t="s">
        <v>105</v>
      </c>
      <c r="H198" s="116"/>
      <c r="I198" s="117"/>
      <c r="J198" s="36">
        <v>12.8</v>
      </c>
      <c r="K198" s="39"/>
      <c r="L198" s="115" t="s">
        <v>76</v>
      </c>
      <c r="M198" s="116"/>
      <c r="N198" s="117"/>
      <c r="O198" s="38">
        <f t="shared" si="9"/>
        <v>12.8</v>
      </c>
      <c r="P198" s="32"/>
      <c r="Q198" s="40" t="s">
        <v>80</v>
      </c>
      <c r="R198" s="48" t="s">
        <v>44</v>
      </c>
      <c r="S198" s="34" t="s">
        <v>67</v>
      </c>
      <c r="T198" s="34"/>
      <c r="U198" s="34"/>
      <c r="V198" s="34"/>
      <c r="X198" s="34"/>
      <c r="Y198" s="34"/>
      <c r="Z198" s="34"/>
      <c r="AA198" s="34"/>
      <c r="AB198" s="34"/>
      <c r="AC198" s="34"/>
      <c r="AD198" s="34"/>
    </row>
    <row r="199" spans="1:30" ht="40.5" customHeight="1">
      <c r="A199" s="84"/>
      <c r="B199" s="110" t="s">
        <v>40</v>
      </c>
      <c r="C199" s="111"/>
      <c r="D199" s="111"/>
      <c r="E199" s="85">
        <f t="shared" si="8"/>
        <v>2.1</v>
      </c>
      <c r="F199" s="31"/>
      <c r="G199" s="115" t="s">
        <v>104</v>
      </c>
      <c r="H199" s="116"/>
      <c r="I199" s="117"/>
      <c r="J199" s="36">
        <v>2.1</v>
      </c>
      <c r="K199" s="39"/>
      <c r="L199" s="115" t="s">
        <v>76</v>
      </c>
      <c r="M199" s="116"/>
      <c r="N199" s="117"/>
      <c r="O199" s="38">
        <f t="shared" si="9"/>
        <v>2.1</v>
      </c>
      <c r="P199" s="32"/>
      <c r="Q199" s="40" t="s">
        <v>80</v>
      </c>
      <c r="R199" s="48" t="s">
        <v>44</v>
      </c>
      <c r="S199" s="34" t="s">
        <v>55</v>
      </c>
      <c r="T199" s="34"/>
      <c r="U199" s="34"/>
      <c r="V199" s="34"/>
      <c r="X199" s="34"/>
      <c r="Y199" s="34"/>
      <c r="Z199" s="34"/>
      <c r="AA199" s="34"/>
      <c r="AB199" s="34"/>
      <c r="AC199" s="34"/>
      <c r="AD199" s="34"/>
    </row>
    <row r="200" spans="1:30" ht="40.5" customHeight="1">
      <c r="A200" s="84"/>
      <c r="B200" s="110" t="s">
        <v>40</v>
      </c>
      <c r="C200" s="111"/>
      <c r="D200" s="111"/>
      <c r="E200" s="32">
        <v>147</v>
      </c>
      <c r="F200" s="31"/>
      <c r="G200" s="110" t="s">
        <v>114</v>
      </c>
      <c r="H200" s="111"/>
      <c r="I200" s="111"/>
      <c r="J200" s="32">
        <v>147</v>
      </c>
      <c r="K200" s="32"/>
      <c r="L200" s="115" t="s">
        <v>76</v>
      </c>
      <c r="M200" s="116"/>
      <c r="N200" s="117"/>
      <c r="O200" s="32">
        <v>147</v>
      </c>
      <c r="P200" s="32"/>
      <c r="Q200" s="40" t="s">
        <v>115</v>
      </c>
      <c r="R200" s="48" t="s">
        <v>44</v>
      </c>
      <c r="S200" s="34" t="s">
        <v>67</v>
      </c>
      <c r="T200" s="34"/>
      <c r="U200" s="34"/>
      <c r="V200" s="34"/>
      <c r="X200" s="34"/>
      <c r="Y200" s="34"/>
      <c r="Z200" s="34"/>
      <c r="AA200" s="34"/>
      <c r="AB200" s="34"/>
      <c r="AC200" s="34"/>
      <c r="AD200" s="34"/>
    </row>
    <row r="201" spans="1:30" ht="40.5" customHeight="1">
      <c r="A201" s="84"/>
      <c r="B201" s="110" t="s">
        <v>40</v>
      </c>
      <c r="C201" s="111"/>
      <c r="D201" s="111"/>
      <c r="E201" s="37">
        <f t="shared" ref="E201:E207" si="10">O201</f>
        <v>0.5</v>
      </c>
      <c r="F201" s="31"/>
      <c r="G201" s="110" t="s">
        <v>116</v>
      </c>
      <c r="H201" s="111"/>
      <c r="I201" s="111"/>
      <c r="J201" s="37">
        <v>0.5</v>
      </c>
      <c r="K201" s="32"/>
      <c r="L201" s="115" t="s">
        <v>76</v>
      </c>
      <c r="M201" s="116"/>
      <c r="N201" s="117"/>
      <c r="O201" s="37">
        <v>0.5</v>
      </c>
      <c r="P201" s="32"/>
      <c r="Q201" s="40" t="s">
        <v>115</v>
      </c>
      <c r="R201" s="48" t="s">
        <v>44</v>
      </c>
      <c r="S201" s="48" t="s">
        <v>67</v>
      </c>
      <c r="T201" s="34"/>
      <c r="U201" s="34"/>
      <c r="V201" s="34"/>
      <c r="X201" s="34"/>
      <c r="Y201" s="34"/>
      <c r="Z201" s="34"/>
      <c r="AA201" s="34"/>
      <c r="AB201" s="34"/>
      <c r="AC201" s="34"/>
      <c r="AD201" s="34"/>
    </row>
    <row r="202" spans="1:30" ht="40.5" customHeight="1">
      <c r="A202" s="84"/>
      <c r="B202" s="110" t="s">
        <v>40</v>
      </c>
      <c r="C202" s="111"/>
      <c r="D202" s="111"/>
      <c r="E202" s="37">
        <f t="shared" si="10"/>
        <v>172.2</v>
      </c>
      <c r="F202" s="31"/>
      <c r="G202" s="115" t="s">
        <v>117</v>
      </c>
      <c r="H202" s="111"/>
      <c r="I202" s="111"/>
      <c r="J202" s="37">
        <v>172.2</v>
      </c>
      <c r="K202" s="86"/>
      <c r="L202" s="115" t="s">
        <v>76</v>
      </c>
      <c r="M202" s="116"/>
      <c r="N202" s="117"/>
      <c r="O202" s="37">
        <v>172.2</v>
      </c>
      <c r="P202" s="87"/>
      <c r="Q202" s="40" t="s">
        <v>115</v>
      </c>
      <c r="R202" s="48" t="s">
        <v>44</v>
      </c>
      <c r="S202" s="48" t="s">
        <v>67</v>
      </c>
      <c r="T202" s="34"/>
      <c r="U202" s="34"/>
      <c r="V202" s="34"/>
      <c r="X202" s="34"/>
      <c r="Y202" s="34"/>
      <c r="Z202" s="34"/>
      <c r="AA202" s="34"/>
      <c r="AB202" s="34"/>
      <c r="AC202" s="34"/>
      <c r="AD202" s="34"/>
    </row>
    <row r="203" spans="1:30" ht="40.5" customHeight="1">
      <c r="A203" s="84"/>
      <c r="B203" s="110" t="s">
        <v>40</v>
      </c>
      <c r="C203" s="111"/>
      <c r="D203" s="111"/>
      <c r="E203" s="37">
        <f t="shared" si="10"/>
        <v>15.07</v>
      </c>
      <c r="F203" s="31"/>
      <c r="G203" s="128" t="s">
        <v>118</v>
      </c>
      <c r="H203" s="129"/>
      <c r="I203" s="129"/>
      <c r="J203" s="37">
        <v>15.07</v>
      </c>
      <c r="K203" s="30"/>
      <c r="L203" s="115" t="s">
        <v>119</v>
      </c>
      <c r="M203" s="116"/>
      <c r="N203" s="117"/>
      <c r="O203" s="37">
        <v>15.07</v>
      </c>
      <c r="P203" s="31"/>
      <c r="Q203" s="40" t="s">
        <v>42</v>
      </c>
      <c r="R203" s="48" t="s">
        <v>44</v>
      </c>
      <c r="S203" s="48" t="s">
        <v>50</v>
      </c>
      <c r="T203" s="34">
        <f>SUM(O203:O206)</f>
        <v>21.17</v>
      </c>
      <c r="U203" s="34"/>
      <c r="V203" s="34"/>
      <c r="X203" s="34"/>
      <c r="Y203" s="34"/>
      <c r="Z203" s="34"/>
      <c r="AA203" s="34"/>
      <c r="AB203" s="34"/>
      <c r="AC203" s="34"/>
      <c r="AD203" s="34"/>
    </row>
    <row r="204" spans="1:30" ht="40.5" customHeight="1">
      <c r="A204" s="84"/>
      <c r="B204" s="110" t="s">
        <v>40</v>
      </c>
      <c r="C204" s="111"/>
      <c r="D204" s="111"/>
      <c r="E204" s="37">
        <f t="shared" si="10"/>
        <v>1.1000000000000001</v>
      </c>
      <c r="F204" s="31"/>
      <c r="G204" s="118" t="s">
        <v>120</v>
      </c>
      <c r="H204" s="122"/>
      <c r="I204" s="122"/>
      <c r="J204" s="37">
        <v>1.1000000000000001</v>
      </c>
      <c r="K204" s="30"/>
      <c r="L204" s="115" t="s">
        <v>119</v>
      </c>
      <c r="M204" s="116"/>
      <c r="N204" s="117"/>
      <c r="O204" s="37">
        <v>1.1000000000000001</v>
      </c>
      <c r="P204" s="31"/>
      <c r="Q204" s="40" t="s">
        <v>121</v>
      </c>
      <c r="R204" s="48" t="s">
        <v>44</v>
      </c>
      <c r="S204" s="48" t="s">
        <v>46</v>
      </c>
      <c r="T204" s="34"/>
      <c r="U204" s="34"/>
      <c r="V204" s="34"/>
      <c r="X204" s="34"/>
      <c r="Y204" s="34"/>
      <c r="Z204" s="34"/>
      <c r="AA204" s="34"/>
      <c r="AB204" s="34"/>
      <c r="AC204" s="34"/>
      <c r="AD204" s="34"/>
    </row>
    <row r="205" spans="1:30" ht="40.5" customHeight="1">
      <c r="A205" s="84"/>
      <c r="B205" s="110" t="s">
        <v>40</v>
      </c>
      <c r="C205" s="111"/>
      <c r="D205" s="111"/>
      <c r="E205" s="37">
        <f t="shared" si="10"/>
        <v>2.4</v>
      </c>
      <c r="F205" s="31"/>
      <c r="G205" s="118" t="s">
        <v>122</v>
      </c>
      <c r="H205" s="122"/>
      <c r="I205" s="122"/>
      <c r="J205" s="37">
        <v>2.4</v>
      </c>
      <c r="K205" s="30"/>
      <c r="L205" s="115" t="s">
        <v>119</v>
      </c>
      <c r="M205" s="116"/>
      <c r="N205" s="117"/>
      <c r="O205" s="38">
        <v>2.4</v>
      </c>
      <c r="P205" s="31"/>
      <c r="Q205" s="40" t="s">
        <v>42</v>
      </c>
      <c r="R205" s="48" t="s">
        <v>44</v>
      </c>
      <c r="S205" s="48" t="s">
        <v>52</v>
      </c>
      <c r="T205" s="34"/>
      <c r="U205" s="34"/>
      <c r="V205" s="34"/>
      <c r="X205" s="34"/>
      <c r="Y205" s="34"/>
      <c r="Z205" s="34"/>
      <c r="AA205" s="34"/>
      <c r="AB205" s="34"/>
      <c r="AC205" s="34"/>
      <c r="AD205" s="34"/>
    </row>
    <row r="206" spans="1:30" ht="40.5" customHeight="1">
      <c r="A206" s="7"/>
      <c r="B206" s="110" t="s">
        <v>40</v>
      </c>
      <c r="C206" s="111"/>
      <c r="D206" s="111"/>
      <c r="E206" s="37">
        <f t="shared" si="10"/>
        <v>2.6</v>
      </c>
      <c r="F206" s="31"/>
      <c r="G206" s="110" t="s">
        <v>123</v>
      </c>
      <c r="H206" s="111"/>
      <c r="I206" s="111"/>
      <c r="J206" s="36">
        <v>2.6</v>
      </c>
      <c r="K206" s="30"/>
      <c r="L206" s="115" t="s">
        <v>119</v>
      </c>
      <c r="M206" s="116"/>
      <c r="N206" s="117"/>
      <c r="O206" s="36">
        <v>2.6</v>
      </c>
      <c r="P206" s="31"/>
      <c r="Q206" s="40" t="s">
        <v>42</v>
      </c>
      <c r="R206" s="48" t="s">
        <v>44</v>
      </c>
      <c r="S206" s="34" t="s">
        <v>55</v>
      </c>
      <c r="T206" s="34"/>
      <c r="U206" s="34"/>
      <c r="V206" s="34"/>
      <c r="W206" s="34"/>
      <c r="X206" s="34"/>
      <c r="Y206" s="34"/>
      <c r="Z206" s="34"/>
      <c r="AA206" s="34"/>
      <c r="AB206" s="34"/>
      <c r="AC206" s="34"/>
      <c r="AD206" s="34"/>
    </row>
    <row r="207" spans="1:30" ht="40.5" customHeight="1">
      <c r="A207" s="7"/>
      <c r="B207" s="110" t="s">
        <v>40</v>
      </c>
      <c r="C207" s="111"/>
      <c r="D207" s="111"/>
      <c r="E207" s="37">
        <f t="shared" si="10"/>
        <v>19.309999999999999</v>
      </c>
      <c r="F207" s="31"/>
      <c r="G207" s="115" t="s">
        <v>117</v>
      </c>
      <c r="H207" s="111"/>
      <c r="I207" s="111"/>
      <c r="J207" s="36">
        <v>19.309999999999999</v>
      </c>
      <c r="K207" s="86"/>
      <c r="L207" s="115" t="s">
        <v>76</v>
      </c>
      <c r="M207" s="116"/>
      <c r="N207" s="117"/>
      <c r="O207" s="40">
        <v>19.309999999999999</v>
      </c>
      <c r="P207" s="87"/>
      <c r="Q207" s="40" t="s">
        <v>115</v>
      </c>
      <c r="R207" s="48" t="s">
        <v>44</v>
      </c>
      <c r="S207" s="34" t="s">
        <v>67</v>
      </c>
      <c r="T207" s="34"/>
      <c r="U207" s="34"/>
      <c r="V207" s="34"/>
      <c r="W207" s="34"/>
      <c r="X207" s="34"/>
      <c r="Y207" s="34"/>
      <c r="Z207" s="34"/>
      <c r="AA207" s="34"/>
      <c r="AB207" s="34"/>
      <c r="AC207" s="34"/>
      <c r="AD207" s="34"/>
    </row>
    <row r="208" spans="1:30" ht="40.5" customHeight="1">
      <c r="A208" s="7"/>
      <c r="B208" s="110" t="s">
        <v>40</v>
      </c>
      <c r="C208" s="126"/>
      <c r="D208" s="127"/>
      <c r="E208" s="32">
        <v>9.2200000000000006</v>
      </c>
      <c r="F208" s="31"/>
      <c r="G208" s="132" t="s">
        <v>124</v>
      </c>
      <c r="H208" s="126"/>
      <c r="I208" s="127"/>
      <c r="J208" s="32">
        <v>9.2200000000000006</v>
      </c>
      <c r="K208" s="32"/>
      <c r="L208" s="115" t="s">
        <v>76</v>
      </c>
      <c r="M208" s="116"/>
      <c r="N208" s="117"/>
      <c r="O208" s="32">
        <v>9.2200000000000006</v>
      </c>
      <c r="P208" s="32"/>
      <c r="Q208" s="40" t="s">
        <v>115</v>
      </c>
      <c r="R208" s="48" t="s">
        <v>44</v>
      </c>
      <c r="S208" s="35" t="s">
        <v>67</v>
      </c>
      <c r="T208" s="34"/>
      <c r="U208" s="34"/>
      <c r="V208" s="34"/>
      <c r="W208" s="34"/>
      <c r="X208" s="34"/>
      <c r="Y208" s="34"/>
      <c r="Z208" s="34"/>
      <c r="AA208" s="34"/>
      <c r="AB208" s="34"/>
      <c r="AC208" s="34"/>
      <c r="AD208" s="34"/>
    </row>
    <row r="209" spans="1:30" ht="40.5" customHeight="1">
      <c r="A209" s="84"/>
      <c r="B209" s="110" t="s">
        <v>40</v>
      </c>
      <c r="C209" s="126"/>
      <c r="D209" s="127"/>
      <c r="E209" s="37">
        <v>2.04</v>
      </c>
      <c r="F209" s="31"/>
      <c r="G209" s="132" t="s">
        <v>114</v>
      </c>
      <c r="H209" s="126"/>
      <c r="I209" s="127"/>
      <c r="J209" s="37">
        <v>2.04</v>
      </c>
      <c r="K209" s="32"/>
      <c r="L209" s="115" t="s">
        <v>76</v>
      </c>
      <c r="M209" s="116"/>
      <c r="N209" s="117"/>
      <c r="O209" s="37">
        <v>2.04</v>
      </c>
      <c r="P209" s="32"/>
      <c r="Q209" s="40" t="s">
        <v>115</v>
      </c>
      <c r="R209" s="48" t="s">
        <v>44</v>
      </c>
      <c r="S209" s="35" t="s">
        <v>67</v>
      </c>
      <c r="T209" s="34"/>
      <c r="U209" s="34"/>
      <c r="V209" s="34"/>
      <c r="W209" s="34"/>
      <c r="X209" s="34"/>
      <c r="Y209" s="34"/>
      <c r="Z209" s="34"/>
      <c r="AA209" s="34"/>
      <c r="AB209" s="34"/>
      <c r="AC209" s="34"/>
      <c r="AD209" s="34"/>
    </row>
    <row r="210" spans="1:30" ht="40.5" customHeight="1">
      <c r="A210" s="7"/>
      <c r="B210" s="110" t="s">
        <v>40</v>
      </c>
      <c r="C210" s="126"/>
      <c r="D210" s="127"/>
      <c r="E210" s="37">
        <v>2.21</v>
      </c>
      <c r="F210" s="31"/>
      <c r="G210" s="130" t="s">
        <v>84</v>
      </c>
      <c r="H210" s="116"/>
      <c r="I210" s="117"/>
      <c r="J210" s="37">
        <v>2.21</v>
      </c>
      <c r="K210" s="31"/>
      <c r="L210" s="130" t="s">
        <v>76</v>
      </c>
      <c r="M210" s="116"/>
      <c r="N210" s="117"/>
      <c r="O210" s="37">
        <v>2.21</v>
      </c>
      <c r="P210" s="30"/>
      <c r="Q210" s="40" t="s">
        <v>115</v>
      </c>
      <c r="R210" s="48" t="s">
        <v>44</v>
      </c>
      <c r="S210" s="35" t="s">
        <v>55</v>
      </c>
      <c r="T210" s="34"/>
      <c r="U210" s="34"/>
      <c r="V210" s="34"/>
      <c r="W210" s="34"/>
      <c r="X210" s="34"/>
      <c r="Y210" s="34"/>
      <c r="Z210" s="34"/>
      <c r="AA210" s="34"/>
      <c r="AB210" s="34"/>
      <c r="AC210" s="34"/>
      <c r="AD210" s="34"/>
    </row>
    <row r="211" spans="1:30" ht="40.5" customHeight="1">
      <c r="A211" s="7"/>
      <c r="B211" s="110" t="s">
        <v>40</v>
      </c>
      <c r="C211" s="126"/>
      <c r="D211" s="127"/>
      <c r="E211" s="37">
        <v>14.19</v>
      </c>
      <c r="F211" s="31"/>
      <c r="G211" s="112" t="s">
        <v>124</v>
      </c>
      <c r="H211" s="113"/>
      <c r="I211" s="114"/>
      <c r="J211" s="37">
        <v>14.19</v>
      </c>
      <c r="K211" s="32"/>
      <c r="L211" s="130" t="s">
        <v>76</v>
      </c>
      <c r="M211" s="116"/>
      <c r="N211" s="117"/>
      <c r="O211" s="37">
        <v>14.19</v>
      </c>
      <c r="P211" s="32"/>
      <c r="Q211" s="40" t="s">
        <v>115</v>
      </c>
      <c r="R211" s="48" t="s">
        <v>44</v>
      </c>
      <c r="S211" s="35" t="s">
        <v>67</v>
      </c>
      <c r="T211" s="34"/>
      <c r="U211" s="34"/>
      <c r="V211" s="34"/>
      <c r="W211" s="34"/>
      <c r="X211" s="34"/>
      <c r="Y211" s="34"/>
      <c r="Z211" s="34"/>
      <c r="AA211" s="34"/>
      <c r="AB211" s="34"/>
      <c r="AC211" s="34"/>
      <c r="AD211" s="34"/>
    </row>
    <row r="212" spans="1:30" ht="40.5" customHeight="1">
      <c r="A212" s="7"/>
      <c r="B212" s="110" t="s">
        <v>40</v>
      </c>
      <c r="C212" s="126"/>
      <c r="D212" s="127"/>
      <c r="E212" s="37">
        <v>8.1199999999999992</v>
      </c>
      <c r="F212" s="31"/>
      <c r="G212" s="132" t="s">
        <v>114</v>
      </c>
      <c r="H212" s="126"/>
      <c r="I212" s="127"/>
      <c r="J212" s="37">
        <v>8.1199999999999992</v>
      </c>
      <c r="K212" s="32"/>
      <c r="L212" s="130" t="s">
        <v>76</v>
      </c>
      <c r="M212" s="116"/>
      <c r="N212" s="117"/>
      <c r="O212" s="38">
        <v>8.1199999999999992</v>
      </c>
      <c r="P212" s="32"/>
      <c r="Q212" s="40" t="s">
        <v>115</v>
      </c>
      <c r="R212" s="48" t="s">
        <v>44</v>
      </c>
      <c r="S212" s="35" t="s">
        <v>67</v>
      </c>
      <c r="T212" s="34"/>
      <c r="U212" s="34"/>
      <c r="V212" s="34"/>
      <c r="W212" s="34"/>
      <c r="X212" s="34"/>
      <c r="Y212" s="34"/>
      <c r="Z212" s="34"/>
      <c r="AA212" s="34"/>
      <c r="AB212" s="34"/>
      <c r="AC212" s="34"/>
      <c r="AD212" s="34"/>
    </row>
    <row r="213" spans="1:30" ht="40.5" customHeight="1">
      <c r="A213" s="7"/>
      <c r="B213" s="110" t="s">
        <v>40</v>
      </c>
      <c r="C213" s="126"/>
      <c r="D213" s="127"/>
      <c r="E213" s="37">
        <v>23.22</v>
      </c>
      <c r="F213" s="31"/>
      <c r="G213" s="130" t="s">
        <v>84</v>
      </c>
      <c r="H213" s="116"/>
      <c r="I213" s="117"/>
      <c r="J213" s="37">
        <v>23.22</v>
      </c>
      <c r="K213" s="31"/>
      <c r="L213" s="130" t="s">
        <v>76</v>
      </c>
      <c r="M213" s="116"/>
      <c r="N213" s="117"/>
      <c r="O213" s="38">
        <v>23.22</v>
      </c>
      <c r="P213" s="30"/>
      <c r="Q213" s="40" t="s">
        <v>115</v>
      </c>
      <c r="R213" s="48" t="s">
        <v>44</v>
      </c>
      <c r="S213" s="35" t="s">
        <v>55</v>
      </c>
      <c r="T213" s="34"/>
      <c r="U213" s="34"/>
      <c r="V213" s="34"/>
      <c r="W213" s="34"/>
      <c r="X213" s="34"/>
      <c r="Y213" s="34"/>
      <c r="Z213" s="34"/>
      <c r="AA213" s="34"/>
      <c r="AB213" s="34"/>
      <c r="AC213" s="34"/>
      <c r="AD213" s="34"/>
    </row>
    <row r="214" spans="1:30" ht="40.5" customHeight="1">
      <c r="A214" s="7"/>
      <c r="B214" s="110" t="s">
        <v>40</v>
      </c>
      <c r="C214" s="126"/>
      <c r="D214" s="127"/>
      <c r="E214" s="36">
        <v>2.0499999999999998</v>
      </c>
      <c r="F214" s="31"/>
      <c r="G214" s="132" t="s">
        <v>114</v>
      </c>
      <c r="H214" s="126"/>
      <c r="I214" s="127"/>
      <c r="J214" s="36">
        <v>2.0499999999999998</v>
      </c>
      <c r="K214" s="39"/>
      <c r="L214" s="130" t="s">
        <v>76</v>
      </c>
      <c r="M214" s="116"/>
      <c r="N214" s="117"/>
      <c r="O214" s="36">
        <v>2.0499999999999998</v>
      </c>
      <c r="P214" s="39"/>
      <c r="Q214" s="40" t="s">
        <v>115</v>
      </c>
      <c r="R214" s="48" t="s">
        <v>44</v>
      </c>
      <c r="S214" s="35" t="s">
        <v>67</v>
      </c>
      <c r="T214" s="34"/>
      <c r="U214" s="34"/>
      <c r="V214" s="34"/>
      <c r="W214" s="34"/>
      <c r="X214" s="34"/>
      <c r="Y214" s="34"/>
      <c r="Z214" s="34"/>
      <c r="AA214" s="34"/>
      <c r="AB214" s="34"/>
      <c r="AC214" s="34"/>
      <c r="AD214" s="34"/>
    </row>
    <row r="215" spans="1:30" ht="40.5" customHeight="1">
      <c r="A215" s="7"/>
      <c r="B215" s="110" t="s">
        <v>40</v>
      </c>
      <c r="C215" s="126"/>
      <c r="D215" s="127"/>
      <c r="E215" s="36">
        <v>6.01</v>
      </c>
      <c r="F215" s="31"/>
      <c r="G215" s="130" t="s">
        <v>84</v>
      </c>
      <c r="H215" s="116"/>
      <c r="I215" s="117"/>
      <c r="J215" s="36">
        <v>6.01</v>
      </c>
      <c r="K215" s="31"/>
      <c r="L215" s="130" t="s">
        <v>76</v>
      </c>
      <c r="M215" s="116"/>
      <c r="N215" s="117"/>
      <c r="O215" s="40">
        <v>6.01</v>
      </c>
      <c r="P215" s="30"/>
      <c r="Q215" s="40" t="s">
        <v>115</v>
      </c>
      <c r="R215" s="48" t="s">
        <v>44</v>
      </c>
      <c r="S215" s="35" t="s">
        <v>55</v>
      </c>
      <c r="T215" s="34"/>
      <c r="U215" s="34"/>
      <c r="V215" s="34"/>
      <c r="W215" s="34"/>
      <c r="X215" s="34"/>
      <c r="Y215" s="34"/>
      <c r="Z215" s="34"/>
      <c r="AA215" s="34"/>
      <c r="AB215" s="34"/>
      <c r="AC215" s="34"/>
      <c r="AD215" s="34"/>
    </row>
    <row r="216" spans="1:30" ht="40.5" customHeight="1">
      <c r="A216" s="7"/>
      <c r="B216" s="110" t="s">
        <v>40</v>
      </c>
      <c r="C216" s="126"/>
      <c r="D216" s="127"/>
      <c r="E216" s="36">
        <v>18.14</v>
      </c>
      <c r="F216" s="31"/>
      <c r="G216" s="112" t="s">
        <v>124</v>
      </c>
      <c r="H216" s="113"/>
      <c r="I216" s="114"/>
      <c r="J216" s="36">
        <v>18.14</v>
      </c>
      <c r="K216" s="39"/>
      <c r="L216" s="130" t="s">
        <v>76</v>
      </c>
      <c r="M216" s="116"/>
      <c r="N216" s="117"/>
      <c r="O216" s="40">
        <v>18.14</v>
      </c>
      <c r="P216" s="39"/>
      <c r="Q216" s="40" t="s">
        <v>115</v>
      </c>
      <c r="R216" s="48" t="s">
        <v>44</v>
      </c>
      <c r="S216" s="34" t="s">
        <v>67</v>
      </c>
      <c r="T216" s="34"/>
      <c r="U216" s="34"/>
      <c r="V216" s="34"/>
      <c r="W216" s="34"/>
      <c r="X216" s="34"/>
      <c r="Y216" s="34"/>
      <c r="Z216" s="34"/>
      <c r="AA216" s="34"/>
      <c r="AB216" s="34"/>
      <c r="AC216" s="34"/>
      <c r="AD216" s="34"/>
    </row>
    <row r="217" spans="1:30" ht="40.5" customHeight="1">
      <c r="A217" s="7"/>
      <c r="B217" s="110" t="s">
        <v>40</v>
      </c>
      <c r="C217" s="126"/>
      <c r="D217" s="127"/>
      <c r="E217" s="36">
        <v>6.09</v>
      </c>
      <c r="F217" s="31"/>
      <c r="G217" s="132" t="s">
        <v>114</v>
      </c>
      <c r="H217" s="126"/>
      <c r="I217" s="127"/>
      <c r="J217" s="36">
        <v>6.09</v>
      </c>
      <c r="K217" s="39"/>
      <c r="L217" s="130" t="s">
        <v>76</v>
      </c>
      <c r="M217" s="116"/>
      <c r="N217" s="117"/>
      <c r="O217" s="40">
        <v>6.09</v>
      </c>
      <c r="P217" s="39"/>
      <c r="Q217" s="40" t="s">
        <v>115</v>
      </c>
      <c r="R217" s="48" t="s">
        <v>44</v>
      </c>
      <c r="S217" s="34" t="s">
        <v>67</v>
      </c>
      <c r="T217" s="34"/>
      <c r="U217" s="34"/>
      <c r="V217" s="34"/>
      <c r="W217" s="34"/>
      <c r="X217" s="34"/>
      <c r="Y217" s="34"/>
      <c r="Z217" s="34"/>
      <c r="AA217" s="34"/>
      <c r="AB217" s="34"/>
      <c r="AC217" s="34"/>
      <c r="AD217" s="34"/>
    </row>
    <row r="218" spans="1:30" ht="40.5" customHeight="1">
      <c r="A218" s="7"/>
      <c r="B218" s="110" t="s">
        <v>40</v>
      </c>
      <c r="C218" s="126"/>
      <c r="D218" s="127"/>
      <c r="E218" s="39">
        <v>11.15</v>
      </c>
      <c r="F218" s="31"/>
      <c r="G218" s="130" t="s">
        <v>84</v>
      </c>
      <c r="H218" s="116"/>
      <c r="I218" s="117"/>
      <c r="J218" s="36">
        <v>11.15</v>
      </c>
      <c r="K218" s="31"/>
      <c r="L218" s="130" t="s">
        <v>76</v>
      </c>
      <c r="M218" s="116"/>
      <c r="N218" s="117"/>
      <c r="O218" s="40">
        <v>11.15</v>
      </c>
      <c r="P218" s="30"/>
      <c r="Q218" s="40" t="s">
        <v>115</v>
      </c>
      <c r="R218" s="48" t="s">
        <v>44</v>
      </c>
      <c r="S218" s="34" t="s">
        <v>55</v>
      </c>
      <c r="T218" s="34"/>
      <c r="U218" s="34"/>
      <c r="V218" s="34"/>
      <c r="W218" s="34"/>
      <c r="X218" s="34"/>
      <c r="Y218" s="34"/>
      <c r="Z218" s="34"/>
      <c r="AA218" s="34"/>
      <c r="AB218" s="34"/>
      <c r="AC218" s="34"/>
      <c r="AD218" s="34"/>
    </row>
    <row r="219" spans="1:30" ht="40.5" customHeight="1">
      <c r="A219" s="7"/>
      <c r="B219" s="110" t="s">
        <v>40</v>
      </c>
      <c r="C219" s="126"/>
      <c r="D219" s="127"/>
      <c r="E219" s="39">
        <v>10.1</v>
      </c>
      <c r="F219" s="31"/>
      <c r="G219" s="112" t="s">
        <v>124</v>
      </c>
      <c r="H219" s="113"/>
      <c r="I219" s="114"/>
      <c r="J219" s="36">
        <v>10.1</v>
      </c>
      <c r="K219" s="39"/>
      <c r="L219" s="130" t="s">
        <v>76</v>
      </c>
      <c r="M219" s="116"/>
      <c r="N219" s="117"/>
      <c r="O219" s="40">
        <v>10.1</v>
      </c>
      <c r="P219" s="39"/>
      <c r="Q219" s="40" t="s">
        <v>115</v>
      </c>
      <c r="R219" s="48" t="s">
        <v>44</v>
      </c>
      <c r="S219" s="34" t="s">
        <v>67</v>
      </c>
      <c r="T219" s="34"/>
      <c r="U219" s="34"/>
      <c r="V219" s="34"/>
      <c r="W219" s="34"/>
      <c r="X219" s="34"/>
      <c r="Y219" s="34"/>
      <c r="Z219" s="34"/>
      <c r="AA219" s="34"/>
      <c r="AB219" s="34"/>
      <c r="AC219" s="34"/>
      <c r="AD219" s="34"/>
    </row>
    <row r="220" spans="1:30" ht="40.5" customHeight="1">
      <c r="A220" s="7"/>
      <c r="B220" s="110" t="s">
        <v>40</v>
      </c>
      <c r="C220" s="126"/>
      <c r="D220" s="127"/>
      <c r="E220" s="39">
        <v>4.05</v>
      </c>
      <c r="F220" s="31"/>
      <c r="G220" s="130" t="s">
        <v>84</v>
      </c>
      <c r="H220" s="116"/>
      <c r="I220" s="117"/>
      <c r="J220" s="37">
        <v>4.05</v>
      </c>
      <c r="K220" s="31"/>
      <c r="L220" s="130" t="s">
        <v>76</v>
      </c>
      <c r="M220" s="116"/>
      <c r="N220" s="117"/>
      <c r="O220" s="40">
        <v>4.05</v>
      </c>
      <c r="P220" s="30"/>
      <c r="Q220" s="40" t="s">
        <v>115</v>
      </c>
      <c r="R220" s="48" t="s">
        <v>44</v>
      </c>
      <c r="S220" s="48" t="s">
        <v>55</v>
      </c>
      <c r="T220" s="34"/>
      <c r="U220" s="34"/>
      <c r="V220" s="34"/>
      <c r="W220" s="34"/>
      <c r="X220" s="34"/>
      <c r="Y220" s="34"/>
      <c r="Z220" s="34"/>
      <c r="AA220" s="34"/>
      <c r="AB220" s="34"/>
      <c r="AC220" s="34"/>
      <c r="AD220" s="34"/>
    </row>
    <row r="221" spans="1:30" ht="40.5" customHeight="1">
      <c r="A221" s="7"/>
      <c r="B221" s="110" t="s">
        <v>40</v>
      </c>
      <c r="C221" s="126"/>
      <c r="D221" s="127"/>
      <c r="E221" s="39">
        <v>3.01</v>
      </c>
      <c r="F221" s="31"/>
      <c r="G221" s="132" t="s">
        <v>114</v>
      </c>
      <c r="H221" s="126"/>
      <c r="I221" s="127"/>
      <c r="J221" s="37">
        <v>3.01</v>
      </c>
      <c r="K221" s="39"/>
      <c r="L221" s="115" t="s">
        <v>76</v>
      </c>
      <c r="M221" s="116"/>
      <c r="N221" s="117"/>
      <c r="O221" s="40">
        <v>3.01</v>
      </c>
      <c r="P221" s="39"/>
      <c r="Q221" s="40" t="s">
        <v>115</v>
      </c>
      <c r="R221" s="48" t="s">
        <v>44</v>
      </c>
      <c r="S221" s="48" t="s">
        <v>67</v>
      </c>
      <c r="T221" s="34"/>
      <c r="U221" s="34"/>
      <c r="V221" s="34"/>
      <c r="W221" s="34"/>
      <c r="X221" s="34"/>
      <c r="Y221" s="34"/>
      <c r="Z221" s="34"/>
      <c r="AA221" s="34"/>
      <c r="AB221" s="34"/>
      <c r="AC221" s="34"/>
      <c r="AD221" s="34"/>
    </row>
    <row r="222" spans="1:30" ht="40.5" customHeight="1">
      <c r="A222" s="7"/>
      <c r="B222" s="110" t="s">
        <v>40</v>
      </c>
      <c r="C222" s="126"/>
      <c r="D222" s="127"/>
      <c r="E222" s="39">
        <v>2.1</v>
      </c>
      <c r="F222" s="31"/>
      <c r="G222" s="130" t="s">
        <v>125</v>
      </c>
      <c r="H222" s="116"/>
      <c r="I222" s="117"/>
      <c r="J222" s="37">
        <v>2.1</v>
      </c>
      <c r="K222" s="30"/>
      <c r="L222" s="115" t="s">
        <v>41</v>
      </c>
      <c r="M222" s="116"/>
      <c r="N222" s="117"/>
      <c r="O222" s="40">
        <v>2.1</v>
      </c>
      <c r="P222" s="31"/>
      <c r="Q222" s="40" t="s">
        <v>42</v>
      </c>
      <c r="R222" s="48" t="s">
        <v>44</v>
      </c>
      <c r="S222" s="48" t="s">
        <v>67</v>
      </c>
      <c r="T222" s="34">
        <f>SUM(O222:O231)</f>
        <v>20.88</v>
      </c>
      <c r="U222" s="34"/>
      <c r="V222" s="34"/>
      <c r="W222" s="34"/>
      <c r="X222" s="34"/>
      <c r="Y222" s="34"/>
      <c r="Z222" s="34"/>
      <c r="AA222" s="34"/>
      <c r="AB222" s="34"/>
      <c r="AC222" s="34"/>
      <c r="AD222" s="34"/>
    </row>
    <row r="223" spans="1:30" ht="40.5" customHeight="1">
      <c r="A223" s="7"/>
      <c r="B223" s="110" t="s">
        <v>40</v>
      </c>
      <c r="C223" s="126"/>
      <c r="D223" s="127"/>
      <c r="E223" s="39">
        <v>2.1</v>
      </c>
      <c r="F223" s="31"/>
      <c r="G223" s="131" t="s">
        <v>126</v>
      </c>
      <c r="H223" s="119"/>
      <c r="I223" s="120"/>
      <c r="J223" s="37">
        <v>2.1</v>
      </c>
      <c r="K223" s="30"/>
      <c r="L223" s="115" t="s">
        <v>41</v>
      </c>
      <c r="M223" s="116"/>
      <c r="N223" s="117"/>
      <c r="O223" s="40">
        <v>2.1</v>
      </c>
      <c r="P223" s="31"/>
      <c r="Q223" s="40" t="s">
        <v>42</v>
      </c>
      <c r="R223" s="48" t="s">
        <v>44</v>
      </c>
      <c r="S223" s="48" t="s">
        <v>52</v>
      </c>
      <c r="T223" s="34"/>
      <c r="U223" s="34"/>
      <c r="V223" s="34"/>
      <c r="W223" s="34"/>
      <c r="X223" s="34"/>
      <c r="Y223" s="34"/>
      <c r="Z223" s="34"/>
      <c r="AA223" s="34"/>
      <c r="AB223" s="34"/>
      <c r="AC223" s="34"/>
      <c r="AD223" s="34"/>
    </row>
    <row r="224" spans="1:30" ht="40.5" customHeight="1">
      <c r="A224" s="7"/>
      <c r="B224" s="110" t="s">
        <v>40</v>
      </c>
      <c r="C224" s="126"/>
      <c r="D224" s="127"/>
      <c r="E224" s="79">
        <v>3.01</v>
      </c>
      <c r="F224" s="81"/>
      <c r="G224" s="115" t="s">
        <v>127</v>
      </c>
      <c r="H224" s="116"/>
      <c r="I224" s="117"/>
      <c r="J224" s="79">
        <v>3.01</v>
      </c>
      <c r="K224" s="78"/>
      <c r="L224" s="115" t="s">
        <v>41</v>
      </c>
      <c r="M224" s="116"/>
      <c r="N224" s="117"/>
      <c r="O224" s="79">
        <v>3.01</v>
      </c>
      <c r="P224" s="80"/>
      <c r="Q224" s="40" t="s">
        <v>42</v>
      </c>
      <c r="R224" s="48" t="s">
        <v>44</v>
      </c>
      <c r="S224" s="48" t="s">
        <v>67</v>
      </c>
      <c r="T224" s="34"/>
      <c r="U224" s="34"/>
      <c r="V224" s="34"/>
      <c r="W224" s="34"/>
      <c r="X224" s="34"/>
      <c r="Y224" s="34"/>
      <c r="Z224" s="34"/>
      <c r="AA224" s="34"/>
      <c r="AB224" s="34"/>
      <c r="AC224" s="34"/>
      <c r="AD224" s="34"/>
    </row>
    <row r="225" spans="1:30" ht="40.5" customHeight="1">
      <c r="A225" s="7"/>
      <c r="B225" s="110" t="s">
        <v>40</v>
      </c>
      <c r="C225" s="126"/>
      <c r="D225" s="127"/>
      <c r="E225" s="79">
        <v>1.02</v>
      </c>
      <c r="F225" s="81"/>
      <c r="G225" s="118" t="s">
        <v>128</v>
      </c>
      <c r="H225" s="119"/>
      <c r="I225" s="120"/>
      <c r="J225" s="79">
        <v>1.02</v>
      </c>
      <c r="K225" s="78"/>
      <c r="L225" s="115" t="s">
        <v>41</v>
      </c>
      <c r="M225" s="116"/>
      <c r="N225" s="117"/>
      <c r="O225" s="79">
        <v>1.02</v>
      </c>
      <c r="P225" s="80"/>
      <c r="Q225" s="40" t="s">
        <v>42</v>
      </c>
      <c r="R225" s="48" t="s">
        <v>44</v>
      </c>
      <c r="S225" s="48" t="s">
        <v>48</v>
      </c>
      <c r="T225" s="34"/>
      <c r="U225" s="34"/>
      <c r="V225" s="34"/>
      <c r="W225" s="34"/>
      <c r="X225" s="34"/>
      <c r="Y225" s="34"/>
      <c r="Z225" s="34"/>
      <c r="AA225" s="34"/>
      <c r="AB225" s="34"/>
      <c r="AC225" s="34"/>
      <c r="AD225" s="34"/>
    </row>
    <row r="226" spans="1:30" ht="40.5" customHeight="1">
      <c r="A226" s="7"/>
      <c r="B226" s="110" t="s">
        <v>40</v>
      </c>
      <c r="C226" s="126"/>
      <c r="D226" s="127"/>
      <c r="E226" s="79">
        <v>1.02</v>
      </c>
      <c r="F226" s="81"/>
      <c r="G226" s="118" t="s">
        <v>129</v>
      </c>
      <c r="H226" s="119"/>
      <c r="I226" s="120"/>
      <c r="J226" s="79">
        <v>1.02</v>
      </c>
      <c r="K226" s="78"/>
      <c r="L226" s="115" t="s">
        <v>41</v>
      </c>
      <c r="M226" s="116"/>
      <c r="N226" s="117"/>
      <c r="O226" s="79">
        <v>1.02</v>
      </c>
      <c r="P226" s="80"/>
      <c r="Q226" s="40" t="s">
        <v>42</v>
      </c>
      <c r="R226" s="48" t="s">
        <v>44</v>
      </c>
      <c r="S226" s="48" t="s">
        <v>46</v>
      </c>
      <c r="T226" s="34"/>
      <c r="U226" s="34"/>
      <c r="V226" s="34"/>
      <c r="W226" s="34"/>
      <c r="X226" s="34"/>
      <c r="Y226" s="34"/>
      <c r="Z226" s="34"/>
      <c r="AA226" s="34"/>
      <c r="AB226" s="34"/>
      <c r="AC226" s="34"/>
      <c r="AD226" s="34"/>
    </row>
    <row r="227" spans="1:30" ht="40.5" customHeight="1">
      <c r="A227" s="7"/>
      <c r="B227" s="110" t="s">
        <v>40</v>
      </c>
      <c r="C227" s="126"/>
      <c r="D227" s="127"/>
      <c r="E227" s="79">
        <v>4.2</v>
      </c>
      <c r="F227" s="81"/>
      <c r="G227" s="118" t="s">
        <v>130</v>
      </c>
      <c r="H227" s="119"/>
      <c r="I227" s="120"/>
      <c r="J227" s="72">
        <v>4.2</v>
      </c>
      <c r="K227" s="78"/>
      <c r="L227" s="115" t="s">
        <v>41</v>
      </c>
      <c r="M227" s="116"/>
      <c r="N227" s="117"/>
      <c r="O227" s="62">
        <v>4.2</v>
      </c>
      <c r="P227" s="80"/>
      <c r="Q227" s="40" t="s">
        <v>42</v>
      </c>
      <c r="R227" s="48" t="s">
        <v>44</v>
      </c>
      <c r="S227" s="48" t="s">
        <v>52</v>
      </c>
      <c r="T227" s="34"/>
      <c r="U227" s="34"/>
      <c r="V227" s="34"/>
      <c r="W227" s="34"/>
      <c r="X227" s="34"/>
      <c r="Y227" s="34"/>
      <c r="Z227" s="34"/>
      <c r="AA227" s="34"/>
      <c r="AB227" s="34"/>
      <c r="AC227" s="34"/>
      <c r="AD227" s="34"/>
    </row>
    <row r="228" spans="1:30" ht="40.5" customHeight="1">
      <c r="A228" s="7"/>
      <c r="B228" s="110" t="s">
        <v>40</v>
      </c>
      <c r="C228" s="126"/>
      <c r="D228" s="127"/>
      <c r="E228" s="79">
        <v>2.1</v>
      </c>
      <c r="F228" s="81"/>
      <c r="G228" s="115" t="s">
        <v>131</v>
      </c>
      <c r="H228" s="116"/>
      <c r="I228" s="117"/>
      <c r="J228" s="72">
        <v>2.1</v>
      </c>
      <c r="K228" s="78"/>
      <c r="L228" s="115" t="s">
        <v>41</v>
      </c>
      <c r="M228" s="116"/>
      <c r="N228" s="117"/>
      <c r="O228" s="62">
        <v>2.1</v>
      </c>
      <c r="P228" s="80"/>
      <c r="Q228" s="40" t="s">
        <v>42</v>
      </c>
      <c r="R228" s="48" t="s">
        <v>44</v>
      </c>
      <c r="S228" s="48" t="s">
        <v>67</v>
      </c>
      <c r="T228" s="34"/>
      <c r="U228" s="34"/>
      <c r="V228" s="34"/>
      <c r="W228" s="34"/>
      <c r="X228" s="34"/>
      <c r="Y228" s="34"/>
      <c r="Z228" s="34"/>
      <c r="AA228" s="34"/>
      <c r="AB228" s="34"/>
      <c r="AC228" s="34"/>
      <c r="AD228" s="34"/>
    </row>
    <row r="229" spans="1:30" ht="40.5" customHeight="1">
      <c r="A229" s="7"/>
      <c r="B229" s="110" t="s">
        <v>40</v>
      </c>
      <c r="C229" s="126"/>
      <c r="D229" s="127"/>
      <c r="E229" s="79">
        <v>2.08</v>
      </c>
      <c r="F229" s="81"/>
      <c r="G229" s="118" t="s">
        <v>132</v>
      </c>
      <c r="H229" s="119"/>
      <c r="I229" s="120"/>
      <c r="J229" s="72">
        <v>2.08</v>
      </c>
      <c r="K229" s="78"/>
      <c r="L229" s="115" t="s">
        <v>41</v>
      </c>
      <c r="M229" s="116"/>
      <c r="N229" s="117"/>
      <c r="O229" s="62">
        <v>2.08</v>
      </c>
      <c r="P229" s="80"/>
      <c r="Q229" s="40" t="s">
        <v>42</v>
      </c>
      <c r="R229" s="48" t="s">
        <v>44</v>
      </c>
      <c r="S229" s="48" t="s">
        <v>50</v>
      </c>
      <c r="T229" s="34"/>
      <c r="U229" s="34"/>
      <c r="V229" s="34"/>
      <c r="W229" s="34"/>
      <c r="X229" s="34"/>
      <c r="Y229" s="34"/>
      <c r="Z229" s="34"/>
      <c r="AA229" s="34"/>
      <c r="AB229" s="34"/>
      <c r="AC229" s="34"/>
      <c r="AD229" s="34"/>
    </row>
    <row r="230" spans="1:30" ht="40.5" customHeight="1">
      <c r="A230" s="7"/>
      <c r="B230" s="110" t="s">
        <v>40</v>
      </c>
      <c r="C230" s="126"/>
      <c r="D230" s="127"/>
      <c r="E230" s="79">
        <v>2.15</v>
      </c>
      <c r="F230" s="82"/>
      <c r="G230" s="136" t="s">
        <v>114</v>
      </c>
      <c r="H230" s="134"/>
      <c r="I230" s="135"/>
      <c r="J230" s="79">
        <v>2.15</v>
      </c>
      <c r="K230" s="78"/>
      <c r="L230" s="115" t="s">
        <v>41</v>
      </c>
      <c r="M230" s="116"/>
      <c r="N230" s="117"/>
      <c r="O230" s="79">
        <v>2.15</v>
      </c>
      <c r="P230" s="80"/>
      <c r="Q230" s="40" t="s">
        <v>42</v>
      </c>
      <c r="R230" s="48" t="s">
        <v>44</v>
      </c>
      <c r="S230" s="48" t="s">
        <v>67</v>
      </c>
      <c r="T230" s="34"/>
      <c r="U230" s="34"/>
      <c r="V230" s="34"/>
      <c r="W230" s="34"/>
      <c r="X230" s="34"/>
      <c r="Y230" s="34"/>
      <c r="Z230" s="34"/>
      <c r="AA230" s="34"/>
      <c r="AB230" s="34"/>
      <c r="AC230" s="34"/>
      <c r="AD230" s="34"/>
    </row>
    <row r="231" spans="1:30" ht="40.5" customHeight="1">
      <c r="A231" s="7"/>
      <c r="B231" s="110" t="s">
        <v>40</v>
      </c>
      <c r="C231" s="126"/>
      <c r="D231" s="127"/>
      <c r="E231" s="79">
        <v>1.1000000000000001</v>
      </c>
      <c r="F231" s="82"/>
      <c r="G231" s="115" t="s">
        <v>75</v>
      </c>
      <c r="H231" s="116"/>
      <c r="I231" s="117"/>
      <c r="J231" s="72">
        <v>1.1000000000000001</v>
      </c>
      <c r="K231" s="78"/>
      <c r="L231" s="115" t="s">
        <v>76</v>
      </c>
      <c r="M231" s="116"/>
      <c r="N231" s="117"/>
      <c r="O231" s="62">
        <v>1.1000000000000001</v>
      </c>
      <c r="P231" s="80"/>
      <c r="Q231" s="40" t="s">
        <v>115</v>
      </c>
      <c r="R231" s="48" t="s">
        <v>44</v>
      </c>
      <c r="S231" s="48" t="s">
        <v>67</v>
      </c>
      <c r="T231" s="34"/>
      <c r="U231" s="34"/>
      <c r="V231" s="34"/>
      <c r="W231" s="34"/>
      <c r="X231" s="34"/>
      <c r="Y231" s="34"/>
      <c r="Z231" s="34"/>
      <c r="AA231" s="34"/>
      <c r="AB231" s="34"/>
      <c r="AC231" s="34"/>
      <c r="AD231" s="34"/>
    </row>
    <row r="232" spans="1:30" ht="40.5" customHeight="1">
      <c r="A232" s="7"/>
      <c r="B232" s="110" t="s">
        <v>40</v>
      </c>
      <c r="C232" s="126"/>
      <c r="D232" s="127"/>
      <c r="E232" s="79">
        <v>7.12</v>
      </c>
      <c r="F232" s="81"/>
      <c r="G232" s="115" t="s">
        <v>84</v>
      </c>
      <c r="H232" s="116"/>
      <c r="I232" s="117"/>
      <c r="J232" s="72">
        <v>7.12</v>
      </c>
      <c r="K232" s="31"/>
      <c r="L232" s="115" t="s">
        <v>76</v>
      </c>
      <c r="M232" s="116"/>
      <c r="N232" s="117"/>
      <c r="O232" s="62">
        <v>7.12</v>
      </c>
      <c r="P232" s="30"/>
      <c r="Q232" s="40" t="s">
        <v>115</v>
      </c>
      <c r="R232" s="48" t="s">
        <v>44</v>
      </c>
      <c r="S232" s="48" t="s">
        <v>55</v>
      </c>
      <c r="T232" s="34"/>
      <c r="U232" s="34"/>
      <c r="V232" s="34"/>
      <c r="W232" s="34"/>
      <c r="X232" s="34"/>
      <c r="Y232" s="34"/>
      <c r="Z232" s="34"/>
      <c r="AA232" s="34"/>
      <c r="AB232" s="34"/>
      <c r="AC232" s="34"/>
      <c r="AD232" s="34"/>
    </row>
    <row r="233" spans="1:30" ht="40.5" customHeight="1">
      <c r="A233" s="7"/>
      <c r="B233" s="110" t="s">
        <v>40</v>
      </c>
      <c r="C233" s="126"/>
      <c r="D233" s="127"/>
      <c r="E233" s="79">
        <v>17.18</v>
      </c>
      <c r="F233" s="81"/>
      <c r="G233" s="128" t="s">
        <v>124</v>
      </c>
      <c r="H233" s="113"/>
      <c r="I233" s="114"/>
      <c r="J233" s="72">
        <v>17.18</v>
      </c>
      <c r="K233" s="78"/>
      <c r="L233" s="115" t="s">
        <v>76</v>
      </c>
      <c r="M233" s="116"/>
      <c r="N233" s="117"/>
      <c r="O233" s="62">
        <v>17.18</v>
      </c>
      <c r="P233" s="80"/>
      <c r="Q233" s="40" t="s">
        <v>115</v>
      </c>
      <c r="R233" s="48" t="s">
        <v>44</v>
      </c>
      <c r="S233" s="48" t="s">
        <v>67</v>
      </c>
      <c r="T233" s="34">
        <f>O233</f>
        <v>17.18</v>
      </c>
      <c r="U233" s="34"/>
      <c r="V233" s="34"/>
      <c r="W233" s="34"/>
      <c r="X233" s="34"/>
      <c r="Y233" s="34"/>
      <c r="Z233" s="34"/>
      <c r="AA233" s="34"/>
      <c r="AB233" s="34"/>
      <c r="AC233" s="34"/>
      <c r="AD233" s="34"/>
    </row>
    <row r="234" spans="1:30" ht="40.5" customHeight="1">
      <c r="A234" s="7"/>
      <c r="B234" s="110" t="s">
        <v>40</v>
      </c>
      <c r="C234" s="111"/>
      <c r="D234" s="138"/>
      <c r="E234" s="79">
        <v>1.23</v>
      </c>
      <c r="F234" s="81"/>
      <c r="G234" s="115" t="s">
        <v>84</v>
      </c>
      <c r="H234" s="168"/>
      <c r="I234" s="169"/>
      <c r="J234" s="72">
        <v>1.23</v>
      </c>
      <c r="K234" s="31"/>
      <c r="L234" s="115" t="s">
        <v>76</v>
      </c>
      <c r="M234" s="116"/>
      <c r="N234" s="117"/>
      <c r="O234" s="62">
        <v>1.23</v>
      </c>
      <c r="P234" s="30"/>
      <c r="Q234" s="40" t="s">
        <v>115</v>
      </c>
      <c r="R234" s="48" t="s">
        <v>44</v>
      </c>
      <c r="S234" s="48" t="s">
        <v>55</v>
      </c>
      <c r="T234" s="34"/>
      <c r="U234" s="34"/>
      <c r="V234" s="34"/>
      <c r="W234" s="34"/>
      <c r="X234" s="34"/>
      <c r="Y234" s="34"/>
      <c r="Z234" s="34"/>
      <c r="AA234" s="34"/>
      <c r="AB234" s="34"/>
      <c r="AC234" s="34"/>
      <c r="AD234" s="34"/>
    </row>
    <row r="235" spans="1:30" ht="40.5" customHeight="1">
      <c r="A235" s="7"/>
      <c r="B235" s="110" t="s">
        <v>40</v>
      </c>
      <c r="C235" s="111"/>
      <c r="D235" s="138"/>
      <c r="E235" s="79">
        <v>3.18</v>
      </c>
      <c r="F235" s="81"/>
      <c r="G235" s="110" t="s">
        <v>114</v>
      </c>
      <c r="H235" s="168"/>
      <c r="I235" s="169"/>
      <c r="J235" s="72">
        <v>3.18</v>
      </c>
      <c r="K235" s="78"/>
      <c r="L235" s="115" t="s">
        <v>76</v>
      </c>
      <c r="M235" s="116"/>
      <c r="N235" s="117"/>
      <c r="O235" s="62">
        <v>3.18</v>
      </c>
      <c r="P235" s="80"/>
      <c r="Q235" s="40" t="s">
        <v>115</v>
      </c>
      <c r="R235" s="48" t="s">
        <v>44</v>
      </c>
      <c r="S235" s="48" t="s">
        <v>67</v>
      </c>
      <c r="T235" s="34">
        <f>O235</f>
        <v>3.18</v>
      </c>
      <c r="U235" s="34"/>
      <c r="V235" s="34"/>
      <c r="W235" s="34"/>
      <c r="X235" s="34"/>
      <c r="Y235" s="34"/>
      <c r="Z235" s="34"/>
      <c r="AA235" s="34"/>
      <c r="AB235" s="34"/>
      <c r="AC235" s="34"/>
      <c r="AD235" s="34"/>
    </row>
    <row r="236" spans="1:30" ht="40.5" customHeight="1">
      <c r="A236" s="7"/>
      <c r="B236" s="110" t="s">
        <v>40</v>
      </c>
      <c r="C236" s="111"/>
      <c r="D236" s="138"/>
      <c r="E236" s="79">
        <v>12.17</v>
      </c>
      <c r="F236" s="81"/>
      <c r="G236" s="115" t="s">
        <v>84</v>
      </c>
      <c r="H236" s="168"/>
      <c r="I236" s="169"/>
      <c r="J236" s="72">
        <v>12.17</v>
      </c>
      <c r="K236" s="31"/>
      <c r="L236" s="115" t="s">
        <v>76</v>
      </c>
      <c r="M236" s="116"/>
      <c r="N236" s="117"/>
      <c r="O236" s="62">
        <v>12.17</v>
      </c>
      <c r="P236" s="30"/>
      <c r="Q236" s="40" t="s">
        <v>115</v>
      </c>
      <c r="R236" s="48" t="s">
        <v>44</v>
      </c>
      <c r="S236" s="48" t="s">
        <v>55</v>
      </c>
      <c r="T236" s="34"/>
      <c r="U236" s="34"/>
      <c r="V236" s="34"/>
      <c r="W236" s="34"/>
      <c r="X236" s="34"/>
      <c r="Y236" s="34"/>
      <c r="Z236" s="34"/>
      <c r="AA236" s="34"/>
      <c r="AB236" s="34"/>
      <c r="AC236" s="34"/>
      <c r="AD236" s="34"/>
    </row>
    <row r="237" spans="1:30" ht="40.5" customHeight="1">
      <c r="A237" s="7"/>
      <c r="B237" s="110" t="s">
        <v>40</v>
      </c>
      <c r="C237" s="111"/>
      <c r="D237" s="138"/>
      <c r="E237" s="79">
        <v>6.09</v>
      </c>
      <c r="F237" s="81"/>
      <c r="G237" s="110" t="s">
        <v>114</v>
      </c>
      <c r="H237" s="168"/>
      <c r="I237" s="169"/>
      <c r="J237" s="72">
        <v>6.09</v>
      </c>
      <c r="K237" s="78"/>
      <c r="L237" s="115" t="s">
        <v>76</v>
      </c>
      <c r="M237" s="116"/>
      <c r="N237" s="117"/>
      <c r="O237" s="62">
        <v>6.09</v>
      </c>
      <c r="P237" s="80"/>
      <c r="Q237" s="40" t="s">
        <v>115</v>
      </c>
      <c r="R237" s="48" t="s">
        <v>44</v>
      </c>
      <c r="S237" s="48" t="s">
        <v>67</v>
      </c>
      <c r="T237" s="34">
        <f>SUM(O237:O246)</f>
        <v>38.33</v>
      </c>
      <c r="U237" s="34"/>
      <c r="V237" s="34"/>
      <c r="W237" s="34"/>
      <c r="X237" s="34"/>
      <c r="Y237" s="34"/>
      <c r="Z237" s="34"/>
      <c r="AA237" s="34"/>
      <c r="AB237" s="34"/>
      <c r="AC237" s="34"/>
      <c r="AD237" s="34"/>
    </row>
    <row r="238" spans="1:30" ht="40.5" customHeight="1">
      <c r="A238" s="7"/>
      <c r="B238" s="110" t="s">
        <v>40</v>
      </c>
      <c r="C238" s="111"/>
      <c r="D238" s="138"/>
      <c r="E238" s="79">
        <v>1.1100000000000001</v>
      </c>
      <c r="F238" s="81"/>
      <c r="G238" s="115" t="s">
        <v>125</v>
      </c>
      <c r="H238" s="116"/>
      <c r="I238" s="117"/>
      <c r="J238" s="72">
        <v>1.1100000000000001</v>
      </c>
      <c r="K238" s="78"/>
      <c r="L238" s="115" t="s">
        <v>119</v>
      </c>
      <c r="M238" s="116"/>
      <c r="N238" s="117"/>
      <c r="O238" s="62">
        <v>1.1100000000000001</v>
      </c>
      <c r="P238" s="80"/>
      <c r="Q238" s="40" t="s">
        <v>42</v>
      </c>
      <c r="R238" s="48" t="s">
        <v>44</v>
      </c>
      <c r="S238" s="48" t="s">
        <v>67</v>
      </c>
      <c r="T238" s="34"/>
      <c r="U238" s="34"/>
      <c r="V238" s="34"/>
      <c r="W238" s="34"/>
      <c r="X238" s="34"/>
      <c r="Y238" s="34"/>
      <c r="Z238" s="34"/>
      <c r="AA238" s="34"/>
      <c r="AB238" s="34"/>
      <c r="AC238" s="34"/>
      <c r="AD238" s="34"/>
    </row>
    <row r="239" spans="1:30" ht="40.5" customHeight="1">
      <c r="A239" s="7"/>
      <c r="B239" s="110" t="s">
        <v>40</v>
      </c>
      <c r="C239" s="111"/>
      <c r="D239" s="138"/>
      <c r="E239" s="79">
        <v>1.24</v>
      </c>
      <c r="F239" s="81"/>
      <c r="G239" s="118" t="s">
        <v>129</v>
      </c>
      <c r="H239" s="119"/>
      <c r="I239" s="120"/>
      <c r="J239" s="72">
        <v>1.24</v>
      </c>
      <c r="K239" s="78"/>
      <c r="L239" s="115" t="s">
        <v>119</v>
      </c>
      <c r="M239" s="116"/>
      <c r="N239" s="117"/>
      <c r="O239" s="62">
        <v>1.24</v>
      </c>
      <c r="P239" s="80"/>
      <c r="Q239" s="40" t="s">
        <v>42</v>
      </c>
      <c r="R239" s="48" t="s">
        <v>44</v>
      </c>
      <c r="S239" s="48" t="s">
        <v>46</v>
      </c>
      <c r="T239" s="34"/>
      <c r="U239" s="34"/>
      <c r="V239" s="34"/>
      <c r="W239" s="34"/>
      <c r="X239" s="34"/>
      <c r="Y239" s="34"/>
      <c r="Z239" s="34"/>
      <c r="AA239" s="34"/>
      <c r="AB239" s="34"/>
      <c r="AC239" s="34"/>
      <c r="AD239" s="34"/>
    </row>
    <row r="240" spans="1:30" ht="40.5" customHeight="1">
      <c r="A240" s="7"/>
      <c r="B240" s="110" t="s">
        <v>40</v>
      </c>
      <c r="C240" s="111"/>
      <c r="D240" s="138"/>
      <c r="E240" s="79">
        <v>2.1800000000000002</v>
      </c>
      <c r="F240" s="81"/>
      <c r="G240" s="118" t="s">
        <v>130</v>
      </c>
      <c r="H240" s="119"/>
      <c r="I240" s="120"/>
      <c r="J240" s="71">
        <v>2.1800000000000002</v>
      </c>
      <c r="K240" s="78"/>
      <c r="L240" s="115" t="s">
        <v>119</v>
      </c>
      <c r="M240" s="116"/>
      <c r="N240" s="117"/>
      <c r="O240" s="62">
        <v>2.1800000000000002</v>
      </c>
      <c r="P240" s="80"/>
      <c r="Q240" s="40" t="s">
        <v>42</v>
      </c>
      <c r="R240" s="48" t="s">
        <v>44</v>
      </c>
      <c r="S240" s="48" t="s">
        <v>52</v>
      </c>
      <c r="T240" s="34"/>
      <c r="U240" s="34"/>
      <c r="V240" s="34"/>
      <c r="W240" s="34"/>
      <c r="X240" s="34"/>
      <c r="Y240" s="34"/>
      <c r="Z240" s="34"/>
      <c r="AA240" s="34"/>
      <c r="AB240" s="34"/>
      <c r="AC240" s="34"/>
      <c r="AD240" s="34"/>
    </row>
    <row r="241" spans="1:30" ht="40.5" customHeight="1">
      <c r="A241" s="7"/>
      <c r="B241" s="110" t="s">
        <v>40</v>
      </c>
      <c r="C241" s="111"/>
      <c r="D241" s="138"/>
      <c r="E241" s="79">
        <v>5.13</v>
      </c>
      <c r="F241" s="81"/>
      <c r="G241" s="115" t="s">
        <v>133</v>
      </c>
      <c r="H241" s="116"/>
      <c r="I241" s="117"/>
      <c r="J241" s="71">
        <v>5.13</v>
      </c>
      <c r="K241" s="78"/>
      <c r="L241" s="115" t="s">
        <v>119</v>
      </c>
      <c r="M241" s="116"/>
      <c r="N241" s="117"/>
      <c r="O241" s="62">
        <v>5.13</v>
      </c>
      <c r="P241" s="80"/>
      <c r="Q241" s="40" t="s">
        <v>42</v>
      </c>
      <c r="R241" s="48" t="s">
        <v>44</v>
      </c>
      <c r="S241" s="48" t="s">
        <v>67</v>
      </c>
      <c r="T241" s="34"/>
      <c r="U241" s="34"/>
      <c r="V241" s="34"/>
      <c r="W241" s="34"/>
      <c r="X241" s="34"/>
      <c r="Y241" s="34"/>
      <c r="Z241" s="34"/>
      <c r="AA241" s="34"/>
      <c r="AB241" s="34"/>
      <c r="AC241" s="34"/>
      <c r="AD241" s="34"/>
    </row>
    <row r="242" spans="1:30" ht="40.5" customHeight="1">
      <c r="A242" s="7"/>
      <c r="B242" s="110" t="s">
        <v>40</v>
      </c>
      <c r="C242" s="111"/>
      <c r="D242" s="138"/>
      <c r="E242" s="79">
        <v>1.1399999999999999</v>
      </c>
      <c r="F242" s="81"/>
      <c r="G242" s="118" t="s">
        <v>132</v>
      </c>
      <c r="H242" s="119"/>
      <c r="I242" s="120"/>
      <c r="J242" s="71">
        <v>1.1399999999999999</v>
      </c>
      <c r="K242" s="78"/>
      <c r="L242" s="115" t="s">
        <v>119</v>
      </c>
      <c r="M242" s="116"/>
      <c r="N242" s="117"/>
      <c r="O242" s="62">
        <v>1.1399999999999999</v>
      </c>
      <c r="P242" s="80"/>
      <c r="Q242" s="40" t="s">
        <v>42</v>
      </c>
      <c r="R242" s="48" t="s">
        <v>44</v>
      </c>
      <c r="S242" s="48" t="s">
        <v>50</v>
      </c>
      <c r="T242" s="34"/>
      <c r="U242" s="34"/>
      <c r="V242" s="34"/>
      <c r="W242" s="34"/>
      <c r="X242" s="34"/>
      <c r="Y242" s="34"/>
      <c r="Z242" s="34"/>
      <c r="AA242" s="34"/>
      <c r="AB242" s="34"/>
      <c r="AC242" s="34"/>
      <c r="AD242" s="34"/>
    </row>
    <row r="243" spans="1:30" ht="40.5" customHeight="1">
      <c r="A243" s="7"/>
      <c r="B243" s="110" t="s">
        <v>40</v>
      </c>
      <c r="C243" s="111"/>
      <c r="D243" s="138"/>
      <c r="E243" s="79">
        <v>2.13</v>
      </c>
      <c r="F243" s="81"/>
      <c r="G243" s="110" t="s">
        <v>114</v>
      </c>
      <c r="H243" s="168"/>
      <c r="I243" s="169"/>
      <c r="J243" s="71">
        <v>2.13</v>
      </c>
      <c r="K243" s="78"/>
      <c r="L243" s="115" t="s">
        <v>119</v>
      </c>
      <c r="M243" s="116"/>
      <c r="N243" s="117"/>
      <c r="O243" s="62">
        <v>2.13</v>
      </c>
      <c r="P243" s="80"/>
      <c r="Q243" s="40" t="s">
        <v>42</v>
      </c>
      <c r="R243" s="48" t="s">
        <v>44</v>
      </c>
      <c r="S243" s="48" t="s">
        <v>67</v>
      </c>
      <c r="T243" s="34"/>
      <c r="U243" s="34"/>
      <c r="V243" s="34"/>
      <c r="W243" s="34"/>
      <c r="X243" s="34"/>
      <c r="Y243" s="34"/>
      <c r="Z243" s="34"/>
      <c r="AA243" s="34"/>
      <c r="AB243" s="34"/>
      <c r="AC243" s="34"/>
      <c r="AD243" s="34"/>
    </row>
    <row r="244" spans="1:30" ht="40.5" customHeight="1">
      <c r="A244" s="7"/>
      <c r="B244" s="110" t="s">
        <v>40</v>
      </c>
      <c r="C244" s="126"/>
      <c r="D244" s="127"/>
      <c r="E244" s="79">
        <v>1.1100000000000001</v>
      </c>
      <c r="F244" s="81"/>
      <c r="G244" s="115" t="s">
        <v>75</v>
      </c>
      <c r="H244" s="116"/>
      <c r="I244" s="117"/>
      <c r="J244" s="71">
        <v>1.1100000000000001</v>
      </c>
      <c r="K244" s="78"/>
      <c r="L244" s="115" t="s">
        <v>76</v>
      </c>
      <c r="M244" s="116"/>
      <c r="N244" s="117"/>
      <c r="O244" s="62">
        <v>1.1100000000000001</v>
      </c>
      <c r="P244" s="80"/>
      <c r="Q244" s="40" t="s">
        <v>115</v>
      </c>
      <c r="R244" s="48" t="s">
        <v>44</v>
      </c>
      <c r="S244" s="48" t="s">
        <v>67</v>
      </c>
      <c r="T244" s="34"/>
      <c r="U244" s="34"/>
      <c r="V244" s="34"/>
      <c r="W244" s="34"/>
      <c r="X244" s="34"/>
      <c r="Y244" s="34"/>
      <c r="Z244" s="34"/>
      <c r="AA244" s="34"/>
      <c r="AB244" s="34"/>
      <c r="AC244" s="34"/>
      <c r="AD244" s="34"/>
    </row>
    <row r="245" spans="1:30" ht="40.5" customHeight="1">
      <c r="A245" s="7"/>
      <c r="B245" s="110" t="s">
        <v>40</v>
      </c>
      <c r="C245" s="126"/>
      <c r="D245" s="127"/>
      <c r="E245" s="79">
        <v>2.09</v>
      </c>
      <c r="F245" s="81"/>
      <c r="G245" s="110" t="s">
        <v>114</v>
      </c>
      <c r="H245" s="126"/>
      <c r="I245" s="127"/>
      <c r="J245" s="71">
        <v>2.09</v>
      </c>
      <c r="K245" s="78"/>
      <c r="L245" s="115" t="s">
        <v>76</v>
      </c>
      <c r="M245" s="116"/>
      <c r="N245" s="117"/>
      <c r="O245" s="62">
        <v>2.09</v>
      </c>
      <c r="P245" s="80"/>
      <c r="Q245" s="40" t="s">
        <v>115</v>
      </c>
      <c r="R245" s="48" t="s">
        <v>44</v>
      </c>
      <c r="S245" s="48" t="s">
        <v>67</v>
      </c>
      <c r="T245" s="34"/>
      <c r="U245" s="34"/>
      <c r="V245" s="34"/>
      <c r="W245" s="34"/>
      <c r="X245" s="34"/>
      <c r="Y245" s="34"/>
      <c r="Z245" s="34"/>
      <c r="AA245" s="34"/>
      <c r="AB245" s="34"/>
      <c r="AC245" s="34"/>
      <c r="AD245" s="34"/>
    </row>
    <row r="246" spans="1:30" ht="40.5" customHeight="1">
      <c r="A246" s="7"/>
      <c r="B246" s="110" t="s">
        <v>40</v>
      </c>
      <c r="C246" s="126"/>
      <c r="D246" s="127"/>
      <c r="E246" s="79">
        <v>16.11</v>
      </c>
      <c r="F246" s="81"/>
      <c r="G246" s="128" t="s">
        <v>124</v>
      </c>
      <c r="H246" s="113"/>
      <c r="I246" s="114"/>
      <c r="J246" s="71">
        <v>16.11</v>
      </c>
      <c r="K246" s="78"/>
      <c r="L246" s="115" t="s">
        <v>76</v>
      </c>
      <c r="M246" s="116"/>
      <c r="N246" s="117"/>
      <c r="O246" s="62">
        <v>16.11</v>
      </c>
      <c r="P246" s="80"/>
      <c r="Q246" s="40" t="s">
        <v>115</v>
      </c>
      <c r="R246" s="48" t="s">
        <v>44</v>
      </c>
      <c r="S246" s="48" t="s">
        <v>67</v>
      </c>
      <c r="T246" s="34"/>
      <c r="U246" s="34"/>
      <c r="V246" s="34"/>
      <c r="W246" s="34"/>
      <c r="X246" s="34"/>
      <c r="Y246" s="34"/>
      <c r="Z246" s="34"/>
      <c r="AA246" s="34"/>
      <c r="AB246" s="34"/>
      <c r="AC246" s="34"/>
      <c r="AD246" s="34"/>
    </row>
    <row r="247" spans="1:30" ht="40.5" customHeight="1">
      <c r="A247" s="7"/>
      <c r="B247" s="110" t="s">
        <v>40</v>
      </c>
      <c r="C247" s="126"/>
      <c r="D247" s="127"/>
      <c r="E247" s="79">
        <v>29.14</v>
      </c>
      <c r="F247" s="81"/>
      <c r="G247" s="115" t="s">
        <v>84</v>
      </c>
      <c r="H247" s="116"/>
      <c r="I247" s="117"/>
      <c r="J247" s="71">
        <v>29.14</v>
      </c>
      <c r="K247" s="83"/>
      <c r="L247" s="115" t="s">
        <v>76</v>
      </c>
      <c r="M247" s="116"/>
      <c r="N247" s="117"/>
      <c r="O247" s="62">
        <v>29.14</v>
      </c>
      <c r="P247" s="78"/>
      <c r="Q247" s="40" t="s">
        <v>115</v>
      </c>
      <c r="R247" s="48" t="s">
        <v>44</v>
      </c>
      <c r="S247" s="48" t="s">
        <v>55</v>
      </c>
      <c r="T247" s="34"/>
      <c r="U247" s="34"/>
      <c r="V247" s="34"/>
      <c r="W247" s="34"/>
      <c r="X247" s="34"/>
      <c r="Y247" s="34"/>
      <c r="Z247" s="34"/>
      <c r="AA247" s="34"/>
      <c r="AB247" s="34"/>
      <c r="AC247" s="34"/>
      <c r="AD247" s="34"/>
    </row>
    <row r="248" spans="1:30" ht="40.5" customHeight="1">
      <c r="A248" s="7"/>
      <c r="B248" s="110" t="s">
        <v>40</v>
      </c>
      <c r="C248" s="126"/>
      <c r="D248" s="127"/>
      <c r="E248" s="79">
        <v>5</v>
      </c>
      <c r="F248" s="81"/>
      <c r="G248" s="110" t="s">
        <v>114</v>
      </c>
      <c r="H248" s="126"/>
      <c r="I248" s="127"/>
      <c r="J248" s="71">
        <v>5</v>
      </c>
      <c r="K248" s="78"/>
      <c r="L248" s="115" t="s">
        <v>76</v>
      </c>
      <c r="M248" s="116"/>
      <c r="N248" s="117"/>
      <c r="O248" s="62">
        <v>5</v>
      </c>
      <c r="P248" s="80"/>
      <c r="Q248" s="40" t="s">
        <v>115</v>
      </c>
      <c r="R248" s="48" t="s">
        <v>44</v>
      </c>
      <c r="S248" s="48" t="s">
        <v>67</v>
      </c>
      <c r="T248" s="34">
        <f>O248</f>
        <v>5</v>
      </c>
      <c r="U248" s="34"/>
      <c r="V248" s="34"/>
      <c r="W248" s="34"/>
      <c r="X248" s="34"/>
      <c r="Y248" s="34"/>
      <c r="Z248" s="34"/>
      <c r="AA248" s="34"/>
      <c r="AB248" s="34"/>
      <c r="AC248" s="34"/>
      <c r="AD248" s="34"/>
    </row>
    <row r="249" spans="1:30" ht="40.5" customHeight="1">
      <c r="A249" s="7"/>
      <c r="B249" s="110" t="s">
        <v>40</v>
      </c>
      <c r="C249" s="126"/>
      <c r="D249" s="127"/>
      <c r="E249" s="79">
        <v>17.21</v>
      </c>
      <c r="F249" s="81"/>
      <c r="G249" s="115" t="s">
        <v>84</v>
      </c>
      <c r="H249" s="116"/>
      <c r="I249" s="117"/>
      <c r="J249" s="79">
        <v>17.21</v>
      </c>
      <c r="K249" s="81"/>
      <c r="L249" s="115" t="s">
        <v>76</v>
      </c>
      <c r="M249" s="116"/>
      <c r="N249" s="117"/>
      <c r="O249" s="79">
        <v>17.21</v>
      </c>
      <c r="P249" s="78"/>
      <c r="Q249" s="40" t="s">
        <v>115</v>
      </c>
      <c r="R249" s="48" t="s">
        <v>44</v>
      </c>
      <c r="S249" s="48" t="s">
        <v>55</v>
      </c>
      <c r="T249" s="34"/>
      <c r="U249" s="34"/>
      <c r="V249" s="34"/>
      <c r="W249" s="34"/>
      <c r="X249" s="34"/>
      <c r="Y249" s="34"/>
      <c r="Z249" s="34"/>
      <c r="AA249" s="34"/>
      <c r="AB249" s="34"/>
      <c r="AC249" s="34"/>
      <c r="AD249" s="34"/>
    </row>
    <row r="250" spans="1:30" ht="40.5" customHeight="1">
      <c r="A250" s="7"/>
      <c r="B250" s="110" t="s">
        <v>40</v>
      </c>
      <c r="C250" s="126"/>
      <c r="D250" s="127"/>
      <c r="E250" s="79">
        <v>3.08</v>
      </c>
      <c r="F250" s="81"/>
      <c r="G250" s="110" t="s">
        <v>114</v>
      </c>
      <c r="H250" s="126"/>
      <c r="I250" s="127"/>
      <c r="J250" s="71">
        <v>3.08</v>
      </c>
      <c r="K250" s="78"/>
      <c r="L250" s="115" t="s">
        <v>76</v>
      </c>
      <c r="M250" s="116"/>
      <c r="N250" s="117"/>
      <c r="O250" s="62">
        <v>3.08</v>
      </c>
      <c r="P250" s="80"/>
      <c r="Q250" s="40" t="s">
        <v>115</v>
      </c>
      <c r="R250" s="48" t="s">
        <v>44</v>
      </c>
      <c r="S250" s="48" t="s">
        <v>67</v>
      </c>
      <c r="T250" s="34">
        <f>SUM(O250:O257)</f>
        <v>17.14</v>
      </c>
      <c r="U250" s="34"/>
      <c r="V250" s="34"/>
      <c r="W250" s="34"/>
      <c r="X250" s="34"/>
      <c r="Y250" s="34"/>
      <c r="Z250" s="34"/>
      <c r="AA250" s="34"/>
      <c r="AB250" s="34"/>
      <c r="AC250" s="34"/>
      <c r="AD250" s="34"/>
    </row>
    <row r="251" spans="1:30" ht="40.5" customHeight="1">
      <c r="A251" s="7"/>
      <c r="B251" s="110" t="s">
        <v>40</v>
      </c>
      <c r="C251" s="126"/>
      <c r="D251" s="127"/>
      <c r="E251" s="79">
        <v>1.1100000000000001</v>
      </c>
      <c r="F251" s="81"/>
      <c r="G251" s="115" t="s">
        <v>125</v>
      </c>
      <c r="H251" s="116"/>
      <c r="I251" s="117"/>
      <c r="J251" s="79">
        <v>1.1100000000000001</v>
      </c>
      <c r="K251" s="78"/>
      <c r="L251" s="115" t="s">
        <v>119</v>
      </c>
      <c r="M251" s="116"/>
      <c r="N251" s="117"/>
      <c r="O251" s="79">
        <v>1.1100000000000001</v>
      </c>
      <c r="P251" s="80"/>
      <c r="Q251" s="40" t="s">
        <v>42</v>
      </c>
      <c r="R251" s="48" t="s">
        <v>44</v>
      </c>
      <c r="S251" s="48" t="s">
        <v>67</v>
      </c>
      <c r="T251" s="34"/>
      <c r="U251" s="34"/>
      <c r="V251" s="34"/>
      <c r="W251" s="34"/>
      <c r="X251" s="34"/>
      <c r="Y251" s="34"/>
      <c r="Z251" s="34"/>
      <c r="AA251" s="34"/>
      <c r="AB251" s="34"/>
      <c r="AC251" s="34"/>
      <c r="AD251" s="34"/>
    </row>
    <row r="252" spans="1:30" ht="40.5" customHeight="1">
      <c r="A252" s="7"/>
      <c r="B252" s="110" t="s">
        <v>40</v>
      </c>
      <c r="C252" s="126"/>
      <c r="D252" s="127"/>
      <c r="E252" s="79">
        <v>1.1599999999999999</v>
      </c>
      <c r="F252" s="81"/>
      <c r="G252" s="118" t="s">
        <v>129</v>
      </c>
      <c r="H252" s="119"/>
      <c r="I252" s="120"/>
      <c r="J252" s="71">
        <v>1.1599999999999999</v>
      </c>
      <c r="K252" s="78"/>
      <c r="L252" s="115" t="s">
        <v>119</v>
      </c>
      <c r="M252" s="116"/>
      <c r="N252" s="117"/>
      <c r="O252" s="62">
        <v>1.1599999999999999</v>
      </c>
      <c r="P252" s="80"/>
      <c r="Q252" s="40" t="s">
        <v>42</v>
      </c>
      <c r="R252" s="48" t="s">
        <v>44</v>
      </c>
      <c r="S252" s="48" t="s">
        <v>46</v>
      </c>
      <c r="T252" s="34"/>
      <c r="U252" s="34"/>
      <c r="V252" s="34"/>
      <c r="W252" s="34"/>
      <c r="X252" s="34"/>
      <c r="Y252" s="34"/>
      <c r="Z252" s="34"/>
      <c r="AA252" s="34"/>
      <c r="AB252" s="34"/>
      <c r="AC252" s="34"/>
      <c r="AD252" s="34"/>
    </row>
    <row r="253" spans="1:30" ht="40.5" customHeight="1">
      <c r="A253" s="7"/>
      <c r="B253" s="110" t="s">
        <v>40</v>
      </c>
      <c r="C253" s="126"/>
      <c r="D253" s="127"/>
      <c r="E253" s="79">
        <v>1.18</v>
      </c>
      <c r="F253" s="81"/>
      <c r="G253" s="118" t="s">
        <v>130</v>
      </c>
      <c r="H253" s="119"/>
      <c r="I253" s="120"/>
      <c r="J253" s="71">
        <v>1.18</v>
      </c>
      <c r="K253" s="78"/>
      <c r="L253" s="115" t="s">
        <v>119</v>
      </c>
      <c r="M253" s="116"/>
      <c r="N253" s="117"/>
      <c r="O253" s="62">
        <v>1.18</v>
      </c>
      <c r="P253" s="80"/>
      <c r="Q253" s="40" t="s">
        <v>42</v>
      </c>
      <c r="R253" s="48" t="s">
        <v>44</v>
      </c>
      <c r="S253" s="48" t="s">
        <v>52</v>
      </c>
      <c r="T253" s="34"/>
      <c r="U253" s="34"/>
      <c r="V253" s="34"/>
      <c r="W253" s="34"/>
      <c r="X253" s="34"/>
      <c r="Y253" s="34"/>
      <c r="Z253" s="34"/>
      <c r="AA253" s="34"/>
      <c r="AB253" s="34"/>
      <c r="AC253" s="34"/>
      <c r="AD253" s="34"/>
    </row>
    <row r="254" spans="1:30" ht="30" customHeight="1">
      <c r="A254" s="7"/>
      <c r="B254" s="110" t="s">
        <v>40</v>
      </c>
      <c r="C254" s="126"/>
      <c r="D254" s="127"/>
      <c r="E254" s="79">
        <v>5.14</v>
      </c>
      <c r="F254" s="81"/>
      <c r="G254" s="115" t="s">
        <v>133</v>
      </c>
      <c r="H254" s="116"/>
      <c r="I254" s="117"/>
      <c r="J254" s="71">
        <v>5.14</v>
      </c>
      <c r="K254" s="78"/>
      <c r="L254" s="115" t="s">
        <v>119</v>
      </c>
      <c r="M254" s="116"/>
      <c r="N254" s="117"/>
      <c r="O254" s="62">
        <v>5.14</v>
      </c>
      <c r="P254" s="80"/>
      <c r="Q254" s="40" t="s">
        <v>42</v>
      </c>
      <c r="R254" s="48" t="s">
        <v>44</v>
      </c>
      <c r="S254" s="48" t="s">
        <v>67</v>
      </c>
      <c r="T254" s="34"/>
      <c r="U254" s="34"/>
      <c r="V254" s="34"/>
      <c r="W254" s="34"/>
      <c r="X254" s="34"/>
      <c r="Y254" s="34"/>
      <c r="Z254" s="34"/>
      <c r="AA254" s="34"/>
      <c r="AB254" s="34"/>
      <c r="AC254" s="34"/>
      <c r="AD254" s="34"/>
    </row>
    <row r="255" spans="1:30" ht="30" customHeight="1">
      <c r="A255" s="7"/>
      <c r="B255" s="110" t="s">
        <v>40</v>
      </c>
      <c r="C255" s="126"/>
      <c r="D255" s="127"/>
      <c r="E255" s="79">
        <v>1.1399999999999999</v>
      </c>
      <c r="F255" s="81"/>
      <c r="G255" s="118" t="s">
        <v>132</v>
      </c>
      <c r="H255" s="119"/>
      <c r="I255" s="120"/>
      <c r="J255" s="71">
        <v>1.1399999999999999</v>
      </c>
      <c r="K255" s="78"/>
      <c r="L255" s="115" t="s">
        <v>119</v>
      </c>
      <c r="M255" s="116"/>
      <c r="N255" s="117"/>
      <c r="O255" s="62">
        <v>1.1399999999999999</v>
      </c>
      <c r="P255" s="80"/>
      <c r="Q255" s="40" t="s">
        <v>42</v>
      </c>
      <c r="R255" s="48" t="s">
        <v>44</v>
      </c>
      <c r="S255" s="48" t="s">
        <v>50</v>
      </c>
      <c r="T255" s="34"/>
      <c r="U255" s="34"/>
      <c r="V255" s="34"/>
      <c r="W255" s="34"/>
      <c r="X255" s="34"/>
      <c r="Y255" s="34"/>
      <c r="Z255" s="34"/>
      <c r="AA255" s="34"/>
      <c r="AB255" s="34"/>
      <c r="AC255" s="34"/>
      <c r="AD255" s="34"/>
    </row>
    <row r="256" spans="1:30" ht="30" customHeight="1">
      <c r="A256" s="7"/>
      <c r="B256" s="110" t="s">
        <v>40</v>
      </c>
      <c r="C256" s="126"/>
      <c r="D256" s="127"/>
      <c r="E256" s="79">
        <v>1.1499999999999999</v>
      </c>
      <c r="F256" s="81"/>
      <c r="G256" s="115" t="s">
        <v>75</v>
      </c>
      <c r="H256" s="116"/>
      <c r="I256" s="117"/>
      <c r="J256" s="71">
        <v>1.1499999999999999</v>
      </c>
      <c r="K256" s="78"/>
      <c r="L256" s="115" t="s">
        <v>76</v>
      </c>
      <c r="M256" s="116"/>
      <c r="N256" s="117"/>
      <c r="O256" s="62">
        <v>1.1499999999999999</v>
      </c>
      <c r="P256" s="80"/>
      <c r="Q256" s="40" t="s">
        <v>115</v>
      </c>
      <c r="R256" s="48" t="s">
        <v>44</v>
      </c>
      <c r="S256" s="48" t="s">
        <v>67</v>
      </c>
      <c r="T256" s="34"/>
      <c r="U256" s="34"/>
      <c r="V256" s="34"/>
      <c r="W256" s="34"/>
      <c r="X256" s="34"/>
      <c r="Y256" s="34"/>
      <c r="Z256" s="34"/>
      <c r="AA256" s="34"/>
      <c r="AB256" s="34"/>
      <c r="AC256" s="34"/>
      <c r="AD256" s="34"/>
    </row>
    <row r="257" spans="1:30" ht="30" customHeight="1">
      <c r="A257" s="7"/>
      <c r="B257" s="110" t="s">
        <v>40</v>
      </c>
      <c r="C257" s="126"/>
      <c r="D257" s="127"/>
      <c r="E257" s="79">
        <v>3.18</v>
      </c>
      <c r="F257" s="81"/>
      <c r="G257" s="110" t="s">
        <v>114</v>
      </c>
      <c r="H257" s="126"/>
      <c r="I257" s="127"/>
      <c r="J257" s="71">
        <v>3.18</v>
      </c>
      <c r="K257" s="78"/>
      <c r="L257" s="115" t="s">
        <v>76</v>
      </c>
      <c r="M257" s="116"/>
      <c r="N257" s="117"/>
      <c r="O257" s="62">
        <v>3.18</v>
      </c>
      <c r="P257" s="80"/>
      <c r="Q257" s="40" t="s">
        <v>115</v>
      </c>
      <c r="R257" s="48" t="s">
        <v>44</v>
      </c>
      <c r="S257" s="48" t="s">
        <v>67</v>
      </c>
      <c r="T257" s="34"/>
      <c r="U257" s="34"/>
      <c r="V257" s="34"/>
      <c r="W257" s="34"/>
      <c r="X257" s="34"/>
      <c r="Y257" s="34"/>
      <c r="Z257" s="34"/>
      <c r="AA257" s="34"/>
      <c r="AB257" s="34"/>
      <c r="AC257" s="34"/>
      <c r="AD257" s="34"/>
    </row>
    <row r="258" spans="1:30" ht="30" customHeight="1">
      <c r="A258" s="7"/>
      <c r="B258" s="110" t="s">
        <v>40</v>
      </c>
      <c r="C258" s="126"/>
      <c r="D258" s="127"/>
      <c r="E258" s="79">
        <v>6.15</v>
      </c>
      <c r="F258" s="81"/>
      <c r="G258" s="115" t="s">
        <v>84</v>
      </c>
      <c r="H258" s="116"/>
      <c r="I258" s="117"/>
      <c r="J258" s="79">
        <v>6.15</v>
      </c>
      <c r="K258" s="81"/>
      <c r="L258" s="115" t="s">
        <v>76</v>
      </c>
      <c r="M258" s="116"/>
      <c r="N258" s="117"/>
      <c r="O258" s="79">
        <v>6.15</v>
      </c>
      <c r="P258" s="78"/>
      <c r="Q258" s="40" t="s">
        <v>115</v>
      </c>
      <c r="R258" s="48" t="s">
        <v>44</v>
      </c>
      <c r="S258" s="48" t="s">
        <v>55</v>
      </c>
      <c r="T258" s="34"/>
      <c r="U258" s="34"/>
      <c r="V258" s="34"/>
      <c r="W258" s="34"/>
      <c r="X258" s="34"/>
      <c r="Y258" s="34"/>
      <c r="Z258" s="34"/>
      <c r="AA258" s="34"/>
      <c r="AB258" s="34"/>
      <c r="AC258" s="34"/>
      <c r="AD258" s="34"/>
    </row>
    <row r="259" spans="1:30" ht="30" customHeight="1">
      <c r="A259" s="7"/>
      <c r="B259" s="110" t="s">
        <v>40</v>
      </c>
      <c r="C259" s="126"/>
      <c r="D259" s="127"/>
      <c r="E259" s="79">
        <v>9.0299999999999994</v>
      </c>
      <c r="F259" s="81"/>
      <c r="G259" s="128" t="s">
        <v>124</v>
      </c>
      <c r="H259" s="113"/>
      <c r="I259" s="114"/>
      <c r="J259" s="71">
        <v>9.0299999999999994</v>
      </c>
      <c r="K259" s="78"/>
      <c r="L259" s="115" t="s">
        <v>76</v>
      </c>
      <c r="M259" s="116"/>
      <c r="N259" s="117"/>
      <c r="O259" s="62">
        <v>9.0299999999999994</v>
      </c>
      <c r="P259" s="80"/>
      <c r="Q259" s="40" t="s">
        <v>115</v>
      </c>
      <c r="R259" s="48" t="s">
        <v>44</v>
      </c>
      <c r="S259" s="48" t="s">
        <v>67</v>
      </c>
      <c r="T259" s="34">
        <f>O259</f>
        <v>9.0299999999999994</v>
      </c>
      <c r="U259" s="34"/>
      <c r="V259" s="34"/>
      <c r="W259" s="34"/>
      <c r="X259" s="34"/>
      <c r="Y259" s="34"/>
      <c r="Z259" s="34"/>
      <c r="AA259" s="34"/>
      <c r="AB259" s="34"/>
      <c r="AC259" s="34"/>
      <c r="AD259" s="34"/>
    </row>
    <row r="260" spans="1:30" ht="30" customHeight="1">
      <c r="A260" s="7"/>
      <c r="B260" s="110" t="s">
        <v>40</v>
      </c>
      <c r="C260" s="126"/>
      <c r="D260" s="127"/>
      <c r="E260" s="79">
        <v>6.05</v>
      </c>
      <c r="F260" s="81"/>
      <c r="G260" s="115" t="s">
        <v>84</v>
      </c>
      <c r="H260" s="116"/>
      <c r="I260" s="117"/>
      <c r="J260" s="79">
        <v>6.05</v>
      </c>
      <c r="K260" s="81"/>
      <c r="L260" s="115" t="s">
        <v>76</v>
      </c>
      <c r="M260" s="116"/>
      <c r="N260" s="117"/>
      <c r="O260" s="79">
        <v>6.05</v>
      </c>
      <c r="P260" s="78"/>
      <c r="Q260" s="40" t="s">
        <v>115</v>
      </c>
      <c r="R260" s="48" t="s">
        <v>44</v>
      </c>
      <c r="S260" s="48" t="s">
        <v>55</v>
      </c>
      <c r="T260" s="34"/>
      <c r="U260" s="34"/>
      <c r="V260" s="34"/>
      <c r="W260" s="34"/>
      <c r="X260" s="34"/>
      <c r="Y260" s="34"/>
      <c r="Z260" s="34"/>
      <c r="AA260" s="34"/>
      <c r="AB260" s="34"/>
      <c r="AC260" s="34"/>
      <c r="AD260" s="34"/>
    </row>
    <row r="261" spans="1:30" ht="30" customHeight="1">
      <c r="A261" s="88"/>
      <c r="B261" s="126" t="s">
        <v>40</v>
      </c>
      <c r="C261" s="126"/>
      <c r="D261" s="127"/>
      <c r="E261" s="79">
        <v>2.1</v>
      </c>
      <c r="F261" s="81"/>
      <c r="G261" s="136" t="s">
        <v>114</v>
      </c>
      <c r="H261" s="134"/>
      <c r="I261" s="135"/>
      <c r="J261" s="71">
        <v>2.1</v>
      </c>
      <c r="K261" s="78"/>
      <c r="L261" s="115" t="s">
        <v>76</v>
      </c>
      <c r="M261" s="116"/>
      <c r="N261" s="117"/>
      <c r="O261" s="62">
        <v>2.1</v>
      </c>
      <c r="P261" s="80"/>
      <c r="Q261" s="40" t="s">
        <v>115</v>
      </c>
      <c r="R261" s="48" t="s">
        <v>44</v>
      </c>
      <c r="S261" s="48" t="s">
        <v>67</v>
      </c>
      <c r="T261" s="34">
        <f>O261</f>
        <v>2.1</v>
      </c>
      <c r="U261" s="34"/>
      <c r="V261" s="34"/>
      <c r="W261" s="34"/>
      <c r="X261" s="34"/>
      <c r="Y261" s="34"/>
      <c r="Z261" s="34"/>
      <c r="AA261" s="34"/>
      <c r="AB261" s="34"/>
      <c r="AC261" s="34"/>
      <c r="AD261" s="34"/>
    </row>
    <row r="262" spans="1:30" ht="30" customHeight="1">
      <c r="A262" s="90"/>
      <c r="B262" s="110" t="s">
        <v>40</v>
      </c>
      <c r="C262" s="126"/>
      <c r="D262" s="127"/>
      <c r="E262" s="79">
        <v>1.1000000000000001</v>
      </c>
      <c r="F262" s="81"/>
      <c r="G262" s="134" t="s">
        <v>134</v>
      </c>
      <c r="H262" s="134"/>
      <c r="I262" s="135"/>
      <c r="J262" s="89">
        <v>1.1000000000000001</v>
      </c>
      <c r="K262" s="81"/>
      <c r="L262" s="115" t="s">
        <v>119</v>
      </c>
      <c r="M262" s="116"/>
      <c r="N262" s="117"/>
      <c r="O262" s="61">
        <v>1.1000000000000001</v>
      </c>
      <c r="P262" s="78"/>
      <c r="Q262" s="62" t="s">
        <v>115</v>
      </c>
      <c r="R262" s="48" t="s">
        <v>44</v>
      </c>
      <c r="S262" s="48" t="s">
        <v>107</v>
      </c>
      <c r="T262" s="34"/>
      <c r="U262" s="34"/>
      <c r="V262" s="34"/>
      <c r="W262" s="34"/>
      <c r="X262" s="34"/>
      <c r="Y262" s="34"/>
      <c r="Z262" s="34"/>
      <c r="AA262" s="34"/>
      <c r="AB262" s="34"/>
      <c r="AC262" s="34"/>
      <c r="AD262" s="34"/>
    </row>
    <row r="263" spans="1:30" ht="44.45" customHeight="1">
      <c r="A263" s="62"/>
      <c r="B263" s="110" t="s">
        <v>135</v>
      </c>
      <c r="C263" s="126"/>
      <c r="D263" s="127"/>
      <c r="E263" s="85">
        <v>0.16</v>
      </c>
      <c r="F263" s="78"/>
      <c r="G263" s="115" t="s">
        <v>106</v>
      </c>
      <c r="H263" s="116"/>
      <c r="I263" s="117"/>
      <c r="J263" s="32">
        <f>E263</f>
        <v>0.16</v>
      </c>
      <c r="K263" s="81"/>
      <c r="L263" s="115" t="s">
        <v>119</v>
      </c>
      <c r="M263" s="116"/>
      <c r="N263" s="117"/>
      <c r="O263" s="38">
        <f>E263</f>
        <v>0.16</v>
      </c>
      <c r="P263" s="81"/>
      <c r="Q263" s="40" t="s">
        <v>42</v>
      </c>
      <c r="R263" s="34" t="s">
        <v>46</v>
      </c>
      <c r="S263" s="34" t="s">
        <v>107</v>
      </c>
      <c r="T263" s="93">
        <f>SUM(O263:O266)</f>
        <v>4.46</v>
      </c>
      <c r="U263" s="34"/>
      <c r="V263" s="34"/>
      <c r="W263" s="34"/>
      <c r="X263" s="34"/>
      <c r="Y263" s="34"/>
      <c r="Z263" s="34"/>
      <c r="AA263" s="34"/>
      <c r="AB263" s="34"/>
      <c r="AC263" s="34"/>
      <c r="AD263" s="34"/>
    </row>
    <row r="264" spans="1:30" ht="28.5" customHeight="1">
      <c r="A264" s="84"/>
      <c r="B264" s="110" t="s">
        <v>51</v>
      </c>
      <c r="C264" s="126"/>
      <c r="D264" s="127"/>
      <c r="E264" s="85">
        <v>0.15</v>
      </c>
      <c r="F264" s="78"/>
      <c r="G264" s="115" t="s">
        <v>106</v>
      </c>
      <c r="H264" s="116"/>
      <c r="I264" s="117"/>
      <c r="J264" s="32">
        <f t="shared" ref="J264:J266" si="11">E264</f>
        <v>0.15</v>
      </c>
      <c r="K264" s="81"/>
      <c r="L264" s="115" t="s">
        <v>119</v>
      </c>
      <c r="M264" s="116"/>
      <c r="N264" s="117"/>
      <c r="O264" s="38">
        <f t="shared" ref="O264:O266" si="12">E264</f>
        <v>0.15</v>
      </c>
      <c r="P264" s="81"/>
      <c r="Q264" s="40" t="s">
        <v>42</v>
      </c>
      <c r="R264" s="34" t="s">
        <v>52</v>
      </c>
      <c r="S264" s="34" t="s">
        <v>107</v>
      </c>
      <c r="T264" s="34"/>
      <c r="U264" s="34"/>
      <c r="V264" s="34"/>
      <c r="W264" s="34"/>
      <c r="X264" s="34"/>
      <c r="Y264" s="34"/>
      <c r="Z264" s="34"/>
      <c r="AA264" s="34"/>
      <c r="AB264" s="34"/>
      <c r="AC264" s="34"/>
      <c r="AD264" s="34"/>
    </row>
    <row r="265" spans="1:30" ht="31.5" customHeight="1">
      <c r="A265" s="84"/>
      <c r="B265" s="110" t="s">
        <v>136</v>
      </c>
      <c r="C265" s="126"/>
      <c r="D265" s="127"/>
      <c r="E265" s="85">
        <v>3.07</v>
      </c>
      <c r="F265" s="78"/>
      <c r="G265" s="115" t="s">
        <v>106</v>
      </c>
      <c r="H265" s="116"/>
      <c r="I265" s="117"/>
      <c r="J265" s="32">
        <f t="shared" si="11"/>
        <v>3.07</v>
      </c>
      <c r="K265" s="81"/>
      <c r="L265" s="115" t="s">
        <v>119</v>
      </c>
      <c r="M265" s="116"/>
      <c r="N265" s="117"/>
      <c r="O265" s="38">
        <f t="shared" si="12"/>
        <v>3.07</v>
      </c>
      <c r="P265" s="81"/>
      <c r="Q265" s="40" t="s">
        <v>42</v>
      </c>
      <c r="R265" s="34" t="s">
        <v>48</v>
      </c>
      <c r="S265" s="34" t="s">
        <v>107</v>
      </c>
      <c r="T265" s="34"/>
      <c r="U265" s="34"/>
      <c r="V265" s="34"/>
      <c r="W265" s="34"/>
      <c r="X265" s="34"/>
      <c r="Y265" s="34"/>
      <c r="Z265" s="34"/>
      <c r="AA265" s="34"/>
      <c r="AB265" s="34"/>
      <c r="AC265" s="34"/>
      <c r="AD265" s="34"/>
    </row>
    <row r="266" spans="1:30" ht="33.6" customHeight="1">
      <c r="A266" s="84"/>
      <c r="B266" s="110" t="s">
        <v>137</v>
      </c>
      <c r="C266" s="126"/>
      <c r="D266" s="127"/>
      <c r="E266" s="85">
        <v>1.08</v>
      </c>
      <c r="F266" s="78"/>
      <c r="G266" s="115" t="s">
        <v>106</v>
      </c>
      <c r="H266" s="116"/>
      <c r="I266" s="117"/>
      <c r="J266" s="32">
        <f t="shared" si="11"/>
        <v>1.08</v>
      </c>
      <c r="K266" s="81"/>
      <c r="L266" s="115" t="s">
        <v>119</v>
      </c>
      <c r="M266" s="116"/>
      <c r="N266" s="117"/>
      <c r="O266" s="38">
        <f t="shared" si="12"/>
        <v>1.08</v>
      </c>
      <c r="P266" s="81"/>
      <c r="Q266" s="40" t="s">
        <v>42</v>
      </c>
      <c r="R266" s="34" t="s">
        <v>50</v>
      </c>
      <c r="S266" s="34" t="s">
        <v>107</v>
      </c>
      <c r="T266" s="34"/>
      <c r="U266" s="34"/>
      <c r="V266" s="34"/>
      <c r="W266" s="34"/>
      <c r="X266" s="34"/>
      <c r="Y266" s="34"/>
      <c r="Z266" s="34"/>
      <c r="AA266" s="34"/>
      <c r="AB266" s="34"/>
      <c r="AC266" s="34"/>
      <c r="AD266" s="34"/>
    </row>
    <row r="267" spans="1:30" ht="15.6" customHeight="1">
      <c r="A267" s="84"/>
      <c r="B267" s="139" t="s">
        <v>138</v>
      </c>
      <c r="C267" s="111"/>
      <c r="D267" s="111"/>
      <c r="E267" s="111"/>
      <c r="F267" s="140"/>
      <c r="G267" s="139" t="s">
        <v>139</v>
      </c>
      <c r="H267" s="145"/>
      <c r="I267" s="145"/>
      <c r="J267" s="145"/>
      <c r="K267" s="146"/>
      <c r="L267" s="145" t="s">
        <v>140</v>
      </c>
      <c r="M267" s="111"/>
      <c r="N267" s="111"/>
      <c r="O267" s="111"/>
      <c r="P267" s="140"/>
      <c r="Q267" s="4" t="s">
        <v>141</v>
      </c>
      <c r="R267" s="34"/>
      <c r="S267" s="34"/>
      <c r="T267" s="34"/>
      <c r="U267" s="34"/>
      <c r="V267" s="34"/>
      <c r="W267" s="34"/>
      <c r="X267" s="34"/>
      <c r="Y267" s="34"/>
      <c r="Z267" s="34"/>
      <c r="AA267" s="34"/>
      <c r="AB267" s="34"/>
      <c r="AC267" s="34"/>
      <c r="AD267" s="34"/>
    </row>
    <row r="268" spans="1:30" ht="15.75" customHeight="1">
      <c r="A268" s="4" t="s">
        <v>142</v>
      </c>
      <c r="B268" s="141">
        <f>B270-B269</f>
        <v>21.559999999999945</v>
      </c>
      <c r="C268" s="142"/>
      <c r="D268" s="142"/>
      <c r="E268" s="142"/>
      <c r="F268" s="140"/>
      <c r="G268" s="144">
        <f>G270-G269</f>
        <v>1474.2499999999998</v>
      </c>
      <c r="H268" s="111"/>
      <c r="I268" s="111"/>
      <c r="J268" s="111"/>
      <c r="K268" s="138"/>
      <c r="L268" s="160">
        <f>L270-L269</f>
        <v>1196.9999999999995</v>
      </c>
      <c r="M268" s="111"/>
      <c r="N268" s="111"/>
      <c r="O268" s="111"/>
      <c r="P268" s="138"/>
      <c r="Q268" s="8" t="s">
        <v>143</v>
      </c>
      <c r="R268" s="34"/>
      <c r="S268" s="34"/>
      <c r="T268" s="34"/>
      <c r="U268" s="34"/>
      <c r="V268" s="34"/>
      <c r="W268" s="34"/>
      <c r="X268" s="34"/>
      <c r="Y268" s="34"/>
      <c r="Z268" s="34"/>
      <c r="AA268" s="34"/>
      <c r="AB268" s="34"/>
      <c r="AC268" s="34"/>
      <c r="AD268" s="34"/>
    </row>
    <row r="269" spans="1:30" ht="15.75" customHeight="1">
      <c r="A269" s="4" t="s">
        <v>144</v>
      </c>
      <c r="B269" s="143">
        <f>SUM(E17:E262)</f>
        <v>1725.2699999999998</v>
      </c>
      <c r="C269" s="111"/>
      <c r="D269" s="111"/>
      <c r="E269" s="111"/>
      <c r="F269" s="138"/>
      <c r="G269" s="167">
        <f>SUM(J262:J266)+J260+J258+J249+J247+J236+J234+J232+J220+J218+J215+J213+J210+J84+J82+J74+J72+J66+J57+J55+J53+J51+J49+J16+J15+J14+J13</f>
        <v>272.58</v>
      </c>
      <c r="H269" s="111"/>
      <c r="I269" s="111"/>
      <c r="J269" s="111"/>
      <c r="K269" s="138"/>
      <c r="L269" s="167">
        <f>SUM(T13:T266)</f>
        <v>549.83000000000004</v>
      </c>
      <c r="M269" s="111"/>
      <c r="N269" s="111"/>
      <c r="O269" s="111"/>
      <c r="P269" s="138"/>
      <c r="Q269" s="8">
        <f>COUNTIF(Q13:Q266,"Internal")</f>
        <v>143</v>
      </c>
      <c r="R269" s="34"/>
      <c r="S269" s="34"/>
      <c r="T269" s="34"/>
      <c r="U269" s="34"/>
      <c r="V269" s="34"/>
      <c r="W269" s="34"/>
      <c r="X269" s="34"/>
      <c r="Y269" s="34"/>
      <c r="Z269" s="34"/>
      <c r="AA269" s="34"/>
      <c r="AB269" s="34"/>
      <c r="AC269" s="34"/>
      <c r="AD269" s="34"/>
    </row>
    <row r="270" spans="1:30" ht="15.75" customHeight="1">
      <c r="A270" s="4" t="s">
        <v>145</v>
      </c>
      <c r="B270" s="144">
        <f>SUM(E13:E266)</f>
        <v>1746.8299999999997</v>
      </c>
      <c r="C270" s="111"/>
      <c r="D270" s="111"/>
      <c r="E270" s="111"/>
      <c r="F270" s="138"/>
      <c r="G270" s="144">
        <f>SUM(J13:J266)</f>
        <v>1746.8299999999997</v>
      </c>
      <c r="H270" s="111"/>
      <c r="I270" s="111"/>
      <c r="J270" s="111"/>
      <c r="K270" s="138"/>
      <c r="L270" s="144">
        <f>SUM(O13:O266)</f>
        <v>1746.8299999999997</v>
      </c>
      <c r="M270" s="111"/>
      <c r="N270" s="111"/>
      <c r="O270" s="111"/>
      <c r="P270" s="138"/>
      <c r="Q270" s="8" t="s">
        <v>146</v>
      </c>
      <c r="R270" s="34"/>
      <c r="S270" s="34"/>
      <c r="T270" s="34"/>
      <c r="U270" s="34"/>
      <c r="V270" s="34"/>
      <c r="W270" s="34"/>
      <c r="X270" s="34"/>
      <c r="Y270" s="34"/>
      <c r="Z270" s="34"/>
      <c r="AA270" s="34"/>
      <c r="AB270" s="34"/>
      <c r="AC270" s="34"/>
      <c r="AD270" s="34"/>
    </row>
    <row r="271" spans="1:30" ht="15.75" customHeight="1">
      <c r="A271" s="4" t="s">
        <v>147</v>
      </c>
      <c r="B271" s="137">
        <f>B268/B270</f>
        <v>1.2342357298649525E-2</v>
      </c>
      <c r="C271" s="111"/>
      <c r="D271" s="111"/>
      <c r="E271" s="111"/>
      <c r="F271" s="138"/>
      <c r="G271" s="137">
        <f>G268/G270</f>
        <v>0.84395733986707355</v>
      </c>
      <c r="H271" s="111"/>
      <c r="I271" s="111"/>
      <c r="J271" s="111"/>
      <c r="K271" s="138"/>
      <c r="L271" s="137">
        <f>L268/L270</f>
        <v>0.68524126560684195</v>
      </c>
      <c r="M271" s="111"/>
      <c r="N271" s="111"/>
      <c r="O271" s="111"/>
      <c r="P271" s="138"/>
      <c r="Q271" s="8">
        <f>COUNTIF(Q13:Q266,"Eksternal")</f>
        <v>71</v>
      </c>
      <c r="R271" s="34"/>
      <c r="S271" s="34"/>
      <c r="T271" s="34"/>
      <c r="U271" s="34"/>
      <c r="V271" s="34"/>
      <c r="W271" s="34"/>
      <c r="X271" s="34"/>
      <c r="Y271" s="34"/>
      <c r="Z271" s="34"/>
      <c r="AA271" s="34"/>
      <c r="AB271" s="34"/>
      <c r="AC271" s="34"/>
      <c r="AD271" s="34"/>
    </row>
    <row r="272" spans="1:30" ht="15.75" customHeight="1">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row>
    <row r="273" spans="1:30"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row>
    <row r="274" spans="1:30"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row>
    <row r="275" spans="1:30"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row>
    <row r="276" spans="1:30"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row>
    <row r="277" spans="1:30"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row>
    <row r="278" spans="1:30"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row>
    <row r="279" spans="1:30"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row>
    <row r="280" spans="1:3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row>
    <row r="281" spans="1:30"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row>
    <row r="282" spans="1:30"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row>
    <row r="283" spans="1:30"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row>
    <row r="284" spans="1:30"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row>
    <row r="285" spans="1:30"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row>
    <row r="286" spans="1:30"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row>
    <row r="287" spans="1:30"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row>
    <row r="288" spans="1:30"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row>
    <row r="289" spans="1:30"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row>
    <row r="290" spans="1:3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row>
    <row r="291" spans="1:30"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row>
    <row r="292" spans="1:30"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row>
    <row r="293" spans="1:30"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row>
    <row r="294" spans="1:30"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row>
    <row r="295" spans="1:30"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row>
    <row r="296" spans="1:30"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row>
    <row r="297" spans="1:30"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row>
    <row r="298" spans="1:30"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row>
    <row r="299" spans="1:30"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row>
    <row r="300" spans="1:3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row>
    <row r="301" spans="1:30"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row>
    <row r="302" spans="1:30"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row>
    <row r="303" spans="1:30"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row>
    <row r="304" spans="1:30"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row>
    <row r="305" spans="1:30"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row>
    <row r="306" spans="1:30"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row>
    <row r="307" spans="1:30"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row>
    <row r="308" spans="1:30"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row>
    <row r="309" spans="1:30"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row>
    <row r="310" spans="1:3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row>
    <row r="311" spans="1:30"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row>
    <row r="312" spans="1:30"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row>
    <row r="313" spans="1:30"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row>
    <row r="314" spans="1:30"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row>
    <row r="315" spans="1:30"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row>
    <row r="316" spans="1:30"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row>
    <row r="317" spans="1:30"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row>
    <row r="318" spans="1:30"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row>
    <row r="319" spans="1:30"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row>
    <row r="320" spans="1:3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row>
    <row r="321" spans="1:30"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row>
    <row r="322" spans="1:30"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row>
    <row r="323" spans="1:30"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row>
    <row r="324" spans="1:30"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row>
    <row r="325" spans="1:30"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row>
    <row r="326" spans="1:30"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row>
    <row r="327" spans="1:30"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row>
    <row r="328" spans="1:30"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row>
    <row r="329" spans="1:30"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row>
    <row r="330" spans="1: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row>
    <row r="331" spans="1:30"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row>
    <row r="332" spans="1:30"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row>
    <row r="333" spans="1:30"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row>
    <row r="334" spans="1:30"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row>
    <row r="335" spans="1:30"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row>
    <row r="336" spans="1:30"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row>
    <row r="337" spans="1:30"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row>
    <row r="338" spans="1:30"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row>
    <row r="339" spans="1:30"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row>
    <row r="340" spans="1:3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row>
    <row r="341" spans="1:30"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row>
    <row r="342" spans="1:30"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row>
    <row r="343" spans="1:30"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row>
    <row r="344" spans="1:30"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row>
    <row r="345" spans="1:30"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row>
    <row r="346" spans="1:30"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row>
    <row r="347" spans="1:30"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row>
    <row r="348" spans="1:30"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row>
    <row r="349" spans="1:30"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row>
    <row r="350" spans="1:3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row>
    <row r="351" spans="1:30"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row>
    <row r="352" spans="1:30"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row>
    <row r="353" spans="1:30"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row>
    <row r="354" spans="1:30"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row>
    <row r="355" spans="1:30"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row>
    <row r="356" spans="1:30"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row>
    <row r="357" spans="1:30"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row>
    <row r="358" spans="1:30"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row>
    <row r="359" spans="1:30"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row>
    <row r="360" spans="1:3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row>
    <row r="361" spans="1:30"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row>
    <row r="362" spans="1:30"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row>
    <row r="363" spans="1:30"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row>
    <row r="364" spans="1:30"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row>
    <row r="365" spans="1:30"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row>
    <row r="366" spans="1:30"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row>
    <row r="367" spans="1:30"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row>
    <row r="368" spans="1:30"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row>
    <row r="369" spans="1:30"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row>
    <row r="370" spans="1:3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row>
    <row r="371" spans="1:30"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row>
    <row r="372" spans="1:30"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row>
    <row r="373" spans="1:30"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row>
    <row r="374" spans="1:30"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row>
    <row r="375" spans="1:30"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row>
    <row r="376" spans="1:30"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row>
    <row r="377" spans="1:30"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row>
    <row r="378" spans="1:30"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row>
    <row r="379" spans="1:30"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row>
    <row r="380" spans="1:3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row>
    <row r="381" spans="1:30"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row>
    <row r="382" spans="1:30"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row>
    <row r="383" spans="1:30"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row>
    <row r="384" spans="1:30"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row>
    <row r="385" spans="1:30"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row>
    <row r="386" spans="1:30"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row>
    <row r="387" spans="1:30"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row>
    <row r="388" spans="1:30"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row>
    <row r="389" spans="1:30"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row>
    <row r="390" spans="1:3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row>
    <row r="391" spans="1:30"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row>
    <row r="392" spans="1:30"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row>
    <row r="393" spans="1:30"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row>
    <row r="394" spans="1:30"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row>
    <row r="395" spans="1:30"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row>
    <row r="396" spans="1:30"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row>
    <row r="397" spans="1:30"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row>
    <row r="398" spans="1:30"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row>
    <row r="399" spans="1:30"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row>
    <row r="400" spans="1:3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row>
    <row r="401" spans="1:30"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row>
    <row r="402" spans="1:30"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row>
    <row r="403" spans="1:30"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row>
    <row r="404" spans="1:30"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row>
    <row r="405" spans="1:30"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row>
    <row r="406" spans="1:30"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row>
    <row r="407" spans="1:30"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row>
    <row r="408" spans="1:30"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row>
    <row r="409" spans="1:30"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row>
    <row r="410" spans="1:3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row>
    <row r="411" spans="1:30"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row>
    <row r="412" spans="1:30"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row>
    <row r="413" spans="1:30"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row>
    <row r="414" spans="1:30"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row>
    <row r="415" spans="1:30"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row>
    <row r="416" spans="1:30"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row>
    <row r="417" spans="1:30"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row>
    <row r="418" spans="1:30"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row>
    <row r="419" spans="1:30"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row>
    <row r="420" spans="1:3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row>
    <row r="421" spans="1:30"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row>
    <row r="422" spans="1:30"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row>
    <row r="423" spans="1:30"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row>
    <row r="424" spans="1:30"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row>
    <row r="425" spans="1:30"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row>
    <row r="426" spans="1:30" ht="15.75" customHeight="1">
      <c r="A426" s="34"/>
    </row>
    <row r="427" spans="1:30" ht="15.75" customHeight="1"/>
    <row r="428" spans="1:30" ht="15.75" customHeight="1"/>
    <row r="429" spans="1:30" ht="15.75" customHeight="1"/>
    <row r="430" spans="1:30" ht="15.75" customHeight="1"/>
    <row r="431" spans="1:30" ht="15.75" customHeight="1"/>
    <row r="432" spans="1:30"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sheetData>
  <mergeCells count="799">
    <mergeCell ref="L260:N260"/>
    <mergeCell ref="L261:N261"/>
    <mergeCell ref="G40:I40"/>
    <mergeCell ref="G41:I41"/>
    <mergeCell ref="G42:I42"/>
    <mergeCell ref="G43:I43"/>
    <mergeCell ref="G44:I44"/>
    <mergeCell ref="G45:I45"/>
    <mergeCell ref="G46:I46"/>
    <mergeCell ref="G47:I47"/>
    <mergeCell ref="G48:I48"/>
    <mergeCell ref="G57:I57"/>
    <mergeCell ref="G254:I254"/>
    <mergeCell ref="G255:I255"/>
    <mergeCell ref="G256:I256"/>
    <mergeCell ref="G257:I257"/>
    <mergeCell ref="G258:I258"/>
    <mergeCell ref="G259:I259"/>
    <mergeCell ref="G260:I260"/>
    <mergeCell ref="G261:I261"/>
    <mergeCell ref="L244:N244"/>
    <mergeCell ref="L245:N245"/>
    <mergeCell ref="L246:N246"/>
    <mergeCell ref="L247:N247"/>
    <mergeCell ref="L257:N257"/>
    <mergeCell ref="L258:N258"/>
    <mergeCell ref="L259:N259"/>
    <mergeCell ref="G245:I245"/>
    <mergeCell ref="G246:I246"/>
    <mergeCell ref="G247:I247"/>
    <mergeCell ref="G248:I248"/>
    <mergeCell ref="G249:I249"/>
    <mergeCell ref="G250:I250"/>
    <mergeCell ref="G251:I251"/>
    <mergeCell ref="G252:I252"/>
    <mergeCell ref="G253:I253"/>
    <mergeCell ref="L248:N248"/>
    <mergeCell ref="L249:N249"/>
    <mergeCell ref="L250:N250"/>
    <mergeCell ref="L251:N251"/>
    <mergeCell ref="L252:N252"/>
    <mergeCell ref="L253:N253"/>
    <mergeCell ref="L254:N254"/>
    <mergeCell ref="L255:N255"/>
    <mergeCell ref="L256:N256"/>
    <mergeCell ref="L34:N34"/>
    <mergeCell ref="G38:I38"/>
    <mergeCell ref="G39:I39"/>
    <mergeCell ref="B39:D39"/>
    <mergeCell ref="B38:D38"/>
    <mergeCell ref="L37:N37"/>
    <mergeCell ref="L38:N38"/>
    <mergeCell ref="L39:N39"/>
    <mergeCell ref="G244:I244"/>
    <mergeCell ref="B244:D244"/>
    <mergeCell ref="G239:I239"/>
    <mergeCell ref="B239:D239"/>
    <mergeCell ref="L238:N238"/>
    <mergeCell ref="G238:I238"/>
    <mergeCell ref="B238:D238"/>
    <mergeCell ref="L243:N243"/>
    <mergeCell ref="G243:I243"/>
    <mergeCell ref="B243:D243"/>
    <mergeCell ref="L242:N242"/>
    <mergeCell ref="G242:I242"/>
    <mergeCell ref="B242:D242"/>
    <mergeCell ref="L241:N241"/>
    <mergeCell ref="G241:I241"/>
    <mergeCell ref="B241:D241"/>
    <mergeCell ref="G33:I33"/>
    <mergeCell ref="B34:D34"/>
    <mergeCell ref="B35:D35"/>
    <mergeCell ref="B36:D36"/>
    <mergeCell ref="B37:D37"/>
    <mergeCell ref="G34:I34"/>
    <mergeCell ref="G35:I35"/>
    <mergeCell ref="G36:I36"/>
    <mergeCell ref="G37:I37"/>
    <mergeCell ref="B33:D33"/>
    <mergeCell ref="B245:D245"/>
    <mergeCell ref="B246:D246"/>
    <mergeCell ref="B247:D247"/>
    <mergeCell ref="B248:D248"/>
    <mergeCell ref="B249:D249"/>
    <mergeCell ref="B250:D250"/>
    <mergeCell ref="B251:D251"/>
    <mergeCell ref="B252:D252"/>
    <mergeCell ref="B253:D253"/>
    <mergeCell ref="B254:D254"/>
    <mergeCell ref="B255:D255"/>
    <mergeCell ref="B256:D256"/>
    <mergeCell ref="B257:D257"/>
    <mergeCell ref="B258:D258"/>
    <mergeCell ref="B259:D259"/>
    <mergeCell ref="B260:D260"/>
    <mergeCell ref="B261:D261"/>
    <mergeCell ref="L234:N234"/>
    <mergeCell ref="G234:I234"/>
    <mergeCell ref="B234:D234"/>
    <mergeCell ref="L237:N237"/>
    <mergeCell ref="G237:I237"/>
    <mergeCell ref="B237:D237"/>
    <mergeCell ref="L236:N236"/>
    <mergeCell ref="G236:I236"/>
    <mergeCell ref="B236:D236"/>
    <mergeCell ref="L235:N235"/>
    <mergeCell ref="G235:I235"/>
    <mergeCell ref="B235:D235"/>
    <mergeCell ref="L240:N240"/>
    <mergeCell ref="G240:I240"/>
    <mergeCell ref="B240:D240"/>
    <mergeCell ref="L239:N239"/>
    <mergeCell ref="G30:I30"/>
    <mergeCell ref="G31:I31"/>
    <mergeCell ref="G32:I32"/>
    <mergeCell ref="B25:D25"/>
    <mergeCell ref="B26:D26"/>
    <mergeCell ref="B27:D27"/>
    <mergeCell ref="B28:D28"/>
    <mergeCell ref="B29:D29"/>
    <mergeCell ref="B30:D30"/>
    <mergeCell ref="B31:D31"/>
    <mergeCell ref="B32:D32"/>
    <mergeCell ref="L23:N23"/>
    <mergeCell ref="L24:N24"/>
    <mergeCell ref="L25:N25"/>
    <mergeCell ref="L26:N26"/>
    <mergeCell ref="L27:N27"/>
    <mergeCell ref="L28:N28"/>
    <mergeCell ref="L29:N29"/>
    <mergeCell ref="L30:N30"/>
    <mergeCell ref="L31:N31"/>
    <mergeCell ref="B23:D23"/>
    <mergeCell ref="G24:I24"/>
    <mergeCell ref="B24:D24"/>
    <mergeCell ref="G25:I25"/>
    <mergeCell ref="G26:I26"/>
    <mergeCell ref="G27:I27"/>
    <mergeCell ref="G28:I28"/>
    <mergeCell ref="G29:I29"/>
    <mergeCell ref="G13:I13"/>
    <mergeCell ref="G14:I14"/>
    <mergeCell ref="G15:I15"/>
    <mergeCell ref="G16:I16"/>
    <mergeCell ref="G17:I17"/>
    <mergeCell ref="B15:D15"/>
    <mergeCell ref="B14:D14"/>
    <mergeCell ref="G23:I23"/>
    <mergeCell ref="B11:D12"/>
    <mergeCell ref="E11:F11"/>
    <mergeCell ref="B13:D13"/>
    <mergeCell ref="A1:Q2"/>
    <mergeCell ref="A3:B3"/>
    <mergeCell ref="C3:M3"/>
    <mergeCell ref="A4:B4"/>
    <mergeCell ref="C4:M4"/>
    <mergeCell ref="L269:P269"/>
    <mergeCell ref="G269:K269"/>
    <mergeCell ref="L17:N17"/>
    <mergeCell ref="B16:D16"/>
    <mergeCell ref="B17:D17"/>
    <mergeCell ref="G11:I12"/>
    <mergeCell ref="J11:K11"/>
    <mergeCell ref="G206:I206"/>
    <mergeCell ref="G207:I207"/>
    <mergeCell ref="B200:D200"/>
    <mergeCell ref="B201:D201"/>
    <mergeCell ref="B206:D206"/>
    <mergeCell ref="B208:D208"/>
    <mergeCell ref="B209:D209"/>
    <mergeCell ref="B210:D210"/>
    <mergeCell ref="B211:D211"/>
    <mergeCell ref="L270:P270"/>
    <mergeCell ref="L18:N18"/>
    <mergeCell ref="L19:N19"/>
    <mergeCell ref="L267:P267"/>
    <mergeCell ref="L268:P268"/>
    <mergeCell ref="L20:N20"/>
    <mergeCell ref="L21:N21"/>
    <mergeCell ref="L22:N22"/>
    <mergeCell ref="L200:N200"/>
    <mergeCell ref="L201:N201"/>
    <mergeCell ref="L202:N202"/>
    <mergeCell ref="L203:N203"/>
    <mergeCell ref="L204:N204"/>
    <mergeCell ref="L205:N205"/>
    <mergeCell ref="L206:N206"/>
    <mergeCell ref="L207:N207"/>
    <mergeCell ref="L228:N228"/>
    <mergeCell ref="L229:N229"/>
    <mergeCell ref="L230:N230"/>
    <mergeCell ref="L231:N231"/>
    <mergeCell ref="L232:N232"/>
    <mergeCell ref="L233:N233"/>
    <mergeCell ref="L32:N32"/>
    <mergeCell ref="L33:N33"/>
    <mergeCell ref="G270:K270"/>
    <mergeCell ref="G18:I18"/>
    <mergeCell ref="G19:I19"/>
    <mergeCell ref="G267:K267"/>
    <mergeCell ref="G268:K268"/>
    <mergeCell ref="B21:D21"/>
    <mergeCell ref="B22:D22"/>
    <mergeCell ref="A5:B5"/>
    <mergeCell ref="C5:M5"/>
    <mergeCell ref="B10:K10"/>
    <mergeCell ref="L10:Q10"/>
    <mergeCell ref="A7:B7"/>
    <mergeCell ref="D7:E7"/>
    <mergeCell ref="M7:N7"/>
    <mergeCell ref="O7:P7"/>
    <mergeCell ref="M8:N8"/>
    <mergeCell ref="O8:P8"/>
    <mergeCell ref="A10:A12"/>
    <mergeCell ref="L11:N12"/>
    <mergeCell ref="O11:P11"/>
    <mergeCell ref="L13:N13"/>
    <mergeCell ref="L14:N14"/>
    <mergeCell ref="L15:N15"/>
    <mergeCell ref="L16:N16"/>
    <mergeCell ref="L271:P271"/>
    <mergeCell ref="B18:D18"/>
    <mergeCell ref="B19:D19"/>
    <mergeCell ref="B267:F267"/>
    <mergeCell ref="B268:F268"/>
    <mergeCell ref="G20:I20"/>
    <mergeCell ref="G21:I21"/>
    <mergeCell ref="G22:I22"/>
    <mergeCell ref="G200:I200"/>
    <mergeCell ref="G201:I201"/>
    <mergeCell ref="G202:I202"/>
    <mergeCell ref="G203:I203"/>
    <mergeCell ref="G204:I204"/>
    <mergeCell ref="G205:I205"/>
    <mergeCell ref="B269:F269"/>
    <mergeCell ref="B270:F270"/>
    <mergeCell ref="B271:F271"/>
    <mergeCell ref="G271:K271"/>
    <mergeCell ref="B20:D20"/>
    <mergeCell ref="B207:D207"/>
    <mergeCell ref="B202:D202"/>
    <mergeCell ref="B203:D203"/>
    <mergeCell ref="B204:D204"/>
    <mergeCell ref="B205:D205"/>
    <mergeCell ref="B222:D222"/>
    <mergeCell ref="B223:D223"/>
    <mergeCell ref="B224:D224"/>
    <mergeCell ref="B225:D225"/>
    <mergeCell ref="B226:D226"/>
    <mergeCell ref="B227:D227"/>
    <mergeCell ref="B228:D228"/>
    <mergeCell ref="B229:D229"/>
    <mergeCell ref="B212:D212"/>
    <mergeCell ref="B213:D213"/>
    <mergeCell ref="B214:D214"/>
    <mergeCell ref="B215:D215"/>
    <mergeCell ref="B216:D216"/>
    <mergeCell ref="B217:D217"/>
    <mergeCell ref="B218:D218"/>
    <mergeCell ref="B219:D219"/>
    <mergeCell ref="B220:D220"/>
    <mergeCell ref="B231:D231"/>
    <mergeCell ref="B232:D232"/>
    <mergeCell ref="B233:D233"/>
    <mergeCell ref="L208:N208"/>
    <mergeCell ref="L209:N209"/>
    <mergeCell ref="L210:N210"/>
    <mergeCell ref="L221:N221"/>
    <mergeCell ref="L211:N211"/>
    <mergeCell ref="L212:N212"/>
    <mergeCell ref="L213:N213"/>
    <mergeCell ref="L214:N214"/>
    <mergeCell ref="L215:N215"/>
    <mergeCell ref="L216:N216"/>
    <mergeCell ref="L217:N217"/>
    <mergeCell ref="L218:N218"/>
    <mergeCell ref="L219:N219"/>
    <mergeCell ref="L220:N220"/>
    <mergeCell ref="L222:N222"/>
    <mergeCell ref="L223:N223"/>
    <mergeCell ref="L224:N224"/>
    <mergeCell ref="L225:N225"/>
    <mergeCell ref="L226:N226"/>
    <mergeCell ref="L227:N227"/>
    <mergeCell ref="B221:D221"/>
    <mergeCell ref="B262:D262"/>
    <mergeCell ref="G262:I262"/>
    <mergeCell ref="L262:N262"/>
    <mergeCell ref="G208:I208"/>
    <mergeCell ref="G209:I209"/>
    <mergeCell ref="G210:I210"/>
    <mergeCell ref="G211:I211"/>
    <mergeCell ref="G212:I212"/>
    <mergeCell ref="G213:I213"/>
    <mergeCell ref="G214:I214"/>
    <mergeCell ref="G233:I233"/>
    <mergeCell ref="G232:I232"/>
    <mergeCell ref="G231:I231"/>
    <mergeCell ref="G230:I230"/>
    <mergeCell ref="G229:I229"/>
    <mergeCell ref="G228:I228"/>
    <mergeCell ref="G227:I227"/>
    <mergeCell ref="G226:I226"/>
    <mergeCell ref="G225:I225"/>
    <mergeCell ref="G224:I224"/>
    <mergeCell ref="G215:I215"/>
    <mergeCell ref="G217:I217"/>
    <mergeCell ref="G218:I218"/>
    <mergeCell ref="B230:D230"/>
    <mergeCell ref="G219:I219"/>
    <mergeCell ref="G220:I220"/>
    <mergeCell ref="G221:I221"/>
    <mergeCell ref="G222:I222"/>
    <mergeCell ref="G223:I223"/>
    <mergeCell ref="G49:I49"/>
    <mergeCell ref="G50:I50"/>
    <mergeCell ref="G51:I51"/>
    <mergeCell ref="G52:I52"/>
    <mergeCell ref="G53:I53"/>
    <mergeCell ref="G54:I54"/>
    <mergeCell ref="G55:I55"/>
    <mergeCell ref="G56:I56"/>
    <mergeCell ref="G58:I58"/>
    <mergeCell ref="G59:I59"/>
    <mergeCell ref="G60:I60"/>
    <mergeCell ref="G61:I61"/>
    <mergeCell ref="G62:I62"/>
    <mergeCell ref="G63:I63"/>
    <mergeCell ref="G64:I64"/>
    <mergeCell ref="G65:I65"/>
    <mergeCell ref="G66:I66"/>
    <mergeCell ref="G67:I67"/>
    <mergeCell ref="G68:I68"/>
    <mergeCell ref="G69:I69"/>
    <mergeCell ref="G70:I70"/>
    <mergeCell ref="G71:I71"/>
    <mergeCell ref="G72:I72"/>
    <mergeCell ref="G73:I73"/>
    <mergeCell ref="G74:I74"/>
    <mergeCell ref="G75:I75"/>
    <mergeCell ref="G76:I76"/>
    <mergeCell ref="G77:I77"/>
    <mergeCell ref="G78:I78"/>
    <mergeCell ref="G79:I79"/>
    <mergeCell ref="G80:I80"/>
    <mergeCell ref="G81:I81"/>
    <mergeCell ref="G82:I82"/>
    <mergeCell ref="G83:I83"/>
    <mergeCell ref="G84:I84"/>
    <mergeCell ref="G91:I91"/>
    <mergeCell ref="G86:I86"/>
    <mergeCell ref="G87:I87"/>
    <mergeCell ref="G88:I88"/>
    <mergeCell ref="G89:I89"/>
    <mergeCell ref="G90:I90"/>
    <mergeCell ref="G85:I85"/>
    <mergeCell ref="G92:I92"/>
    <mergeCell ref="G93:I93"/>
    <mergeCell ref="G94:I94"/>
    <mergeCell ref="G95:I95"/>
    <mergeCell ref="B95:D95"/>
    <mergeCell ref="B87:D87"/>
    <mergeCell ref="B40:D40"/>
    <mergeCell ref="B41:D41"/>
    <mergeCell ref="B42:D42"/>
    <mergeCell ref="B43:D43"/>
    <mergeCell ref="B44:D44"/>
    <mergeCell ref="B45:D45"/>
    <mergeCell ref="B46:D46"/>
    <mergeCell ref="B47:D47"/>
    <mergeCell ref="B88:D88"/>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73:D73"/>
    <mergeCell ref="B74:D74"/>
    <mergeCell ref="B85:D85"/>
    <mergeCell ref="B86:D86"/>
    <mergeCell ref="B89:D89"/>
    <mergeCell ref="B90:D90"/>
    <mergeCell ref="B91:D91"/>
    <mergeCell ref="B92:D92"/>
    <mergeCell ref="B93:D93"/>
    <mergeCell ref="B94:D94"/>
    <mergeCell ref="B75:D75"/>
    <mergeCell ref="B76:D76"/>
    <mergeCell ref="B77:D77"/>
    <mergeCell ref="B78:D78"/>
    <mergeCell ref="B79:D79"/>
    <mergeCell ref="B80:D80"/>
    <mergeCell ref="B81:D81"/>
    <mergeCell ref="B82:D82"/>
    <mergeCell ref="B83:D83"/>
    <mergeCell ref="L42:N42"/>
    <mergeCell ref="B101:D101"/>
    <mergeCell ref="B102:D102"/>
    <mergeCell ref="B103:D103"/>
    <mergeCell ref="L35:N35"/>
    <mergeCell ref="B104:D104"/>
    <mergeCell ref="B105:D105"/>
    <mergeCell ref="B106:D106"/>
    <mergeCell ref="B107:D107"/>
    <mergeCell ref="L96:N96"/>
    <mergeCell ref="L40:N40"/>
    <mergeCell ref="L41:N41"/>
    <mergeCell ref="L97:N97"/>
    <mergeCell ref="L98:N98"/>
    <mergeCell ref="L99:N99"/>
    <mergeCell ref="L100:N100"/>
    <mergeCell ref="L101:N101"/>
    <mergeCell ref="L102:N102"/>
    <mergeCell ref="L103:N103"/>
    <mergeCell ref="L104:N104"/>
    <mergeCell ref="L105:N105"/>
    <mergeCell ref="L106:N106"/>
    <mergeCell ref="L107:N107"/>
    <mergeCell ref="B84:D84"/>
    <mergeCell ref="L61:N61"/>
    <mergeCell ref="L62:N62"/>
    <mergeCell ref="B109:D109"/>
    <mergeCell ref="B110:D110"/>
    <mergeCell ref="B111:D111"/>
    <mergeCell ref="B112:D112"/>
    <mergeCell ref="L36:N36"/>
    <mergeCell ref="G96:I96"/>
    <mergeCell ref="G97:I97"/>
    <mergeCell ref="G98:I98"/>
    <mergeCell ref="G99:I99"/>
    <mergeCell ref="G100:I100"/>
    <mergeCell ref="G101:I101"/>
    <mergeCell ref="G102:I102"/>
    <mergeCell ref="G103:I103"/>
    <mergeCell ref="G104:I104"/>
    <mergeCell ref="G105:I105"/>
    <mergeCell ref="G106:I106"/>
    <mergeCell ref="G107:I107"/>
    <mergeCell ref="G108:I108"/>
    <mergeCell ref="G109:I109"/>
    <mergeCell ref="G110:I110"/>
    <mergeCell ref="G111:I111"/>
    <mergeCell ref="G112:I112"/>
    <mergeCell ref="L52:N52"/>
    <mergeCell ref="L53:N53"/>
    <mergeCell ref="L54:N54"/>
    <mergeCell ref="L55:N55"/>
    <mergeCell ref="L56:N56"/>
    <mergeCell ref="L57:N57"/>
    <mergeCell ref="L58:N58"/>
    <mergeCell ref="L59:N59"/>
    <mergeCell ref="L60:N60"/>
    <mergeCell ref="L43:N43"/>
    <mergeCell ref="L44:N44"/>
    <mergeCell ref="L45:N45"/>
    <mergeCell ref="L46:N46"/>
    <mergeCell ref="L47:N47"/>
    <mergeCell ref="L48:N48"/>
    <mergeCell ref="L49:N49"/>
    <mergeCell ref="L50:N50"/>
    <mergeCell ref="L51:N51"/>
    <mergeCell ref="L63:N63"/>
    <mergeCell ref="L64:N64"/>
    <mergeCell ref="L65:N65"/>
    <mergeCell ref="L66:N66"/>
    <mergeCell ref="L67:N67"/>
    <mergeCell ref="L68:N68"/>
    <mergeCell ref="L69:N69"/>
    <mergeCell ref="L70:N70"/>
    <mergeCell ref="L71:N71"/>
    <mergeCell ref="L72:N72"/>
    <mergeCell ref="L73:N73"/>
    <mergeCell ref="L74:N74"/>
    <mergeCell ref="L75:N75"/>
    <mergeCell ref="L76:N76"/>
    <mergeCell ref="L77:N77"/>
    <mergeCell ref="L78:N78"/>
    <mergeCell ref="L79:N79"/>
    <mergeCell ref="L80:N80"/>
    <mergeCell ref="L81:N81"/>
    <mergeCell ref="L82:N82"/>
    <mergeCell ref="L83:N83"/>
    <mergeCell ref="L84:N84"/>
    <mergeCell ref="L85:N85"/>
    <mergeCell ref="L86:N86"/>
    <mergeCell ref="L88:N88"/>
    <mergeCell ref="L89:N89"/>
    <mergeCell ref="L90:N90"/>
    <mergeCell ref="L87:N87"/>
    <mergeCell ref="L91:N91"/>
    <mergeCell ref="L92:N92"/>
    <mergeCell ref="L93:N93"/>
    <mergeCell ref="L94:N94"/>
    <mergeCell ref="B122:D122"/>
    <mergeCell ref="G122:I122"/>
    <mergeCell ref="L122:N122"/>
    <mergeCell ref="B263:D263"/>
    <mergeCell ref="B264:D264"/>
    <mergeCell ref="G115:I115"/>
    <mergeCell ref="L115:N115"/>
    <mergeCell ref="G116:I116"/>
    <mergeCell ref="L116:N116"/>
    <mergeCell ref="G113:I113"/>
    <mergeCell ref="L113:N113"/>
    <mergeCell ref="G114:I114"/>
    <mergeCell ref="L114:N114"/>
    <mergeCell ref="G119:I119"/>
    <mergeCell ref="L119:N119"/>
    <mergeCell ref="G120:I120"/>
    <mergeCell ref="L120:N120"/>
    <mergeCell ref="G117:I117"/>
    <mergeCell ref="L117:N117"/>
    <mergeCell ref="G118:I118"/>
    <mergeCell ref="B265:D265"/>
    <mergeCell ref="B266:D266"/>
    <mergeCell ref="G263:I263"/>
    <mergeCell ref="G264:I264"/>
    <mergeCell ref="G265:I265"/>
    <mergeCell ref="G266:I266"/>
    <mergeCell ref="L263:N263"/>
    <mergeCell ref="L264:N264"/>
    <mergeCell ref="L265:N265"/>
    <mergeCell ref="L266:N266"/>
    <mergeCell ref="G123:I123"/>
    <mergeCell ref="L123:N123"/>
    <mergeCell ref="G121:I121"/>
    <mergeCell ref="L121:N121"/>
    <mergeCell ref="G129:I129"/>
    <mergeCell ref="L129:N129"/>
    <mergeCell ref="G130:I130"/>
    <mergeCell ref="L130:N130"/>
    <mergeCell ref="G131:I131"/>
    <mergeCell ref="L131:N131"/>
    <mergeCell ref="G124:I124"/>
    <mergeCell ref="L124:N124"/>
    <mergeCell ref="G125:I125"/>
    <mergeCell ref="L125:N125"/>
    <mergeCell ref="G126:I126"/>
    <mergeCell ref="L126:N126"/>
    <mergeCell ref="G127:I127"/>
    <mergeCell ref="L127:N127"/>
    <mergeCell ref="G128:I128"/>
    <mergeCell ref="L128:N128"/>
    <mergeCell ref="G136:I136"/>
    <mergeCell ref="L136:N136"/>
    <mergeCell ref="G137:I137"/>
    <mergeCell ref="L137:N137"/>
    <mergeCell ref="G134:I134"/>
    <mergeCell ref="L134:N134"/>
    <mergeCell ref="G135:I135"/>
    <mergeCell ref="L135:N135"/>
    <mergeCell ref="G132:I132"/>
    <mergeCell ref="L132:N132"/>
    <mergeCell ref="G133:I133"/>
    <mergeCell ref="L133:N133"/>
    <mergeCell ref="G138:I138"/>
    <mergeCell ref="L138:N138"/>
    <mergeCell ref="G139:I139"/>
    <mergeCell ref="L139:N139"/>
    <mergeCell ref="G140:I140"/>
    <mergeCell ref="L140:N140"/>
    <mergeCell ref="G141:I141"/>
    <mergeCell ref="L141:N141"/>
    <mergeCell ref="G142:I142"/>
    <mergeCell ref="L142:N142"/>
    <mergeCell ref="G143:I143"/>
    <mergeCell ref="L143:N143"/>
    <mergeCell ref="G144:I144"/>
    <mergeCell ref="L144:N144"/>
    <mergeCell ref="G145:I145"/>
    <mergeCell ref="L145:N145"/>
    <mergeCell ref="G146:I146"/>
    <mergeCell ref="L146:N146"/>
    <mergeCell ref="G147:I147"/>
    <mergeCell ref="L147:N147"/>
    <mergeCell ref="G148:I148"/>
    <mergeCell ref="L148:N148"/>
    <mergeCell ref="G149:I149"/>
    <mergeCell ref="L149:N149"/>
    <mergeCell ref="G150:I150"/>
    <mergeCell ref="L150:N150"/>
    <mergeCell ref="G151:I151"/>
    <mergeCell ref="L151:N151"/>
    <mergeCell ref="G152:I152"/>
    <mergeCell ref="L152:N152"/>
    <mergeCell ref="G153:I153"/>
    <mergeCell ref="L153:N153"/>
    <mergeCell ref="G154:I154"/>
    <mergeCell ref="L154:N154"/>
    <mergeCell ref="G155:I155"/>
    <mergeCell ref="L155:N155"/>
    <mergeCell ref="G156:I156"/>
    <mergeCell ref="L156:N156"/>
    <mergeCell ref="G157:I157"/>
    <mergeCell ref="L157:N157"/>
    <mergeCell ref="G158:I158"/>
    <mergeCell ref="L158:N158"/>
    <mergeCell ref="G159:I159"/>
    <mergeCell ref="L159:N159"/>
    <mergeCell ref="G160:I160"/>
    <mergeCell ref="L160:N160"/>
    <mergeCell ref="G161:I161"/>
    <mergeCell ref="L161:N161"/>
    <mergeCell ref="G162:I162"/>
    <mergeCell ref="L162:N162"/>
    <mergeCell ref="G163:I163"/>
    <mergeCell ref="L163:N163"/>
    <mergeCell ref="G164:I164"/>
    <mergeCell ref="L164:N164"/>
    <mergeCell ref="G165:I165"/>
    <mergeCell ref="L165:N165"/>
    <mergeCell ref="G166:I166"/>
    <mergeCell ref="L166:N166"/>
    <mergeCell ref="G167:I167"/>
    <mergeCell ref="L167:N167"/>
    <mergeCell ref="G168:I168"/>
    <mergeCell ref="L168:N168"/>
    <mergeCell ref="G169:I169"/>
    <mergeCell ref="L169:N169"/>
    <mergeCell ref="G170:I170"/>
    <mergeCell ref="L170:N170"/>
    <mergeCell ref="G171:I171"/>
    <mergeCell ref="L171:N171"/>
    <mergeCell ref="G172:I172"/>
    <mergeCell ref="L172:N172"/>
    <mergeCell ref="G173:I173"/>
    <mergeCell ref="L173:N173"/>
    <mergeCell ref="G174:I174"/>
    <mergeCell ref="L174:N174"/>
    <mergeCell ref="G175:I175"/>
    <mergeCell ref="L175:N175"/>
    <mergeCell ref="G176:I176"/>
    <mergeCell ref="L176:N176"/>
    <mergeCell ref="G177:I177"/>
    <mergeCell ref="L177:N177"/>
    <mergeCell ref="G178:I178"/>
    <mergeCell ref="L178:N178"/>
    <mergeCell ref="G179:I179"/>
    <mergeCell ref="L179:N179"/>
    <mergeCell ref="G180:I180"/>
    <mergeCell ref="L180:N180"/>
    <mergeCell ref="G181:I181"/>
    <mergeCell ref="L181:N181"/>
    <mergeCell ref="G182:I182"/>
    <mergeCell ref="L182:N182"/>
    <mergeCell ref="L188:N188"/>
    <mergeCell ref="G189:I189"/>
    <mergeCell ref="L189:N189"/>
    <mergeCell ref="G190:I190"/>
    <mergeCell ref="L190:N190"/>
    <mergeCell ref="L196:N196"/>
    <mergeCell ref="G197:I197"/>
    <mergeCell ref="L197:N197"/>
    <mergeCell ref="G183:I183"/>
    <mergeCell ref="L183:N183"/>
    <mergeCell ref="G184:I184"/>
    <mergeCell ref="L184:N184"/>
    <mergeCell ref="G185:I185"/>
    <mergeCell ref="L185:N185"/>
    <mergeCell ref="L186:N186"/>
    <mergeCell ref="G187:I187"/>
    <mergeCell ref="L187:N187"/>
    <mergeCell ref="L198:N198"/>
    <mergeCell ref="G199:I199"/>
    <mergeCell ref="L199:N199"/>
    <mergeCell ref="G191:I191"/>
    <mergeCell ref="L191:N191"/>
    <mergeCell ref="G192:I192"/>
    <mergeCell ref="L192:N192"/>
    <mergeCell ref="G193:I193"/>
    <mergeCell ref="L193:N193"/>
    <mergeCell ref="G194:I194"/>
    <mergeCell ref="L194:N194"/>
    <mergeCell ref="G195:I195"/>
    <mergeCell ref="L195:N195"/>
    <mergeCell ref="L95:N95"/>
    <mergeCell ref="B113:D113"/>
    <mergeCell ref="B114:D114"/>
    <mergeCell ref="B115:D115"/>
    <mergeCell ref="B116:D116"/>
    <mergeCell ref="B117:D117"/>
    <mergeCell ref="B118:D118"/>
    <mergeCell ref="B119:D119"/>
    <mergeCell ref="B120:D120"/>
    <mergeCell ref="L109:N109"/>
    <mergeCell ref="L110:N110"/>
    <mergeCell ref="L111:N111"/>
    <mergeCell ref="L112:N112"/>
    <mergeCell ref="B108:D108"/>
    <mergeCell ref="L108:N108"/>
    <mergeCell ref="B100:D100"/>
    <mergeCell ref="B96:D96"/>
    <mergeCell ref="B97:D97"/>
    <mergeCell ref="B98:D98"/>
    <mergeCell ref="B99:D99"/>
    <mergeCell ref="L118:N118"/>
    <mergeCell ref="B121:D121"/>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B153:D153"/>
    <mergeCell ref="B154:D154"/>
    <mergeCell ref="B155:D155"/>
    <mergeCell ref="B156:D156"/>
    <mergeCell ref="B157:D157"/>
    <mergeCell ref="B158:D158"/>
    <mergeCell ref="B159:D159"/>
    <mergeCell ref="B160:D160"/>
    <mergeCell ref="B161:D161"/>
    <mergeCell ref="B162:D162"/>
    <mergeCell ref="B163:D163"/>
    <mergeCell ref="B164:D164"/>
    <mergeCell ref="B165:D165"/>
    <mergeCell ref="B166:D166"/>
    <mergeCell ref="B167:D167"/>
    <mergeCell ref="B168:D168"/>
    <mergeCell ref="B169:D169"/>
    <mergeCell ref="B170:D170"/>
    <mergeCell ref="B171:D171"/>
    <mergeCell ref="B172:D172"/>
    <mergeCell ref="B173:D173"/>
    <mergeCell ref="B174:D174"/>
    <mergeCell ref="B175:D175"/>
    <mergeCell ref="B176:D176"/>
    <mergeCell ref="B177:D177"/>
    <mergeCell ref="B178:D178"/>
    <mergeCell ref="B179:D179"/>
    <mergeCell ref="B180:D180"/>
    <mergeCell ref="B181:D181"/>
    <mergeCell ref="B182:D182"/>
    <mergeCell ref="B183:D183"/>
    <mergeCell ref="B184:D184"/>
    <mergeCell ref="B194:D194"/>
    <mergeCell ref="B195:D195"/>
    <mergeCell ref="B196:D196"/>
    <mergeCell ref="B197:D197"/>
    <mergeCell ref="B198:D198"/>
    <mergeCell ref="B199:D199"/>
    <mergeCell ref="G216:I216"/>
    <mergeCell ref="B185:D185"/>
    <mergeCell ref="B186:D186"/>
    <mergeCell ref="B187:D187"/>
    <mergeCell ref="B188:D188"/>
    <mergeCell ref="B189:D189"/>
    <mergeCell ref="B190:D190"/>
    <mergeCell ref="B191:D191"/>
    <mergeCell ref="B192:D192"/>
    <mergeCell ref="B193:D193"/>
    <mergeCell ref="G196:I196"/>
    <mergeCell ref="G186:I186"/>
    <mergeCell ref="G198:I198"/>
    <mergeCell ref="G188:I188"/>
  </mergeCells>
  <pageMargins left="0.7" right="0.7" top="0.75" bottom="0.75" header="0" footer="0"/>
  <pageSetup orientation="landscape"/>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989"/>
  <sheetViews>
    <sheetView topLeftCell="A245" zoomScale="189" workbookViewId="0">
      <selection activeCell="B260" sqref="B260:F260"/>
    </sheetView>
  </sheetViews>
  <sheetFormatPr defaultColWidth="14.42578125" defaultRowHeight="15" customHeight="1"/>
  <cols>
    <col min="1" max="1" width="26.28515625" bestFit="1" customWidth="1"/>
    <col min="2" max="11" width="8.7109375" customWidth="1"/>
    <col min="12" max="12" width="17.42578125" bestFit="1" customWidth="1"/>
    <col min="13" max="16" width="8.7109375" customWidth="1"/>
    <col min="17" max="17" width="21.42578125" bestFit="1" customWidth="1"/>
    <col min="18" max="31" width="8.7109375" customWidth="1"/>
  </cols>
  <sheetData>
    <row r="1" spans="1:31">
      <c r="A1" s="170" t="s">
        <v>16</v>
      </c>
      <c r="B1" s="181"/>
      <c r="C1" s="181"/>
      <c r="D1" s="181"/>
      <c r="E1" s="181"/>
      <c r="F1" s="181"/>
      <c r="G1" s="181"/>
      <c r="H1" s="181"/>
      <c r="I1" s="181"/>
      <c r="J1" s="181"/>
      <c r="K1" s="181"/>
      <c r="L1" s="181"/>
      <c r="M1" s="181"/>
      <c r="N1" s="181"/>
      <c r="O1" s="181"/>
      <c r="P1" s="181"/>
      <c r="Q1" s="181"/>
      <c r="R1" s="1"/>
      <c r="S1" s="1"/>
      <c r="T1" s="1"/>
      <c r="U1" s="1"/>
      <c r="V1" s="1"/>
      <c r="W1" s="1"/>
      <c r="X1" s="1"/>
      <c r="Y1" s="1"/>
      <c r="Z1" s="1"/>
      <c r="AA1" s="1"/>
      <c r="AB1" s="1"/>
      <c r="AC1" s="1"/>
      <c r="AD1" s="1"/>
      <c r="AE1" s="1"/>
    </row>
    <row r="2" spans="1:31">
      <c r="A2" s="183"/>
      <c r="B2" s="184"/>
      <c r="C2" s="184"/>
      <c r="D2" s="184"/>
      <c r="E2" s="184"/>
      <c r="F2" s="184"/>
      <c r="G2" s="184"/>
      <c r="H2" s="184"/>
      <c r="I2" s="184"/>
      <c r="J2" s="184"/>
      <c r="K2" s="184"/>
      <c r="L2" s="184"/>
      <c r="M2" s="184"/>
      <c r="N2" s="184"/>
      <c r="O2" s="184"/>
      <c r="P2" s="184"/>
      <c r="Q2" s="184"/>
      <c r="R2" s="1"/>
      <c r="S2" s="1"/>
      <c r="T2" s="1"/>
      <c r="U2" s="1"/>
      <c r="V2" s="1"/>
      <c r="W2" s="1"/>
      <c r="X2" s="1"/>
      <c r="Y2" s="1"/>
      <c r="Z2" s="1"/>
      <c r="AA2" s="1"/>
      <c r="AB2" s="1"/>
      <c r="AC2" s="1"/>
      <c r="AD2" s="1"/>
      <c r="AE2" s="1"/>
    </row>
    <row r="3" spans="1:31">
      <c r="A3" s="171" t="s">
        <v>17</v>
      </c>
      <c r="B3" s="181"/>
      <c r="C3" s="172" t="s">
        <v>4</v>
      </c>
      <c r="D3" s="182"/>
      <c r="E3" s="182"/>
      <c r="F3" s="182"/>
      <c r="G3" s="182"/>
      <c r="H3" s="182"/>
      <c r="I3" s="182"/>
      <c r="J3" s="182"/>
      <c r="K3" s="182"/>
      <c r="L3" s="182"/>
      <c r="M3" s="185"/>
      <c r="N3" s="56"/>
      <c r="O3" s="56"/>
      <c r="P3" s="56"/>
      <c r="Q3" s="56"/>
      <c r="R3" s="1"/>
      <c r="S3" s="1"/>
      <c r="T3" s="1"/>
      <c r="U3" s="1"/>
      <c r="V3" s="1"/>
      <c r="W3" s="1"/>
      <c r="X3" s="1"/>
      <c r="Y3" s="1"/>
      <c r="Z3" s="1"/>
      <c r="AA3" s="1"/>
      <c r="AB3" s="1"/>
      <c r="AC3" s="1"/>
      <c r="AD3" s="1"/>
      <c r="AE3" s="1"/>
    </row>
    <row r="4" spans="1:31">
      <c r="A4" s="171" t="s">
        <v>19</v>
      </c>
      <c r="B4" s="186"/>
      <c r="C4" s="172" t="s">
        <v>140</v>
      </c>
      <c r="D4" s="182"/>
      <c r="E4" s="182"/>
      <c r="F4" s="182"/>
      <c r="G4" s="182"/>
      <c r="H4" s="182"/>
      <c r="I4" s="182"/>
      <c r="J4" s="182"/>
      <c r="K4" s="182"/>
      <c r="L4" s="182"/>
      <c r="M4" s="185"/>
      <c r="N4" s="56"/>
      <c r="O4" s="56"/>
      <c r="P4" s="56"/>
      <c r="Q4" s="56"/>
      <c r="R4" s="1"/>
      <c r="S4" s="1"/>
      <c r="T4" s="1"/>
      <c r="U4" s="1"/>
      <c r="V4" s="1"/>
      <c r="W4" s="1"/>
      <c r="X4" s="1"/>
      <c r="Y4" s="1"/>
      <c r="Z4" s="1"/>
      <c r="AA4" s="1"/>
      <c r="AB4" s="1"/>
      <c r="AC4" s="1"/>
      <c r="AD4" s="1"/>
      <c r="AE4" s="1"/>
    </row>
    <row r="5" spans="1:31">
      <c r="A5" s="171" t="s">
        <v>21</v>
      </c>
      <c r="B5" s="181"/>
      <c r="C5" s="173"/>
      <c r="D5" s="181"/>
      <c r="E5" s="181"/>
      <c r="F5" s="181"/>
      <c r="G5" s="181"/>
      <c r="H5" s="181"/>
      <c r="I5" s="181"/>
      <c r="J5" s="181"/>
      <c r="K5" s="181"/>
      <c r="L5" s="181"/>
      <c r="M5" s="181"/>
      <c r="N5" s="56"/>
      <c r="O5" s="56"/>
      <c r="P5" s="56"/>
      <c r="Q5" s="56"/>
      <c r="R5" s="1"/>
      <c r="S5" s="1"/>
      <c r="T5" s="1"/>
      <c r="U5" s="1"/>
      <c r="V5" s="1"/>
      <c r="W5" s="1"/>
      <c r="X5" s="1"/>
      <c r="Y5" s="1"/>
      <c r="Z5" s="1"/>
      <c r="AA5" s="1"/>
      <c r="AB5" s="1"/>
      <c r="AC5" s="1"/>
      <c r="AD5" s="1"/>
      <c r="AE5" s="1"/>
    </row>
    <row r="6" spans="1:31">
      <c r="A6" s="67"/>
      <c r="B6" s="56"/>
      <c r="C6" s="56"/>
      <c r="D6" s="56"/>
      <c r="E6" s="56"/>
      <c r="F6" s="56"/>
      <c r="G6" s="56"/>
      <c r="H6" s="56"/>
      <c r="I6" s="56"/>
      <c r="J6" s="56"/>
      <c r="K6" s="56"/>
      <c r="L6" s="56"/>
      <c r="M6" s="56"/>
      <c r="N6" s="56"/>
      <c r="O6" s="56"/>
      <c r="P6" s="56"/>
      <c r="Q6" s="56"/>
      <c r="R6" s="1"/>
      <c r="S6" s="1"/>
      <c r="T6" s="1"/>
      <c r="U6" s="1"/>
      <c r="V6" s="1"/>
      <c r="W6" s="1"/>
      <c r="X6" s="1"/>
      <c r="Y6" s="1"/>
      <c r="Z6" s="1"/>
      <c r="AA6" s="1"/>
      <c r="AB6" s="1"/>
      <c r="AC6" s="1"/>
      <c r="AD6" s="1"/>
      <c r="AE6" s="1"/>
    </row>
    <row r="7" spans="1:31" ht="14.45" customHeight="1">
      <c r="A7" s="171" t="s">
        <v>22</v>
      </c>
      <c r="B7" s="181"/>
      <c r="C7" s="56"/>
      <c r="D7" s="173" t="s">
        <v>23</v>
      </c>
      <c r="E7" s="181"/>
      <c r="F7" s="56"/>
      <c r="G7" s="56"/>
      <c r="H7" s="56"/>
      <c r="I7" s="56"/>
      <c r="J7" s="56"/>
      <c r="K7" s="56"/>
      <c r="L7" s="56"/>
      <c r="M7" s="173" t="s">
        <v>24</v>
      </c>
      <c r="N7" s="181"/>
      <c r="O7" s="153" t="s">
        <v>25</v>
      </c>
      <c r="P7" s="138"/>
      <c r="Q7" s="56"/>
      <c r="R7" s="1"/>
      <c r="S7" s="1"/>
      <c r="T7" s="1"/>
      <c r="U7" s="1"/>
      <c r="V7" s="1"/>
      <c r="W7" s="1"/>
      <c r="X7" s="1"/>
      <c r="Y7" s="1"/>
      <c r="Z7" s="1"/>
      <c r="AA7" s="1"/>
      <c r="AB7" s="1"/>
      <c r="AC7" s="1"/>
      <c r="AD7" s="1"/>
      <c r="AE7" s="1"/>
    </row>
    <row r="8" spans="1:31">
      <c r="A8" s="67"/>
      <c r="B8" s="56"/>
      <c r="C8" s="56"/>
      <c r="D8" s="56"/>
      <c r="E8" s="56"/>
      <c r="F8" s="56"/>
      <c r="G8" s="56"/>
      <c r="H8" s="56"/>
      <c r="I8" s="56"/>
      <c r="J8" s="56"/>
      <c r="K8" s="56"/>
      <c r="L8" s="56"/>
      <c r="M8" s="173" t="s">
        <v>26</v>
      </c>
      <c r="N8" s="181"/>
      <c r="O8" s="153" t="s">
        <v>27</v>
      </c>
      <c r="P8" s="138"/>
      <c r="Q8" s="56"/>
      <c r="R8" s="1"/>
      <c r="S8" s="1"/>
      <c r="T8" s="1"/>
      <c r="U8" s="1"/>
      <c r="V8" s="1"/>
      <c r="W8" s="1"/>
      <c r="X8" s="1"/>
      <c r="Y8" s="1"/>
      <c r="Z8" s="1"/>
      <c r="AA8" s="1"/>
      <c r="AB8" s="1"/>
      <c r="AC8" s="1"/>
      <c r="AD8" s="1"/>
      <c r="AE8" s="1"/>
    </row>
    <row r="9" spans="1:31">
      <c r="A9" s="68"/>
      <c r="B9" s="56"/>
      <c r="C9" s="56"/>
      <c r="D9" s="56"/>
      <c r="E9" s="56"/>
      <c r="F9" s="56"/>
      <c r="G9" s="56"/>
      <c r="H9" s="56"/>
      <c r="I9" s="56"/>
      <c r="J9" s="56"/>
      <c r="K9" s="56"/>
      <c r="L9" s="69"/>
      <c r="M9" s="69"/>
      <c r="N9" s="69"/>
      <c r="O9" s="69"/>
      <c r="P9" s="69"/>
      <c r="Q9" s="69"/>
      <c r="R9" s="1"/>
      <c r="S9" s="1"/>
      <c r="T9" s="1"/>
      <c r="U9" s="1"/>
      <c r="V9" s="1"/>
      <c r="W9" s="1"/>
      <c r="X9" s="1"/>
      <c r="Y9" s="1"/>
      <c r="Z9" s="1"/>
      <c r="AA9" s="1"/>
      <c r="AB9" s="1"/>
      <c r="AC9" s="1"/>
      <c r="AD9" s="1"/>
      <c r="AE9" s="1"/>
    </row>
    <row r="10" spans="1:31" ht="14.25" customHeight="1">
      <c r="A10" s="154" t="s">
        <v>28</v>
      </c>
      <c r="B10" s="174" t="s">
        <v>29</v>
      </c>
      <c r="C10" s="175"/>
      <c r="D10" s="175"/>
      <c r="E10" s="175"/>
      <c r="F10" s="176"/>
      <c r="G10" s="177" t="s">
        <v>30</v>
      </c>
      <c r="H10" s="152"/>
      <c r="I10" s="152"/>
      <c r="J10" s="152"/>
      <c r="K10" s="152"/>
      <c r="L10" s="178"/>
      <c r="R10" s="1"/>
      <c r="S10" s="1"/>
      <c r="T10" s="1"/>
      <c r="U10" s="1"/>
      <c r="V10" s="1"/>
      <c r="W10" s="1"/>
      <c r="X10" s="1"/>
      <c r="Y10" s="1"/>
      <c r="Z10" s="1"/>
      <c r="AA10" s="1"/>
      <c r="AB10" s="1"/>
      <c r="AC10" s="1"/>
      <c r="AD10" s="1"/>
      <c r="AE10" s="1"/>
    </row>
    <row r="11" spans="1:31" ht="14.25" customHeight="1">
      <c r="A11" s="187"/>
      <c r="B11" s="161" t="s">
        <v>148</v>
      </c>
      <c r="C11" s="181"/>
      <c r="D11" s="186"/>
      <c r="E11" s="163" t="s">
        <v>32</v>
      </c>
      <c r="F11" s="188"/>
      <c r="G11" s="154" t="s">
        <v>149</v>
      </c>
      <c r="H11" s="189"/>
      <c r="I11" s="190"/>
      <c r="J11" s="139" t="s">
        <v>32</v>
      </c>
      <c r="K11" s="185"/>
      <c r="L11" s="2" t="s">
        <v>35</v>
      </c>
      <c r="M11" s="1"/>
      <c r="N11" s="1"/>
      <c r="O11" s="1"/>
      <c r="P11" s="1"/>
      <c r="Q11" s="1"/>
      <c r="R11" s="1"/>
      <c r="S11" s="1"/>
      <c r="T11" s="1"/>
      <c r="U11" s="1"/>
      <c r="V11" s="1"/>
      <c r="W11" s="1"/>
      <c r="X11" s="1"/>
      <c r="Y11" s="1"/>
      <c r="Z11" s="1"/>
    </row>
    <row r="12" spans="1:31" ht="14.25" customHeight="1">
      <c r="A12" s="191"/>
      <c r="B12" s="192"/>
      <c r="C12" s="193"/>
      <c r="D12" s="188"/>
      <c r="E12" s="3" t="s">
        <v>36</v>
      </c>
      <c r="F12" s="4" t="s">
        <v>37</v>
      </c>
      <c r="G12" s="192"/>
      <c r="H12" s="193"/>
      <c r="I12" s="188"/>
      <c r="J12" s="4" t="s">
        <v>36</v>
      </c>
      <c r="K12" s="5" t="s">
        <v>37</v>
      </c>
      <c r="L12" s="6" t="s">
        <v>38</v>
      </c>
      <c r="M12" s="1"/>
      <c r="N12" s="1"/>
      <c r="O12" s="1"/>
      <c r="P12" s="1"/>
      <c r="Q12" s="1"/>
      <c r="R12" s="1"/>
      <c r="S12" s="1"/>
      <c r="T12" s="1"/>
      <c r="U12" s="1"/>
      <c r="V12" s="1"/>
      <c r="W12" s="1"/>
      <c r="X12" s="1"/>
      <c r="Y12" s="1"/>
      <c r="Z12" s="1"/>
    </row>
    <row r="13" spans="1:31" ht="40.5" customHeight="1">
      <c r="A13" s="7">
        <v>1</v>
      </c>
      <c r="B13" s="115" t="s">
        <v>40</v>
      </c>
      <c r="C13" s="111"/>
      <c r="D13" s="111"/>
      <c r="E13" s="77">
        <v>13.4</v>
      </c>
      <c r="F13" s="31"/>
      <c r="G13" s="115" t="s">
        <v>41</v>
      </c>
      <c r="H13" s="116"/>
      <c r="I13" s="117"/>
      <c r="J13" s="32">
        <f t="shared" ref="J13:J19" si="0">E13</f>
        <v>13.4</v>
      </c>
      <c r="K13" s="31"/>
      <c r="L13" s="40" t="s">
        <v>42</v>
      </c>
      <c r="M13" s="95">
        <f>SUM(J13:J41)</f>
        <v>85.409999999999982</v>
      </c>
      <c r="N13" s="1"/>
      <c r="O13" s="1"/>
      <c r="P13" s="1"/>
      <c r="Q13" s="1"/>
      <c r="R13" s="1"/>
      <c r="S13" s="1"/>
      <c r="T13" s="1"/>
      <c r="U13" s="1"/>
      <c r="V13" s="1"/>
      <c r="W13" s="1"/>
      <c r="X13" s="1"/>
      <c r="Y13" s="1"/>
      <c r="Z13" s="1"/>
    </row>
    <row r="14" spans="1:31" ht="40.5" customHeight="1">
      <c r="A14" s="7">
        <v>2</v>
      </c>
      <c r="B14" s="115" t="s">
        <v>40</v>
      </c>
      <c r="C14" s="111"/>
      <c r="D14" s="111"/>
      <c r="E14" s="32">
        <v>0.6</v>
      </c>
      <c r="F14" s="31"/>
      <c r="G14" s="115" t="s">
        <v>41</v>
      </c>
      <c r="H14" s="116"/>
      <c r="I14" s="117"/>
      <c r="J14" s="32">
        <f t="shared" si="0"/>
        <v>0.6</v>
      </c>
      <c r="K14" s="31"/>
      <c r="L14" s="40" t="s">
        <v>42</v>
      </c>
      <c r="M14" s="1"/>
      <c r="N14" s="1"/>
      <c r="O14" s="1"/>
      <c r="P14" s="1"/>
      <c r="Q14" s="1"/>
      <c r="R14" s="1"/>
      <c r="S14" s="1"/>
      <c r="T14" s="1"/>
      <c r="U14" s="1"/>
      <c r="V14" s="1"/>
      <c r="W14" s="1"/>
      <c r="X14" s="1"/>
      <c r="Y14" s="1"/>
      <c r="Z14" s="1"/>
    </row>
    <row r="15" spans="1:31" ht="40.5" customHeight="1">
      <c r="A15" s="7">
        <v>3</v>
      </c>
      <c r="B15" s="115" t="s">
        <v>40</v>
      </c>
      <c r="C15" s="111"/>
      <c r="D15" s="111"/>
      <c r="E15" s="32">
        <v>2.5</v>
      </c>
      <c r="F15" s="31"/>
      <c r="G15" s="115" t="s">
        <v>41</v>
      </c>
      <c r="H15" s="116"/>
      <c r="I15" s="117"/>
      <c r="J15" s="32">
        <f t="shared" si="0"/>
        <v>2.5</v>
      </c>
      <c r="K15" s="31"/>
      <c r="L15" s="40" t="s">
        <v>42</v>
      </c>
      <c r="M15" s="1"/>
      <c r="N15" s="1"/>
      <c r="O15" s="1"/>
      <c r="P15" s="1"/>
      <c r="Q15" s="1"/>
      <c r="R15" s="1"/>
      <c r="S15" s="1"/>
      <c r="T15" s="1"/>
      <c r="U15" s="1"/>
      <c r="V15" s="1"/>
      <c r="W15" s="1"/>
      <c r="X15" s="1"/>
      <c r="Y15" s="1"/>
      <c r="Z15" s="1"/>
    </row>
    <row r="16" spans="1:31" ht="40.5" customHeight="1">
      <c r="A16" s="7">
        <v>4</v>
      </c>
      <c r="B16" s="115" t="s">
        <v>40</v>
      </c>
      <c r="C16" s="111"/>
      <c r="D16" s="111"/>
      <c r="E16" s="33">
        <v>0.6</v>
      </c>
      <c r="F16" s="31"/>
      <c r="G16" s="115" t="s">
        <v>41</v>
      </c>
      <c r="H16" s="116"/>
      <c r="I16" s="117"/>
      <c r="J16" s="32">
        <f t="shared" si="0"/>
        <v>0.6</v>
      </c>
      <c r="K16" s="31"/>
      <c r="L16" s="40" t="s">
        <v>42</v>
      </c>
      <c r="M16" s="1"/>
      <c r="N16" s="1"/>
      <c r="O16" s="1"/>
      <c r="P16" s="1"/>
      <c r="Q16" s="1"/>
      <c r="R16" s="1"/>
      <c r="S16" s="1"/>
      <c r="T16" s="1"/>
      <c r="U16" s="1"/>
      <c r="V16" s="1"/>
      <c r="W16" s="1"/>
      <c r="X16" s="1"/>
      <c r="Y16" s="1"/>
      <c r="Z16" s="1"/>
    </row>
    <row r="17" spans="1:26" ht="40.5" customHeight="1">
      <c r="A17" s="7">
        <v>5</v>
      </c>
      <c r="B17" s="115" t="s">
        <v>45</v>
      </c>
      <c r="C17" s="111"/>
      <c r="D17" s="111"/>
      <c r="E17" s="32">
        <v>0.7</v>
      </c>
      <c r="F17" s="30"/>
      <c r="G17" s="115" t="s">
        <v>41</v>
      </c>
      <c r="H17" s="116"/>
      <c r="I17" s="117"/>
      <c r="J17" s="32">
        <f t="shared" si="0"/>
        <v>0.7</v>
      </c>
      <c r="K17" s="31"/>
      <c r="L17" s="40" t="s">
        <v>42</v>
      </c>
      <c r="M17" s="1"/>
      <c r="N17" s="1"/>
      <c r="O17" s="1"/>
      <c r="P17" s="1"/>
      <c r="Q17" s="1"/>
      <c r="R17" s="1"/>
      <c r="S17" s="1"/>
      <c r="T17" s="1"/>
      <c r="U17" s="1"/>
      <c r="V17" s="1"/>
      <c r="W17" s="1"/>
      <c r="X17" s="1"/>
      <c r="Y17" s="1"/>
      <c r="Z17" s="1"/>
    </row>
    <row r="18" spans="1:26" ht="40.5" customHeight="1">
      <c r="A18" s="7">
        <v>6</v>
      </c>
      <c r="B18" s="115" t="s">
        <v>51</v>
      </c>
      <c r="C18" s="111"/>
      <c r="D18" s="111"/>
      <c r="E18" s="32">
        <v>0.2</v>
      </c>
      <c r="F18" s="30"/>
      <c r="G18" s="115" t="s">
        <v>41</v>
      </c>
      <c r="H18" s="116"/>
      <c r="I18" s="117"/>
      <c r="J18" s="32">
        <f t="shared" si="0"/>
        <v>0.2</v>
      </c>
      <c r="K18" s="31"/>
      <c r="L18" s="40" t="s">
        <v>42</v>
      </c>
      <c r="M18" s="1"/>
      <c r="N18" s="1"/>
      <c r="O18" s="1"/>
      <c r="P18" s="1"/>
      <c r="Q18" s="1"/>
      <c r="R18" s="1"/>
      <c r="S18" s="1"/>
      <c r="T18" s="1"/>
      <c r="U18" s="1"/>
      <c r="V18" s="1"/>
      <c r="W18" s="1"/>
      <c r="X18" s="1"/>
      <c r="Y18" s="1"/>
      <c r="Z18" s="1"/>
    </row>
    <row r="19" spans="1:26" ht="40.5" customHeight="1">
      <c r="A19" s="7">
        <v>7</v>
      </c>
      <c r="B19" s="115" t="s">
        <v>53</v>
      </c>
      <c r="C19" s="111"/>
      <c r="D19" s="111"/>
      <c r="E19" s="32">
        <v>0.7</v>
      </c>
      <c r="F19" s="30"/>
      <c r="G19" s="115" t="s">
        <v>41</v>
      </c>
      <c r="H19" s="116"/>
      <c r="I19" s="117"/>
      <c r="J19" s="32">
        <f t="shared" si="0"/>
        <v>0.7</v>
      </c>
      <c r="K19" s="31"/>
      <c r="L19" s="40" t="s">
        <v>42</v>
      </c>
      <c r="M19" s="1"/>
      <c r="N19" s="1"/>
      <c r="O19" s="1"/>
      <c r="P19" s="1"/>
      <c r="Q19" s="1"/>
      <c r="R19" s="1"/>
      <c r="S19" s="1"/>
      <c r="T19" s="1"/>
      <c r="U19" s="1"/>
      <c r="V19" s="1"/>
      <c r="W19" s="1"/>
      <c r="X19" s="1"/>
      <c r="Y19" s="1"/>
      <c r="Z19" s="1"/>
    </row>
    <row r="20" spans="1:26" ht="40.5" customHeight="1">
      <c r="A20" s="7">
        <v>8</v>
      </c>
      <c r="B20" s="115" t="s">
        <v>54</v>
      </c>
      <c r="C20" s="111"/>
      <c r="D20" s="111"/>
      <c r="E20" s="37">
        <v>6.27</v>
      </c>
      <c r="F20" s="30"/>
      <c r="G20" s="115" t="s">
        <v>41</v>
      </c>
      <c r="H20" s="116"/>
      <c r="I20" s="117"/>
      <c r="J20" s="37">
        <v>6.27</v>
      </c>
      <c r="K20" s="31"/>
      <c r="L20" s="40" t="s">
        <v>42</v>
      </c>
      <c r="M20" s="1"/>
      <c r="N20" s="1"/>
      <c r="O20" s="1"/>
      <c r="P20" s="1"/>
      <c r="Q20" s="1"/>
      <c r="R20" s="1"/>
      <c r="S20" s="1"/>
      <c r="T20" s="1"/>
      <c r="U20" s="1"/>
      <c r="V20" s="1"/>
      <c r="W20" s="1"/>
      <c r="X20" s="1"/>
      <c r="Y20" s="1"/>
      <c r="Z20" s="1"/>
    </row>
    <row r="21" spans="1:26" ht="40.5" customHeight="1">
      <c r="A21" s="7"/>
      <c r="B21" s="115" t="s">
        <v>56</v>
      </c>
      <c r="C21" s="111"/>
      <c r="D21" s="111"/>
      <c r="E21" s="37">
        <v>4.22</v>
      </c>
      <c r="F21" s="30"/>
      <c r="G21" s="115" t="s">
        <v>41</v>
      </c>
      <c r="H21" s="116"/>
      <c r="I21" s="117"/>
      <c r="J21" s="37">
        <v>4.22</v>
      </c>
      <c r="K21" s="31"/>
      <c r="L21" s="40" t="s">
        <v>42</v>
      </c>
      <c r="M21" s="1"/>
      <c r="N21" s="1"/>
      <c r="O21" s="1"/>
      <c r="P21" s="1"/>
      <c r="Q21" s="1"/>
      <c r="R21" s="1"/>
      <c r="S21" s="1"/>
      <c r="T21" s="1"/>
      <c r="U21" s="1"/>
      <c r="V21" s="1"/>
      <c r="W21" s="1"/>
      <c r="X21" s="1"/>
      <c r="Y21" s="1"/>
      <c r="Z21" s="1"/>
    </row>
    <row r="22" spans="1:26" ht="40.5" customHeight="1">
      <c r="A22" s="7"/>
      <c r="B22" s="115" t="s">
        <v>57</v>
      </c>
      <c r="C22" s="111"/>
      <c r="D22" s="111"/>
      <c r="E22" s="37">
        <v>4.18</v>
      </c>
      <c r="F22" s="30"/>
      <c r="G22" s="115" t="s">
        <v>41</v>
      </c>
      <c r="H22" s="116"/>
      <c r="I22" s="117"/>
      <c r="J22" s="37">
        <v>4.18</v>
      </c>
      <c r="K22" s="31"/>
      <c r="L22" s="40" t="s">
        <v>42</v>
      </c>
      <c r="M22" s="1"/>
      <c r="N22" s="1"/>
      <c r="O22" s="1"/>
      <c r="P22" s="1"/>
      <c r="Q22" s="1"/>
      <c r="R22" s="1"/>
      <c r="S22" s="1"/>
      <c r="T22" s="1"/>
      <c r="U22" s="1"/>
      <c r="V22" s="1"/>
      <c r="W22" s="1"/>
      <c r="X22" s="1"/>
      <c r="Y22" s="1"/>
      <c r="Z22" s="1"/>
    </row>
    <row r="23" spans="1:26" ht="40.5" customHeight="1">
      <c r="A23" s="7"/>
      <c r="B23" s="116" t="s">
        <v>59</v>
      </c>
      <c r="C23" s="116"/>
      <c r="D23" s="117"/>
      <c r="E23" s="37">
        <v>1.03</v>
      </c>
      <c r="F23" s="30"/>
      <c r="G23" s="115" t="s">
        <v>41</v>
      </c>
      <c r="H23" s="116"/>
      <c r="I23" s="117"/>
      <c r="J23" s="37">
        <v>1.03</v>
      </c>
      <c r="K23" s="31"/>
      <c r="L23" s="40" t="s">
        <v>42</v>
      </c>
      <c r="M23" s="1"/>
      <c r="N23" s="1"/>
      <c r="O23" s="1"/>
      <c r="P23" s="1"/>
      <c r="Q23" s="1"/>
      <c r="R23" s="1"/>
      <c r="S23" s="1"/>
      <c r="T23" s="1"/>
      <c r="U23" s="1"/>
      <c r="V23" s="1"/>
      <c r="W23" s="1"/>
      <c r="X23" s="1"/>
      <c r="Y23" s="1"/>
      <c r="Z23" s="1"/>
    </row>
    <row r="24" spans="1:26" ht="15.75" customHeight="1">
      <c r="A24" s="7"/>
      <c r="B24" s="131" t="s">
        <v>60</v>
      </c>
      <c r="C24" s="119"/>
      <c r="D24" s="120"/>
      <c r="E24" s="37">
        <v>0.11</v>
      </c>
      <c r="F24" s="30"/>
      <c r="G24" s="115" t="s">
        <v>41</v>
      </c>
      <c r="H24" s="116"/>
      <c r="I24" s="117"/>
      <c r="J24" s="37">
        <v>0.11</v>
      </c>
      <c r="K24" s="31"/>
      <c r="L24" s="40" t="s">
        <v>42</v>
      </c>
      <c r="M24" s="1"/>
      <c r="N24" s="1"/>
      <c r="O24" s="1"/>
      <c r="P24" s="1"/>
      <c r="Q24" s="1"/>
      <c r="R24" s="1"/>
      <c r="S24" s="1"/>
      <c r="T24" s="1"/>
      <c r="U24" s="1"/>
      <c r="V24" s="1"/>
      <c r="W24" s="1"/>
      <c r="X24" s="1"/>
      <c r="Y24" s="1"/>
      <c r="Z24" s="1"/>
    </row>
    <row r="25" spans="1:26" ht="15.75" customHeight="1">
      <c r="A25" s="7"/>
      <c r="B25" s="130" t="s">
        <v>62</v>
      </c>
      <c r="C25" s="116"/>
      <c r="D25" s="117"/>
      <c r="E25" s="37">
        <v>1.0900000000000001</v>
      </c>
      <c r="F25" s="30"/>
      <c r="G25" s="115" t="s">
        <v>41</v>
      </c>
      <c r="H25" s="116"/>
      <c r="I25" s="117"/>
      <c r="J25" s="37">
        <v>1.0900000000000001</v>
      </c>
      <c r="K25" s="31"/>
      <c r="L25" s="40" t="s">
        <v>42</v>
      </c>
      <c r="M25" s="1"/>
      <c r="N25" s="1"/>
      <c r="O25" s="1"/>
      <c r="P25" s="1"/>
      <c r="Q25" s="1"/>
      <c r="R25" s="1"/>
      <c r="S25" s="1"/>
      <c r="T25" s="1"/>
      <c r="U25" s="1"/>
      <c r="V25" s="1"/>
      <c r="W25" s="1"/>
      <c r="X25" s="1"/>
      <c r="Y25" s="1"/>
      <c r="Z25" s="1"/>
    </row>
    <row r="26" spans="1:26" ht="15.75" customHeight="1">
      <c r="A26" s="7"/>
      <c r="B26" s="130" t="s">
        <v>54</v>
      </c>
      <c r="C26" s="116"/>
      <c r="D26" s="117"/>
      <c r="E26" s="37">
        <v>3.13</v>
      </c>
      <c r="F26" s="30"/>
      <c r="G26" s="115" t="s">
        <v>41</v>
      </c>
      <c r="H26" s="116"/>
      <c r="I26" s="117"/>
      <c r="J26" s="37">
        <v>3.13</v>
      </c>
      <c r="K26" s="31"/>
      <c r="L26" s="40" t="s">
        <v>42</v>
      </c>
      <c r="M26" s="1"/>
      <c r="N26" s="1"/>
      <c r="O26" s="1"/>
      <c r="P26" s="1"/>
      <c r="Q26" s="1"/>
      <c r="R26" s="1"/>
      <c r="S26" s="1"/>
      <c r="T26" s="1"/>
      <c r="U26" s="1"/>
      <c r="V26" s="1"/>
      <c r="W26" s="1"/>
      <c r="X26" s="1"/>
      <c r="Y26" s="1"/>
      <c r="Z26" s="1"/>
    </row>
    <row r="27" spans="1:26" ht="15.75" customHeight="1">
      <c r="A27" s="7"/>
      <c r="B27" s="131" t="s">
        <v>65</v>
      </c>
      <c r="C27" s="119"/>
      <c r="D27" s="120"/>
      <c r="E27" s="37">
        <v>0.5</v>
      </c>
      <c r="F27" s="30"/>
      <c r="G27" s="115" t="s">
        <v>41</v>
      </c>
      <c r="H27" s="116"/>
      <c r="I27" s="117"/>
      <c r="J27" s="37">
        <v>0.5</v>
      </c>
      <c r="K27" s="31"/>
      <c r="L27" s="40" t="s">
        <v>42</v>
      </c>
      <c r="M27" s="1"/>
      <c r="N27" s="1"/>
      <c r="O27" s="1"/>
      <c r="P27" s="1"/>
      <c r="Q27" s="1"/>
      <c r="R27" s="1"/>
      <c r="S27" s="1"/>
      <c r="T27" s="1"/>
      <c r="U27" s="1"/>
      <c r="V27" s="1"/>
      <c r="W27" s="1"/>
      <c r="X27" s="1"/>
      <c r="Y27" s="1"/>
      <c r="Z27" s="1"/>
    </row>
    <row r="28" spans="1:26" ht="15.75" customHeight="1">
      <c r="A28" s="7"/>
      <c r="B28" s="130" t="s">
        <v>66</v>
      </c>
      <c r="C28" s="116"/>
      <c r="D28" s="117"/>
      <c r="E28" s="37">
        <v>3.21</v>
      </c>
      <c r="F28" s="30"/>
      <c r="G28" s="115" t="s">
        <v>41</v>
      </c>
      <c r="H28" s="116"/>
      <c r="I28" s="117"/>
      <c r="J28" s="37">
        <v>3.21</v>
      </c>
      <c r="K28" s="31"/>
      <c r="L28" s="40" t="s">
        <v>42</v>
      </c>
      <c r="M28" s="1"/>
      <c r="N28" s="1"/>
      <c r="O28" s="1"/>
      <c r="P28" s="1"/>
      <c r="Q28" s="1"/>
      <c r="R28" s="1"/>
      <c r="S28" s="1"/>
      <c r="T28" s="1"/>
      <c r="U28" s="1"/>
      <c r="V28" s="1"/>
      <c r="W28" s="1"/>
      <c r="X28" s="1"/>
      <c r="Y28" s="1"/>
      <c r="Z28" s="1"/>
    </row>
    <row r="29" spans="1:26" ht="15.75" customHeight="1">
      <c r="A29" s="7"/>
      <c r="B29" s="131" t="s">
        <v>68</v>
      </c>
      <c r="C29" s="119"/>
      <c r="D29" s="120"/>
      <c r="E29" s="37">
        <v>0.5</v>
      </c>
      <c r="F29" s="30"/>
      <c r="G29" s="115" t="s">
        <v>41</v>
      </c>
      <c r="H29" s="116"/>
      <c r="I29" s="117"/>
      <c r="J29" s="37">
        <v>0.5</v>
      </c>
      <c r="K29" s="31"/>
      <c r="L29" s="40" t="s">
        <v>42</v>
      </c>
      <c r="M29" s="1"/>
      <c r="N29" s="1"/>
      <c r="O29" s="1"/>
      <c r="P29" s="1"/>
      <c r="Q29" s="1"/>
      <c r="R29" s="1"/>
      <c r="S29" s="1"/>
      <c r="T29" s="1"/>
      <c r="U29" s="1"/>
      <c r="V29" s="1"/>
      <c r="W29" s="1"/>
      <c r="X29" s="1"/>
      <c r="Y29" s="1"/>
      <c r="Z29" s="1"/>
    </row>
    <row r="30" spans="1:26" ht="15.75" customHeight="1">
      <c r="A30" s="7"/>
      <c r="B30" s="131" t="s">
        <v>69</v>
      </c>
      <c r="C30" s="119"/>
      <c r="D30" s="120"/>
      <c r="E30" s="37">
        <v>0.5</v>
      </c>
      <c r="F30" s="30"/>
      <c r="G30" s="115" t="s">
        <v>41</v>
      </c>
      <c r="H30" s="116"/>
      <c r="I30" s="117"/>
      <c r="J30" s="37">
        <v>0.5</v>
      </c>
      <c r="K30" s="31"/>
      <c r="L30" s="40" t="s">
        <v>42</v>
      </c>
      <c r="M30" s="1"/>
      <c r="N30" s="1"/>
      <c r="O30" s="1"/>
      <c r="P30" s="1"/>
      <c r="Q30" s="1"/>
      <c r="R30" s="1"/>
      <c r="S30" s="1"/>
      <c r="T30" s="1"/>
      <c r="U30" s="1"/>
      <c r="V30" s="1"/>
      <c r="W30" s="1"/>
      <c r="X30" s="1"/>
      <c r="Y30" s="1"/>
      <c r="Z30" s="1"/>
    </row>
    <row r="31" spans="1:26" ht="15.75" customHeight="1">
      <c r="A31" s="7"/>
      <c r="B31" s="116" t="s">
        <v>70</v>
      </c>
      <c r="C31" s="116"/>
      <c r="D31" s="117"/>
      <c r="E31" s="37">
        <v>3.03</v>
      </c>
      <c r="F31" s="30"/>
      <c r="G31" s="115" t="s">
        <v>41</v>
      </c>
      <c r="H31" s="116"/>
      <c r="I31" s="117"/>
      <c r="J31" s="37">
        <v>3.03</v>
      </c>
      <c r="K31" s="31"/>
      <c r="L31" s="40" t="s">
        <v>42</v>
      </c>
      <c r="M31" s="1"/>
      <c r="N31" s="1"/>
      <c r="O31" s="1"/>
      <c r="P31" s="1"/>
      <c r="Q31" s="1"/>
      <c r="R31" s="1"/>
      <c r="S31" s="1"/>
      <c r="T31" s="1"/>
      <c r="U31" s="1"/>
      <c r="V31" s="1"/>
      <c r="W31" s="1"/>
      <c r="X31" s="1"/>
      <c r="Y31" s="1"/>
      <c r="Z31" s="1"/>
    </row>
    <row r="32" spans="1:26" ht="15.75" customHeight="1">
      <c r="A32" s="7"/>
      <c r="B32" s="130" t="s">
        <v>72</v>
      </c>
      <c r="C32" s="116"/>
      <c r="D32" s="117"/>
      <c r="E32" s="37">
        <v>12.1</v>
      </c>
      <c r="F32" s="30"/>
      <c r="G32" s="115" t="s">
        <v>41</v>
      </c>
      <c r="H32" s="116"/>
      <c r="I32" s="117"/>
      <c r="J32" s="37">
        <v>12.1</v>
      </c>
      <c r="K32" s="31"/>
      <c r="L32" s="40" t="s">
        <v>42</v>
      </c>
      <c r="M32" s="1"/>
      <c r="N32" s="1"/>
      <c r="O32" s="1"/>
      <c r="P32" s="1"/>
      <c r="Q32" s="1"/>
      <c r="R32" s="1"/>
      <c r="S32" s="1"/>
      <c r="T32" s="1"/>
      <c r="U32" s="1"/>
      <c r="V32" s="1"/>
      <c r="W32" s="1"/>
      <c r="X32" s="1"/>
      <c r="Y32" s="1"/>
      <c r="Z32" s="1"/>
    </row>
    <row r="33" spans="1:26" ht="15.75" customHeight="1">
      <c r="A33" s="7"/>
      <c r="B33" s="131" t="s">
        <v>73</v>
      </c>
      <c r="C33" s="119"/>
      <c r="D33" s="120"/>
      <c r="E33" s="37">
        <v>0.5</v>
      </c>
      <c r="F33" s="30"/>
      <c r="G33" s="115" t="s">
        <v>41</v>
      </c>
      <c r="H33" s="116"/>
      <c r="I33" s="117"/>
      <c r="J33" s="37">
        <v>0.5</v>
      </c>
      <c r="K33" s="31"/>
      <c r="L33" s="40" t="s">
        <v>42</v>
      </c>
      <c r="M33" s="1"/>
      <c r="N33" s="1"/>
      <c r="O33" s="1"/>
      <c r="P33" s="1"/>
      <c r="Q33" s="1"/>
      <c r="R33" s="1"/>
      <c r="S33" s="1"/>
      <c r="T33" s="1"/>
      <c r="U33" s="1"/>
      <c r="V33" s="1"/>
      <c r="W33" s="1"/>
      <c r="X33" s="1"/>
      <c r="Y33" s="1"/>
      <c r="Z33" s="1"/>
    </row>
    <row r="34" spans="1:26" ht="15.75" customHeight="1">
      <c r="A34" s="7"/>
      <c r="B34" s="130" t="s">
        <v>74</v>
      </c>
      <c r="C34" s="116"/>
      <c r="D34" s="117"/>
      <c r="E34" s="37">
        <v>2.02</v>
      </c>
      <c r="F34" s="30"/>
      <c r="G34" s="115" t="s">
        <v>41</v>
      </c>
      <c r="H34" s="116"/>
      <c r="I34" s="117"/>
      <c r="J34" s="37">
        <v>2.02</v>
      </c>
      <c r="K34" s="31"/>
      <c r="L34" s="40" t="s">
        <v>42</v>
      </c>
      <c r="M34" s="1"/>
      <c r="N34" s="1"/>
      <c r="O34" s="1"/>
      <c r="P34" s="1"/>
      <c r="Q34" s="1"/>
      <c r="R34" s="1"/>
      <c r="S34" s="1"/>
      <c r="T34" s="1"/>
      <c r="U34" s="1"/>
      <c r="V34" s="1"/>
      <c r="W34" s="1"/>
      <c r="X34" s="1"/>
      <c r="Y34" s="1"/>
      <c r="Z34" s="1"/>
    </row>
    <row r="35" spans="1:26" ht="15.75" customHeight="1">
      <c r="A35" s="7"/>
      <c r="B35" s="130" t="s">
        <v>75</v>
      </c>
      <c r="C35" s="116"/>
      <c r="D35" s="117"/>
      <c r="E35" s="37">
        <v>2.2200000000000002</v>
      </c>
      <c r="F35" s="30"/>
      <c r="G35" s="115" t="s">
        <v>76</v>
      </c>
      <c r="H35" s="116"/>
      <c r="I35" s="117"/>
      <c r="J35" s="37">
        <v>2.2200000000000002</v>
      </c>
      <c r="K35" s="31"/>
      <c r="L35" s="40" t="s">
        <v>42</v>
      </c>
      <c r="M35" s="1"/>
      <c r="N35" s="1"/>
      <c r="O35" s="1"/>
      <c r="P35" s="1"/>
      <c r="Q35" s="1"/>
      <c r="R35" s="1"/>
      <c r="S35" s="1"/>
      <c r="T35" s="1"/>
      <c r="U35" s="1"/>
      <c r="V35" s="1"/>
      <c r="W35" s="1"/>
      <c r="X35" s="1"/>
      <c r="Y35" s="1"/>
      <c r="Z35" s="1"/>
    </row>
    <row r="36" spans="1:26" ht="15.75" customHeight="1">
      <c r="A36" s="7"/>
      <c r="B36" s="130" t="s">
        <v>77</v>
      </c>
      <c r="C36" s="116"/>
      <c r="D36" s="117"/>
      <c r="E36" s="37">
        <v>1</v>
      </c>
      <c r="F36" s="30"/>
      <c r="G36" s="115" t="s">
        <v>41</v>
      </c>
      <c r="H36" s="116"/>
      <c r="I36" s="117"/>
      <c r="J36" s="37">
        <v>1</v>
      </c>
      <c r="K36" s="31"/>
      <c r="L36" s="40" t="s">
        <v>42</v>
      </c>
      <c r="M36" s="1"/>
      <c r="N36" s="1"/>
      <c r="O36" s="1"/>
      <c r="P36" s="1"/>
      <c r="Q36" s="1"/>
      <c r="R36" s="1"/>
      <c r="S36" s="1"/>
      <c r="T36" s="1"/>
      <c r="U36" s="1"/>
      <c r="V36" s="1"/>
      <c r="W36" s="1"/>
      <c r="X36" s="1"/>
      <c r="Y36" s="1"/>
      <c r="Z36" s="1"/>
    </row>
    <row r="37" spans="1:26" ht="15.75" customHeight="1">
      <c r="A37" s="7"/>
      <c r="B37" s="130" t="s">
        <v>74</v>
      </c>
      <c r="C37" s="116"/>
      <c r="D37" s="117"/>
      <c r="E37" s="37">
        <v>1.02</v>
      </c>
      <c r="F37" s="30"/>
      <c r="G37" s="115" t="s">
        <v>41</v>
      </c>
      <c r="H37" s="116"/>
      <c r="I37" s="117"/>
      <c r="J37" s="37">
        <v>1.02</v>
      </c>
      <c r="K37" s="31"/>
      <c r="L37" s="40" t="s">
        <v>42</v>
      </c>
      <c r="M37" s="1"/>
      <c r="N37" s="1"/>
      <c r="O37" s="1"/>
      <c r="P37" s="1"/>
      <c r="Q37" s="1"/>
      <c r="R37" s="1"/>
      <c r="S37" s="1"/>
      <c r="T37" s="1"/>
      <c r="U37" s="1"/>
      <c r="V37" s="1"/>
      <c r="W37" s="1"/>
      <c r="X37" s="1"/>
      <c r="Y37" s="1"/>
      <c r="Z37" s="1"/>
    </row>
    <row r="38" spans="1:26" ht="15.75" customHeight="1">
      <c r="A38" s="7"/>
      <c r="B38" s="130" t="s">
        <v>78</v>
      </c>
      <c r="C38" s="116"/>
      <c r="D38" s="117"/>
      <c r="E38" s="37">
        <v>13.05</v>
      </c>
      <c r="F38" s="30"/>
      <c r="G38" s="115" t="s">
        <v>41</v>
      </c>
      <c r="H38" s="116"/>
      <c r="I38" s="117"/>
      <c r="J38" s="37">
        <v>13.05</v>
      </c>
      <c r="K38" s="31"/>
      <c r="L38" s="40" t="s">
        <v>42</v>
      </c>
      <c r="M38" s="1"/>
      <c r="N38" s="1"/>
      <c r="O38" s="1"/>
      <c r="P38" s="1"/>
      <c r="Q38" s="1"/>
      <c r="R38" s="1"/>
      <c r="S38" s="1"/>
      <c r="T38" s="1"/>
      <c r="U38" s="1"/>
      <c r="V38" s="1"/>
      <c r="W38" s="1"/>
      <c r="X38" s="1"/>
      <c r="Y38" s="1"/>
      <c r="Z38" s="1"/>
    </row>
    <row r="39" spans="1:26" ht="15.75" customHeight="1">
      <c r="A39" s="7"/>
      <c r="B39" s="131" t="s">
        <v>73</v>
      </c>
      <c r="C39" s="119"/>
      <c r="D39" s="120"/>
      <c r="E39" s="37">
        <v>0.5</v>
      </c>
      <c r="F39" s="30"/>
      <c r="G39" s="115" t="s">
        <v>41</v>
      </c>
      <c r="H39" s="116"/>
      <c r="I39" s="117"/>
      <c r="J39" s="37">
        <v>0.5</v>
      </c>
      <c r="K39" s="31"/>
      <c r="L39" s="40" t="s">
        <v>42</v>
      </c>
      <c r="M39" s="1"/>
      <c r="N39" s="1"/>
      <c r="O39" s="1"/>
      <c r="P39" s="1"/>
      <c r="Q39" s="1"/>
      <c r="R39" s="1"/>
      <c r="S39" s="1"/>
      <c r="T39" s="1"/>
      <c r="U39" s="1"/>
      <c r="V39" s="1"/>
      <c r="W39" s="1"/>
      <c r="X39" s="1"/>
      <c r="Y39" s="1"/>
      <c r="Z39" s="1"/>
    </row>
    <row r="40" spans="1:26" ht="15.75" customHeight="1">
      <c r="A40" s="7"/>
      <c r="B40" s="130" t="s">
        <v>74</v>
      </c>
      <c r="C40" s="116"/>
      <c r="D40" s="117"/>
      <c r="E40" s="37">
        <v>3.32</v>
      </c>
      <c r="F40" s="30"/>
      <c r="G40" s="115" t="s">
        <v>41</v>
      </c>
      <c r="H40" s="116"/>
      <c r="I40" s="117"/>
      <c r="J40" s="37">
        <v>3.32</v>
      </c>
      <c r="K40" s="31"/>
      <c r="L40" s="40" t="s">
        <v>42</v>
      </c>
      <c r="M40" s="1"/>
      <c r="N40" s="1"/>
      <c r="O40" s="1"/>
      <c r="P40" s="1"/>
      <c r="Q40" s="1"/>
      <c r="R40" s="1"/>
      <c r="S40" s="1"/>
      <c r="T40" s="1"/>
      <c r="U40" s="1"/>
      <c r="V40" s="1"/>
      <c r="W40" s="1"/>
      <c r="X40" s="1"/>
      <c r="Y40" s="1"/>
      <c r="Z40" s="1"/>
    </row>
    <row r="41" spans="1:26" ht="15.75" customHeight="1">
      <c r="A41" s="7"/>
      <c r="B41" s="130" t="s">
        <v>75</v>
      </c>
      <c r="C41" s="116"/>
      <c r="D41" s="117"/>
      <c r="E41" s="37">
        <v>3.21</v>
      </c>
      <c r="F41" s="30"/>
      <c r="G41" s="115" t="s">
        <v>76</v>
      </c>
      <c r="H41" s="116"/>
      <c r="I41" s="117"/>
      <c r="J41" s="37">
        <v>3.21</v>
      </c>
      <c r="K41" s="31"/>
      <c r="L41" s="40" t="s">
        <v>42</v>
      </c>
      <c r="M41" s="1"/>
      <c r="N41" s="1"/>
      <c r="O41" s="1"/>
      <c r="P41" s="1"/>
      <c r="Q41" s="1"/>
      <c r="R41" s="1"/>
      <c r="S41" s="1"/>
      <c r="T41" s="1"/>
      <c r="U41" s="1"/>
      <c r="V41" s="1"/>
      <c r="W41" s="1"/>
      <c r="X41" s="1"/>
      <c r="Y41" s="1"/>
      <c r="Z41" s="1"/>
    </row>
    <row r="42" spans="1:26" ht="15.75" customHeight="1">
      <c r="A42" s="7"/>
      <c r="B42" s="130" t="s">
        <v>79</v>
      </c>
      <c r="C42" s="116"/>
      <c r="D42" s="117"/>
      <c r="E42" s="37">
        <v>2.1</v>
      </c>
      <c r="F42" s="32"/>
      <c r="G42" s="115" t="s">
        <v>76</v>
      </c>
      <c r="H42" s="116"/>
      <c r="I42" s="117"/>
      <c r="J42" s="37">
        <v>2.1</v>
      </c>
      <c r="K42" s="32"/>
      <c r="L42" s="40" t="s">
        <v>80</v>
      </c>
      <c r="M42" s="1"/>
      <c r="N42" s="1"/>
      <c r="O42" s="1"/>
      <c r="P42" s="1"/>
      <c r="Q42" s="1"/>
      <c r="R42" s="1"/>
      <c r="S42" s="1"/>
      <c r="T42" s="1"/>
      <c r="U42" s="1"/>
      <c r="V42" s="1"/>
      <c r="W42" s="1"/>
      <c r="X42" s="1"/>
      <c r="Y42" s="1"/>
      <c r="Z42" s="1"/>
    </row>
    <row r="43" spans="1:26" ht="15.75" customHeight="1">
      <c r="A43" s="7"/>
      <c r="B43" s="130" t="s">
        <v>81</v>
      </c>
      <c r="C43" s="116"/>
      <c r="D43" s="117"/>
      <c r="E43" s="37">
        <v>56.81</v>
      </c>
      <c r="F43" s="32"/>
      <c r="G43" s="115" t="s">
        <v>76</v>
      </c>
      <c r="H43" s="116"/>
      <c r="I43" s="117"/>
      <c r="J43" s="37">
        <v>56.81</v>
      </c>
      <c r="K43" s="32"/>
      <c r="L43" s="40" t="s">
        <v>80</v>
      </c>
      <c r="M43" s="1"/>
      <c r="N43" s="1"/>
      <c r="O43" s="1"/>
      <c r="P43" s="1"/>
      <c r="Q43" s="1"/>
      <c r="R43" s="1"/>
      <c r="S43" s="1"/>
      <c r="T43" s="1"/>
      <c r="U43" s="1"/>
      <c r="V43" s="1"/>
      <c r="W43" s="1"/>
      <c r="X43" s="1"/>
      <c r="Y43" s="1"/>
      <c r="Z43" s="1"/>
    </row>
    <row r="44" spans="1:26" ht="15.75" customHeight="1">
      <c r="A44" s="7"/>
      <c r="B44" s="131" t="s">
        <v>82</v>
      </c>
      <c r="C44" s="119"/>
      <c r="D44" s="120"/>
      <c r="E44" s="37">
        <v>0.5</v>
      </c>
      <c r="F44" s="30"/>
      <c r="G44" s="115" t="s">
        <v>76</v>
      </c>
      <c r="H44" s="116"/>
      <c r="I44" s="117"/>
      <c r="J44" s="37">
        <v>0.5</v>
      </c>
      <c r="K44" s="31"/>
      <c r="L44" s="40" t="s">
        <v>42</v>
      </c>
      <c r="M44" s="1">
        <f>SUM(J44:J46)</f>
        <v>4.08</v>
      </c>
      <c r="N44" s="1"/>
      <c r="O44" s="1"/>
      <c r="P44" s="1"/>
      <c r="Q44" s="1"/>
      <c r="R44" s="1"/>
      <c r="S44" s="1"/>
      <c r="T44" s="1"/>
      <c r="U44" s="1"/>
      <c r="V44" s="1"/>
      <c r="W44" s="1"/>
      <c r="X44" s="1"/>
      <c r="Y44" s="1"/>
      <c r="Z44" s="1"/>
    </row>
    <row r="45" spans="1:26" ht="15.75" customHeight="1">
      <c r="A45" s="7"/>
      <c r="B45" s="130" t="s">
        <v>66</v>
      </c>
      <c r="C45" s="116"/>
      <c r="D45" s="117"/>
      <c r="E45" s="37">
        <v>3.08</v>
      </c>
      <c r="F45" s="30"/>
      <c r="G45" s="115" t="s">
        <v>76</v>
      </c>
      <c r="H45" s="116"/>
      <c r="I45" s="117"/>
      <c r="J45" s="37">
        <v>3.08</v>
      </c>
      <c r="K45" s="31"/>
      <c r="L45" s="40" t="s">
        <v>42</v>
      </c>
      <c r="M45" s="1"/>
      <c r="N45" s="1"/>
      <c r="O45" s="1"/>
      <c r="P45" s="1"/>
      <c r="Q45" s="1"/>
      <c r="R45" s="1"/>
      <c r="S45" s="1"/>
      <c r="T45" s="1"/>
      <c r="U45" s="1"/>
      <c r="V45" s="1"/>
      <c r="W45" s="1"/>
      <c r="X45" s="1"/>
      <c r="Y45" s="1"/>
      <c r="Z45" s="1"/>
    </row>
    <row r="46" spans="1:26" ht="15.75" customHeight="1">
      <c r="A46" s="7"/>
      <c r="B46" s="131" t="s">
        <v>68</v>
      </c>
      <c r="C46" s="119"/>
      <c r="D46" s="120"/>
      <c r="E46" s="37">
        <v>0.5</v>
      </c>
      <c r="F46" s="30"/>
      <c r="G46" s="115" t="s">
        <v>76</v>
      </c>
      <c r="H46" s="116"/>
      <c r="I46" s="117"/>
      <c r="J46" s="37">
        <v>0.5</v>
      </c>
      <c r="K46" s="31"/>
      <c r="L46" s="40" t="s">
        <v>42</v>
      </c>
      <c r="M46" s="1"/>
      <c r="N46" s="1"/>
      <c r="O46" s="1"/>
      <c r="P46" s="1"/>
      <c r="Q46" s="1"/>
      <c r="R46" s="1"/>
      <c r="S46" s="1"/>
      <c r="T46" s="1"/>
      <c r="U46" s="1"/>
      <c r="V46" s="1"/>
      <c r="W46" s="1"/>
      <c r="X46" s="1"/>
      <c r="Y46" s="1"/>
      <c r="Z46" s="1"/>
    </row>
    <row r="47" spans="1:26" ht="15.75" customHeight="1">
      <c r="A47" s="7"/>
      <c r="B47" s="130" t="s">
        <v>79</v>
      </c>
      <c r="C47" s="116"/>
      <c r="D47" s="117"/>
      <c r="E47" s="37">
        <v>16.149999999999999</v>
      </c>
      <c r="F47" s="32"/>
      <c r="G47" s="115" t="s">
        <v>76</v>
      </c>
      <c r="H47" s="116"/>
      <c r="I47" s="117"/>
      <c r="J47" s="37">
        <v>16.149999999999999</v>
      </c>
      <c r="K47" s="32"/>
      <c r="L47" s="40" t="s">
        <v>80</v>
      </c>
      <c r="M47" s="1"/>
      <c r="N47" s="1"/>
      <c r="O47" s="1"/>
      <c r="P47" s="1"/>
      <c r="Q47" s="1"/>
      <c r="R47" s="1"/>
      <c r="S47" s="1"/>
      <c r="T47" s="1"/>
      <c r="U47" s="1"/>
      <c r="V47" s="1"/>
      <c r="W47" s="1"/>
      <c r="X47" s="1"/>
      <c r="Y47" s="1"/>
      <c r="Z47" s="1"/>
    </row>
    <row r="48" spans="1:26" ht="15.75" customHeight="1">
      <c r="A48" s="7"/>
      <c r="B48" s="130" t="s">
        <v>83</v>
      </c>
      <c r="C48" s="116"/>
      <c r="D48" s="117"/>
      <c r="E48" s="37">
        <v>2.19</v>
      </c>
      <c r="F48" s="31"/>
      <c r="G48" s="115" t="s">
        <v>76</v>
      </c>
      <c r="H48" s="116"/>
      <c r="I48" s="117"/>
      <c r="J48" s="37">
        <v>2.19</v>
      </c>
      <c r="K48" s="30"/>
      <c r="L48" s="40" t="s">
        <v>80</v>
      </c>
      <c r="M48" s="1"/>
      <c r="N48" s="1"/>
      <c r="O48" s="1"/>
      <c r="P48" s="1"/>
      <c r="Q48" s="1"/>
      <c r="R48" s="1"/>
      <c r="S48" s="1"/>
      <c r="T48" s="1"/>
      <c r="U48" s="1"/>
      <c r="V48" s="1"/>
      <c r="W48" s="1"/>
      <c r="X48" s="1"/>
      <c r="Y48" s="1"/>
      <c r="Z48" s="1"/>
    </row>
    <row r="49" spans="1:26" ht="15.75" customHeight="1">
      <c r="A49" s="7"/>
      <c r="B49" s="130" t="s">
        <v>79</v>
      </c>
      <c r="C49" s="116"/>
      <c r="D49" s="117"/>
      <c r="E49" s="37">
        <v>11</v>
      </c>
      <c r="F49" s="32"/>
      <c r="G49" s="115" t="s">
        <v>76</v>
      </c>
      <c r="H49" s="116"/>
      <c r="I49" s="117"/>
      <c r="J49" s="37">
        <v>11</v>
      </c>
      <c r="K49" s="32"/>
      <c r="L49" s="40" t="s">
        <v>80</v>
      </c>
      <c r="M49" s="1"/>
      <c r="N49" s="1"/>
      <c r="O49" s="1"/>
      <c r="P49" s="1"/>
      <c r="Q49" s="1"/>
      <c r="R49" s="1"/>
      <c r="S49" s="1"/>
      <c r="T49" s="1"/>
      <c r="U49" s="1"/>
      <c r="V49" s="1"/>
      <c r="W49" s="1"/>
      <c r="X49" s="1"/>
      <c r="Y49" s="1"/>
      <c r="Z49" s="1"/>
    </row>
    <row r="50" spans="1:26" ht="15.75" customHeight="1">
      <c r="A50" s="7"/>
      <c r="B50" s="130" t="s">
        <v>84</v>
      </c>
      <c r="C50" s="116"/>
      <c r="D50" s="117"/>
      <c r="E50" s="37">
        <v>5.01</v>
      </c>
      <c r="F50" s="31"/>
      <c r="G50" s="115" t="s">
        <v>76</v>
      </c>
      <c r="H50" s="116"/>
      <c r="I50" s="117"/>
      <c r="J50" s="37">
        <v>5.01</v>
      </c>
      <c r="K50" s="30"/>
      <c r="L50" s="40" t="s">
        <v>80</v>
      </c>
      <c r="M50" s="1"/>
      <c r="N50" s="1"/>
      <c r="O50" s="1"/>
      <c r="P50" s="1"/>
      <c r="Q50" s="1"/>
      <c r="R50" s="1"/>
      <c r="S50" s="1"/>
      <c r="T50" s="1"/>
      <c r="U50" s="1"/>
      <c r="V50" s="1"/>
      <c r="W50" s="1"/>
      <c r="X50" s="1"/>
      <c r="Y50" s="1"/>
      <c r="Z50" s="1"/>
    </row>
    <row r="51" spans="1:26" ht="15.75" customHeight="1">
      <c r="A51" s="7"/>
      <c r="B51" s="130" t="s">
        <v>79</v>
      </c>
      <c r="C51" s="116"/>
      <c r="D51" s="117"/>
      <c r="E51" s="37">
        <v>41.34</v>
      </c>
      <c r="F51" s="32"/>
      <c r="G51" s="115" t="s">
        <v>76</v>
      </c>
      <c r="H51" s="116"/>
      <c r="I51" s="117"/>
      <c r="J51" s="37">
        <v>41.34</v>
      </c>
      <c r="K51" s="32"/>
      <c r="L51" s="40" t="s">
        <v>80</v>
      </c>
      <c r="M51" s="1"/>
      <c r="N51" s="1"/>
      <c r="O51" s="1"/>
      <c r="P51" s="1"/>
      <c r="Q51" s="1"/>
      <c r="R51" s="1"/>
      <c r="S51" s="1"/>
      <c r="T51" s="1"/>
      <c r="U51" s="1"/>
      <c r="V51" s="1"/>
      <c r="W51" s="1"/>
      <c r="X51" s="1"/>
      <c r="Y51" s="1"/>
      <c r="Z51" s="1"/>
    </row>
    <row r="52" spans="1:26" ht="15.75" customHeight="1">
      <c r="A52" s="7"/>
      <c r="B52" s="130" t="s">
        <v>84</v>
      </c>
      <c r="C52" s="116"/>
      <c r="D52" s="117"/>
      <c r="E52" s="37">
        <v>2.06</v>
      </c>
      <c r="F52" s="31"/>
      <c r="G52" s="115" t="s">
        <v>76</v>
      </c>
      <c r="H52" s="116"/>
      <c r="I52" s="117"/>
      <c r="J52" s="37">
        <v>2.06</v>
      </c>
      <c r="K52" s="30"/>
      <c r="L52" s="40" t="s">
        <v>80</v>
      </c>
      <c r="M52" s="1"/>
      <c r="N52" s="1"/>
      <c r="O52" s="1"/>
      <c r="P52" s="1"/>
      <c r="Q52" s="1"/>
      <c r="R52" s="1"/>
      <c r="S52" s="1"/>
      <c r="T52" s="1"/>
      <c r="U52" s="1"/>
      <c r="V52" s="1"/>
      <c r="W52" s="1"/>
      <c r="X52" s="1"/>
      <c r="Y52" s="1"/>
      <c r="Z52" s="1"/>
    </row>
    <row r="53" spans="1:26" ht="15.75" customHeight="1">
      <c r="A53" s="7"/>
      <c r="B53" s="130" t="s">
        <v>84</v>
      </c>
      <c r="C53" s="116"/>
      <c r="D53" s="117"/>
      <c r="E53" s="37">
        <v>7.09</v>
      </c>
      <c r="F53" s="31"/>
      <c r="G53" s="115" t="s">
        <v>76</v>
      </c>
      <c r="H53" s="116"/>
      <c r="I53" s="117"/>
      <c r="J53" s="37">
        <v>7.09</v>
      </c>
      <c r="K53" s="30"/>
      <c r="L53" s="40" t="s">
        <v>80</v>
      </c>
      <c r="M53" s="1"/>
      <c r="N53" s="1"/>
      <c r="O53" s="1"/>
      <c r="P53" s="1"/>
      <c r="Q53" s="1"/>
      <c r="R53" s="1"/>
      <c r="S53" s="1"/>
      <c r="T53" s="1"/>
      <c r="U53" s="1"/>
      <c r="V53" s="1"/>
      <c r="W53" s="1"/>
      <c r="X53" s="1"/>
      <c r="Y53" s="1"/>
      <c r="Z53" s="1"/>
    </row>
    <row r="54" spans="1:26" ht="15.75" customHeight="1">
      <c r="A54" s="7"/>
      <c r="B54" s="130" t="s">
        <v>86</v>
      </c>
      <c r="C54" s="116"/>
      <c r="D54" s="117"/>
      <c r="E54" s="37">
        <v>8.08</v>
      </c>
      <c r="F54" s="30"/>
      <c r="G54" s="115" t="s">
        <v>76</v>
      </c>
      <c r="H54" s="116"/>
      <c r="I54" s="117"/>
      <c r="J54" s="37">
        <v>8.08</v>
      </c>
      <c r="K54" s="32"/>
      <c r="L54" s="40" t="s">
        <v>80</v>
      </c>
      <c r="M54" s="1"/>
      <c r="N54" s="1"/>
      <c r="O54" s="1"/>
      <c r="P54" s="1"/>
      <c r="Q54" s="1"/>
      <c r="R54" s="1"/>
      <c r="S54" s="1"/>
      <c r="T54" s="1"/>
      <c r="U54" s="1"/>
      <c r="V54" s="1"/>
      <c r="W54" s="1"/>
      <c r="X54" s="1"/>
      <c r="Y54" s="1"/>
      <c r="Z54" s="1"/>
    </row>
    <row r="55" spans="1:26" ht="15.75" customHeight="1">
      <c r="A55" s="7"/>
      <c r="B55" s="130" t="s">
        <v>87</v>
      </c>
      <c r="C55" s="116"/>
      <c r="D55" s="117"/>
      <c r="E55" s="37">
        <v>13.15</v>
      </c>
      <c r="F55" s="31"/>
      <c r="G55" s="115" t="s">
        <v>76</v>
      </c>
      <c r="H55" s="116"/>
      <c r="I55" s="117"/>
      <c r="J55" s="37">
        <v>13.15</v>
      </c>
      <c r="K55" s="30"/>
      <c r="L55" s="40" t="s">
        <v>80</v>
      </c>
      <c r="M55" s="1"/>
      <c r="N55" s="1"/>
      <c r="O55" s="1"/>
      <c r="P55" s="1"/>
      <c r="Q55" s="1"/>
      <c r="R55" s="1"/>
      <c r="S55" s="1"/>
      <c r="T55" s="1"/>
      <c r="U55" s="1"/>
      <c r="V55" s="1"/>
      <c r="W55" s="1"/>
      <c r="X55" s="1"/>
      <c r="Y55" s="1"/>
      <c r="Z55" s="1"/>
    </row>
    <row r="56" spans="1:26" ht="15.75" customHeight="1">
      <c r="A56" s="7"/>
      <c r="B56" s="130" t="s">
        <v>79</v>
      </c>
      <c r="C56" s="116"/>
      <c r="D56" s="117"/>
      <c r="E56" s="37">
        <v>2.11</v>
      </c>
      <c r="F56" s="32"/>
      <c r="G56" s="115" t="s">
        <v>76</v>
      </c>
      <c r="H56" s="116"/>
      <c r="I56" s="117"/>
      <c r="J56" s="37">
        <v>2.11</v>
      </c>
      <c r="K56" s="32"/>
      <c r="L56" s="40" t="s">
        <v>80</v>
      </c>
      <c r="M56" s="1"/>
      <c r="N56" s="1"/>
      <c r="O56" s="1"/>
      <c r="P56" s="1"/>
      <c r="Q56" s="1"/>
      <c r="R56" s="1"/>
      <c r="S56" s="1"/>
      <c r="T56" s="1"/>
      <c r="U56" s="1"/>
      <c r="V56" s="1"/>
      <c r="W56" s="1"/>
      <c r="X56" s="1"/>
      <c r="Y56" s="1"/>
      <c r="Z56" s="1"/>
    </row>
    <row r="57" spans="1:26" ht="15.75" customHeight="1">
      <c r="A57" s="7"/>
      <c r="B57" s="130" t="s">
        <v>77</v>
      </c>
      <c r="C57" s="116"/>
      <c r="D57" s="117"/>
      <c r="E57" s="37">
        <v>0.21</v>
      </c>
      <c r="F57" s="30"/>
      <c r="G57" s="115" t="s">
        <v>41</v>
      </c>
      <c r="H57" s="116"/>
      <c r="I57" s="117"/>
      <c r="J57" s="37">
        <v>0.21</v>
      </c>
      <c r="K57" s="31"/>
      <c r="L57" s="40" t="s">
        <v>42</v>
      </c>
      <c r="M57" s="1">
        <f>SUM(J57:J62)</f>
        <v>12.169999999999998</v>
      </c>
      <c r="N57" s="1"/>
      <c r="O57" s="1"/>
      <c r="P57" s="1"/>
      <c r="Q57" s="1"/>
      <c r="R57" s="1"/>
      <c r="S57" s="1"/>
      <c r="T57" s="1"/>
      <c r="U57" s="1"/>
      <c r="V57" s="1"/>
      <c r="W57" s="1"/>
      <c r="X57" s="1"/>
      <c r="Y57" s="1"/>
      <c r="Z57" s="1"/>
    </row>
    <row r="58" spans="1:26" ht="15.75" customHeight="1">
      <c r="A58" s="7"/>
      <c r="B58" s="131" t="s">
        <v>60</v>
      </c>
      <c r="C58" s="119"/>
      <c r="D58" s="120"/>
      <c r="E58" s="37">
        <v>0.19</v>
      </c>
      <c r="F58" s="30"/>
      <c r="G58" s="115" t="s">
        <v>41</v>
      </c>
      <c r="H58" s="116"/>
      <c r="I58" s="117"/>
      <c r="J58" s="37">
        <v>0.19</v>
      </c>
      <c r="K58" s="31"/>
      <c r="L58" s="40" t="s">
        <v>42</v>
      </c>
      <c r="M58" s="1"/>
      <c r="N58" s="1"/>
      <c r="O58" s="1"/>
      <c r="P58" s="1"/>
      <c r="Q58" s="1"/>
      <c r="R58" s="1"/>
      <c r="S58" s="1"/>
      <c r="T58" s="1"/>
      <c r="U58" s="1"/>
      <c r="V58" s="1"/>
      <c r="W58" s="1"/>
      <c r="X58" s="1"/>
      <c r="Y58" s="1"/>
      <c r="Z58" s="1"/>
    </row>
    <row r="59" spans="1:26" ht="15.75" customHeight="1">
      <c r="A59" s="7"/>
      <c r="B59" s="130" t="s">
        <v>88</v>
      </c>
      <c r="C59" s="116"/>
      <c r="D59" s="117"/>
      <c r="E59" s="37">
        <v>3.22</v>
      </c>
      <c r="F59" s="30"/>
      <c r="G59" s="115" t="s">
        <v>41</v>
      </c>
      <c r="H59" s="116"/>
      <c r="I59" s="117"/>
      <c r="J59" s="37">
        <v>3.22</v>
      </c>
      <c r="K59" s="31"/>
      <c r="L59" s="40" t="s">
        <v>42</v>
      </c>
      <c r="M59" s="1"/>
      <c r="N59" s="1"/>
      <c r="O59" s="1"/>
      <c r="P59" s="1"/>
      <c r="Q59" s="1"/>
      <c r="R59" s="1"/>
      <c r="S59" s="1"/>
      <c r="T59" s="1"/>
      <c r="U59" s="1"/>
      <c r="V59" s="1"/>
      <c r="W59" s="1"/>
      <c r="X59" s="1"/>
      <c r="Y59" s="1"/>
      <c r="Z59" s="1"/>
    </row>
    <row r="60" spans="1:26" ht="15.75" customHeight="1">
      <c r="A60" s="7"/>
      <c r="B60" s="130" t="s">
        <v>89</v>
      </c>
      <c r="C60" s="116"/>
      <c r="D60" s="117"/>
      <c r="E60" s="37">
        <v>4.01</v>
      </c>
      <c r="F60" s="30"/>
      <c r="G60" s="115" t="s">
        <v>41</v>
      </c>
      <c r="H60" s="116"/>
      <c r="I60" s="117"/>
      <c r="J60" s="37">
        <v>4.01</v>
      </c>
      <c r="K60" s="31"/>
      <c r="L60" s="40" t="s">
        <v>42</v>
      </c>
      <c r="M60" s="1"/>
      <c r="N60" s="1"/>
      <c r="O60" s="1"/>
      <c r="P60" s="1"/>
      <c r="Q60" s="1"/>
      <c r="R60" s="1"/>
      <c r="S60" s="1"/>
      <c r="T60" s="1"/>
      <c r="U60" s="1"/>
      <c r="V60" s="1"/>
      <c r="W60" s="1"/>
      <c r="X60" s="1"/>
      <c r="Y60" s="1"/>
      <c r="Z60" s="1"/>
    </row>
    <row r="61" spans="1:26" ht="15.75" customHeight="1">
      <c r="A61" s="7"/>
      <c r="B61" s="131" t="s">
        <v>73</v>
      </c>
      <c r="C61" s="119"/>
      <c r="D61" s="120"/>
      <c r="E61" s="37">
        <v>0.5</v>
      </c>
      <c r="F61" s="30"/>
      <c r="G61" s="115" t="s">
        <v>41</v>
      </c>
      <c r="H61" s="116"/>
      <c r="I61" s="117"/>
      <c r="J61" s="37">
        <v>0.5</v>
      </c>
      <c r="K61" s="31"/>
      <c r="L61" s="40" t="s">
        <v>42</v>
      </c>
      <c r="M61" s="1"/>
      <c r="N61" s="1"/>
      <c r="O61" s="1"/>
      <c r="P61" s="1"/>
      <c r="Q61" s="1"/>
      <c r="R61" s="1"/>
      <c r="S61" s="1"/>
      <c r="T61" s="1"/>
      <c r="U61" s="1"/>
      <c r="V61" s="1"/>
      <c r="W61" s="1"/>
      <c r="X61" s="1"/>
      <c r="Y61" s="1"/>
      <c r="Z61" s="1"/>
    </row>
    <row r="62" spans="1:26" ht="15.75" customHeight="1">
      <c r="A62" s="7"/>
      <c r="B62" s="130" t="s">
        <v>75</v>
      </c>
      <c r="C62" s="116"/>
      <c r="D62" s="117"/>
      <c r="E62" s="37">
        <v>4.04</v>
      </c>
      <c r="F62" s="30"/>
      <c r="G62" s="115" t="s">
        <v>76</v>
      </c>
      <c r="H62" s="116"/>
      <c r="I62" s="117"/>
      <c r="J62" s="37">
        <v>4.04</v>
      </c>
      <c r="K62" s="31"/>
      <c r="L62" s="40" t="s">
        <v>42</v>
      </c>
      <c r="M62" s="1"/>
      <c r="N62" s="1"/>
      <c r="O62" s="1"/>
      <c r="P62" s="1"/>
      <c r="Q62" s="1"/>
      <c r="R62" s="1"/>
      <c r="S62" s="1"/>
      <c r="T62" s="1"/>
      <c r="U62" s="1"/>
      <c r="V62" s="1"/>
      <c r="W62" s="1"/>
      <c r="X62" s="1"/>
      <c r="Y62" s="1"/>
      <c r="Z62" s="1"/>
    </row>
    <row r="63" spans="1:26" ht="15.75" customHeight="1">
      <c r="A63" s="7"/>
      <c r="B63" s="130" t="s">
        <v>90</v>
      </c>
      <c r="C63" s="116"/>
      <c r="D63" s="117"/>
      <c r="E63" s="37">
        <v>15.07</v>
      </c>
      <c r="F63" s="32"/>
      <c r="G63" s="115" t="s">
        <v>76</v>
      </c>
      <c r="H63" s="116"/>
      <c r="I63" s="117"/>
      <c r="J63" s="37">
        <v>15.07</v>
      </c>
      <c r="K63" s="32"/>
      <c r="L63" s="40" t="s">
        <v>80</v>
      </c>
      <c r="M63" s="1"/>
      <c r="N63" s="1"/>
      <c r="O63" s="1"/>
      <c r="P63" s="1"/>
      <c r="Q63" s="1"/>
      <c r="R63" s="1"/>
      <c r="S63" s="1"/>
      <c r="T63" s="1"/>
      <c r="U63" s="1"/>
      <c r="V63" s="1"/>
      <c r="W63" s="1"/>
      <c r="X63" s="1"/>
      <c r="Y63" s="1"/>
      <c r="Z63" s="1"/>
    </row>
    <row r="64" spans="1:26" ht="15.75" customHeight="1">
      <c r="A64" s="7"/>
      <c r="B64" s="130" t="s">
        <v>91</v>
      </c>
      <c r="C64" s="116"/>
      <c r="D64" s="117"/>
      <c r="E64" s="37">
        <v>32.229999999999997</v>
      </c>
      <c r="F64" s="31"/>
      <c r="G64" s="115" t="s">
        <v>76</v>
      </c>
      <c r="H64" s="116"/>
      <c r="I64" s="117"/>
      <c r="J64" s="37">
        <v>32.229999999999997</v>
      </c>
      <c r="K64" s="30"/>
      <c r="L64" s="40" t="s">
        <v>80</v>
      </c>
      <c r="M64" s="1"/>
      <c r="N64" s="1"/>
      <c r="O64" s="1"/>
      <c r="P64" s="1"/>
      <c r="Q64" s="1"/>
      <c r="R64" s="1"/>
      <c r="S64" s="1"/>
      <c r="T64" s="1"/>
      <c r="U64" s="1"/>
      <c r="V64" s="1"/>
      <c r="W64" s="1"/>
      <c r="X64" s="1"/>
      <c r="Y64" s="1"/>
      <c r="Z64" s="1"/>
    </row>
    <row r="65" spans="1:26" ht="15.75" customHeight="1">
      <c r="A65" s="7"/>
      <c r="B65" s="130" t="s">
        <v>79</v>
      </c>
      <c r="C65" s="116"/>
      <c r="D65" s="117"/>
      <c r="E65" s="37">
        <v>9.19</v>
      </c>
      <c r="F65" s="32"/>
      <c r="G65" s="115" t="s">
        <v>76</v>
      </c>
      <c r="H65" s="116"/>
      <c r="I65" s="117"/>
      <c r="J65" s="37">
        <v>9.19</v>
      </c>
      <c r="K65" s="32"/>
      <c r="L65" s="40" t="s">
        <v>80</v>
      </c>
      <c r="M65" s="1"/>
      <c r="N65" s="1"/>
      <c r="O65" s="1"/>
      <c r="P65" s="1"/>
      <c r="Q65" s="1"/>
      <c r="R65" s="1"/>
      <c r="S65" s="1"/>
      <c r="T65" s="1"/>
      <c r="U65" s="1"/>
      <c r="V65" s="1"/>
      <c r="W65" s="1"/>
      <c r="X65" s="1"/>
      <c r="Y65" s="1"/>
      <c r="Z65" s="1"/>
    </row>
    <row r="66" spans="1:26" ht="15.75" customHeight="1">
      <c r="A66" s="7"/>
      <c r="B66" s="131" t="s">
        <v>92</v>
      </c>
      <c r="C66" s="119"/>
      <c r="D66" s="120"/>
      <c r="E66" s="37">
        <v>0.5</v>
      </c>
      <c r="F66" s="30"/>
      <c r="G66" s="115" t="s">
        <v>76</v>
      </c>
      <c r="H66" s="116"/>
      <c r="I66" s="117"/>
      <c r="J66" s="37">
        <v>0.5</v>
      </c>
      <c r="K66" s="31"/>
      <c r="L66" s="40" t="s">
        <v>42</v>
      </c>
      <c r="M66" s="1">
        <f>SUM(J66:J68)</f>
        <v>8.629999999999999</v>
      </c>
      <c r="N66" s="1"/>
      <c r="O66" s="1"/>
      <c r="P66" s="1"/>
      <c r="Q66" s="1"/>
      <c r="R66" s="1"/>
      <c r="S66" s="1"/>
      <c r="T66" s="1"/>
      <c r="U66" s="1"/>
      <c r="V66" s="1"/>
      <c r="W66" s="1"/>
      <c r="X66" s="1"/>
      <c r="Y66" s="1"/>
      <c r="Z66" s="1"/>
    </row>
    <row r="67" spans="1:26" ht="15.75" customHeight="1">
      <c r="A67" s="7"/>
      <c r="B67" s="130" t="s">
        <v>93</v>
      </c>
      <c r="C67" s="116"/>
      <c r="D67" s="117"/>
      <c r="E67" s="37">
        <v>3.13</v>
      </c>
      <c r="F67" s="30"/>
      <c r="G67" s="115" t="s">
        <v>76</v>
      </c>
      <c r="H67" s="116"/>
      <c r="I67" s="117"/>
      <c r="J67" s="37">
        <v>3.13</v>
      </c>
      <c r="K67" s="31"/>
      <c r="L67" s="40" t="s">
        <v>42</v>
      </c>
      <c r="M67" s="1"/>
      <c r="N67" s="1"/>
      <c r="O67" s="1"/>
      <c r="P67" s="1"/>
      <c r="Q67" s="1"/>
      <c r="R67" s="1"/>
      <c r="S67" s="1"/>
      <c r="T67" s="1"/>
      <c r="U67" s="1"/>
      <c r="V67" s="1"/>
      <c r="W67" s="1"/>
      <c r="X67" s="1"/>
      <c r="Y67" s="1"/>
      <c r="Z67" s="1"/>
    </row>
    <row r="68" spans="1:26" ht="15.75" customHeight="1">
      <c r="A68" s="7"/>
      <c r="B68" s="130" t="s">
        <v>94</v>
      </c>
      <c r="C68" s="116"/>
      <c r="D68" s="117"/>
      <c r="E68" s="37">
        <v>5</v>
      </c>
      <c r="F68" s="30"/>
      <c r="G68" s="115" t="s">
        <v>76</v>
      </c>
      <c r="H68" s="116"/>
      <c r="I68" s="117"/>
      <c r="J68" s="37">
        <v>5</v>
      </c>
      <c r="K68" s="31"/>
      <c r="L68" s="40" t="s">
        <v>42</v>
      </c>
      <c r="M68" s="1"/>
      <c r="N68" s="1"/>
      <c r="O68" s="1"/>
      <c r="P68" s="1"/>
      <c r="Q68" s="1"/>
      <c r="R68" s="1"/>
      <c r="S68" s="1"/>
      <c r="T68" s="1"/>
      <c r="U68" s="1"/>
      <c r="V68" s="1"/>
      <c r="W68" s="1"/>
      <c r="X68" s="1"/>
      <c r="Y68" s="1"/>
      <c r="Z68" s="1"/>
    </row>
    <row r="69" spans="1:26" ht="15.75" customHeight="1">
      <c r="A69" s="7"/>
      <c r="B69" s="131" t="s">
        <v>95</v>
      </c>
      <c r="C69" s="119"/>
      <c r="D69" s="120"/>
      <c r="E69" s="37">
        <v>0.5</v>
      </c>
      <c r="F69" s="30"/>
      <c r="G69" s="115" t="s">
        <v>76</v>
      </c>
      <c r="H69" s="116"/>
      <c r="I69" s="117"/>
      <c r="J69" s="37">
        <v>0.5</v>
      </c>
      <c r="K69" s="30"/>
      <c r="L69" s="40" t="s">
        <v>80</v>
      </c>
      <c r="M69" s="1"/>
      <c r="N69" s="1"/>
      <c r="O69" s="1"/>
      <c r="P69" s="1"/>
      <c r="Q69" s="1"/>
      <c r="R69" s="1"/>
      <c r="S69" s="1"/>
      <c r="T69" s="1"/>
      <c r="U69" s="1"/>
      <c r="V69" s="1"/>
      <c r="W69" s="1"/>
      <c r="X69" s="1"/>
      <c r="Y69" s="1"/>
      <c r="Z69" s="1"/>
    </row>
    <row r="70" spans="1:26" ht="15.75" customHeight="1">
      <c r="A70" s="7"/>
      <c r="B70" s="130" t="s">
        <v>91</v>
      </c>
      <c r="C70" s="116"/>
      <c r="D70" s="117"/>
      <c r="E70" s="37">
        <v>27.1</v>
      </c>
      <c r="F70" s="31"/>
      <c r="G70" s="115" t="s">
        <v>76</v>
      </c>
      <c r="H70" s="116"/>
      <c r="I70" s="117"/>
      <c r="J70" s="37">
        <v>27.1</v>
      </c>
      <c r="K70" s="30"/>
      <c r="L70" s="40" t="s">
        <v>80</v>
      </c>
      <c r="M70" s="1"/>
      <c r="N70" s="1"/>
      <c r="O70" s="1"/>
      <c r="P70" s="1"/>
      <c r="Q70" s="1"/>
      <c r="R70" s="1"/>
      <c r="S70" s="1"/>
      <c r="T70" s="1"/>
      <c r="U70" s="1"/>
      <c r="V70" s="1"/>
      <c r="W70" s="1"/>
      <c r="X70" s="1"/>
      <c r="Y70" s="1"/>
      <c r="Z70" s="1"/>
    </row>
    <row r="71" spans="1:26" ht="15.75" customHeight="1">
      <c r="A71" s="7"/>
      <c r="B71" s="130" t="s">
        <v>79</v>
      </c>
      <c r="C71" s="116"/>
      <c r="D71" s="117"/>
      <c r="E71" s="37">
        <v>2.11</v>
      </c>
      <c r="F71" s="32"/>
      <c r="G71" s="115" t="s">
        <v>76</v>
      </c>
      <c r="H71" s="116"/>
      <c r="I71" s="117"/>
      <c r="J71" s="37">
        <v>2.11</v>
      </c>
      <c r="K71" s="32"/>
      <c r="L71" s="40" t="s">
        <v>80</v>
      </c>
      <c r="M71" s="1"/>
      <c r="N71" s="1"/>
      <c r="O71" s="1"/>
      <c r="P71" s="1"/>
      <c r="Q71" s="1"/>
      <c r="R71" s="1"/>
      <c r="S71" s="1"/>
      <c r="T71" s="1"/>
      <c r="U71" s="1"/>
      <c r="V71" s="1"/>
      <c r="W71" s="1"/>
      <c r="X71" s="1"/>
      <c r="Y71" s="1"/>
      <c r="Z71" s="1"/>
    </row>
    <row r="72" spans="1:26" ht="15.75" customHeight="1">
      <c r="A72" s="7"/>
      <c r="B72" s="130" t="s">
        <v>96</v>
      </c>
      <c r="C72" s="116"/>
      <c r="D72" s="117"/>
      <c r="E72" s="37">
        <v>7.09</v>
      </c>
      <c r="F72" s="31"/>
      <c r="G72" s="115" t="s">
        <v>76</v>
      </c>
      <c r="H72" s="116"/>
      <c r="I72" s="117"/>
      <c r="J72" s="37">
        <v>7.09</v>
      </c>
      <c r="K72" s="30"/>
      <c r="L72" s="40" t="s">
        <v>80</v>
      </c>
      <c r="M72" s="1"/>
      <c r="N72" s="1"/>
      <c r="O72" s="1"/>
      <c r="P72" s="1"/>
      <c r="Q72" s="1"/>
      <c r="R72" s="1"/>
      <c r="S72" s="1"/>
      <c r="T72" s="1"/>
      <c r="U72" s="1"/>
      <c r="V72" s="1"/>
      <c r="W72" s="1"/>
      <c r="X72" s="1"/>
      <c r="Y72" s="1"/>
      <c r="Z72" s="1"/>
    </row>
    <row r="73" spans="1:26" ht="15.75" customHeight="1">
      <c r="A73" s="7"/>
      <c r="B73" s="130" t="s">
        <v>77</v>
      </c>
      <c r="C73" s="116"/>
      <c r="D73" s="117"/>
      <c r="E73" s="37">
        <v>1.02</v>
      </c>
      <c r="F73" s="30"/>
      <c r="G73" s="115" t="s">
        <v>41</v>
      </c>
      <c r="H73" s="116"/>
      <c r="I73" s="117"/>
      <c r="J73" s="37">
        <v>1.02</v>
      </c>
      <c r="K73" s="31"/>
      <c r="L73" s="40" t="s">
        <v>42</v>
      </c>
      <c r="M73" s="1">
        <f>SUM(J73:J79)</f>
        <v>13.5</v>
      </c>
      <c r="N73" s="1"/>
      <c r="O73" s="1"/>
      <c r="P73" s="1"/>
      <c r="Q73" s="1"/>
      <c r="R73" s="1"/>
      <c r="S73" s="1"/>
      <c r="T73" s="1"/>
      <c r="U73" s="1"/>
      <c r="V73" s="1"/>
      <c r="W73" s="1"/>
      <c r="X73" s="1"/>
      <c r="Y73" s="1"/>
      <c r="Z73" s="1"/>
    </row>
    <row r="74" spans="1:26" ht="15.75" customHeight="1">
      <c r="A74" s="7"/>
      <c r="B74" s="130" t="s">
        <v>97</v>
      </c>
      <c r="C74" s="116"/>
      <c r="D74" s="117"/>
      <c r="E74" s="37">
        <v>4.05</v>
      </c>
      <c r="F74" s="30"/>
      <c r="G74" s="115" t="s">
        <v>41</v>
      </c>
      <c r="H74" s="116"/>
      <c r="I74" s="117"/>
      <c r="J74" s="37">
        <v>4.05</v>
      </c>
      <c r="K74" s="31"/>
      <c r="L74" s="40" t="s">
        <v>42</v>
      </c>
      <c r="M74" s="1"/>
      <c r="N74" s="1"/>
      <c r="O74" s="1"/>
      <c r="P74" s="1"/>
      <c r="Q74" s="1"/>
      <c r="R74" s="1"/>
      <c r="S74" s="1"/>
      <c r="T74" s="1"/>
      <c r="U74" s="1"/>
      <c r="V74" s="1"/>
      <c r="W74" s="1"/>
      <c r="X74" s="1"/>
      <c r="Y74" s="1"/>
      <c r="Z74" s="1"/>
    </row>
    <row r="75" spans="1:26" ht="15.75" customHeight="1">
      <c r="A75" s="7"/>
      <c r="B75" s="131" t="s">
        <v>60</v>
      </c>
      <c r="C75" s="119"/>
      <c r="D75" s="120"/>
      <c r="E75" s="37">
        <v>0.5</v>
      </c>
      <c r="F75" s="30"/>
      <c r="G75" s="115" t="s">
        <v>41</v>
      </c>
      <c r="H75" s="116"/>
      <c r="I75" s="117"/>
      <c r="J75" s="37">
        <v>0.5</v>
      </c>
      <c r="K75" s="31"/>
      <c r="L75" s="40" t="s">
        <v>42</v>
      </c>
      <c r="M75" s="1"/>
      <c r="N75" s="1"/>
      <c r="O75" s="1"/>
      <c r="P75" s="1"/>
      <c r="Q75" s="1"/>
      <c r="R75" s="1"/>
      <c r="S75" s="1"/>
      <c r="T75" s="1"/>
      <c r="U75" s="1"/>
      <c r="V75" s="1"/>
      <c r="W75" s="1"/>
      <c r="X75" s="1"/>
      <c r="Y75" s="1"/>
      <c r="Z75" s="1"/>
    </row>
    <row r="76" spans="1:26" ht="15.75" customHeight="1">
      <c r="A76" s="7"/>
      <c r="B76" s="130" t="s">
        <v>89</v>
      </c>
      <c r="C76" s="116"/>
      <c r="D76" s="117"/>
      <c r="E76" s="37">
        <v>4.2</v>
      </c>
      <c r="F76" s="30"/>
      <c r="G76" s="115" t="s">
        <v>41</v>
      </c>
      <c r="H76" s="116"/>
      <c r="I76" s="117"/>
      <c r="J76" s="37">
        <v>4.2</v>
      </c>
      <c r="K76" s="31"/>
      <c r="L76" s="40" t="s">
        <v>42</v>
      </c>
      <c r="M76" s="1"/>
      <c r="N76" s="1"/>
      <c r="O76" s="1"/>
      <c r="P76" s="1"/>
      <c r="Q76" s="1"/>
      <c r="R76" s="1"/>
      <c r="S76" s="1"/>
      <c r="T76" s="1"/>
      <c r="U76" s="1"/>
      <c r="V76" s="1"/>
      <c r="W76" s="1"/>
      <c r="X76" s="1"/>
      <c r="Y76" s="1"/>
      <c r="Z76" s="1"/>
    </row>
    <row r="77" spans="1:26" ht="15.75" customHeight="1">
      <c r="A77" s="7"/>
      <c r="B77" s="131" t="s">
        <v>73</v>
      </c>
      <c r="C77" s="119"/>
      <c r="D77" s="120"/>
      <c r="E77" s="37">
        <v>0.5</v>
      </c>
      <c r="F77" s="30"/>
      <c r="G77" s="115" t="s">
        <v>41</v>
      </c>
      <c r="H77" s="116"/>
      <c r="I77" s="117"/>
      <c r="J77" s="37">
        <v>0.5</v>
      </c>
      <c r="K77" s="31"/>
      <c r="L77" s="40" t="s">
        <v>42</v>
      </c>
      <c r="M77" s="1"/>
      <c r="N77" s="1"/>
      <c r="O77" s="1"/>
      <c r="P77" s="1"/>
      <c r="Q77" s="1"/>
      <c r="R77" s="1"/>
      <c r="S77" s="1"/>
      <c r="T77" s="1"/>
      <c r="U77" s="1"/>
      <c r="V77" s="1"/>
      <c r="W77" s="1"/>
      <c r="X77" s="1"/>
      <c r="Y77" s="1"/>
      <c r="Z77" s="1"/>
    </row>
    <row r="78" spans="1:26" ht="15.75" customHeight="1">
      <c r="A78" s="7"/>
      <c r="B78" s="130" t="s">
        <v>79</v>
      </c>
      <c r="C78" s="116"/>
      <c r="D78" s="117"/>
      <c r="E78" s="37">
        <v>2</v>
      </c>
      <c r="F78" s="30"/>
      <c r="G78" s="115" t="s">
        <v>41</v>
      </c>
      <c r="H78" s="116"/>
      <c r="I78" s="117"/>
      <c r="J78" s="37">
        <v>2</v>
      </c>
      <c r="K78" s="31"/>
      <c r="L78" s="40" t="s">
        <v>42</v>
      </c>
      <c r="M78" s="1"/>
      <c r="N78" s="1"/>
      <c r="O78" s="1"/>
      <c r="P78" s="1"/>
      <c r="Q78" s="1"/>
      <c r="R78" s="1"/>
      <c r="S78" s="1"/>
      <c r="T78" s="1"/>
      <c r="U78" s="1"/>
      <c r="V78" s="1"/>
      <c r="W78" s="1"/>
      <c r="X78" s="1"/>
      <c r="Y78" s="1"/>
      <c r="Z78" s="1"/>
    </row>
    <row r="79" spans="1:26" ht="15.75" customHeight="1">
      <c r="A79" s="7"/>
      <c r="B79" s="130" t="s">
        <v>75</v>
      </c>
      <c r="C79" s="116"/>
      <c r="D79" s="117"/>
      <c r="E79" s="37">
        <v>1.23</v>
      </c>
      <c r="F79" s="30"/>
      <c r="G79" s="115" t="s">
        <v>76</v>
      </c>
      <c r="H79" s="116"/>
      <c r="I79" s="117"/>
      <c r="J79" s="37">
        <v>1.23</v>
      </c>
      <c r="K79" s="31"/>
      <c r="L79" s="40" t="s">
        <v>42</v>
      </c>
      <c r="M79" s="1"/>
      <c r="N79" s="1"/>
      <c r="O79" s="1"/>
      <c r="P79" s="1"/>
      <c r="Q79" s="1"/>
      <c r="R79" s="1"/>
      <c r="S79" s="1"/>
      <c r="T79" s="1"/>
      <c r="U79" s="1"/>
      <c r="V79" s="1"/>
      <c r="W79" s="1"/>
      <c r="X79" s="1"/>
      <c r="Y79" s="1"/>
      <c r="Z79" s="1"/>
    </row>
    <row r="80" spans="1:26" ht="15.75" customHeight="1">
      <c r="A80" s="7"/>
      <c r="B80" s="130" t="s">
        <v>98</v>
      </c>
      <c r="C80" s="116"/>
      <c r="D80" s="117"/>
      <c r="E80" s="37">
        <v>28.1</v>
      </c>
      <c r="F80" s="31"/>
      <c r="G80" s="115" t="s">
        <v>76</v>
      </c>
      <c r="H80" s="116"/>
      <c r="I80" s="117"/>
      <c r="J80" s="37">
        <v>28.1</v>
      </c>
      <c r="K80" s="30"/>
      <c r="L80" s="40" t="s">
        <v>80</v>
      </c>
      <c r="M80" s="1"/>
      <c r="N80" s="1"/>
      <c r="O80" s="1"/>
      <c r="P80" s="1"/>
      <c r="Q80" s="1"/>
      <c r="R80" s="1"/>
      <c r="S80" s="1"/>
      <c r="T80" s="1"/>
      <c r="U80" s="1"/>
      <c r="V80" s="1"/>
      <c r="W80" s="1"/>
      <c r="X80" s="1"/>
      <c r="Y80" s="1"/>
      <c r="Z80" s="1"/>
    </row>
    <row r="81" spans="1:26" ht="15.75" customHeight="1">
      <c r="A81" s="7"/>
      <c r="B81" s="130" t="s">
        <v>99</v>
      </c>
      <c r="C81" s="116"/>
      <c r="D81" s="117"/>
      <c r="E81" s="37">
        <v>26.07</v>
      </c>
      <c r="F81" s="32"/>
      <c r="G81" s="115" t="s">
        <v>76</v>
      </c>
      <c r="H81" s="116"/>
      <c r="I81" s="117"/>
      <c r="J81" s="37">
        <v>26.07</v>
      </c>
      <c r="K81" s="32"/>
      <c r="L81" s="40" t="s">
        <v>80</v>
      </c>
      <c r="M81" s="1"/>
      <c r="N81" s="1"/>
      <c r="O81" s="1"/>
      <c r="P81" s="1"/>
      <c r="Q81" s="1"/>
      <c r="R81" s="1"/>
      <c r="S81" s="1"/>
      <c r="T81" s="1"/>
      <c r="U81" s="1"/>
      <c r="V81" s="1"/>
      <c r="W81" s="1"/>
      <c r="X81" s="1"/>
      <c r="Y81" s="1"/>
      <c r="Z81" s="1"/>
    </row>
    <row r="82" spans="1:26" ht="15.75" customHeight="1">
      <c r="A82" s="7"/>
      <c r="B82" s="130" t="s">
        <v>96</v>
      </c>
      <c r="C82" s="116"/>
      <c r="D82" s="117"/>
      <c r="E82" s="37">
        <v>0.19</v>
      </c>
      <c r="F82" s="31"/>
      <c r="G82" s="115" t="s">
        <v>76</v>
      </c>
      <c r="H82" s="116"/>
      <c r="I82" s="117"/>
      <c r="J82" s="37">
        <v>0.19</v>
      </c>
      <c r="K82" s="30"/>
      <c r="L82" s="40" t="s">
        <v>80</v>
      </c>
      <c r="M82" s="1"/>
      <c r="N82" s="1"/>
      <c r="O82" s="1"/>
      <c r="P82" s="1"/>
      <c r="Q82" s="1"/>
      <c r="R82" s="1"/>
      <c r="S82" s="1"/>
      <c r="T82" s="1"/>
      <c r="U82" s="1"/>
      <c r="V82" s="1"/>
      <c r="W82" s="1"/>
      <c r="X82" s="1"/>
      <c r="Y82" s="1"/>
      <c r="Z82" s="1"/>
    </row>
    <row r="83" spans="1:26" ht="15.75" customHeight="1">
      <c r="A83" s="7"/>
      <c r="B83" s="130" t="s">
        <v>100</v>
      </c>
      <c r="C83" s="116"/>
      <c r="D83" s="117"/>
      <c r="E83" s="37">
        <v>0.23</v>
      </c>
      <c r="F83" s="30"/>
      <c r="G83" s="115" t="s">
        <v>41</v>
      </c>
      <c r="H83" s="116"/>
      <c r="I83" s="117"/>
      <c r="J83" s="37">
        <v>0.23</v>
      </c>
      <c r="K83" s="31"/>
      <c r="L83" s="40" t="s">
        <v>42</v>
      </c>
      <c r="M83" s="1">
        <f>SUM(J83:J86)</f>
        <v>11.91</v>
      </c>
      <c r="N83" s="1"/>
      <c r="O83" s="1"/>
      <c r="P83" s="1"/>
      <c r="Q83" s="1"/>
      <c r="R83" s="1"/>
      <c r="S83" s="1"/>
      <c r="T83" s="1"/>
      <c r="U83" s="1"/>
      <c r="V83" s="1"/>
      <c r="W83" s="1"/>
      <c r="X83" s="1"/>
      <c r="Y83" s="1"/>
      <c r="Z83" s="1"/>
    </row>
    <row r="84" spans="1:26" ht="15.75" customHeight="1">
      <c r="A84" s="7"/>
      <c r="B84" s="130" t="s">
        <v>89</v>
      </c>
      <c r="C84" s="116"/>
      <c r="D84" s="117"/>
      <c r="E84" s="37">
        <v>9.14</v>
      </c>
      <c r="F84" s="30"/>
      <c r="G84" s="115" t="s">
        <v>41</v>
      </c>
      <c r="H84" s="116"/>
      <c r="I84" s="117"/>
      <c r="J84" s="37">
        <v>9.14</v>
      </c>
      <c r="K84" s="31"/>
      <c r="L84" s="40" t="s">
        <v>42</v>
      </c>
      <c r="M84" s="1"/>
      <c r="N84" s="1"/>
      <c r="O84" s="1"/>
      <c r="P84" s="1"/>
      <c r="Q84" s="1"/>
      <c r="R84" s="1"/>
      <c r="S84" s="1"/>
      <c r="T84" s="1"/>
      <c r="U84" s="1"/>
      <c r="V84" s="1"/>
      <c r="W84" s="1"/>
      <c r="X84" s="1"/>
      <c r="Y84" s="1"/>
      <c r="Z84" s="1"/>
    </row>
    <row r="85" spans="1:26" ht="15.75" customHeight="1">
      <c r="A85" s="84"/>
      <c r="B85" s="131" t="s">
        <v>73</v>
      </c>
      <c r="C85" s="119"/>
      <c r="D85" s="120"/>
      <c r="E85" s="37">
        <v>0.5</v>
      </c>
      <c r="F85" s="30"/>
      <c r="G85" s="115" t="s">
        <v>41</v>
      </c>
      <c r="H85" s="116"/>
      <c r="I85" s="117"/>
      <c r="J85" s="37">
        <v>0.5</v>
      </c>
      <c r="K85" s="31"/>
      <c r="L85" s="40" t="s">
        <v>42</v>
      </c>
      <c r="M85" s="1"/>
      <c r="N85" s="1"/>
      <c r="O85" s="1"/>
      <c r="P85" s="1"/>
      <c r="Q85" s="1"/>
      <c r="R85" s="1"/>
      <c r="S85" s="1"/>
      <c r="T85" s="1"/>
      <c r="U85" s="1"/>
      <c r="V85" s="1"/>
      <c r="W85" s="1"/>
      <c r="X85" s="1"/>
      <c r="Y85" s="1"/>
      <c r="Z85" s="1"/>
    </row>
    <row r="86" spans="1:26" ht="15.75" customHeight="1">
      <c r="A86" s="84"/>
      <c r="B86" s="130" t="s">
        <v>75</v>
      </c>
      <c r="C86" s="116"/>
      <c r="D86" s="117"/>
      <c r="E86" s="32">
        <v>2.04</v>
      </c>
      <c r="F86" s="30"/>
      <c r="G86" s="115" t="s">
        <v>76</v>
      </c>
      <c r="H86" s="116"/>
      <c r="I86" s="117"/>
      <c r="J86" s="32">
        <v>2.04</v>
      </c>
      <c r="K86" s="31"/>
      <c r="L86" s="40" t="s">
        <v>42</v>
      </c>
      <c r="M86" s="1"/>
      <c r="N86" s="1"/>
      <c r="O86" s="1"/>
      <c r="P86" s="1"/>
      <c r="Q86" s="1"/>
      <c r="R86" s="1"/>
      <c r="S86" s="1"/>
      <c r="T86" s="1"/>
      <c r="U86" s="1"/>
      <c r="V86" s="1"/>
      <c r="W86" s="1"/>
      <c r="X86" s="1"/>
      <c r="Y86" s="1"/>
      <c r="Z86" s="1"/>
    </row>
    <row r="87" spans="1:26" ht="15.75" customHeight="1">
      <c r="A87" s="84"/>
      <c r="B87" s="130" t="s">
        <v>99</v>
      </c>
      <c r="C87" s="116"/>
      <c r="D87" s="117"/>
      <c r="E87" s="32">
        <v>21.08</v>
      </c>
      <c r="F87" s="32"/>
      <c r="G87" s="115" t="s">
        <v>76</v>
      </c>
      <c r="H87" s="116"/>
      <c r="I87" s="117"/>
      <c r="J87" s="32">
        <v>21.08</v>
      </c>
      <c r="K87" s="32"/>
      <c r="L87" s="40" t="s">
        <v>80</v>
      </c>
      <c r="M87" s="1"/>
      <c r="N87" s="1"/>
      <c r="O87" s="1"/>
      <c r="P87" s="1"/>
      <c r="Q87" s="1"/>
      <c r="R87" s="1"/>
      <c r="S87" s="1"/>
      <c r="T87" s="1"/>
      <c r="U87" s="1"/>
      <c r="V87" s="1"/>
      <c r="W87" s="1"/>
      <c r="X87" s="1"/>
      <c r="Y87" s="1"/>
      <c r="Z87" s="1"/>
    </row>
    <row r="88" spans="1:26" ht="15.75" customHeight="1">
      <c r="A88" s="84"/>
      <c r="B88" s="130" t="s">
        <v>101</v>
      </c>
      <c r="C88" s="116"/>
      <c r="D88" s="117"/>
      <c r="E88" s="32">
        <v>0.41</v>
      </c>
      <c r="F88" s="32"/>
      <c r="G88" s="115" t="s">
        <v>41</v>
      </c>
      <c r="H88" s="116"/>
      <c r="I88" s="117"/>
      <c r="J88" s="32">
        <v>0.41</v>
      </c>
      <c r="K88" s="32"/>
      <c r="L88" s="40" t="s">
        <v>80</v>
      </c>
      <c r="M88" s="1"/>
      <c r="N88" s="1"/>
      <c r="O88" s="1"/>
      <c r="P88" s="1"/>
      <c r="Q88" s="1"/>
      <c r="R88" s="1"/>
      <c r="S88" s="1"/>
      <c r="T88" s="1"/>
      <c r="U88" s="1"/>
      <c r="V88" s="1"/>
      <c r="W88" s="1"/>
      <c r="X88" s="1"/>
      <c r="Y88" s="1"/>
      <c r="Z88" s="1"/>
    </row>
    <row r="89" spans="1:26" ht="15.75" customHeight="1">
      <c r="A89" s="84"/>
      <c r="B89" s="131" t="s">
        <v>60</v>
      </c>
      <c r="C89" s="119"/>
      <c r="D89" s="120"/>
      <c r="E89" s="37">
        <v>0.5</v>
      </c>
      <c r="F89" s="30"/>
      <c r="G89" s="115" t="s">
        <v>41</v>
      </c>
      <c r="H89" s="116"/>
      <c r="I89" s="117"/>
      <c r="J89" s="37">
        <v>0.5</v>
      </c>
      <c r="K89" s="31"/>
      <c r="L89" s="40" t="s">
        <v>42</v>
      </c>
      <c r="M89" s="1">
        <f>SUM(J89:J92)</f>
        <v>11.08</v>
      </c>
      <c r="N89" s="1"/>
      <c r="O89" s="1"/>
      <c r="P89" s="1"/>
      <c r="Q89" s="1"/>
      <c r="R89" s="1"/>
      <c r="S89" s="1"/>
      <c r="T89" s="1"/>
      <c r="U89" s="1"/>
      <c r="V89" s="1"/>
      <c r="W89" s="1"/>
      <c r="X89" s="1"/>
      <c r="Y89" s="1"/>
      <c r="Z89" s="1"/>
    </row>
    <row r="90" spans="1:26" ht="15.75" customHeight="1">
      <c r="A90" s="84"/>
      <c r="B90" s="130" t="s">
        <v>89</v>
      </c>
      <c r="C90" s="116"/>
      <c r="D90" s="117"/>
      <c r="E90" s="32">
        <v>6.08</v>
      </c>
      <c r="F90" s="30"/>
      <c r="G90" s="115" t="s">
        <v>41</v>
      </c>
      <c r="H90" s="116"/>
      <c r="I90" s="117"/>
      <c r="J90" s="32">
        <v>6.08</v>
      </c>
      <c r="K90" s="31"/>
      <c r="L90" s="40" t="s">
        <v>42</v>
      </c>
      <c r="M90" s="1"/>
      <c r="N90" s="1"/>
      <c r="O90" s="1"/>
      <c r="P90" s="1"/>
      <c r="Q90" s="1"/>
      <c r="R90" s="1"/>
      <c r="S90" s="1"/>
      <c r="T90" s="1"/>
      <c r="U90" s="1"/>
      <c r="V90" s="1"/>
      <c r="W90" s="1"/>
      <c r="X90" s="1"/>
      <c r="Y90" s="1"/>
      <c r="Z90" s="1"/>
    </row>
    <row r="91" spans="1:26" ht="15.75" customHeight="1">
      <c r="A91" s="84"/>
      <c r="B91" s="131" t="s">
        <v>73</v>
      </c>
      <c r="C91" s="119"/>
      <c r="D91" s="120"/>
      <c r="E91" s="37">
        <v>0.5</v>
      </c>
      <c r="F91" s="30"/>
      <c r="G91" s="115" t="s">
        <v>41</v>
      </c>
      <c r="H91" s="116"/>
      <c r="I91" s="117"/>
      <c r="J91" s="37">
        <v>0.5</v>
      </c>
      <c r="K91" s="31"/>
      <c r="L91" s="40" t="s">
        <v>42</v>
      </c>
      <c r="M91" s="1"/>
      <c r="N91" s="1"/>
      <c r="O91" s="1"/>
      <c r="P91" s="1"/>
      <c r="Q91" s="1"/>
      <c r="R91" s="1"/>
      <c r="S91" s="1"/>
      <c r="T91" s="1"/>
      <c r="U91" s="1"/>
      <c r="V91" s="1"/>
      <c r="W91" s="1"/>
      <c r="X91" s="1"/>
      <c r="Y91" s="1"/>
      <c r="Z91" s="1"/>
    </row>
    <row r="92" spans="1:26" ht="15.75" customHeight="1">
      <c r="A92" s="84"/>
      <c r="B92" s="130" t="s">
        <v>102</v>
      </c>
      <c r="C92" s="116"/>
      <c r="D92" s="117"/>
      <c r="E92" s="32">
        <v>4</v>
      </c>
      <c r="F92" s="30"/>
      <c r="G92" s="115" t="s">
        <v>76</v>
      </c>
      <c r="H92" s="116"/>
      <c r="I92" s="117"/>
      <c r="J92" s="32">
        <v>4</v>
      </c>
      <c r="K92" s="31"/>
      <c r="L92" s="40" t="s">
        <v>42</v>
      </c>
      <c r="M92" s="1"/>
      <c r="N92" s="1"/>
      <c r="O92" s="1"/>
      <c r="P92" s="1"/>
      <c r="Q92" s="1"/>
      <c r="R92" s="1"/>
      <c r="S92" s="1"/>
      <c r="T92" s="1"/>
      <c r="U92" s="1"/>
      <c r="V92" s="1"/>
      <c r="W92" s="1"/>
      <c r="X92" s="1"/>
      <c r="Y92" s="1"/>
      <c r="Z92" s="1"/>
    </row>
    <row r="93" spans="1:26" ht="15.75" customHeight="1">
      <c r="A93" s="84"/>
      <c r="B93" s="130" t="s">
        <v>103</v>
      </c>
      <c r="C93" s="116"/>
      <c r="D93" s="117"/>
      <c r="E93" s="32">
        <v>27.23</v>
      </c>
      <c r="F93" s="32"/>
      <c r="G93" s="115" t="s">
        <v>76</v>
      </c>
      <c r="H93" s="116"/>
      <c r="I93" s="117"/>
      <c r="J93" s="32">
        <v>27.23</v>
      </c>
      <c r="K93" s="32"/>
      <c r="L93" s="40" t="s">
        <v>80</v>
      </c>
      <c r="M93" s="1"/>
      <c r="N93" s="1"/>
      <c r="O93" s="1"/>
      <c r="P93" s="1"/>
      <c r="Q93" s="1"/>
      <c r="R93" s="1"/>
      <c r="S93" s="1"/>
      <c r="T93" s="1"/>
      <c r="U93" s="1"/>
      <c r="V93" s="1"/>
      <c r="W93" s="1"/>
      <c r="X93" s="1"/>
      <c r="Y93" s="1"/>
      <c r="Z93" s="1"/>
    </row>
    <row r="94" spans="1:26" ht="15.75" customHeight="1">
      <c r="A94" s="84"/>
      <c r="B94" s="110" t="s">
        <v>104</v>
      </c>
      <c r="C94" s="111"/>
      <c r="D94" s="111"/>
      <c r="E94" s="37">
        <v>4.7</v>
      </c>
      <c r="F94" s="32"/>
      <c r="G94" s="115" t="s">
        <v>76</v>
      </c>
      <c r="H94" s="116"/>
      <c r="I94" s="117"/>
      <c r="J94" s="37">
        <v>4.7</v>
      </c>
      <c r="K94" s="32"/>
      <c r="L94" s="40" t="s">
        <v>80</v>
      </c>
      <c r="M94" s="1"/>
      <c r="N94" s="1"/>
      <c r="O94" s="1"/>
      <c r="P94" s="1"/>
      <c r="Q94" s="1"/>
      <c r="R94" s="1"/>
      <c r="S94" s="1"/>
      <c r="T94" s="1"/>
      <c r="U94" s="1"/>
      <c r="V94" s="1"/>
      <c r="W94" s="1"/>
      <c r="X94" s="1"/>
      <c r="Y94" s="1"/>
      <c r="Z94" s="1"/>
    </row>
    <row r="95" spans="1:26" ht="15.75" customHeight="1">
      <c r="A95" s="84"/>
      <c r="B95" s="110" t="s">
        <v>105</v>
      </c>
      <c r="C95" s="111"/>
      <c r="D95" s="111"/>
      <c r="E95" s="37">
        <v>5.8</v>
      </c>
      <c r="F95" s="32"/>
      <c r="G95" s="115" t="s">
        <v>76</v>
      </c>
      <c r="H95" s="116"/>
      <c r="I95" s="117"/>
      <c r="J95" s="37">
        <v>5.8</v>
      </c>
      <c r="K95" s="32"/>
      <c r="L95" s="40" t="s">
        <v>80</v>
      </c>
      <c r="M95" s="1"/>
      <c r="N95" s="1"/>
      <c r="O95" s="1"/>
      <c r="P95" s="1"/>
      <c r="Q95" s="1"/>
      <c r="R95" s="1"/>
      <c r="S95" s="1"/>
      <c r="T95" s="1"/>
      <c r="U95" s="1"/>
      <c r="V95" s="1"/>
      <c r="W95" s="1"/>
      <c r="X95" s="1"/>
      <c r="Y95" s="1"/>
      <c r="Z95" s="1"/>
    </row>
    <row r="96" spans="1:26" ht="15.75" customHeight="1">
      <c r="A96" s="84"/>
      <c r="B96" s="121" t="s">
        <v>108</v>
      </c>
      <c r="C96" s="122"/>
      <c r="D96" s="122"/>
      <c r="E96" s="37">
        <v>0.5</v>
      </c>
      <c r="F96" s="32"/>
      <c r="G96" s="115" t="s">
        <v>76</v>
      </c>
      <c r="H96" s="116"/>
      <c r="I96" s="117"/>
      <c r="J96" s="37">
        <v>0.5</v>
      </c>
      <c r="K96" s="32"/>
      <c r="L96" s="40" t="s">
        <v>80</v>
      </c>
      <c r="M96" s="1"/>
      <c r="N96" s="1"/>
      <c r="O96" s="1"/>
      <c r="P96" s="1"/>
      <c r="Q96" s="1"/>
      <c r="R96" s="1"/>
      <c r="S96" s="1"/>
      <c r="T96" s="1"/>
      <c r="U96" s="1"/>
      <c r="V96" s="1"/>
      <c r="W96" s="1"/>
      <c r="X96" s="1"/>
      <c r="Y96" s="1"/>
      <c r="Z96" s="1"/>
    </row>
    <row r="97" spans="1:26" ht="15.75" customHeight="1">
      <c r="A97" s="84"/>
      <c r="B97" s="121" t="s">
        <v>109</v>
      </c>
      <c r="C97" s="122"/>
      <c r="D97" s="122"/>
      <c r="E97" s="37">
        <v>0.5</v>
      </c>
      <c r="F97" s="32"/>
      <c r="G97" s="115" t="s">
        <v>76</v>
      </c>
      <c r="H97" s="116"/>
      <c r="I97" s="117"/>
      <c r="J97" s="37">
        <v>0.5</v>
      </c>
      <c r="K97" s="32"/>
      <c r="L97" s="40" t="s">
        <v>80</v>
      </c>
      <c r="M97" s="1"/>
      <c r="N97" s="1"/>
      <c r="O97" s="1"/>
      <c r="P97" s="1"/>
      <c r="Q97" s="1"/>
      <c r="R97" s="1"/>
      <c r="S97" s="1"/>
      <c r="T97" s="1"/>
      <c r="U97" s="1"/>
      <c r="V97" s="1"/>
      <c r="W97" s="1"/>
      <c r="X97" s="1"/>
      <c r="Y97" s="1"/>
      <c r="Z97" s="1"/>
    </row>
    <row r="98" spans="1:26" ht="15.75" customHeight="1">
      <c r="A98" s="84"/>
      <c r="B98" s="110" t="s">
        <v>105</v>
      </c>
      <c r="C98" s="111"/>
      <c r="D98" s="111"/>
      <c r="E98" s="37">
        <v>26.2</v>
      </c>
      <c r="F98" s="32"/>
      <c r="G98" s="115" t="s">
        <v>76</v>
      </c>
      <c r="H98" s="116"/>
      <c r="I98" s="117"/>
      <c r="J98" s="37">
        <v>26.2</v>
      </c>
      <c r="K98" s="32"/>
      <c r="L98" s="40" t="s">
        <v>80</v>
      </c>
      <c r="M98" s="1"/>
      <c r="N98" s="1"/>
      <c r="O98" s="1"/>
      <c r="P98" s="1"/>
      <c r="Q98" s="1"/>
      <c r="R98" s="1"/>
      <c r="S98" s="1"/>
      <c r="T98" s="1"/>
      <c r="U98" s="1"/>
      <c r="V98" s="1"/>
      <c r="W98" s="1"/>
      <c r="X98" s="1"/>
      <c r="Y98" s="1"/>
      <c r="Z98" s="1"/>
    </row>
    <row r="99" spans="1:26" ht="15.75" customHeight="1">
      <c r="A99" s="84"/>
      <c r="B99" s="110" t="s">
        <v>104</v>
      </c>
      <c r="C99" s="111"/>
      <c r="D99" s="111"/>
      <c r="E99" s="37">
        <v>2</v>
      </c>
      <c r="F99" s="32"/>
      <c r="G99" s="115" t="s">
        <v>76</v>
      </c>
      <c r="H99" s="116"/>
      <c r="I99" s="117"/>
      <c r="J99" s="37">
        <v>2</v>
      </c>
      <c r="K99" s="32"/>
      <c r="L99" s="40" t="s">
        <v>80</v>
      </c>
      <c r="M99" s="1"/>
      <c r="N99" s="1"/>
      <c r="O99" s="1"/>
      <c r="P99" s="1"/>
      <c r="Q99" s="1"/>
      <c r="R99" s="1"/>
      <c r="S99" s="1"/>
      <c r="T99" s="1"/>
      <c r="U99" s="1"/>
      <c r="V99" s="1"/>
      <c r="W99" s="1"/>
      <c r="X99" s="1"/>
      <c r="Y99" s="1"/>
      <c r="Z99" s="1"/>
    </row>
    <row r="100" spans="1:26" ht="15.75" customHeight="1">
      <c r="A100" s="84"/>
      <c r="B100" s="110" t="s">
        <v>105</v>
      </c>
      <c r="C100" s="111"/>
      <c r="D100" s="111"/>
      <c r="E100" s="37">
        <v>17.399999999999999</v>
      </c>
      <c r="F100" s="32"/>
      <c r="G100" s="115" t="s">
        <v>76</v>
      </c>
      <c r="H100" s="116"/>
      <c r="I100" s="117"/>
      <c r="J100" s="37">
        <v>17.399999999999999</v>
      </c>
      <c r="K100" s="32"/>
      <c r="L100" s="40" t="s">
        <v>80</v>
      </c>
      <c r="M100" s="1"/>
      <c r="N100" s="1"/>
      <c r="O100" s="1"/>
      <c r="P100" s="1"/>
      <c r="Q100" s="1"/>
      <c r="R100" s="1"/>
      <c r="S100" s="1"/>
      <c r="T100" s="1"/>
      <c r="U100" s="1"/>
      <c r="V100" s="1"/>
      <c r="W100" s="1"/>
      <c r="X100" s="1"/>
      <c r="Y100" s="1"/>
      <c r="Z100" s="1"/>
    </row>
    <row r="101" spans="1:26" ht="15.75" customHeight="1">
      <c r="A101" s="84"/>
      <c r="B101" s="110" t="s">
        <v>104</v>
      </c>
      <c r="C101" s="111"/>
      <c r="D101" s="111"/>
      <c r="E101" s="36">
        <v>2</v>
      </c>
      <c r="F101" s="39"/>
      <c r="G101" s="115" t="s">
        <v>76</v>
      </c>
      <c r="H101" s="116"/>
      <c r="I101" s="117"/>
      <c r="J101" s="36">
        <v>2</v>
      </c>
      <c r="K101" s="32"/>
      <c r="L101" s="40" t="s">
        <v>80</v>
      </c>
      <c r="M101" s="1"/>
      <c r="N101" s="1"/>
      <c r="O101" s="1"/>
      <c r="P101" s="1"/>
      <c r="Q101" s="1"/>
      <c r="R101" s="1"/>
      <c r="S101" s="1"/>
      <c r="T101" s="1"/>
      <c r="U101" s="1"/>
      <c r="V101" s="1"/>
      <c r="W101" s="1"/>
      <c r="X101" s="1"/>
      <c r="Y101" s="1"/>
      <c r="Z101" s="1"/>
    </row>
    <row r="102" spans="1:26" ht="15.75" customHeight="1">
      <c r="A102" s="84"/>
      <c r="B102" s="110" t="s">
        <v>105</v>
      </c>
      <c r="C102" s="111"/>
      <c r="D102" s="111"/>
      <c r="E102" s="36">
        <v>18.899999999999999</v>
      </c>
      <c r="F102" s="39"/>
      <c r="G102" s="115" t="s">
        <v>76</v>
      </c>
      <c r="H102" s="116"/>
      <c r="I102" s="117"/>
      <c r="J102" s="36">
        <v>18.899999999999999</v>
      </c>
      <c r="K102" s="32"/>
      <c r="L102" s="40" t="s">
        <v>80</v>
      </c>
      <c r="M102" s="1"/>
      <c r="N102" s="1"/>
      <c r="O102" s="1"/>
      <c r="P102" s="1"/>
      <c r="Q102" s="1"/>
      <c r="R102" s="1"/>
      <c r="S102" s="1"/>
      <c r="T102" s="1"/>
      <c r="U102" s="1"/>
      <c r="V102" s="1"/>
      <c r="W102" s="1"/>
      <c r="X102" s="1"/>
      <c r="Y102" s="1"/>
      <c r="Z102" s="1"/>
    </row>
    <row r="103" spans="1:26" ht="15.75" customHeight="1">
      <c r="A103" s="84"/>
      <c r="B103" s="110" t="s">
        <v>104</v>
      </c>
      <c r="C103" s="111"/>
      <c r="D103" s="111"/>
      <c r="E103" s="36">
        <v>1.5</v>
      </c>
      <c r="F103" s="39"/>
      <c r="G103" s="115" t="s">
        <v>76</v>
      </c>
      <c r="H103" s="116"/>
      <c r="I103" s="117"/>
      <c r="J103" s="36">
        <v>1.5</v>
      </c>
      <c r="K103" s="32"/>
      <c r="L103" s="40" t="s">
        <v>80</v>
      </c>
      <c r="M103" s="1"/>
      <c r="N103" s="1"/>
      <c r="O103" s="1"/>
      <c r="P103" s="1"/>
      <c r="Q103" s="1"/>
      <c r="R103" s="1"/>
      <c r="S103" s="1"/>
      <c r="T103" s="1"/>
      <c r="U103" s="1"/>
      <c r="V103" s="1"/>
      <c r="W103" s="1"/>
      <c r="X103" s="1"/>
      <c r="Y103" s="1"/>
      <c r="Z103" s="1"/>
    </row>
    <row r="104" spans="1:26" ht="15.75" customHeight="1">
      <c r="A104" s="84"/>
      <c r="B104" s="110" t="s">
        <v>105</v>
      </c>
      <c r="C104" s="111"/>
      <c r="D104" s="111"/>
      <c r="E104" s="36">
        <v>4.5</v>
      </c>
      <c r="F104" s="39"/>
      <c r="G104" s="115" t="s">
        <v>76</v>
      </c>
      <c r="H104" s="116"/>
      <c r="I104" s="117"/>
      <c r="J104" s="36">
        <v>4.5</v>
      </c>
      <c r="K104" s="32"/>
      <c r="L104" s="40" t="s">
        <v>80</v>
      </c>
      <c r="M104" s="1"/>
      <c r="N104" s="1"/>
      <c r="O104" s="1"/>
      <c r="P104" s="1"/>
      <c r="Q104" s="1"/>
      <c r="R104" s="1"/>
      <c r="S104" s="1"/>
      <c r="T104" s="1"/>
      <c r="U104" s="1"/>
      <c r="V104" s="1"/>
      <c r="W104" s="1"/>
      <c r="X104" s="1"/>
      <c r="Y104" s="1"/>
      <c r="Z104" s="1"/>
    </row>
    <row r="105" spans="1:26" ht="15.75" customHeight="1">
      <c r="A105" s="84"/>
      <c r="B105" s="110" t="s">
        <v>104</v>
      </c>
      <c r="C105" s="111"/>
      <c r="D105" s="111"/>
      <c r="E105" s="37">
        <v>1.1000000000000001</v>
      </c>
      <c r="F105" s="39"/>
      <c r="G105" s="115" t="s">
        <v>76</v>
      </c>
      <c r="H105" s="116"/>
      <c r="I105" s="117"/>
      <c r="J105" s="37">
        <v>1.1000000000000001</v>
      </c>
      <c r="K105" s="32"/>
      <c r="L105" s="40" t="s">
        <v>80</v>
      </c>
      <c r="M105" s="1"/>
      <c r="N105" s="1"/>
      <c r="O105" s="1"/>
      <c r="P105" s="1"/>
      <c r="Q105" s="1"/>
      <c r="R105" s="1"/>
      <c r="S105" s="1"/>
      <c r="T105" s="1"/>
      <c r="U105" s="1"/>
      <c r="V105" s="1"/>
      <c r="W105" s="1"/>
      <c r="X105" s="1"/>
      <c r="Y105" s="1"/>
      <c r="Z105" s="1"/>
    </row>
    <row r="106" spans="1:26" ht="15.75" customHeight="1">
      <c r="A106" s="84"/>
      <c r="B106" s="110" t="s">
        <v>105</v>
      </c>
      <c r="C106" s="111"/>
      <c r="D106" s="111"/>
      <c r="E106" s="37">
        <v>3.6</v>
      </c>
      <c r="F106" s="39"/>
      <c r="G106" s="115" t="s">
        <v>76</v>
      </c>
      <c r="H106" s="116"/>
      <c r="I106" s="117"/>
      <c r="J106" s="37">
        <v>3.6</v>
      </c>
      <c r="K106" s="32"/>
      <c r="L106" s="40" t="s">
        <v>80</v>
      </c>
      <c r="M106" s="1"/>
      <c r="N106" s="1"/>
      <c r="O106" s="1"/>
      <c r="P106" s="1"/>
      <c r="Q106" s="1"/>
      <c r="R106" s="1"/>
      <c r="S106" s="1"/>
      <c r="T106" s="1"/>
      <c r="U106" s="1"/>
      <c r="V106" s="1"/>
      <c r="W106" s="1"/>
      <c r="X106" s="1"/>
      <c r="Y106" s="1"/>
      <c r="Z106" s="1"/>
    </row>
    <row r="107" spans="1:26" ht="15.75" customHeight="1">
      <c r="A107" s="84"/>
      <c r="B107" s="110" t="s">
        <v>104</v>
      </c>
      <c r="C107" s="111"/>
      <c r="D107" s="111"/>
      <c r="E107" s="37">
        <v>1</v>
      </c>
      <c r="F107" s="39"/>
      <c r="G107" s="115" t="s">
        <v>76</v>
      </c>
      <c r="H107" s="116"/>
      <c r="I107" s="117"/>
      <c r="J107" s="37">
        <v>1</v>
      </c>
      <c r="K107" s="32"/>
      <c r="L107" s="40" t="s">
        <v>80</v>
      </c>
      <c r="M107" s="1"/>
      <c r="N107" s="1"/>
      <c r="O107" s="1"/>
      <c r="P107" s="1"/>
      <c r="Q107" s="1"/>
      <c r="R107" s="1"/>
      <c r="S107" s="1"/>
      <c r="T107" s="1"/>
      <c r="U107" s="1"/>
      <c r="V107" s="1"/>
      <c r="W107" s="1"/>
      <c r="X107" s="1"/>
      <c r="Y107" s="1"/>
      <c r="Z107" s="1"/>
    </row>
    <row r="108" spans="1:26" ht="15.75" customHeight="1">
      <c r="A108" s="84"/>
      <c r="B108" s="110" t="s">
        <v>105</v>
      </c>
      <c r="C108" s="111"/>
      <c r="D108" s="111"/>
      <c r="E108" s="37">
        <v>4.4000000000000004</v>
      </c>
      <c r="F108" s="32"/>
      <c r="G108" s="115" t="s">
        <v>76</v>
      </c>
      <c r="H108" s="116"/>
      <c r="I108" s="117"/>
      <c r="J108" s="37">
        <v>4.4000000000000004</v>
      </c>
      <c r="K108" s="32"/>
      <c r="L108" s="40" t="s">
        <v>80</v>
      </c>
      <c r="M108" s="1"/>
      <c r="N108" s="1"/>
      <c r="O108" s="1"/>
      <c r="P108" s="1"/>
      <c r="Q108" s="1"/>
      <c r="R108" s="1"/>
      <c r="S108" s="1"/>
      <c r="T108" s="1"/>
      <c r="U108" s="1"/>
      <c r="V108" s="1"/>
      <c r="W108" s="1"/>
      <c r="X108" s="1"/>
      <c r="Y108" s="1"/>
      <c r="Z108" s="1"/>
    </row>
    <row r="109" spans="1:26" ht="15.75" customHeight="1">
      <c r="A109" s="84"/>
      <c r="B109" s="121" t="s">
        <v>109</v>
      </c>
      <c r="C109" s="122"/>
      <c r="D109" s="122"/>
      <c r="E109" s="37">
        <v>0.5</v>
      </c>
      <c r="F109" s="32"/>
      <c r="G109" s="115" t="s">
        <v>76</v>
      </c>
      <c r="H109" s="116"/>
      <c r="I109" s="117"/>
      <c r="J109" s="37">
        <v>0.5</v>
      </c>
      <c r="K109" s="32"/>
      <c r="L109" s="40" t="s">
        <v>80</v>
      </c>
      <c r="M109" s="1"/>
      <c r="N109" s="1"/>
      <c r="O109" s="1"/>
      <c r="P109" s="1"/>
      <c r="Q109" s="1"/>
      <c r="R109" s="1"/>
      <c r="S109" s="1"/>
      <c r="T109" s="1"/>
      <c r="U109" s="1"/>
      <c r="V109" s="1"/>
      <c r="W109" s="1"/>
      <c r="X109" s="1"/>
      <c r="Y109" s="1"/>
      <c r="Z109" s="1"/>
    </row>
    <row r="110" spans="1:26" ht="15.75" customHeight="1">
      <c r="A110" s="84"/>
      <c r="B110" s="110" t="s">
        <v>105</v>
      </c>
      <c r="C110" s="111"/>
      <c r="D110" s="111"/>
      <c r="E110" s="37">
        <f>19.5+1.7</f>
        <v>21.2</v>
      </c>
      <c r="F110" s="30"/>
      <c r="G110" s="115" t="s">
        <v>41</v>
      </c>
      <c r="H110" s="116"/>
      <c r="I110" s="117"/>
      <c r="J110" s="37">
        <f>19.5+1.7</f>
        <v>21.2</v>
      </c>
      <c r="K110" s="31"/>
      <c r="L110" s="40" t="s">
        <v>42</v>
      </c>
      <c r="M110" s="1">
        <f>SUM(J110:J118)</f>
        <v>56.4</v>
      </c>
      <c r="N110" s="1"/>
      <c r="O110" s="1"/>
      <c r="P110" s="1"/>
      <c r="Q110" s="1"/>
      <c r="R110" s="1"/>
      <c r="S110" s="1"/>
      <c r="T110" s="1"/>
      <c r="U110" s="1"/>
      <c r="V110" s="1"/>
      <c r="W110" s="1"/>
      <c r="X110" s="1"/>
      <c r="Y110" s="1"/>
      <c r="Z110" s="1"/>
    </row>
    <row r="111" spans="1:26" ht="15.75" customHeight="1">
      <c r="A111" s="84"/>
      <c r="B111" s="121" t="s">
        <v>109</v>
      </c>
      <c r="C111" s="122"/>
      <c r="D111" s="122"/>
      <c r="E111" s="37">
        <v>0.4</v>
      </c>
      <c r="F111" s="30"/>
      <c r="G111" s="115" t="s">
        <v>41</v>
      </c>
      <c r="H111" s="116"/>
      <c r="I111" s="117"/>
      <c r="J111" s="37">
        <v>0.4</v>
      </c>
      <c r="K111" s="31"/>
      <c r="L111" s="40" t="s">
        <v>42</v>
      </c>
      <c r="M111" s="1"/>
      <c r="N111" s="1"/>
      <c r="O111" s="1"/>
      <c r="P111" s="1"/>
      <c r="Q111" s="1"/>
      <c r="R111" s="1"/>
      <c r="S111" s="1"/>
      <c r="T111" s="1"/>
      <c r="U111" s="1"/>
      <c r="V111" s="1"/>
      <c r="W111" s="1"/>
      <c r="X111" s="1"/>
      <c r="Y111" s="1"/>
      <c r="Z111" s="1"/>
    </row>
    <row r="112" spans="1:26" ht="15.75" customHeight="1">
      <c r="A112" s="84"/>
      <c r="B112" s="110" t="s">
        <v>105</v>
      </c>
      <c r="C112" s="111"/>
      <c r="D112" s="111"/>
      <c r="E112" s="37">
        <v>7.9</v>
      </c>
      <c r="F112" s="30"/>
      <c r="G112" s="115" t="s">
        <v>41</v>
      </c>
      <c r="H112" s="116"/>
      <c r="I112" s="117"/>
      <c r="J112" s="37">
        <v>7.9</v>
      </c>
      <c r="K112" s="31"/>
      <c r="L112" s="40" t="s">
        <v>42</v>
      </c>
      <c r="M112" s="1"/>
      <c r="N112" s="1"/>
      <c r="O112" s="1"/>
      <c r="P112" s="1"/>
      <c r="Q112" s="1"/>
      <c r="R112" s="1"/>
      <c r="S112" s="1"/>
      <c r="T112" s="1"/>
      <c r="U112" s="1"/>
      <c r="V112" s="1"/>
      <c r="W112" s="1"/>
      <c r="X112" s="1"/>
      <c r="Y112" s="1"/>
      <c r="Z112" s="1"/>
    </row>
    <row r="113" spans="1:26" ht="15.75" customHeight="1">
      <c r="A113" s="84"/>
      <c r="B113" s="118" t="s">
        <v>108</v>
      </c>
      <c r="C113" s="119"/>
      <c r="D113" s="120"/>
      <c r="E113" s="37">
        <v>0.5</v>
      </c>
      <c r="F113" s="30"/>
      <c r="G113" s="115" t="s">
        <v>41</v>
      </c>
      <c r="H113" s="116"/>
      <c r="I113" s="117"/>
      <c r="J113" s="37">
        <v>0.5</v>
      </c>
      <c r="K113" s="31"/>
      <c r="L113" s="40" t="s">
        <v>42</v>
      </c>
      <c r="M113" s="1"/>
      <c r="N113" s="1"/>
      <c r="O113" s="1"/>
      <c r="P113" s="1"/>
      <c r="Q113" s="1"/>
      <c r="R113" s="1"/>
      <c r="S113" s="1"/>
      <c r="T113" s="1"/>
      <c r="U113" s="1"/>
      <c r="V113" s="1"/>
      <c r="W113" s="1"/>
      <c r="X113" s="1"/>
      <c r="Y113" s="1"/>
      <c r="Z113" s="1"/>
    </row>
    <row r="114" spans="1:26" ht="15.75" customHeight="1">
      <c r="A114" s="84"/>
      <c r="B114" s="110" t="s">
        <v>105</v>
      </c>
      <c r="C114" s="111"/>
      <c r="D114" s="111"/>
      <c r="E114" s="37">
        <v>24</v>
      </c>
      <c r="F114" s="30"/>
      <c r="G114" s="115" t="s">
        <v>41</v>
      </c>
      <c r="H114" s="116"/>
      <c r="I114" s="117"/>
      <c r="J114" s="37">
        <v>24</v>
      </c>
      <c r="K114" s="31"/>
      <c r="L114" s="40" t="s">
        <v>42</v>
      </c>
      <c r="M114" s="1"/>
      <c r="N114" s="1"/>
      <c r="O114" s="1"/>
      <c r="P114" s="1"/>
      <c r="Q114" s="1"/>
      <c r="R114" s="1"/>
      <c r="S114" s="1"/>
      <c r="T114" s="1"/>
      <c r="U114" s="1"/>
      <c r="V114" s="1"/>
      <c r="W114" s="1"/>
      <c r="X114" s="1"/>
      <c r="Y114" s="1"/>
      <c r="Z114" s="1"/>
    </row>
    <row r="115" spans="1:26" ht="15.75" customHeight="1">
      <c r="A115" s="84"/>
      <c r="B115" s="118" t="s">
        <v>108</v>
      </c>
      <c r="C115" s="119"/>
      <c r="D115" s="120"/>
      <c r="E115" s="37">
        <v>0.5</v>
      </c>
      <c r="F115" s="30"/>
      <c r="G115" s="115" t="s">
        <v>41</v>
      </c>
      <c r="H115" s="116"/>
      <c r="I115" s="117"/>
      <c r="J115" s="37">
        <v>0.5</v>
      </c>
      <c r="K115" s="31"/>
      <c r="L115" s="40" t="s">
        <v>42</v>
      </c>
      <c r="M115" s="1"/>
      <c r="N115" s="1"/>
      <c r="O115" s="1"/>
      <c r="P115" s="1"/>
      <c r="Q115" s="1"/>
      <c r="R115" s="1"/>
      <c r="S115" s="1"/>
      <c r="T115" s="1"/>
      <c r="U115" s="1"/>
      <c r="V115" s="1"/>
      <c r="W115" s="1"/>
      <c r="X115" s="1"/>
      <c r="Y115" s="1"/>
      <c r="Z115" s="1"/>
    </row>
    <row r="116" spans="1:26" ht="15.75" customHeight="1">
      <c r="A116" s="84"/>
      <c r="B116" s="110" t="s">
        <v>105</v>
      </c>
      <c r="C116" s="111"/>
      <c r="D116" s="111"/>
      <c r="E116" s="36">
        <v>0.9</v>
      </c>
      <c r="F116" s="30"/>
      <c r="G116" s="115" t="s">
        <v>41</v>
      </c>
      <c r="H116" s="116"/>
      <c r="I116" s="117"/>
      <c r="J116" s="36">
        <v>0.9</v>
      </c>
      <c r="K116" s="31"/>
      <c r="L116" s="40" t="s">
        <v>42</v>
      </c>
      <c r="M116" s="1"/>
      <c r="N116" s="1"/>
      <c r="O116" s="1"/>
      <c r="P116" s="1"/>
      <c r="Q116" s="1"/>
      <c r="R116" s="1"/>
      <c r="S116" s="1"/>
      <c r="T116" s="1"/>
      <c r="U116" s="1"/>
      <c r="V116" s="1"/>
      <c r="W116" s="1"/>
      <c r="X116" s="1"/>
      <c r="Y116" s="1"/>
      <c r="Z116" s="1"/>
    </row>
    <row r="117" spans="1:26" ht="15.75" customHeight="1">
      <c r="A117" s="84"/>
      <c r="B117" s="118" t="s">
        <v>108</v>
      </c>
      <c r="C117" s="119"/>
      <c r="D117" s="120"/>
      <c r="E117" s="37">
        <v>0.5</v>
      </c>
      <c r="F117" s="30"/>
      <c r="G117" s="115" t="s">
        <v>41</v>
      </c>
      <c r="H117" s="116"/>
      <c r="I117" s="117"/>
      <c r="J117" s="37">
        <v>0.5</v>
      </c>
      <c r="K117" s="31"/>
      <c r="L117" s="40" t="s">
        <v>42</v>
      </c>
      <c r="M117" s="1"/>
      <c r="N117" s="1"/>
      <c r="O117" s="1"/>
      <c r="P117" s="1"/>
      <c r="Q117" s="1"/>
      <c r="R117" s="1"/>
      <c r="S117" s="1"/>
      <c r="T117" s="1"/>
      <c r="U117" s="1"/>
      <c r="V117" s="1"/>
      <c r="W117" s="1"/>
      <c r="X117" s="1"/>
      <c r="Y117" s="1"/>
      <c r="Z117" s="1"/>
    </row>
    <row r="118" spans="1:26" ht="15.75" customHeight="1">
      <c r="A118" s="84"/>
      <c r="B118" s="121" t="s">
        <v>109</v>
      </c>
      <c r="C118" s="122"/>
      <c r="D118" s="122"/>
      <c r="E118" s="37">
        <v>0.5</v>
      </c>
      <c r="F118" s="30"/>
      <c r="G118" s="115" t="s">
        <v>41</v>
      </c>
      <c r="H118" s="116"/>
      <c r="I118" s="117"/>
      <c r="J118" s="37">
        <v>0.5</v>
      </c>
      <c r="K118" s="31"/>
      <c r="L118" s="40" t="s">
        <v>42</v>
      </c>
      <c r="M118" s="1"/>
      <c r="N118" s="1"/>
      <c r="O118" s="1"/>
      <c r="P118" s="1"/>
      <c r="Q118" s="1"/>
      <c r="R118" s="1"/>
      <c r="S118" s="1"/>
      <c r="T118" s="1"/>
      <c r="U118" s="1"/>
      <c r="V118" s="1"/>
      <c r="W118" s="1"/>
      <c r="X118" s="1"/>
      <c r="Y118" s="1"/>
      <c r="Z118" s="1"/>
    </row>
    <row r="119" spans="1:26" ht="15.75" customHeight="1">
      <c r="A119" s="84"/>
      <c r="B119" s="115" t="s">
        <v>110</v>
      </c>
      <c r="C119" s="116"/>
      <c r="D119" s="117"/>
      <c r="E119" s="37">
        <v>3.4</v>
      </c>
      <c r="F119" s="39"/>
      <c r="G119" s="115" t="s">
        <v>76</v>
      </c>
      <c r="H119" s="116"/>
      <c r="I119" s="117"/>
      <c r="J119" s="37">
        <v>3.4</v>
      </c>
      <c r="K119" s="32"/>
      <c r="L119" s="40" t="s">
        <v>80</v>
      </c>
      <c r="M119" s="1"/>
      <c r="N119" s="1"/>
      <c r="O119" s="1"/>
      <c r="P119" s="1"/>
      <c r="Q119" s="1"/>
      <c r="R119" s="1"/>
      <c r="S119" s="1"/>
      <c r="T119" s="1"/>
      <c r="U119" s="1"/>
      <c r="V119" s="1"/>
      <c r="W119" s="1"/>
      <c r="X119" s="1"/>
      <c r="Y119" s="1"/>
      <c r="Z119" s="1"/>
    </row>
    <row r="120" spans="1:26" ht="15.75" customHeight="1">
      <c r="A120" s="84"/>
      <c r="B120" s="110" t="s">
        <v>105</v>
      </c>
      <c r="C120" s="111"/>
      <c r="D120" s="111"/>
      <c r="E120" s="37">
        <v>6.4</v>
      </c>
      <c r="F120" s="30"/>
      <c r="G120" s="115" t="s">
        <v>41</v>
      </c>
      <c r="H120" s="116"/>
      <c r="I120" s="117"/>
      <c r="J120" s="37">
        <v>6.4</v>
      </c>
      <c r="K120" s="31"/>
      <c r="L120" s="40" t="s">
        <v>42</v>
      </c>
      <c r="M120" s="1">
        <f>SUM(J120:J153)</f>
        <v>101.2</v>
      </c>
      <c r="N120" s="1"/>
      <c r="O120" s="1"/>
      <c r="P120" s="1"/>
      <c r="Q120" s="1"/>
      <c r="R120" s="1"/>
      <c r="S120" s="1"/>
      <c r="T120" s="1"/>
      <c r="U120" s="1"/>
      <c r="V120" s="1"/>
      <c r="W120" s="1"/>
      <c r="X120" s="1"/>
      <c r="Y120" s="1"/>
      <c r="Z120" s="1"/>
    </row>
    <row r="121" spans="1:26" ht="15.75" customHeight="1">
      <c r="A121" s="84"/>
      <c r="B121" s="118" t="s">
        <v>108</v>
      </c>
      <c r="C121" s="119"/>
      <c r="D121" s="120"/>
      <c r="E121" s="37">
        <v>0.5</v>
      </c>
      <c r="F121" s="30"/>
      <c r="G121" s="115" t="s">
        <v>41</v>
      </c>
      <c r="H121" s="116"/>
      <c r="I121" s="117"/>
      <c r="J121" s="37">
        <v>0.5</v>
      </c>
      <c r="K121" s="31"/>
      <c r="L121" s="40" t="s">
        <v>42</v>
      </c>
      <c r="M121" s="1"/>
      <c r="N121" s="1"/>
      <c r="O121" s="1"/>
      <c r="P121" s="1"/>
      <c r="Q121" s="1"/>
      <c r="R121" s="1"/>
      <c r="S121" s="1"/>
      <c r="T121" s="1"/>
      <c r="U121" s="1"/>
      <c r="V121" s="1"/>
      <c r="W121" s="1"/>
      <c r="X121" s="1"/>
      <c r="Y121" s="1"/>
      <c r="Z121" s="1"/>
    </row>
    <row r="122" spans="1:26" ht="15.75" customHeight="1">
      <c r="A122" s="84"/>
      <c r="B122" s="115" t="s">
        <v>110</v>
      </c>
      <c r="C122" s="116"/>
      <c r="D122" s="117"/>
      <c r="E122" s="37">
        <v>2.7</v>
      </c>
      <c r="F122" s="30"/>
      <c r="G122" s="115" t="s">
        <v>41</v>
      </c>
      <c r="H122" s="116"/>
      <c r="I122" s="117"/>
      <c r="J122" s="37">
        <v>2.7</v>
      </c>
      <c r="K122" s="31"/>
      <c r="L122" s="40" t="s">
        <v>42</v>
      </c>
      <c r="M122" s="1"/>
      <c r="N122" s="1"/>
      <c r="O122" s="1"/>
      <c r="P122" s="1"/>
      <c r="Q122" s="1"/>
      <c r="R122" s="1"/>
      <c r="S122" s="1"/>
      <c r="T122" s="1"/>
      <c r="U122" s="1"/>
      <c r="V122" s="1"/>
      <c r="W122" s="1"/>
      <c r="X122" s="1"/>
      <c r="Y122" s="1"/>
      <c r="Z122" s="1"/>
    </row>
    <row r="123" spans="1:26" ht="15.75" customHeight="1">
      <c r="A123" s="84"/>
      <c r="B123" s="110" t="s">
        <v>109</v>
      </c>
      <c r="C123" s="111"/>
      <c r="D123" s="111"/>
      <c r="E123" s="37">
        <v>0.6</v>
      </c>
      <c r="F123" s="30"/>
      <c r="G123" s="115" t="s">
        <v>41</v>
      </c>
      <c r="H123" s="116"/>
      <c r="I123" s="117"/>
      <c r="J123" s="37">
        <v>0.6</v>
      </c>
      <c r="K123" s="31"/>
      <c r="L123" s="40" t="s">
        <v>42</v>
      </c>
      <c r="M123" s="1"/>
      <c r="N123" s="1"/>
      <c r="O123" s="1"/>
      <c r="P123" s="1"/>
      <c r="Q123" s="1"/>
      <c r="R123" s="1"/>
      <c r="S123" s="1"/>
      <c r="T123" s="1"/>
      <c r="U123" s="1"/>
      <c r="V123" s="1"/>
      <c r="W123" s="1"/>
      <c r="X123" s="1"/>
      <c r="Y123" s="1"/>
      <c r="Z123" s="1"/>
    </row>
    <row r="124" spans="1:26" ht="15.75" customHeight="1">
      <c r="A124" s="84"/>
      <c r="B124" s="110" t="s">
        <v>105</v>
      </c>
      <c r="C124" s="111"/>
      <c r="D124" s="111"/>
      <c r="E124" s="37">
        <v>3.5</v>
      </c>
      <c r="F124" s="30"/>
      <c r="G124" s="115" t="s">
        <v>41</v>
      </c>
      <c r="H124" s="116"/>
      <c r="I124" s="117"/>
      <c r="J124" s="37">
        <v>3.5</v>
      </c>
      <c r="K124" s="31"/>
      <c r="L124" s="40" t="s">
        <v>42</v>
      </c>
      <c r="M124" s="1"/>
      <c r="N124" s="1"/>
      <c r="O124" s="1"/>
      <c r="P124" s="1"/>
      <c r="Q124" s="1"/>
      <c r="R124" s="1"/>
      <c r="S124" s="1"/>
      <c r="T124" s="1"/>
      <c r="U124" s="1"/>
      <c r="V124" s="1"/>
      <c r="W124" s="1"/>
      <c r="X124" s="1"/>
      <c r="Y124" s="1"/>
      <c r="Z124" s="1"/>
    </row>
    <row r="125" spans="1:26" ht="15.75" customHeight="1">
      <c r="A125" s="84"/>
      <c r="B125" s="118" t="s">
        <v>111</v>
      </c>
      <c r="C125" s="122"/>
      <c r="D125" s="122"/>
      <c r="E125" s="37">
        <v>0.5</v>
      </c>
      <c r="F125" s="30"/>
      <c r="G125" s="115" t="s">
        <v>41</v>
      </c>
      <c r="H125" s="116"/>
      <c r="I125" s="117"/>
      <c r="J125" s="37">
        <v>0.5</v>
      </c>
      <c r="K125" s="31"/>
      <c r="L125" s="40" t="s">
        <v>42</v>
      </c>
      <c r="M125" s="1"/>
      <c r="N125" s="1"/>
      <c r="O125" s="1"/>
      <c r="P125" s="1"/>
      <c r="Q125" s="1"/>
      <c r="R125" s="1"/>
      <c r="S125" s="1"/>
      <c r="T125" s="1"/>
      <c r="U125" s="1"/>
      <c r="V125" s="1"/>
      <c r="W125" s="1"/>
      <c r="X125" s="1"/>
      <c r="Y125" s="1"/>
      <c r="Z125" s="1"/>
    </row>
    <row r="126" spans="1:26" ht="15.75" customHeight="1">
      <c r="A126" s="84"/>
      <c r="B126" s="118" t="s">
        <v>108</v>
      </c>
      <c r="C126" s="119"/>
      <c r="D126" s="120"/>
      <c r="E126" s="37">
        <v>0.5</v>
      </c>
      <c r="F126" s="30"/>
      <c r="G126" s="115" t="s">
        <v>41</v>
      </c>
      <c r="H126" s="116"/>
      <c r="I126" s="117"/>
      <c r="J126" s="37">
        <v>0.5</v>
      </c>
      <c r="K126" s="31"/>
      <c r="L126" s="40" t="s">
        <v>42</v>
      </c>
      <c r="M126" s="1"/>
      <c r="N126" s="1"/>
      <c r="O126" s="1"/>
      <c r="P126" s="1"/>
      <c r="Q126" s="1"/>
      <c r="R126" s="1"/>
      <c r="S126" s="1"/>
      <c r="T126" s="1"/>
      <c r="U126" s="1"/>
      <c r="V126" s="1"/>
      <c r="W126" s="1"/>
      <c r="X126" s="1"/>
      <c r="Y126" s="1"/>
      <c r="Z126" s="1"/>
    </row>
    <row r="127" spans="1:26" ht="15.75" customHeight="1">
      <c r="A127" s="84"/>
      <c r="B127" s="121" t="s">
        <v>109</v>
      </c>
      <c r="C127" s="122"/>
      <c r="D127" s="122"/>
      <c r="E127" s="37">
        <v>0.5</v>
      </c>
      <c r="F127" s="30"/>
      <c r="G127" s="115" t="s">
        <v>41</v>
      </c>
      <c r="H127" s="116"/>
      <c r="I127" s="117"/>
      <c r="J127" s="37">
        <v>0.5</v>
      </c>
      <c r="K127" s="31"/>
      <c r="L127" s="40" t="s">
        <v>42</v>
      </c>
      <c r="M127" s="1"/>
      <c r="N127" s="1"/>
      <c r="O127" s="1"/>
      <c r="P127" s="1"/>
      <c r="Q127" s="1"/>
      <c r="R127" s="1"/>
      <c r="S127" s="1"/>
      <c r="T127" s="1"/>
      <c r="U127" s="1"/>
      <c r="V127" s="1"/>
      <c r="W127" s="1"/>
      <c r="X127" s="1"/>
      <c r="Y127" s="1"/>
      <c r="Z127" s="1"/>
    </row>
    <row r="128" spans="1:26" ht="15.75" customHeight="1">
      <c r="A128" s="84"/>
      <c r="B128" s="110" t="s">
        <v>105</v>
      </c>
      <c r="C128" s="111"/>
      <c r="D128" s="111"/>
      <c r="E128" s="37">
        <v>8.6</v>
      </c>
      <c r="F128" s="30"/>
      <c r="G128" s="115" t="s">
        <v>41</v>
      </c>
      <c r="H128" s="116"/>
      <c r="I128" s="117"/>
      <c r="J128" s="37">
        <v>8.6</v>
      </c>
      <c r="K128" s="31"/>
      <c r="L128" s="40" t="s">
        <v>42</v>
      </c>
      <c r="M128" s="1"/>
      <c r="N128" s="1"/>
      <c r="O128" s="1"/>
      <c r="P128" s="1"/>
      <c r="Q128" s="1"/>
      <c r="R128" s="1"/>
      <c r="S128" s="1"/>
      <c r="T128" s="1"/>
      <c r="U128" s="1"/>
      <c r="V128" s="1"/>
      <c r="W128" s="1"/>
      <c r="X128" s="1"/>
      <c r="Y128" s="1"/>
      <c r="Z128" s="1"/>
    </row>
    <row r="129" spans="1:26" ht="15.75" customHeight="1">
      <c r="A129" s="84"/>
      <c r="B129" s="118" t="s">
        <v>111</v>
      </c>
      <c r="C129" s="122"/>
      <c r="D129" s="122"/>
      <c r="E129" s="37">
        <v>0.5</v>
      </c>
      <c r="F129" s="30"/>
      <c r="G129" s="115" t="s">
        <v>41</v>
      </c>
      <c r="H129" s="116"/>
      <c r="I129" s="117"/>
      <c r="J129" s="37">
        <v>0.5</v>
      </c>
      <c r="K129" s="31"/>
      <c r="L129" s="40" t="s">
        <v>42</v>
      </c>
      <c r="M129" s="1"/>
      <c r="N129" s="1"/>
      <c r="O129" s="1"/>
      <c r="P129" s="1"/>
      <c r="Q129" s="1"/>
      <c r="R129" s="1"/>
      <c r="S129" s="1"/>
      <c r="T129" s="1"/>
      <c r="U129" s="1"/>
      <c r="V129" s="1"/>
      <c r="W129" s="1"/>
      <c r="X129" s="1"/>
      <c r="Y129" s="1"/>
      <c r="Z129" s="1"/>
    </row>
    <row r="130" spans="1:26" ht="15.75" customHeight="1">
      <c r="A130" s="84"/>
      <c r="B130" s="118" t="s">
        <v>108</v>
      </c>
      <c r="C130" s="119"/>
      <c r="D130" s="120"/>
      <c r="E130" s="37">
        <v>0.5</v>
      </c>
      <c r="F130" s="30"/>
      <c r="G130" s="115" t="s">
        <v>41</v>
      </c>
      <c r="H130" s="116"/>
      <c r="I130" s="117"/>
      <c r="J130" s="37">
        <v>0.5</v>
      </c>
      <c r="K130" s="31"/>
      <c r="L130" s="40" t="s">
        <v>42</v>
      </c>
      <c r="M130" s="1"/>
      <c r="N130" s="1"/>
      <c r="O130" s="1"/>
      <c r="P130" s="1"/>
      <c r="Q130" s="1"/>
      <c r="R130" s="1"/>
      <c r="S130" s="1"/>
      <c r="T130" s="1"/>
      <c r="U130" s="1"/>
      <c r="V130" s="1"/>
      <c r="W130" s="1"/>
      <c r="X130" s="1"/>
      <c r="Y130" s="1"/>
      <c r="Z130" s="1"/>
    </row>
    <row r="131" spans="1:26" ht="15.75" customHeight="1">
      <c r="A131" s="84"/>
      <c r="B131" s="121" t="s">
        <v>109</v>
      </c>
      <c r="C131" s="122"/>
      <c r="D131" s="122"/>
      <c r="E131" s="37">
        <v>0.5</v>
      </c>
      <c r="F131" s="30"/>
      <c r="G131" s="115" t="s">
        <v>41</v>
      </c>
      <c r="H131" s="116"/>
      <c r="I131" s="117"/>
      <c r="J131" s="37">
        <v>0.5</v>
      </c>
      <c r="K131" s="31"/>
      <c r="L131" s="40" t="s">
        <v>42</v>
      </c>
      <c r="M131" s="1"/>
      <c r="N131" s="1"/>
      <c r="O131" s="1"/>
      <c r="P131" s="1"/>
      <c r="Q131" s="1"/>
      <c r="R131" s="1"/>
      <c r="S131" s="1"/>
      <c r="T131" s="1"/>
      <c r="U131" s="1"/>
      <c r="V131" s="1"/>
      <c r="W131" s="1"/>
      <c r="X131" s="1"/>
      <c r="Y131" s="1"/>
      <c r="Z131" s="1"/>
    </row>
    <row r="132" spans="1:26" ht="15.75" customHeight="1">
      <c r="A132" s="84"/>
      <c r="B132" s="115" t="s">
        <v>112</v>
      </c>
      <c r="C132" s="116"/>
      <c r="D132" s="117"/>
      <c r="E132" s="36">
        <v>5.6</v>
      </c>
      <c r="F132" s="30"/>
      <c r="G132" s="115" t="s">
        <v>41</v>
      </c>
      <c r="H132" s="116"/>
      <c r="I132" s="117"/>
      <c r="J132" s="36">
        <v>5.6</v>
      </c>
      <c r="K132" s="31"/>
      <c r="L132" s="40" t="s">
        <v>42</v>
      </c>
      <c r="M132" s="1"/>
      <c r="N132" s="1"/>
      <c r="O132" s="1"/>
      <c r="P132" s="1"/>
      <c r="Q132" s="1"/>
      <c r="R132" s="1"/>
      <c r="S132" s="1"/>
      <c r="T132" s="1"/>
      <c r="U132" s="1"/>
      <c r="V132" s="1"/>
      <c r="W132" s="1"/>
      <c r="X132" s="1"/>
      <c r="Y132" s="1"/>
      <c r="Z132" s="1"/>
    </row>
    <row r="133" spans="1:26" ht="15.75" customHeight="1">
      <c r="A133" s="84"/>
      <c r="B133" s="118" t="s">
        <v>108</v>
      </c>
      <c r="C133" s="119"/>
      <c r="D133" s="120"/>
      <c r="E133" s="37">
        <v>0.5</v>
      </c>
      <c r="F133" s="30"/>
      <c r="G133" s="115" t="s">
        <v>41</v>
      </c>
      <c r="H133" s="116"/>
      <c r="I133" s="117"/>
      <c r="J133" s="37">
        <v>0.5</v>
      </c>
      <c r="K133" s="31"/>
      <c r="L133" s="40" t="s">
        <v>42</v>
      </c>
      <c r="M133" s="1"/>
      <c r="N133" s="1"/>
      <c r="O133" s="1"/>
      <c r="P133" s="1"/>
      <c r="Q133" s="1"/>
      <c r="R133" s="1"/>
      <c r="S133" s="1"/>
      <c r="T133" s="1"/>
      <c r="U133" s="1"/>
      <c r="V133" s="1"/>
      <c r="W133" s="1"/>
      <c r="X133" s="1"/>
      <c r="Y133" s="1"/>
      <c r="Z133" s="1"/>
    </row>
    <row r="134" spans="1:26" ht="15.75" customHeight="1">
      <c r="A134" s="84"/>
      <c r="B134" s="115" t="s">
        <v>53</v>
      </c>
      <c r="C134" s="111"/>
      <c r="D134" s="111"/>
      <c r="E134" s="37">
        <v>2</v>
      </c>
      <c r="F134" s="30"/>
      <c r="G134" s="115" t="s">
        <v>41</v>
      </c>
      <c r="H134" s="116"/>
      <c r="I134" s="117"/>
      <c r="J134" s="37">
        <v>2</v>
      </c>
      <c r="K134" s="31"/>
      <c r="L134" s="40" t="s">
        <v>42</v>
      </c>
      <c r="M134" s="1"/>
      <c r="N134" s="1"/>
      <c r="O134" s="1"/>
      <c r="P134" s="1"/>
      <c r="Q134" s="1"/>
      <c r="R134" s="1"/>
      <c r="S134" s="1"/>
      <c r="T134" s="1"/>
      <c r="U134" s="1"/>
      <c r="V134" s="1"/>
      <c r="W134" s="1"/>
      <c r="X134" s="1"/>
      <c r="Y134" s="1"/>
      <c r="Z134" s="1"/>
    </row>
    <row r="135" spans="1:26" ht="15.75" customHeight="1">
      <c r="A135" s="84"/>
      <c r="B135" s="110" t="s">
        <v>105</v>
      </c>
      <c r="C135" s="111"/>
      <c r="D135" s="111"/>
      <c r="E135" s="37">
        <v>24.9</v>
      </c>
      <c r="F135" s="30"/>
      <c r="G135" s="115" t="s">
        <v>41</v>
      </c>
      <c r="H135" s="116"/>
      <c r="I135" s="117"/>
      <c r="J135" s="37">
        <v>24.9</v>
      </c>
      <c r="K135" s="31"/>
      <c r="L135" s="40" t="s">
        <v>42</v>
      </c>
      <c r="M135" s="1"/>
      <c r="N135" s="1"/>
      <c r="O135" s="1"/>
      <c r="P135" s="1"/>
      <c r="Q135" s="1"/>
      <c r="R135" s="1"/>
      <c r="S135" s="1"/>
      <c r="T135" s="1"/>
      <c r="U135" s="1"/>
      <c r="V135" s="1"/>
      <c r="W135" s="1"/>
      <c r="X135" s="1"/>
      <c r="Y135" s="1"/>
      <c r="Z135" s="1"/>
    </row>
    <row r="136" spans="1:26" ht="15.75" customHeight="1">
      <c r="A136" s="84"/>
      <c r="B136" s="118" t="s">
        <v>108</v>
      </c>
      <c r="C136" s="119"/>
      <c r="D136" s="120"/>
      <c r="E136" s="37">
        <v>0.5</v>
      </c>
      <c r="F136" s="30"/>
      <c r="G136" s="115" t="s">
        <v>41</v>
      </c>
      <c r="H136" s="116"/>
      <c r="I136" s="117"/>
      <c r="J136" s="37">
        <v>0.5</v>
      </c>
      <c r="K136" s="31"/>
      <c r="L136" s="40" t="s">
        <v>42</v>
      </c>
      <c r="M136" s="1"/>
      <c r="N136" s="1"/>
      <c r="O136" s="1"/>
      <c r="P136" s="1"/>
      <c r="Q136" s="1"/>
      <c r="R136" s="1"/>
      <c r="S136" s="1"/>
      <c r="T136" s="1"/>
      <c r="U136" s="1"/>
      <c r="V136" s="1"/>
      <c r="W136" s="1"/>
      <c r="X136" s="1"/>
      <c r="Y136" s="1"/>
      <c r="Z136" s="1"/>
    </row>
    <row r="137" spans="1:26" ht="15.75" customHeight="1">
      <c r="A137" s="84"/>
      <c r="B137" s="110" t="s">
        <v>105</v>
      </c>
      <c r="C137" s="111"/>
      <c r="D137" s="111"/>
      <c r="E137" s="37">
        <v>3.9</v>
      </c>
      <c r="F137" s="30"/>
      <c r="G137" s="115" t="s">
        <v>41</v>
      </c>
      <c r="H137" s="116"/>
      <c r="I137" s="117"/>
      <c r="J137" s="37">
        <v>3.9</v>
      </c>
      <c r="K137" s="31"/>
      <c r="L137" s="40" t="s">
        <v>42</v>
      </c>
      <c r="M137" s="1"/>
      <c r="N137" s="1"/>
      <c r="O137" s="1"/>
      <c r="P137" s="1"/>
      <c r="Q137" s="1"/>
      <c r="R137" s="1"/>
      <c r="S137" s="1"/>
      <c r="T137" s="1"/>
      <c r="U137" s="1"/>
      <c r="V137" s="1"/>
      <c r="W137" s="1"/>
      <c r="X137" s="1"/>
      <c r="Y137" s="1"/>
      <c r="Z137" s="1"/>
    </row>
    <row r="138" spans="1:26" ht="15.75" customHeight="1">
      <c r="A138" s="84"/>
      <c r="B138" s="115" t="s">
        <v>53</v>
      </c>
      <c r="C138" s="111"/>
      <c r="D138" s="111"/>
      <c r="E138" s="37">
        <v>2.1</v>
      </c>
      <c r="F138" s="30"/>
      <c r="G138" s="115" t="s">
        <v>41</v>
      </c>
      <c r="H138" s="116"/>
      <c r="I138" s="117"/>
      <c r="J138" s="37">
        <v>2.1</v>
      </c>
      <c r="K138" s="31"/>
      <c r="L138" s="40" t="s">
        <v>42</v>
      </c>
      <c r="M138" s="1"/>
      <c r="N138" s="1"/>
      <c r="O138" s="1"/>
      <c r="P138" s="1"/>
      <c r="Q138" s="1"/>
      <c r="R138" s="1"/>
      <c r="S138" s="1"/>
      <c r="T138" s="1"/>
      <c r="U138" s="1"/>
      <c r="V138" s="1"/>
      <c r="W138" s="1"/>
      <c r="X138" s="1"/>
      <c r="Y138" s="1"/>
      <c r="Z138" s="1"/>
    </row>
    <row r="139" spans="1:26" ht="15.75" customHeight="1">
      <c r="A139" s="84"/>
      <c r="B139" s="118" t="s">
        <v>111</v>
      </c>
      <c r="C139" s="122"/>
      <c r="D139" s="122"/>
      <c r="E139" s="37">
        <v>0.5</v>
      </c>
      <c r="F139" s="30"/>
      <c r="G139" s="115" t="s">
        <v>41</v>
      </c>
      <c r="H139" s="116"/>
      <c r="I139" s="117"/>
      <c r="J139" s="37">
        <v>0.5</v>
      </c>
      <c r="K139" s="31"/>
      <c r="L139" s="40" t="s">
        <v>42</v>
      </c>
      <c r="M139" s="1"/>
      <c r="N139" s="1"/>
      <c r="O139" s="1"/>
      <c r="P139" s="1"/>
      <c r="Q139" s="1"/>
      <c r="R139" s="1"/>
      <c r="S139" s="1"/>
      <c r="T139" s="1"/>
      <c r="U139" s="1"/>
      <c r="V139" s="1"/>
      <c r="W139" s="1"/>
      <c r="X139" s="1"/>
      <c r="Y139" s="1"/>
      <c r="Z139" s="1"/>
    </row>
    <row r="140" spans="1:26" ht="15.75" customHeight="1">
      <c r="A140" s="84"/>
      <c r="B140" s="110" t="s">
        <v>105</v>
      </c>
      <c r="C140" s="111"/>
      <c r="D140" s="111"/>
      <c r="E140" s="37">
        <v>1.5</v>
      </c>
      <c r="F140" s="30"/>
      <c r="G140" s="115" t="s">
        <v>41</v>
      </c>
      <c r="H140" s="116"/>
      <c r="I140" s="117"/>
      <c r="J140" s="37">
        <v>1.5</v>
      </c>
      <c r="K140" s="31"/>
      <c r="L140" s="40" t="s">
        <v>42</v>
      </c>
      <c r="M140" s="1"/>
      <c r="N140" s="1"/>
      <c r="O140" s="1"/>
      <c r="P140" s="1"/>
      <c r="Q140" s="1"/>
      <c r="R140" s="1"/>
      <c r="S140" s="1"/>
      <c r="T140" s="1"/>
      <c r="U140" s="1"/>
      <c r="V140" s="1"/>
      <c r="W140" s="1"/>
      <c r="X140" s="1"/>
      <c r="Y140" s="1"/>
      <c r="Z140" s="1"/>
    </row>
    <row r="141" spans="1:26" ht="15.75" customHeight="1">
      <c r="A141" s="84"/>
      <c r="B141" s="118" t="s">
        <v>111</v>
      </c>
      <c r="C141" s="122"/>
      <c r="D141" s="122"/>
      <c r="E141" s="37">
        <v>0.5</v>
      </c>
      <c r="F141" s="30"/>
      <c r="G141" s="115" t="s">
        <v>41</v>
      </c>
      <c r="H141" s="116"/>
      <c r="I141" s="117"/>
      <c r="J141" s="37">
        <v>0.5</v>
      </c>
      <c r="K141" s="31"/>
      <c r="L141" s="40" t="s">
        <v>42</v>
      </c>
      <c r="M141" s="1"/>
      <c r="N141" s="1"/>
      <c r="O141" s="1"/>
      <c r="P141" s="1"/>
      <c r="Q141" s="1"/>
      <c r="R141" s="1"/>
      <c r="S141" s="1"/>
      <c r="T141" s="1"/>
      <c r="U141" s="1"/>
      <c r="V141" s="1"/>
      <c r="W141" s="1"/>
      <c r="X141" s="1"/>
      <c r="Y141" s="1"/>
      <c r="Z141" s="1"/>
    </row>
    <row r="142" spans="1:26" ht="15.75" customHeight="1">
      <c r="A142" s="84"/>
      <c r="B142" s="110" t="s">
        <v>105</v>
      </c>
      <c r="C142" s="111"/>
      <c r="D142" s="111"/>
      <c r="E142" s="37">
        <v>2.7</v>
      </c>
      <c r="F142" s="30"/>
      <c r="G142" s="115" t="s">
        <v>41</v>
      </c>
      <c r="H142" s="116"/>
      <c r="I142" s="117"/>
      <c r="J142" s="37">
        <v>2.7</v>
      </c>
      <c r="K142" s="31"/>
      <c r="L142" s="40" t="s">
        <v>42</v>
      </c>
      <c r="M142" s="1"/>
      <c r="N142" s="1"/>
      <c r="O142" s="1"/>
      <c r="P142" s="1"/>
      <c r="Q142" s="1"/>
      <c r="R142" s="1"/>
      <c r="S142" s="1"/>
      <c r="T142" s="1"/>
      <c r="U142" s="1"/>
      <c r="V142" s="1"/>
      <c r="W142" s="1"/>
      <c r="X142" s="1"/>
      <c r="Y142" s="1"/>
      <c r="Z142" s="1"/>
    </row>
    <row r="143" spans="1:26" ht="15.75" customHeight="1">
      <c r="A143" s="84"/>
      <c r="B143" s="118" t="s">
        <v>108</v>
      </c>
      <c r="C143" s="119"/>
      <c r="D143" s="120"/>
      <c r="E143" s="37">
        <v>0.5</v>
      </c>
      <c r="F143" s="30"/>
      <c r="G143" s="115" t="s">
        <v>41</v>
      </c>
      <c r="H143" s="116"/>
      <c r="I143" s="117"/>
      <c r="J143" s="37">
        <v>0.5</v>
      </c>
      <c r="K143" s="31"/>
      <c r="L143" s="40" t="s">
        <v>42</v>
      </c>
      <c r="M143" s="1"/>
      <c r="N143" s="1"/>
      <c r="O143" s="1"/>
      <c r="P143" s="1"/>
      <c r="Q143" s="1"/>
      <c r="R143" s="1"/>
      <c r="S143" s="1"/>
      <c r="T143" s="1"/>
      <c r="U143" s="1"/>
      <c r="V143" s="1"/>
      <c r="W143" s="1"/>
      <c r="X143" s="1"/>
      <c r="Y143" s="1"/>
      <c r="Z143" s="1"/>
    </row>
    <row r="144" spans="1:26" ht="15.75" customHeight="1">
      <c r="A144" s="84"/>
      <c r="B144" s="115" t="s">
        <v>53</v>
      </c>
      <c r="C144" s="111"/>
      <c r="D144" s="111"/>
      <c r="E144" s="36">
        <v>1.9</v>
      </c>
      <c r="F144" s="30"/>
      <c r="G144" s="115" t="s">
        <v>41</v>
      </c>
      <c r="H144" s="116"/>
      <c r="I144" s="117"/>
      <c r="J144" s="36">
        <v>1.9</v>
      </c>
      <c r="K144" s="31"/>
      <c r="L144" s="40" t="s">
        <v>42</v>
      </c>
      <c r="M144" s="1"/>
      <c r="N144" s="1"/>
      <c r="O144" s="1"/>
      <c r="P144" s="1"/>
      <c r="Q144" s="1"/>
      <c r="R144" s="1"/>
      <c r="S144" s="1"/>
      <c r="T144" s="1"/>
      <c r="U144" s="1"/>
      <c r="V144" s="1"/>
      <c r="W144" s="1"/>
      <c r="X144" s="1"/>
      <c r="Y144" s="1"/>
      <c r="Z144" s="1"/>
    </row>
    <row r="145" spans="1:26" ht="15.75" customHeight="1">
      <c r="A145" s="84"/>
      <c r="B145" s="110" t="s">
        <v>105</v>
      </c>
      <c r="C145" s="111"/>
      <c r="D145" s="111"/>
      <c r="E145" s="36">
        <v>9.3000000000000007</v>
      </c>
      <c r="F145" s="30"/>
      <c r="G145" s="115" t="s">
        <v>41</v>
      </c>
      <c r="H145" s="116"/>
      <c r="I145" s="117"/>
      <c r="J145" s="36">
        <v>9.3000000000000007</v>
      </c>
      <c r="K145" s="31"/>
      <c r="L145" s="40" t="s">
        <v>42</v>
      </c>
      <c r="M145" s="1"/>
      <c r="N145" s="1"/>
      <c r="O145" s="1"/>
      <c r="P145" s="1"/>
      <c r="Q145" s="1"/>
      <c r="R145" s="1"/>
      <c r="S145" s="1"/>
      <c r="T145" s="1"/>
      <c r="U145" s="1"/>
      <c r="V145" s="1"/>
      <c r="W145" s="1"/>
      <c r="X145" s="1"/>
      <c r="Y145" s="1"/>
      <c r="Z145" s="1"/>
    </row>
    <row r="146" spans="1:26" ht="15.75" customHeight="1">
      <c r="A146" s="84"/>
      <c r="B146" s="115" t="s">
        <v>53</v>
      </c>
      <c r="C146" s="111"/>
      <c r="D146" s="111"/>
      <c r="E146" s="36">
        <v>1.1000000000000001</v>
      </c>
      <c r="F146" s="30"/>
      <c r="G146" s="115" t="s">
        <v>41</v>
      </c>
      <c r="H146" s="116"/>
      <c r="I146" s="117"/>
      <c r="J146" s="36">
        <v>1.1000000000000001</v>
      </c>
      <c r="K146" s="31"/>
      <c r="L146" s="40" t="s">
        <v>42</v>
      </c>
      <c r="M146" s="1"/>
      <c r="N146" s="1"/>
      <c r="O146" s="1"/>
      <c r="P146" s="1"/>
      <c r="Q146" s="1"/>
      <c r="R146" s="1"/>
      <c r="S146" s="1"/>
      <c r="T146" s="1"/>
      <c r="U146" s="1"/>
      <c r="V146" s="1"/>
      <c r="W146" s="1"/>
      <c r="X146" s="1"/>
      <c r="Y146" s="1"/>
      <c r="Z146" s="1"/>
    </row>
    <row r="147" spans="1:26" ht="15.75" customHeight="1">
      <c r="A147" s="84"/>
      <c r="B147" s="118" t="s">
        <v>111</v>
      </c>
      <c r="C147" s="122"/>
      <c r="D147" s="122"/>
      <c r="E147" s="37">
        <v>0.4</v>
      </c>
      <c r="F147" s="30"/>
      <c r="G147" s="115" t="s">
        <v>41</v>
      </c>
      <c r="H147" s="116"/>
      <c r="I147" s="117"/>
      <c r="J147" s="37">
        <v>0.4</v>
      </c>
      <c r="K147" s="31"/>
      <c r="L147" s="40" t="s">
        <v>42</v>
      </c>
      <c r="M147" s="1"/>
      <c r="N147" s="1"/>
      <c r="O147" s="1"/>
      <c r="P147" s="1"/>
      <c r="Q147" s="1"/>
      <c r="R147" s="1"/>
      <c r="S147" s="1"/>
      <c r="T147" s="1"/>
      <c r="U147" s="1"/>
      <c r="V147" s="1"/>
      <c r="W147" s="1"/>
      <c r="X147" s="1"/>
      <c r="Y147" s="1"/>
      <c r="Z147" s="1"/>
    </row>
    <row r="148" spans="1:26" ht="15.75" customHeight="1">
      <c r="A148" s="84"/>
      <c r="B148" s="118" t="s">
        <v>108</v>
      </c>
      <c r="C148" s="119"/>
      <c r="D148" s="120"/>
      <c r="E148" s="37">
        <v>0.5</v>
      </c>
      <c r="F148" s="30"/>
      <c r="G148" s="115" t="s">
        <v>41</v>
      </c>
      <c r="H148" s="116"/>
      <c r="I148" s="117"/>
      <c r="J148" s="37">
        <v>0.5</v>
      </c>
      <c r="K148" s="31"/>
      <c r="L148" s="40" t="s">
        <v>42</v>
      </c>
      <c r="M148" s="1"/>
      <c r="N148" s="1"/>
      <c r="O148" s="1"/>
      <c r="P148" s="1"/>
      <c r="Q148" s="1"/>
      <c r="R148" s="1"/>
      <c r="S148" s="1"/>
      <c r="T148" s="1"/>
      <c r="U148" s="1"/>
      <c r="V148" s="1"/>
      <c r="W148" s="1"/>
      <c r="X148" s="1"/>
      <c r="Y148" s="1"/>
      <c r="Z148" s="1"/>
    </row>
    <row r="149" spans="1:26" ht="15.75" customHeight="1">
      <c r="A149" s="84"/>
      <c r="B149" s="110" t="s">
        <v>105</v>
      </c>
      <c r="C149" s="111"/>
      <c r="D149" s="111"/>
      <c r="E149" s="37">
        <v>11.9</v>
      </c>
      <c r="F149" s="30"/>
      <c r="G149" s="115" t="s">
        <v>41</v>
      </c>
      <c r="H149" s="116"/>
      <c r="I149" s="117"/>
      <c r="J149" s="37">
        <v>11.9</v>
      </c>
      <c r="K149" s="31"/>
      <c r="L149" s="40" t="s">
        <v>42</v>
      </c>
      <c r="M149" s="1"/>
      <c r="N149" s="1"/>
      <c r="O149" s="1"/>
      <c r="P149" s="1"/>
      <c r="Q149" s="1"/>
      <c r="R149" s="1"/>
      <c r="S149" s="1"/>
      <c r="T149" s="1"/>
      <c r="U149" s="1"/>
      <c r="V149" s="1"/>
      <c r="W149" s="1"/>
      <c r="X149" s="1"/>
      <c r="Y149" s="1"/>
      <c r="Z149" s="1"/>
    </row>
    <row r="150" spans="1:26" ht="15.75" customHeight="1">
      <c r="A150" s="84"/>
      <c r="B150" s="118" t="s">
        <v>108</v>
      </c>
      <c r="C150" s="119"/>
      <c r="D150" s="120"/>
      <c r="E150" s="36">
        <v>0.5</v>
      </c>
      <c r="F150" s="30"/>
      <c r="G150" s="115" t="s">
        <v>41</v>
      </c>
      <c r="H150" s="116"/>
      <c r="I150" s="117"/>
      <c r="J150" s="36">
        <v>0.5</v>
      </c>
      <c r="K150" s="31"/>
      <c r="L150" s="40" t="s">
        <v>42</v>
      </c>
      <c r="M150" s="1"/>
      <c r="N150" s="1"/>
      <c r="O150" s="1"/>
      <c r="P150" s="1"/>
      <c r="Q150" s="1"/>
      <c r="R150" s="1"/>
      <c r="S150" s="1"/>
      <c r="T150" s="1"/>
      <c r="U150" s="1"/>
      <c r="V150" s="1"/>
      <c r="W150" s="1"/>
      <c r="X150" s="1"/>
      <c r="Y150" s="1"/>
      <c r="Z150" s="1"/>
    </row>
    <row r="151" spans="1:26" ht="15.75" customHeight="1">
      <c r="A151" s="84"/>
      <c r="B151" s="110" t="s">
        <v>109</v>
      </c>
      <c r="C151" s="111"/>
      <c r="D151" s="111"/>
      <c r="E151" s="36">
        <v>0.3</v>
      </c>
      <c r="F151" s="30"/>
      <c r="G151" s="115" t="s">
        <v>41</v>
      </c>
      <c r="H151" s="116"/>
      <c r="I151" s="117"/>
      <c r="J151" s="36">
        <v>0.3</v>
      </c>
      <c r="K151" s="31"/>
      <c r="L151" s="40" t="s">
        <v>42</v>
      </c>
      <c r="M151" s="1"/>
      <c r="N151" s="1"/>
      <c r="O151" s="1"/>
      <c r="P151" s="1"/>
      <c r="Q151" s="1"/>
      <c r="R151" s="1"/>
      <c r="S151" s="1"/>
      <c r="T151" s="1"/>
      <c r="U151" s="1"/>
      <c r="V151" s="1"/>
      <c r="W151" s="1"/>
      <c r="X151" s="1"/>
      <c r="Y151" s="1"/>
      <c r="Z151" s="1"/>
    </row>
    <row r="152" spans="1:26" ht="15.75" customHeight="1">
      <c r="A152" s="84"/>
      <c r="B152" s="110" t="s">
        <v>105</v>
      </c>
      <c r="C152" s="111"/>
      <c r="D152" s="111"/>
      <c r="E152" s="37">
        <v>0.7</v>
      </c>
      <c r="F152" s="30"/>
      <c r="G152" s="115" t="s">
        <v>41</v>
      </c>
      <c r="H152" s="116"/>
      <c r="I152" s="117"/>
      <c r="J152" s="37">
        <v>0.7</v>
      </c>
      <c r="K152" s="31"/>
      <c r="L152" s="40" t="s">
        <v>42</v>
      </c>
      <c r="M152" s="1"/>
      <c r="N152" s="1"/>
      <c r="O152" s="1"/>
      <c r="P152" s="1"/>
      <c r="Q152" s="1"/>
      <c r="R152" s="1"/>
      <c r="S152" s="1"/>
      <c r="T152" s="1"/>
      <c r="U152" s="1"/>
      <c r="V152" s="1"/>
      <c r="W152" s="1"/>
      <c r="X152" s="1"/>
      <c r="Y152" s="1"/>
      <c r="Z152" s="1"/>
    </row>
    <row r="153" spans="1:26" ht="15.75" customHeight="1">
      <c r="A153" s="84"/>
      <c r="B153" s="110" t="s">
        <v>104</v>
      </c>
      <c r="C153" s="111"/>
      <c r="D153" s="111"/>
      <c r="E153" s="37">
        <v>4.0999999999999996</v>
      </c>
      <c r="F153" s="30"/>
      <c r="G153" s="115" t="s">
        <v>41</v>
      </c>
      <c r="H153" s="116"/>
      <c r="I153" s="117"/>
      <c r="J153" s="37">
        <v>4.0999999999999996</v>
      </c>
      <c r="K153" s="31"/>
      <c r="L153" s="40" t="s">
        <v>42</v>
      </c>
      <c r="M153" s="1"/>
      <c r="N153" s="1"/>
      <c r="O153" s="1"/>
      <c r="P153" s="1"/>
      <c r="Q153" s="1"/>
      <c r="R153" s="1"/>
      <c r="S153" s="1"/>
      <c r="T153" s="1"/>
      <c r="U153" s="1"/>
      <c r="V153" s="1"/>
      <c r="W153" s="1"/>
      <c r="X153" s="1"/>
      <c r="Y153" s="1"/>
      <c r="Z153" s="1"/>
    </row>
    <row r="154" spans="1:26" ht="15.75" customHeight="1">
      <c r="A154" s="84"/>
      <c r="B154" s="110" t="s">
        <v>109</v>
      </c>
      <c r="C154" s="111"/>
      <c r="D154" s="111"/>
      <c r="E154" s="37">
        <v>0.8</v>
      </c>
      <c r="F154" s="39"/>
      <c r="G154" s="115" t="s">
        <v>76</v>
      </c>
      <c r="H154" s="116"/>
      <c r="I154" s="117"/>
      <c r="J154" s="37">
        <v>0.8</v>
      </c>
      <c r="K154" s="32"/>
      <c r="L154" s="40" t="s">
        <v>80</v>
      </c>
      <c r="M154" s="1"/>
      <c r="N154" s="1"/>
      <c r="O154" s="1"/>
      <c r="P154" s="1"/>
      <c r="Q154" s="1"/>
      <c r="R154" s="1"/>
      <c r="S154" s="1"/>
      <c r="T154" s="1"/>
      <c r="U154" s="1"/>
      <c r="V154" s="1"/>
      <c r="W154" s="1"/>
      <c r="X154" s="1"/>
      <c r="Y154" s="1"/>
      <c r="Z154" s="1"/>
    </row>
    <row r="155" spans="1:26" ht="15.75" customHeight="1">
      <c r="A155" s="84"/>
      <c r="B155" s="110" t="s">
        <v>105</v>
      </c>
      <c r="C155" s="111"/>
      <c r="D155" s="111"/>
      <c r="E155" s="36">
        <v>4.5999999999999996</v>
      </c>
      <c r="F155" s="39"/>
      <c r="G155" s="115" t="s">
        <v>76</v>
      </c>
      <c r="H155" s="116"/>
      <c r="I155" s="117"/>
      <c r="J155" s="36">
        <v>4.5999999999999996</v>
      </c>
      <c r="K155" s="32"/>
      <c r="L155" s="40" t="s">
        <v>80</v>
      </c>
      <c r="M155" s="1"/>
      <c r="N155" s="1"/>
      <c r="O155" s="1"/>
      <c r="P155" s="1"/>
      <c r="Q155" s="1"/>
      <c r="R155" s="1"/>
      <c r="S155" s="1"/>
      <c r="T155" s="1"/>
      <c r="U155" s="1"/>
      <c r="V155" s="1"/>
      <c r="W155" s="1"/>
      <c r="X155" s="1"/>
      <c r="Y155" s="1"/>
      <c r="Z155" s="1"/>
    </row>
    <row r="156" spans="1:26" ht="15.75" customHeight="1">
      <c r="A156" s="84"/>
      <c r="B156" s="110" t="s">
        <v>104</v>
      </c>
      <c r="C156" s="111"/>
      <c r="D156" s="111"/>
      <c r="E156" s="36">
        <v>3.8</v>
      </c>
      <c r="F156" s="39"/>
      <c r="G156" s="115" t="s">
        <v>76</v>
      </c>
      <c r="H156" s="116"/>
      <c r="I156" s="117"/>
      <c r="J156" s="36">
        <v>3.8</v>
      </c>
      <c r="K156" s="32"/>
      <c r="L156" s="40" t="s">
        <v>80</v>
      </c>
      <c r="M156" s="1"/>
      <c r="N156" s="1"/>
      <c r="O156" s="1"/>
      <c r="P156" s="1"/>
      <c r="Q156" s="1"/>
      <c r="R156" s="1"/>
      <c r="S156" s="1"/>
      <c r="T156" s="1"/>
      <c r="U156" s="1"/>
      <c r="V156" s="1"/>
      <c r="W156" s="1"/>
      <c r="X156" s="1"/>
      <c r="Y156" s="1"/>
      <c r="Z156" s="1"/>
    </row>
    <row r="157" spans="1:26" ht="15.75" customHeight="1">
      <c r="A157" s="84"/>
      <c r="B157" s="118" t="s">
        <v>108</v>
      </c>
      <c r="C157" s="119"/>
      <c r="D157" s="120"/>
      <c r="E157" s="37">
        <v>0.2</v>
      </c>
      <c r="F157" s="39"/>
      <c r="G157" s="115" t="s">
        <v>76</v>
      </c>
      <c r="H157" s="116"/>
      <c r="I157" s="117"/>
      <c r="J157" s="37">
        <v>0.2</v>
      </c>
      <c r="K157" s="32"/>
      <c r="L157" s="40" t="s">
        <v>80</v>
      </c>
      <c r="M157" s="1"/>
      <c r="N157" s="1"/>
      <c r="O157" s="1"/>
      <c r="P157" s="1"/>
      <c r="Q157" s="1"/>
      <c r="R157" s="1"/>
      <c r="S157" s="1"/>
      <c r="T157" s="1"/>
      <c r="U157" s="1"/>
      <c r="V157" s="1"/>
      <c r="W157" s="1"/>
      <c r="X157" s="1"/>
      <c r="Y157" s="1"/>
      <c r="Z157" s="1"/>
    </row>
    <row r="158" spans="1:26" ht="15.75" customHeight="1">
      <c r="A158" s="84"/>
      <c r="B158" s="110" t="s">
        <v>105</v>
      </c>
      <c r="C158" s="111"/>
      <c r="D158" s="111"/>
      <c r="E158" s="37">
        <v>3.9</v>
      </c>
      <c r="F158" s="30"/>
      <c r="G158" s="115" t="s">
        <v>41</v>
      </c>
      <c r="H158" s="116"/>
      <c r="I158" s="117"/>
      <c r="J158" s="37">
        <v>3.9</v>
      </c>
      <c r="K158" s="31"/>
      <c r="L158" s="40" t="s">
        <v>42</v>
      </c>
      <c r="M158" s="1">
        <f>SUM(J158:J171)</f>
        <v>43.8</v>
      </c>
      <c r="N158" s="1"/>
      <c r="O158" s="1"/>
      <c r="P158" s="1"/>
      <c r="Q158" s="1"/>
      <c r="R158" s="1"/>
      <c r="S158" s="1"/>
      <c r="T158" s="1"/>
      <c r="U158" s="1"/>
      <c r="V158" s="1"/>
      <c r="W158" s="1"/>
      <c r="X158" s="1"/>
      <c r="Y158" s="1"/>
      <c r="Z158" s="1"/>
    </row>
    <row r="159" spans="1:26" ht="15.75" customHeight="1">
      <c r="A159" s="84"/>
      <c r="B159" s="118" t="s">
        <v>111</v>
      </c>
      <c r="C159" s="122"/>
      <c r="D159" s="122"/>
      <c r="E159" s="37">
        <v>0.5</v>
      </c>
      <c r="F159" s="30"/>
      <c r="G159" s="115" t="s">
        <v>41</v>
      </c>
      <c r="H159" s="116"/>
      <c r="I159" s="117"/>
      <c r="J159" s="37">
        <v>0.5</v>
      </c>
      <c r="K159" s="31"/>
      <c r="L159" s="40" t="s">
        <v>42</v>
      </c>
      <c r="M159" s="1"/>
      <c r="N159" s="1"/>
      <c r="O159" s="1"/>
      <c r="P159" s="1"/>
      <c r="Q159" s="1"/>
      <c r="R159" s="1"/>
      <c r="S159" s="1"/>
      <c r="T159" s="1"/>
      <c r="U159" s="1"/>
      <c r="V159" s="1"/>
      <c r="W159" s="1"/>
      <c r="X159" s="1"/>
      <c r="Y159" s="1"/>
      <c r="Z159" s="1"/>
    </row>
    <row r="160" spans="1:26" ht="15.75" customHeight="1">
      <c r="A160" s="84"/>
      <c r="B160" s="118" t="s">
        <v>108</v>
      </c>
      <c r="C160" s="119"/>
      <c r="D160" s="120"/>
      <c r="E160" s="37">
        <v>0.5</v>
      </c>
      <c r="F160" s="30"/>
      <c r="G160" s="115" t="s">
        <v>41</v>
      </c>
      <c r="H160" s="116"/>
      <c r="I160" s="117"/>
      <c r="J160" s="37">
        <v>0.5</v>
      </c>
      <c r="K160" s="31"/>
      <c r="L160" s="40" t="s">
        <v>42</v>
      </c>
      <c r="M160" s="1"/>
      <c r="N160" s="1"/>
      <c r="O160" s="1"/>
      <c r="P160" s="1"/>
      <c r="Q160" s="1"/>
      <c r="R160" s="1"/>
      <c r="S160" s="1"/>
      <c r="T160" s="1"/>
      <c r="U160" s="1"/>
      <c r="V160" s="1"/>
      <c r="W160" s="1"/>
      <c r="X160" s="1"/>
      <c r="Y160" s="1"/>
      <c r="Z160" s="1"/>
    </row>
    <row r="161" spans="1:26" ht="15.75" customHeight="1">
      <c r="A161" s="84"/>
      <c r="B161" s="110" t="s">
        <v>105</v>
      </c>
      <c r="C161" s="111"/>
      <c r="D161" s="111"/>
      <c r="E161" s="36">
        <v>0.6</v>
      </c>
      <c r="F161" s="30"/>
      <c r="G161" s="115" t="s">
        <v>41</v>
      </c>
      <c r="H161" s="116"/>
      <c r="I161" s="117"/>
      <c r="J161" s="36">
        <v>0.6</v>
      </c>
      <c r="K161" s="31"/>
      <c r="L161" s="40" t="s">
        <v>42</v>
      </c>
      <c r="M161" s="1"/>
      <c r="N161" s="1"/>
      <c r="O161" s="1"/>
      <c r="P161" s="1"/>
      <c r="Q161" s="1"/>
      <c r="R161" s="1"/>
      <c r="S161" s="1"/>
      <c r="T161" s="1"/>
      <c r="U161" s="1"/>
      <c r="V161" s="1"/>
      <c r="W161" s="1"/>
      <c r="X161" s="1"/>
      <c r="Y161" s="1"/>
      <c r="Z161" s="1"/>
    </row>
    <row r="162" spans="1:26" ht="15.75" customHeight="1">
      <c r="A162" s="84"/>
      <c r="B162" s="118" t="s">
        <v>108</v>
      </c>
      <c r="C162" s="119"/>
      <c r="D162" s="120"/>
      <c r="E162" s="37">
        <v>0.5</v>
      </c>
      <c r="F162" s="30"/>
      <c r="G162" s="115" t="s">
        <v>41</v>
      </c>
      <c r="H162" s="116"/>
      <c r="I162" s="117"/>
      <c r="J162" s="37">
        <v>0.5</v>
      </c>
      <c r="K162" s="31"/>
      <c r="L162" s="40" t="s">
        <v>42</v>
      </c>
      <c r="M162" s="1"/>
      <c r="N162" s="1"/>
      <c r="O162" s="1"/>
      <c r="P162" s="1"/>
      <c r="Q162" s="1"/>
      <c r="R162" s="1"/>
      <c r="S162" s="1"/>
      <c r="T162" s="1"/>
      <c r="U162" s="1"/>
      <c r="V162" s="1"/>
      <c r="W162" s="1"/>
      <c r="X162" s="1"/>
      <c r="Y162" s="1"/>
      <c r="Z162" s="1"/>
    </row>
    <row r="163" spans="1:26" ht="15.75" customHeight="1">
      <c r="A163" s="84"/>
      <c r="B163" s="110" t="s">
        <v>105</v>
      </c>
      <c r="C163" s="111"/>
      <c r="D163" s="111"/>
      <c r="E163" s="37">
        <v>11.2</v>
      </c>
      <c r="F163" s="30"/>
      <c r="G163" s="115" t="s">
        <v>41</v>
      </c>
      <c r="H163" s="116"/>
      <c r="I163" s="117"/>
      <c r="J163" s="37">
        <v>11.2</v>
      </c>
      <c r="K163" s="31"/>
      <c r="L163" s="40" t="s">
        <v>42</v>
      </c>
      <c r="M163" s="1"/>
      <c r="N163" s="1"/>
      <c r="O163" s="1"/>
      <c r="P163" s="1"/>
      <c r="Q163" s="1"/>
      <c r="R163" s="1"/>
      <c r="S163" s="1"/>
      <c r="T163" s="1"/>
      <c r="U163" s="1"/>
      <c r="V163" s="1"/>
      <c r="W163" s="1"/>
      <c r="X163" s="1"/>
      <c r="Y163" s="1"/>
      <c r="Z163" s="1"/>
    </row>
    <row r="164" spans="1:26" ht="15.75" customHeight="1">
      <c r="A164" s="84"/>
      <c r="B164" s="118" t="s">
        <v>108</v>
      </c>
      <c r="C164" s="119"/>
      <c r="D164" s="120"/>
      <c r="E164" s="37">
        <v>0.4</v>
      </c>
      <c r="F164" s="30"/>
      <c r="G164" s="115" t="s">
        <v>41</v>
      </c>
      <c r="H164" s="116"/>
      <c r="I164" s="117"/>
      <c r="J164" s="37">
        <v>0.4</v>
      </c>
      <c r="K164" s="31"/>
      <c r="L164" s="40" t="s">
        <v>42</v>
      </c>
      <c r="M164" s="1"/>
      <c r="N164" s="1"/>
      <c r="O164" s="1"/>
      <c r="P164" s="1"/>
      <c r="Q164" s="1"/>
      <c r="R164" s="1"/>
      <c r="S164" s="1"/>
      <c r="T164" s="1"/>
      <c r="U164" s="1"/>
      <c r="V164" s="1"/>
      <c r="W164" s="1"/>
      <c r="X164" s="1"/>
      <c r="Y164" s="1"/>
      <c r="Z164" s="1"/>
    </row>
    <row r="165" spans="1:26" ht="15.75" customHeight="1">
      <c r="A165" s="84"/>
      <c r="B165" s="110" t="s">
        <v>105</v>
      </c>
      <c r="C165" s="111"/>
      <c r="D165" s="111"/>
      <c r="E165" s="37">
        <v>1</v>
      </c>
      <c r="F165" s="30"/>
      <c r="G165" s="115" t="s">
        <v>41</v>
      </c>
      <c r="H165" s="116"/>
      <c r="I165" s="117"/>
      <c r="J165" s="37">
        <v>1</v>
      </c>
      <c r="K165" s="31"/>
      <c r="L165" s="40" t="s">
        <v>42</v>
      </c>
      <c r="M165" s="1"/>
      <c r="N165" s="1"/>
      <c r="O165" s="1"/>
      <c r="P165" s="1"/>
      <c r="Q165" s="1"/>
      <c r="R165" s="1"/>
      <c r="S165" s="1"/>
      <c r="T165" s="1"/>
      <c r="U165" s="1"/>
      <c r="V165" s="1"/>
      <c r="W165" s="1"/>
      <c r="X165" s="1"/>
      <c r="Y165" s="1"/>
      <c r="Z165" s="1"/>
    </row>
    <row r="166" spans="1:26" ht="15.75" customHeight="1">
      <c r="A166" s="84"/>
      <c r="B166" s="118" t="s">
        <v>108</v>
      </c>
      <c r="C166" s="119"/>
      <c r="D166" s="120"/>
      <c r="E166" s="37">
        <v>0.5</v>
      </c>
      <c r="F166" s="30"/>
      <c r="G166" s="115" t="s">
        <v>41</v>
      </c>
      <c r="H166" s="116"/>
      <c r="I166" s="117"/>
      <c r="J166" s="37">
        <v>0.5</v>
      </c>
      <c r="K166" s="31"/>
      <c r="L166" s="40" t="s">
        <v>42</v>
      </c>
      <c r="M166" s="1"/>
      <c r="N166" s="1"/>
      <c r="O166" s="1"/>
      <c r="P166" s="1"/>
      <c r="Q166" s="1"/>
      <c r="R166" s="1"/>
      <c r="S166" s="1"/>
      <c r="T166" s="1"/>
      <c r="U166" s="1"/>
      <c r="V166" s="1"/>
      <c r="W166" s="1"/>
      <c r="X166" s="1"/>
      <c r="Y166" s="1"/>
      <c r="Z166" s="1"/>
    </row>
    <row r="167" spans="1:26" ht="15.75" customHeight="1">
      <c r="A167" s="84"/>
      <c r="B167" s="121" t="s">
        <v>109</v>
      </c>
      <c r="C167" s="122"/>
      <c r="D167" s="122"/>
      <c r="E167" s="37">
        <v>0.5</v>
      </c>
      <c r="F167" s="30"/>
      <c r="G167" s="115" t="s">
        <v>41</v>
      </c>
      <c r="H167" s="116"/>
      <c r="I167" s="117"/>
      <c r="J167" s="37">
        <v>0.5</v>
      </c>
      <c r="K167" s="31"/>
      <c r="L167" s="40" t="s">
        <v>42</v>
      </c>
      <c r="M167" s="1"/>
      <c r="N167" s="1"/>
      <c r="O167" s="1"/>
      <c r="P167" s="1"/>
      <c r="Q167" s="1"/>
      <c r="R167" s="1"/>
      <c r="S167" s="1"/>
      <c r="T167" s="1"/>
      <c r="U167" s="1"/>
      <c r="V167" s="1"/>
      <c r="W167" s="1"/>
      <c r="X167" s="1"/>
      <c r="Y167" s="1"/>
      <c r="Z167" s="1"/>
    </row>
    <row r="168" spans="1:26" ht="15.75" customHeight="1">
      <c r="A168" s="84"/>
      <c r="B168" s="110" t="s">
        <v>105</v>
      </c>
      <c r="C168" s="111"/>
      <c r="D168" s="111"/>
      <c r="E168" s="37">
        <v>7.1</v>
      </c>
      <c r="F168" s="30"/>
      <c r="G168" s="115" t="s">
        <v>41</v>
      </c>
      <c r="H168" s="116"/>
      <c r="I168" s="117"/>
      <c r="J168" s="37">
        <v>7.1</v>
      </c>
      <c r="K168" s="31"/>
      <c r="L168" s="40" t="s">
        <v>42</v>
      </c>
      <c r="M168" s="1"/>
      <c r="N168" s="1"/>
      <c r="O168" s="1"/>
      <c r="P168" s="1"/>
      <c r="Q168" s="1"/>
      <c r="R168" s="1"/>
      <c r="S168" s="1"/>
      <c r="T168" s="1"/>
      <c r="U168" s="1"/>
      <c r="V168" s="1"/>
      <c r="W168" s="1"/>
      <c r="X168" s="1"/>
      <c r="Y168" s="1"/>
      <c r="Z168" s="1"/>
    </row>
    <row r="169" spans="1:26" ht="15.75" customHeight="1">
      <c r="A169" s="84"/>
      <c r="B169" s="118" t="s">
        <v>108</v>
      </c>
      <c r="C169" s="119"/>
      <c r="D169" s="120"/>
      <c r="E169" s="36">
        <v>0.4</v>
      </c>
      <c r="F169" s="30"/>
      <c r="G169" s="115" t="s">
        <v>41</v>
      </c>
      <c r="H169" s="116"/>
      <c r="I169" s="117"/>
      <c r="J169" s="36">
        <v>0.4</v>
      </c>
      <c r="K169" s="31"/>
      <c r="L169" s="40" t="s">
        <v>42</v>
      </c>
      <c r="M169" s="1"/>
      <c r="N169" s="1"/>
      <c r="O169" s="1"/>
      <c r="P169" s="1"/>
      <c r="Q169" s="1"/>
      <c r="R169" s="1"/>
      <c r="S169" s="1"/>
      <c r="T169" s="1"/>
      <c r="U169" s="1"/>
      <c r="V169" s="1"/>
      <c r="W169" s="1"/>
      <c r="X169" s="1"/>
      <c r="Y169" s="1"/>
      <c r="Z169" s="1"/>
    </row>
    <row r="170" spans="1:26" ht="15.75" customHeight="1">
      <c r="A170" s="84"/>
      <c r="B170" s="110" t="s">
        <v>105</v>
      </c>
      <c r="C170" s="111"/>
      <c r="D170" s="111"/>
      <c r="E170" s="36">
        <v>16.2</v>
      </c>
      <c r="F170" s="30"/>
      <c r="G170" s="115" t="s">
        <v>41</v>
      </c>
      <c r="H170" s="116"/>
      <c r="I170" s="117"/>
      <c r="J170" s="36">
        <v>16.2</v>
      </c>
      <c r="K170" s="31"/>
      <c r="L170" s="40" t="s">
        <v>42</v>
      </c>
      <c r="M170" s="1"/>
      <c r="N170" s="1"/>
      <c r="O170" s="1"/>
      <c r="P170" s="1"/>
      <c r="Q170" s="1"/>
      <c r="R170" s="1"/>
      <c r="S170" s="1"/>
      <c r="T170" s="1"/>
      <c r="U170" s="1"/>
      <c r="V170" s="1"/>
      <c r="W170" s="1"/>
      <c r="X170" s="1"/>
      <c r="Y170" s="1"/>
      <c r="Z170" s="1"/>
    </row>
    <row r="171" spans="1:26" ht="15.75" customHeight="1">
      <c r="A171" s="84"/>
      <c r="B171" s="118" t="s">
        <v>108</v>
      </c>
      <c r="C171" s="119"/>
      <c r="D171" s="120"/>
      <c r="E171" s="37">
        <v>0.5</v>
      </c>
      <c r="F171" s="30"/>
      <c r="G171" s="115" t="s">
        <v>41</v>
      </c>
      <c r="H171" s="116"/>
      <c r="I171" s="117"/>
      <c r="J171" s="37">
        <v>0.5</v>
      </c>
      <c r="K171" s="31"/>
      <c r="L171" s="40" t="s">
        <v>42</v>
      </c>
      <c r="M171" s="1"/>
      <c r="N171" s="1"/>
      <c r="O171" s="1"/>
      <c r="P171" s="1"/>
      <c r="Q171" s="1"/>
      <c r="R171" s="1"/>
      <c r="S171" s="1"/>
      <c r="T171" s="1"/>
      <c r="U171" s="1"/>
      <c r="V171" s="1"/>
      <c r="W171" s="1"/>
      <c r="X171" s="1"/>
      <c r="Y171" s="1"/>
      <c r="Z171" s="1"/>
    </row>
    <row r="172" spans="1:26" ht="15.75" customHeight="1">
      <c r="A172" s="84"/>
      <c r="B172" s="110" t="s">
        <v>105</v>
      </c>
      <c r="C172" s="111"/>
      <c r="D172" s="111"/>
      <c r="E172" s="37">
        <v>14.1</v>
      </c>
      <c r="F172" s="39"/>
      <c r="G172" s="115" t="s">
        <v>76</v>
      </c>
      <c r="H172" s="116"/>
      <c r="I172" s="117"/>
      <c r="J172" s="37">
        <v>14.1</v>
      </c>
      <c r="K172" s="32"/>
      <c r="L172" s="40" t="s">
        <v>80</v>
      </c>
      <c r="M172" s="1"/>
      <c r="N172" s="1"/>
      <c r="O172" s="1"/>
      <c r="P172" s="1"/>
      <c r="Q172" s="1"/>
      <c r="R172" s="1"/>
      <c r="S172" s="1"/>
      <c r="T172" s="1"/>
      <c r="U172" s="1"/>
      <c r="V172" s="1"/>
      <c r="W172" s="1"/>
      <c r="X172" s="1"/>
      <c r="Y172" s="1"/>
      <c r="Z172" s="1"/>
    </row>
    <row r="173" spans="1:26" ht="15.75" customHeight="1">
      <c r="A173" s="84"/>
      <c r="B173" s="118" t="s">
        <v>108</v>
      </c>
      <c r="C173" s="119"/>
      <c r="D173" s="120"/>
      <c r="E173" s="37">
        <v>0.5</v>
      </c>
      <c r="F173" s="39"/>
      <c r="G173" s="115" t="s">
        <v>76</v>
      </c>
      <c r="H173" s="116"/>
      <c r="I173" s="117"/>
      <c r="J173" s="37">
        <v>0.5</v>
      </c>
      <c r="K173" s="32"/>
      <c r="L173" s="40" t="s">
        <v>80</v>
      </c>
      <c r="M173" s="1"/>
      <c r="N173" s="1"/>
      <c r="O173" s="1"/>
      <c r="P173" s="1"/>
      <c r="Q173" s="1"/>
      <c r="R173" s="1"/>
      <c r="S173" s="1"/>
      <c r="T173" s="1"/>
      <c r="U173" s="1"/>
      <c r="V173" s="1"/>
      <c r="W173" s="1"/>
      <c r="X173" s="1"/>
      <c r="Y173" s="1"/>
      <c r="Z173" s="1"/>
    </row>
    <row r="174" spans="1:26" ht="15.75" customHeight="1">
      <c r="A174" s="84"/>
      <c r="B174" s="110" t="s">
        <v>105</v>
      </c>
      <c r="C174" s="111"/>
      <c r="D174" s="111"/>
      <c r="E174" s="36">
        <v>0.5</v>
      </c>
      <c r="F174" s="39"/>
      <c r="G174" s="115" t="s">
        <v>76</v>
      </c>
      <c r="H174" s="116"/>
      <c r="I174" s="117"/>
      <c r="J174" s="36">
        <v>0.5</v>
      </c>
      <c r="K174" s="32"/>
      <c r="L174" s="40" t="s">
        <v>80</v>
      </c>
      <c r="M174" s="1"/>
      <c r="N174" s="1"/>
      <c r="O174" s="1"/>
      <c r="P174" s="1"/>
      <c r="Q174" s="1"/>
      <c r="R174" s="1"/>
      <c r="S174" s="1"/>
      <c r="T174" s="1"/>
      <c r="U174" s="1"/>
      <c r="V174" s="1"/>
      <c r="W174" s="1"/>
      <c r="X174" s="1"/>
      <c r="Y174" s="1"/>
      <c r="Z174" s="1"/>
    </row>
    <row r="175" spans="1:26" ht="15.75" customHeight="1">
      <c r="A175" s="84"/>
      <c r="B175" s="118" t="s">
        <v>108</v>
      </c>
      <c r="C175" s="119"/>
      <c r="D175" s="120"/>
      <c r="E175" s="37">
        <v>0.5</v>
      </c>
      <c r="F175" s="39"/>
      <c r="G175" s="115" t="s">
        <v>76</v>
      </c>
      <c r="H175" s="116"/>
      <c r="I175" s="117"/>
      <c r="J175" s="37">
        <v>0.5</v>
      </c>
      <c r="K175" s="32"/>
      <c r="L175" s="40" t="s">
        <v>80</v>
      </c>
      <c r="M175" s="1"/>
      <c r="N175" s="1"/>
      <c r="O175" s="1"/>
      <c r="P175" s="1"/>
      <c r="Q175" s="1"/>
      <c r="R175" s="1"/>
      <c r="S175" s="1"/>
      <c r="T175" s="1"/>
      <c r="U175" s="1"/>
      <c r="V175" s="1"/>
      <c r="W175" s="1"/>
      <c r="X175" s="1"/>
      <c r="Y175" s="1"/>
      <c r="Z175" s="1"/>
    </row>
    <row r="176" spans="1:26" ht="15.75" customHeight="1">
      <c r="A176" s="84"/>
      <c r="B176" s="121" t="s">
        <v>109</v>
      </c>
      <c r="C176" s="122"/>
      <c r="D176" s="122"/>
      <c r="E176" s="37">
        <v>0.5</v>
      </c>
      <c r="F176" s="39"/>
      <c r="G176" s="115" t="s">
        <v>76</v>
      </c>
      <c r="H176" s="116"/>
      <c r="I176" s="117"/>
      <c r="J176" s="37">
        <v>0.5</v>
      </c>
      <c r="K176" s="32"/>
      <c r="L176" s="40" t="s">
        <v>80</v>
      </c>
      <c r="M176" s="1"/>
      <c r="N176" s="1"/>
      <c r="O176" s="1"/>
      <c r="P176" s="1"/>
      <c r="Q176" s="1"/>
      <c r="R176" s="1"/>
      <c r="S176" s="1"/>
      <c r="T176" s="1"/>
      <c r="U176" s="1"/>
      <c r="V176" s="1"/>
      <c r="W176" s="1"/>
      <c r="X176" s="1"/>
      <c r="Y176" s="1"/>
      <c r="Z176" s="1"/>
    </row>
    <row r="177" spans="1:26" ht="15.75" customHeight="1">
      <c r="A177" s="84"/>
      <c r="B177" s="110" t="s">
        <v>104</v>
      </c>
      <c r="C177" s="111"/>
      <c r="D177" s="111"/>
      <c r="E177" s="37">
        <v>2.9</v>
      </c>
      <c r="F177" s="39"/>
      <c r="G177" s="115" t="s">
        <v>76</v>
      </c>
      <c r="H177" s="116"/>
      <c r="I177" s="117"/>
      <c r="J177" s="37">
        <v>2.9</v>
      </c>
      <c r="K177" s="32"/>
      <c r="L177" s="40" t="s">
        <v>80</v>
      </c>
      <c r="M177" s="1"/>
      <c r="N177" s="1"/>
      <c r="O177" s="1"/>
      <c r="P177" s="1"/>
      <c r="Q177" s="1"/>
      <c r="R177" s="1"/>
      <c r="S177" s="1"/>
      <c r="T177" s="1"/>
      <c r="U177" s="1"/>
      <c r="V177" s="1"/>
      <c r="W177" s="1"/>
      <c r="X177" s="1"/>
      <c r="Y177" s="1"/>
      <c r="Z177" s="1"/>
    </row>
    <row r="178" spans="1:26" ht="15.75" customHeight="1">
      <c r="A178" s="84"/>
      <c r="B178" s="110" t="s">
        <v>105</v>
      </c>
      <c r="C178" s="111"/>
      <c r="D178" s="111"/>
      <c r="E178" s="37">
        <v>9</v>
      </c>
      <c r="F178" s="39"/>
      <c r="G178" s="115" t="s">
        <v>76</v>
      </c>
      <c r="H178" s="116"/>
      <c r="I178" s="117"/>
      <c r="J178" s="37">
        <v>9</v>
      </c>
      <c r="K178" s="32"/>
      <c r="L178" s="40" t="s">
        <v>80</v>
      </c>
      <c r="M178" s="1"/>
      <c r="N178" s="1"/>
      <c r="O178" s="1"/>
      <c r="P178" s="1"/>
      <c r="Q178" s="1"/>
      <c r="R178" s="1"/>
      <c r="S178" s="1"/>
      <c r="T178" s="1"/>
      <c r="U178" s="1"/>
      <c r="V178" s="1"/>
      <c r="W178" s="1"/>
      <c r="X178" s="1"/>
      <c r="Y178" s="1"/>
      <c r="Z178" s="1"/>
    </row>
    <row r="179" spans="1:26" ht="15.75" customHeight="1">
      <c r="A179" s="84"/>
      <c r="B179" s="118" t="s">
        <v>108</v>
      </c>
      <c r="C179" s="119"/>
      <c r="D179" s="120"/>
      <c r="E179" s="37">
        <v>0.5</v>
      </c>
      <c r="F179" s="39"/>
      <c r="G179" s="115" t="s">
        <v>76</v>
      </c>
      <c r="H179" s="116"/>
      <c r="I179" s="117"/>
      <c r="J179" s="37">
        <v>0.5</v>
      </c>
      <c r="K179" s="32"/>
      <c r="L179" s="40" t="s">
        <v>80</v>
      </c>
      <c r="M179" s="1"/>
      <c r="N179" s="1"/>
      <c r="O179" s="1"/>
      <c r="P179" s="1"/>
      <c r="Q179" s="1"/>
      <c r="R179" s="1"/>
      <c r="S179" s="1"/>
      <c r="T179" s="1"/>
      <c r="U179" s="1"/>
      <c r="V179" s="1"/>
      <c r="W179" s="1"/>
      <c r="X179" s="1"/>
      <c r="Y179" s="1"/>
      <c r="Z179" s="1"/>
    </row>
    <row r="180" spans="1:26" ht="15.75" customHeight="1">
      <c r="A180" s="84"/>
      <c r="B180" s="110" t="s">
        <v>105</v>
      </c>
      <c r="C180" s="111"/>
      <c r="D180" s="111"/>
      <c r="E180" s="36">
        <v>2.8</v>
      </c>
      <c r="F180" s="39"/>
      <c r="G180" s="115" t="s">
        <v>76</v>
      </c>
      <c r="H180" s="116"/>
      <c r="I180" s="117"/>
      <c r="J180" s="36">
        <v>2.8</v>
      </c>
      <c r="K180" s="32"/>
      <c r="L180" s="40" t="s">
        <v>80</v>
      </c>
      <c r="M180" s="1"/>
      <c r="N180" s="1"/>
      <c r="O180" s="1"/>
      <c r="P180" s="1"/>
      <c r="Q180" s="1"/>
      <c r="R180" s="1"/>
      <c r="S180" s="1"/>
      <c r="T180" s="1"/>
      <c r="U180" s="1"/>
      <c r="V180" s="1"/>
      <c r="W180" s="1"/>
      <c r="X180" s="1"/>
      <c r="Y180" s="1"/>
      <c r="Z180" s="1"/>
    </row>
    <row r="181" spans="1:26" ht="15.75" customHeight="1">
      <c r="A181" s="84"/>
      <c r="B181" s="110" t="s">
        <v>104</v>
      </c>
      <c r="C181" s="111"/>
      <c r="D181" s="111"/>
      <c r="E181" s="37">
        <v>3</v>
      </c>
      <c r="F181" s="39"/>
      <c r="G181" s="115" t="s">
        <v>76</v>
      </c>
      <c r="H181" s="116"/>
      <c r="I181" s="117"/>
      <c r="J181" s="37">
        <v>3</v>
      </c>
      <c r="K181" s="32"/>
      <c r="L181" s="40" t="s">
        <v>80</v>
      </c>
      <c r="M181" s="1"/>
      <c r="N181" s="1"/>
      <c r="O181" s="1"/>
      <c r="P181" s="1"/>
      <c r="Q181" s="1"/>
      <c r="R181" s="1"/>
      <c r="S181" s="1"/>
      <c r="T181" s="1"/>
      <c r="U181" s="1"/>
      <c r="V181" s="1"/>
      <c r="W181" s="1"/>
      <c r="X181" s="1"/>
      <c r="Y181" s="1"/>
      <c r="Z181" s="1"/>
    </row>
    <row r="182" spans="1:26" ht="15.75" customHeight="1">
      <c r="A182" s="84"/>
      <c r="B182" s="115" t="s">
        <v>105</v>
      </c>
      <c r="C182" s="116"/>
      <c r="D182" s="117"/>
      <c r="E182" s="37">
        <v>12</v>
      </c>
      <c r="F182" s="39"/>
      <c r="G182" s="115" t="s">
        <v>76</v>
      </c>
      <c r="H182" s="116"/>
      <c r="I182" s="117"/>
      <c r="J182" s="37">
        <v>12</v>
      </c>
      <c r="K182" s="32"/>
      <c r="L182" s="40" t="s">
        <v>80</v>
      </c>
      <c r="M182" s="1"/>
      <c r="N182" s="1"/>
      <c r="O182" s="1"/>
      <c r="P182" s="1"/>
      <c r="Q182" s="1"/>
      <c r="R182" s="1"/>
      <c r="S182" s="1"/>
      <c r="T182" s="1"/>
      <c r="U182" s="1"/>
      <c r="V182" s="1"/>
      <c r="W182" s="1"/>
      <c r="X182" s="1"/>
      <c r="Y182" s="1"/>
      <c r="Z182" s="1"/>
    </row>
    <row r="183" spans="1:26" ht="15.75" customHeight="1">
      <c r="A183" s="84"/>
      <c r="B183" s="115" t="s">
        <v>104</v>
      </c>
      <c r="C183" s="116"/>
      <c r="D183" s="117"/>
      <c r="E183" s="37">
        <v>1.6</v>
      </c>
      <c r="F183" s="39"/>
      <c r="G183" s="115" t="s">
        <v>76</v>
      </c>
      <c r="H183" s="116"/>
      <c r="I183" s="117"/>
      <c r="J183" s="37">
        <v>1.6</v>
      </c>
      <c r="K183" s="32"/>
      <c r="L183" s="40" t="s">
        <v>80</v>
      </c>
      <c r="M183" s="1"/>
      <c r="N183" s="1"/>
      <c r="O183" s="1"/>
      <c r="P183" s="1"/>
      <c r="Q183" s="1"/>
      <c r="R183" s="1"/>
      <c r="S183" s="1"/>
      <c r="T183" s="1"/>
      <c r="U183" s="1"/>
      <c r="V183" s="1"/>
      <c r="W183" s="1"/>
      <c r="X183" s="1"/>
      <c r="Y183" s="1"/>
      <c r="Z183" s="1"/>
    </row>
    <row r="184" spans="1:26" ht="15.75" customHeight="1">
      <c r="A184" s="84"/>
      <c r="B184" s="115" t="s">
        <v>105</v>
      </c>
      <c r="C184" s="116"/>
      <c r="D184" s="117"/>
      <c r="E184" s="36">
        <v>2</v>
      </c>
      <c r="F184" s="39"/>
      <c r="G184" s="115" t="s">
        <v>76</v>
      </c>
      <c r="H184" s="116"/>
      <c r="I184" s="117"/>
      <c r="J184" s="36">
        <v>2</v>
      </c>
      <c r="K184" s="32"/>
      <c r="L184" s="40" t="s">
        <v>80</v>
      </c>
      <c r="M184" s="1"/>
      <c r="N184" s="1"/>
      <c r="O184" s="1"/>
      <c r="P184" s="1"/>
      <c r="Q184" s="1"/>
      <c r="R184" s="1"/>
      <c r="S184" s="1"/>
      <c r="T184" s="1"/>
      <c r="U184" s="1"/>
      <c r="V184" s="1"/>
      <c r="W184" s="1"/>
      <c r="X184" s="1"/>
      <c r="Y184" s="1"/>
      <c r="Z184" s="1"/>
    </row>
    <row r="185" spans="1:26" ht="15.75" customHeight="1">
      <c r="A185" s="84"/>
      <c r="B185" s="115" t="s">
        <v>104</v>
      </c>
      <c r="C185" s="116"/>
      <c r="D185" s="117"/>
      <c r="E185" s="36">
        <v>2.2999999999999998</v>
      </c>
      <c r="F185" s="39"/>
      <c r="G185" s="115" t="s">
        <v>76</v>
      </c>
      <c r="H185" s="116"/>
      <c r="I185" s="117"/>
      <c r="J185" s="36">
        <v>2.2999999999999998</v>
      </c>
      <c r="K185" s="32"/>
      <c r="L185" s="40" t="s">
        <v>80</v>
      </c>
      <c r="M185" s="1"/>
      <c r="N185" s="1"/>
      <c r="O185" s="1"/>
      <c r="P185" s="1"/>
      <c r="Q185" s="1"/>
      <c r="R185" s="1"/>
      <c r="S185" s="1"/>
      <c r="T185" s="1"/>
      <c r="U185" s="1"/>
      <c r="V185" s="1"/>
      <c r="W185" s="1"/>
      <c r="X185" s="1"/>
      <c r="Y185" s="1"/>
      <c r="Z185" s="1"/>
    </row>
    <row r="186" spans="1:26" ht="15.75" customHeight="1">
      <c r="A186" s="84"/>
      <c r="B186" s="115" t="s">
        <v>105</v>
      </c>
      <c r="C186" s="116"/>
      <c r="D186" s="117"/>
      <c r="E186" s="37">
        <f>25.1+11.7</f>
        <v>36.799999999999997</v>
      </c>
      <c r="F186" s="39"/>
      <c r="G186" s="115" t="s">
        <v>76</v>
      </c>
      <c r="H186" s="116"/>
      <c r="I186" s="117"/>
      <c r="J186" s="37">
        <f>25.1+11.7</f>
        <v>36.799999999999997</v>
      </c>
      <c r="K186" s="32"/>
      <c r="L186" s="40" t="s">
        <v>80</v>
      </c>
      <c r="M186" s="1"/>
      <c r="N186" s="1"/>
      <c r="O186" s="1"/>
      <c r="P186" s="1"/>
      <c r="Q186" s="1"/>
      <c r="R186" s="1"/>
      <c r="S186" s="1"/>
      <c r="T186" s="1"/>
      <c r="U186" s="1"/>
      <c r="V186" s="1"/>
      <c r="W186" s="1"/>
      <c r="X186" s="1"/>
      <c r="Y186" s="1"/>
      <c r="Z186" s="1"/>
    </row>
    <row r="187" spans="1:26" ht="15.75" customHeight="1">
      <c r="A187" s="84"/>
      <c r="B187" s="115" t="s">
        <v>104</v>
      </c>
      <c r="C187" s="116"/>
      <c r="D187" s="117"/>
      <c r="E187" s="37">
        <v>2.7</v>
      </c>
      <c r="F187" s="39"/>
      <c r="G187" s="115" t="s">
        <v>76</v>
      </c>
      <c r="H187" s="116"/>
      <c r="I187" s="117"/>
      <c r="J187" s="37">
        <v>2.7</v>
      </c>
      <c r="K187" s="32"/>
      <c r="L187" s="40" t="s">
        <v>80</v>
      </c>
      <c r="M187" s="1"/>
      <c r="N187" s="1"/>
      <c r="O187" s="1"/>
      <c r="P187" s="1"/>
      <c r="Q187" s="1"/>
      <c r="R187" s="1"/>
      <c r="S187" s="1"/>
      <c r="T187" s="1"/>
      <c r="U187" s="1"/>
      <c r="V187" s="1"/>
      <c r="W187" s="1"/>
      <c r="X187" s="1"/>
      <c r="Y187" s="1"/>
      <c r="Z187" s="1"/>
    </row>
    <row r="188" spans="1:26" ht="15.75" customHeight="1">
      <c r="A188" s="84"/>
      <c r="B188" s="115" t="s">
        <v>105</v>
      </c>
      <c r="C188" s="116"/>
      <c r="D188" s="117"/>
      <c r="E188" s="37">
        <v>19.3</v>
      </c>
      <c r="F188" s="39"/>
      <c r="G188" s="115" t="s">
        <v>76</v>
      </c>
      <c r="H188" s="116"/>
      <c r="I188" s="117"/>
      <c r="J188" s="37">
        <v>19.3</v>
      </c>
      <c r="K188" s="32"/>
      <c r="L188" s="40" t="s">
        <v>80</v>
      </c>
      <c r="M188" s="1"/>
      <c r="N188" s="1"/>
      <c r="O188" s="1"/>
      <c r="P188" s="1"/>
      <c r="Q188" s="1"/>
      <c r="R188" s="1"/>
      <c r="S188" s="1"/>
      <c r="T188" s="1"/>
      <c r="U188" s="1"/>
      <c r="V188" s="1"/>
      <c r="W188" s="1"/>
      <c r="X188" s="1"/>
      <c r="Y188" s="1"/>
      <c r="Z188" s="1"/>
    </row>
    <row r="189" spans="1:26" ht="15.75" customHeight="1">
      <c r="A189" s="84"/>
      <c r="B189" s="115" t="s">
        <v>104</v>
      </c>
      <c r="C189" s="116"/>
      <c r="D189" s="117"/>
      <c r="E189" s="36">
        <v>3.7</v>
      </c>
      <c r="F189" s="39"/>
      <c r="G189" s="115" t="s">
        <v>76</v>
      </c>
      <c r="H189" s="116"/>
      <c r="I189" s="117"/>
      <c r="J189" s="36">
        <v>3.7</v>
      </c>
      <c r="K189" s="32"/>
      <c r="L189" s="40" t="s">
        <v>80</v>
      </c>
      <c r="M189" s="1"/>
      <c r="N189" s="1"/>
      <c r="O189" s="1"/>
      <c r="P189" s="1"/>
      <c r="Q189" s="1"/>
      <c r="R189" s="1"/>
      <c r="S189" s="1"/>
      <c r="T189" s="1"/>
      <c r="U189" s="1"/>
      <c r="V189" s="1"/>
      <c r="W189" s="1"/>
      <c r="X189" s="1"/>
      <c r="Y189" s="1"/>
      <c r="Z189" s="1"/>
    </row>
    <row r="190" spans="1:26" ht="15.75" customHeight="1">
      <c r="A190" s="84"/>
      <c r="B190" s="115" t="s">
        <v>105</v>
      </c>
      <c r="C190" s="116"/>
      <c r="D190" s="117"/>
      <c r="E190" s="36">
        <v>16.100000000000001</v>
      </c>
      <c r="F190" s="39"/>
      <c r="G190" s="115" t="s">
        <v>76</v>
      </c>
      <c r="H190" s="116"/>
      <c r="I190" s="117"/>
      <c r="J190" s="36">
        <v>16.100000000000001</v>
      </c>
      <c r="K190" s="32"/>
      <c r="L190" s="40" t="s">
        <v>80</v>
      </c>
      <c r="M190" s="1"/>
      <c r="N190" s="1"/>
      <c r="O190" s="1"/>
      <c r="P190" s="1"/>
      <c r="Q190" s="1"/>
      <c r="R190" s="1"/>
      <c r="S190" s="1"/>
      <c r="T190" s="1"/>
      <c r="U190" s="1"/>
      <c r="V190" s="1"/>
      <c r="W190" s="1"/>
      <c r="X190" s="1"/>
      <c r="Y190" s="1"/>
      <c r="Z190" s="1"/>
    </row>
    <row r="191" spans="1:26" ht="15.75" customHeight="1">
      <c r="A191" s="84"/>
      <c r="B191" s="115" t="s">
        <v>104</v>
      </c>
      <c r="C191" s="116"/>
      <c r="D191" s="117"/>
      <c r="E191" s="37">
        <v>4.5999999999999996</v>
      </c>
      <c r="F191" s="39"/>
      <c r="G191" s="115" t="s">
        <v>76</v>
      </c>
      <c r="H191" s="116"/>
      <c r="I191" s="117"/>
      <c r="J191" s="37">
        <v>4.5999999999999996</v>
      </c>
      <c r="K191" s="32"/>
      <c r="L191" s="40" t="s">
        <v>80</v>
      </c>
      <c r="M191" s="1"/>
      <c r="N191" s="1"/>
      <c r="O191" s="1"/>
      <c r="P191" s="1"/>
      <c r="Q191" s="1"/>
      <c r="R191" s="1"/>
      <c r="S191" s="1"/>
      <c r="T191" s="1"/>
      <c r="U191" s="1"/>
      <c r="V191" s="1"/>
      <c r="W191" s="1"/>
      <c r="X191" s="1"/>
      <c r="Y191" s="1"/>
      <c r="Z191" s="1"/>
    </row>
    <row r="192" spans="1:26" ht="15.75" customHeight="1">
      <c r="A192" s="84"/>
      <c r="B192" s="115" t="s">
        <v>105</v>
      </c>
      <c r="C192" s="116"/>
      <c r="D192" s="117"/>
      <c r="E192" s="37">
        <v>20.8</v>
      </c>
      <c r="F192" s="39"/>
      <c r="G192" s="115" t="s">
        <v>76</v>
      </c>
      <c r="H192" s="116"/>
      <c r="I192" s="117"/>
      <c r="J192" s="37">
        <v>20.8</v>
      </c>
      <c r="K192" s="32"/>
      <c r="L192" s="40" t="s">
        <v>80</v>
      </c>
      <c r="M192" s="1"/>
      <c r="N192" s="1"/>
      <c r="O192" s="1"/>
      <c r="P192" s="1"/>
      <c r="Q192" s="1"/>
      <c r="R192" s="1"/>
      <c r="S192" s="1"/>
      <c r="T192" s="1"/>
      <c r="U192" s="1"/>
      <c r="V192" s="1"/>
      <c r="W192" s="1"/>
      <c r="X192" s="1"/>
      <c r="Y192" s="1"/>
      <c r="Z192" s="1"/>
    </row>
    <row r="193" spans="1:26" ht="15.75" customHeight="1">
      <c r="A193" s="84"/>
      <c r="B193" s="115" t="s">
        <v>104</v>
      </c>
      <c r="C193" s="116"/>
      <c r="D193" s="117"/>
      <c r="E193" s="37">
        <v>7.8</v>
      </c>
      <c r="F193" s="39"/>
      <c r="G193" s="115" t="s">
        <v>76</v>
      </c>
      <c r="H193" s="116"/>
      <c r="I193" s="117"/>
      <c r="J193" s="37">
        <v>7.8</v>
      </c>
      <c r="K193" s="32"/>
      <c r="L193" s="40" t="s">
        <v>80</v>
      </c>
      <c r="M193" s="1"/>
      <c r="N193" s="1"/>
      <c r="O193" s="1"/>
      <c r="P193" s="1"/>
      <c r="Q193" s="1"/>
      <c r="R193" s="1"/>
      <c r="S193" s="1"/>
      <c r="T193" s="1"/>
      <c r="U193" s="1"/>
      <c r="V193" s="1"/>
      <c r="W193" s="1"/>
      <c r="X193" s="1"/>
      <c r="Y193" s="1"/>
      <c r="Z193" s="1"/>
    </row>
    <row r="194" spans="1:26" ht="15.75" customHeight="1">
      <c r="A194" s="84"/>
      <c r="B194" s="115" t="s">
        <v>105</v>
      </c>
      <c r="C194" s="116"/>
      <c r="D194" s="117"/>
      <c r="E194" s="36">
        <v>12.8</v>
      </c>
      <c r="F194" s="39"/>
      <c r="G194" s="115" t="s">
        <v>76</v>
      </c>
      <c r="H194" s="116"/>
      <c r="I194" s="117"/>
      <c r="J194" s="36">
        <v>12.8</v>
      </c>
      <c r="K194" s="32"/>
      <c r="L194" s="40" t="s">
        <v>80</v>
      </c>
      <c r="M194" s="1"/>
      <c r="N194" s="1"/>
      <c r="O194" s="1"/>
      <c r="P194" s="1"/>
      <c r="Q194" s="1"/>
      <c r="R194" s="1"/>
      <c r="S194" s="1"/>
      <c r="T194" s="1"/>
      <c r="U194" s="1"/>
      <c r="V194" s="1"/>
      <c r="W194" s="1"/>
      <c r="X194" s="1"/>
      <c r="Y194" s="1"/>
      <c r="Z194" s="1"/>
    </row>
    <row r="195" spans="1:26" ht="15.75" customHeight="1">
      <c r="A195" s="84"/>
      <c r="B195" s="115" t="s">
        <v>104</v>
      </c>
      <c r="C195" s="116"/>
      <c r="D195" s="117"/>
      <c r="E195" s="36">
        <v>2.1</v>
      </c>
      <c r="F195" s="39"/>
      <c r="G195" s="115" t="s">
        <v>76</v>
      </c>
      <c r="H195" s="116"/>
      <c r="I195" s="117"/>
      <c r="J195" s="36">
        <v>2.1</v>
      </c>
      <c r="K195" s="32"/>
      <c r="L195" s="40" t="s">
        <v>80</v>
      </c>
      <c r="M195" s="1"/>
      <c r="N195" s="1"/>
      <c r="O195" s="1"/>
      <c r="P195" s="1"/>
      <c r="Q195" s="1"/>
      <c r="R195" s="1"/>
      <c r="S195" s="1"/>
      <c r="T195" s="1"/>
      <c r="U195" s="1"/>
      <c r="V195" s="1"/>
      <c r="W195" s="1"/>
      <c r="X195" s="1"/>
      <c r="Y195" s="1"/>
      <c r="Z195" s="1"/>
    </row>
    <row r="196" spans="1:26" ht="15.75" customHeight="1">
      <c r="A196" s="84"/>
      <c r="B196" s="110" t="s">
        <v>114</v>
      </c>
      <c r="C196" s="111"/>
      <c r="D196" s="111"/>
      <c r="E196" s="32">
        <v>147</v>
      </c>
      <c r="F196" s="32"/>
      <c r="G196" s="115" t="s">
        <v>76</v>
      </c>
      <c r="H196" s="116"/>
      <c r="I196" s="117"/>
      <c r="J196" s="32">
        <v>147</v>
      </c>
      <c r="K196" s="32"/>
      <c r="L196" s="40" t="s">
        <v>115</v>
      </c>
      <c r="M196" s="1"/>
      <c r="N196" s="1"/>
      <c r="O196" s="1"/>
      <c r="P196" s="1"/>
      <c r="Q196" s="1"/>
      <c r="R196" s="1"/>
      <c r="S196" s="1"/>
      <c r="T196" s="1"/>
      <c r="U196" s="1"/>
      <c r="V196" s="1"/>
      <c r="W196" s="1"/>
      <c r="X196" s="1"/>
      <c r="Y196" s="1"/>
      <c r="Z196" s="1"/>
    </row>
    <row r="197" spans="1:26" ht="15.75" customHeight="1">
      <c r="A197" s="84"/>
      <c r="B197" s="110" t="s">
        <v>116</v>
      </c>
      <c r="C197" s="111"/>
      <c r="D197" s="111"/>
      <c r="E197" s="37">
        <v>0.5</v>
      </c>
      <c r="F197" s="32"/>
      <c r="G197" s="115" t="s">
        <v>76</v>
      </c>
      <c r="H197" s="116"/>
      <c r="I197" s="117"/>
      <c r="J197" s="37">
        <v>0.5</v>
      </c>
      <c r="K197" s="32"/>
      <c r="L197" s="40" t="s">
        <v>115</v>
      </c>
      <c r="M197" s="1"/>
      <c r="N197" s="1"/>
      <c r="O197" s="1"/>
      <c r="P197" s="1"/>
      <c r="Q197" s="1"/>
      <c r="R197" s="1"/>
      <c r="S197" s="1"/>
      <c r="T197" s="1"/>
      <c r="U197" s="1"/>
      <c r="V197" s="1"/>
      <c r="W197" s="1"/>
      <c r="X197" s="1"/>
      <c r="Y197" s="1"/>
      <c r="Z197" s="1"/>
    </row>
    <row r="198" spans="1:26" ht="15.75" customHeight="1">
      <c r="A198" s="84"/>
      <c r="B198" s="115" t="s">
        <v>117</v>
      </c>
      <c r="C198" s="111"/>
      <c r="D198" s="111"/>
      <c r="E198" s="37">
        <v>172.2</v>
      </c>
      <c r="F198" s="86"/>
      <c r="G198" s="115" t="s">
        <v>76</v>
      </c>
      <c r="H198" s="116"/>
      <c r="I198" s="117"/>
      <c r="J198" s="37">
        <v>172.2</v>
      </c>
      <c r="K198" s="87"/>
      <c r="L198" s="40" t="s">
        <v>115</v>
      </c>
      <c r="M198" s="1"/>
      <c r="N198" s="1"/>
      <c r="O198" s="1"/>
      <c r="P198" s="1"/>
      <c r="Q198" s="1"/>
      <c r="R198" s="1"/>
      <c r="S198" s="1"/>
      <c r="T198" s="1"/>
      <c r="U198" s="1"/>
      <c r="V198" s="1"/>
      <c r="W198" s="1"/>
      <c r="X198" s="1"/>
      <c r="Y198" s="1"/>
      <c r="Z198" s="1"/>
    </row>
    <row r="199" spans="1:26" ht="15.75" customHeight="1">
      <c r="A199" s="84"/>
      <c r="B199" s="118" t="s">
        <v>120</v>
      </c>
      <c r="C199" s="122"/>
      <c r="D199" s="122"/>
      <c r="E199" s="37">
        <v>0.5</v>
      </c>
      <c r="F199" s="30"/>
      <c r="G199" s="115" t="s">
        <v>119</v>
      </c>
      <c r="H199" s="116"/>
      <c r="I199" s="117"/>
      <c r="J199" s="37">
        <v>0.5</v>
      </c>
      <c r="K199" s="31"/>
      <c r="L199" s="40" t="s">
        <v>121</v>
      </c>
      <c r="M199" s="1">
        <f>SUM(J199:J201)</f>
        <v>3.6</v>
      </c>
      <c r="N199" s="1"/>
      <c r="O199" s="1"/>
      <c r="P199" s="1"/>
      <c r="Q199" s="1"/>
      <c r="R199" s="1"/>
      <c r="S199" s="1"/>
      <c r="T199" s="1"/>
      <c r="U199" s="1"/>
      <c r="V199" s="1"/>
      <c r="W199" s="1"/>
      <c r="X199" s="1"/>
      <c r="Y199" s="1"/>
      <c r="Z199" s="1"/>
    </row>
    <row r="200" spans="1:26" ht="15.75" customHeight="1">
      <c r="A200" s="84"/>
      <c r="B200" s="118" t="s">
        <v>122</v>
      </c>
      <c r="C200" s="122"/>
      <c r="D200" s="122"/>
      <c r="E200" s="37">
        <v>0.5</v>
      </c>
      <c r="F200" s="30"/>
      <c r="G200" s="115" t="s">
        <v>119</v>
      </c>
      <c r="H200" s="116"/>
      <c r="I200" s="117"/>
      <c r="J200" s="37">
        <v>0.5</v>
      </c>
      <c r="K200" s="31"/>
      <c r="L200" s="40" t="s">
        <v>42</v>
      </c>
      <c r="M200" s="1"/>
      <c r="N200" s="1"/>
      <c r="O200" s="1"/>
      <c r="P200" s="1"/>
      <c r="Q200" s="1"/>
      <c r="R200" s="1"/>
      <c r="S200" s="1"/>
      <c r="T200" s="1"/>
      <c r="U200" s="1"/>
      <c r="V200" s="1"/>
      <c r="W200" s="1"/>
      <c r="X200" s="1"/>
      <c r="Y200" s="1"/>
      <c r="Z200" s="1"/>
    </row>
    <row r="201" spans="1:26" ht="15.75" customHeight="1">
      <c r="A201" s="7"/>
      <c r="B201" s="110" t="s">
        <v>123</v>
      </c>
      <c r="C201" s="111"/>
      <c r="D201" s="111"/>
      <c r="E201" s="36">
        <v>2.6</v>
      </c>
      <c r="F201" s="30"/>
      <c r="G201" s="115" t="s">
        <v>119</v>
      </c>
      <c r="H201" s="116"/>
      <c r="I201" s="117"/>
      <c r="J201" s="36">
        <v>2.6</v>
      </c>
      <c r="K201" s="31"/>
      <c r="L201" s="40" t="s">
        <v>42</v>
      </c>
      <c r="M201" s="1"/>
      <c r="N201" s="1"/>
      <c r="O201" s="1"/>
      <c r="P201" s="1"/>
      <c r="Q201" s="1"/>
      <c r="R201" s="1"/>
      <c r="S201" s="1"/>
      <c r="T201" s="1"/>
      <c r="U201" s="1"/>
      <c r="V201" s="1"/>
      <c r="W201" s="1"/>
      <c r="X201" s="1"/>
      <c r="Y201" s="1"/>
      <c r="Z201" s="1"/>
    </row>
    <row r="202" spans="1:26" ht="15.75" customHeight="1">
      <c r="A202" s="7"/>
      <c r="B202" s="115" t="s">
        <v>117</v>
      </c>
      <c r="C202" s="111"/>
      <c r="D202" s="111"/>
      <c r="E202" s="36">
        <v>19.309999999999999</v>
      </c>
      <c r="F202" s="86"/>
      <c r="G202" s="115" t="s">
        <v>76</v>
      </c>
      <c r="H202" s="116"/>
      <c r="I202" s="117"/>
      <c r="J202" s="36">
        <v>19.309999999999999</v>
      </c>
      <c r="K202" s="87"/>
      <c r="L202" s="40" t="s">
        <v>115</v>
      </c>
      <c r="M202" s="1"/>
      <c r="N202" s="1"/>
      <c r="O202" s="1"/>
      <c r="P202" s="1"/>
      <c r="Q202" s="1"/>
      <c r="R202" s="1"/>
      <c r="S202" s="1"/>
      <c r="T202" s="1"/>
      <c r="U202" s="1"/>
      <c r="V202" s="1"/>
      <c r="W202" s="1"/>
      <c r="X202" s="1"/>
      <c r="Y202" s="1"/>
      <c r="Z202" s="1"/>
    </row>
    <row r="203" spans="1:26" ht="15.75" customHeight="1">
      <c r="A203" s="7"/>
      <c r="B203" s="132" t="s">
        <v>124</v>
      </c>
      <c r="C203" s="126"/>
      <c r="D203" s="127"/>
      <c r="E203" s="32">
        <v>9.2200000000000006</v>
      </c>
      <c r="F203" s="32"/>
      <c r="G203" s="115" t="s">
        <v>76</v>
      </c>
      <c r="H203" s="116"/>
      <c r="I203" s="117"/>
      <c r="J203" s="32">
        <v>9.2200000000000006</v>
      </c>
      <c r="K203" s="32"/>
      <c r="L203" s="40" t="s">
        <v>115</v>
      </c>
      <c r="M203" s="1"/>
      <c r="N203" s="1"/>
      <c r="O203" s="1"/>
      <c r="P203" s="1"/>
      <c r="Q203" s="1"/>
      <c r="R203" s="1"/>
      <c r="S203" s="1"/>
      <c r="T203" s="1"/>
      <c r="U203" s="1"/>
      <c r="V203" s="1"/>
      <c r="W203" s="1"/>
      <c r="X203" s="1"/>
      <c r="Y203" s="1"/>
      <c r="Z203" s="1"/>
    </row>
    <row r="204" spans="1:26" ht="15.75" customHeight="1">
      <c r="A204" s="84"/>
      <c r="B204" s="132" t="s">
        <v>114</v>
      </c>
      <c r="C204" s="126"/>
      <c r="D204" s="127"/>
      <c r="E204" s="37">
        <v>2.04</v>
      </c>
      <c r="F204" s="32"/>
      <c r="G204" s="115" t="s">
        <v>76</v>
      </c>
      <c r="H204" s="116"/>
      <c r="I204" s="117"/>
      <c r="J204" s="37">
        <v>2.04</v>
      </c>
      <c r="K204" s="32"/>
      <c r="L204" s="40" t="s">
        <v>115</v>
      </c>
      <c r="M204" s="1"/>
      <c r="N204" s="1"/>
      <c r="O204" s="1"/>
      <c r="P204" s="1"/>
      <c r="Q204" s="1"/>
      <c r="R204" s="1"/>
      <c r="S204" s="1"/>
      <c r="T204" s="1"/>
      <c r="U204" s="1"/>
      <c r="V204" s="1"/>
      <c r="W204" s="1"/>
      <c r="X204" s="1"/>
      <c r="Y204" s="1"/>
      <c r="Z204" s="1"/>
    </row>
    <row r="205" spans="1:26" ht="15.75" customHeight="1">
      <c r="A205" s="7"/>
      <c r="B205" s="130" t="s">
        <v>84</v>
      </c>
      <c r="C205" s="116"/>
      <c r="D205" s="117"/>
      <c r="E205" s="37">
        <v>2.21</v>
      </c>
      <c r="F205" s="31"/>
      <c r="G205" s="130" t="s">
        <v>76</v>
      </c>
      <c r="H205" s="116"/>
      <c r="I205" s="117"/>
      <c r="J205" s="37">
        <v>2.21</v>
      </c>
      <c r="K205" s="30"/>
      <c r="L205" s="40" t="s">
        <v>115</v>
      </c>
      <c r="M205" s="1"/>
      <c r="N205" s="1"/>
      <c r="O205" s="1"/>
      <c r="P205" s="1"/>
      <c r="Q205" s="1"/>
      <c r="R205" s="1"/>
      <c r="S205" s="1"/>
      <c r="T205" s="1"/>
      <c r="U205" s="1"/>
      <c r="V205" s="1"/>
      <c r="W205" s="1"/>
      <c r="X205" s="1"/>
      <c r="Y205" s="1"/>
      <c r="Z205" s="1"/>
    </row>
    <row r="206" spans="1:26" ht="15.75" customHeight="1">
      <c r="A206" s="7"/>
      <c r="B206" s="132" t="s">
        <v>114</v>
      </c>
      <c r="C206" s="126"/>
      <c r="D206" s="127"/>
      <c r="E206" s="37">
        <v>8.1199999999999992</v>
      </c>
      <c r="F206" s="32"/>
      <c r="G206" s="130" t="s">
        <v>76</v>
      </c>
      <c r="H206" s="116"/>
      <c r="I206" s="117"/>
      <c r="J206" s="37">
        <v>8.1199999999999992</v>
      </c>
      <c r="K206" s="32"/>
      <c r="L206" s="40" t="s">
        <v>115</v>
      </c>
      <c r="M206" s="1"/>
      <c r="N206" s="1"/>
      <c r="O206" s="1"/>
      <c r="P206" s="1"/>
      <c r="Q206" s="1"/>
      <c r="R206" s="1"/>
      <c r="S206" s="1"/>
      <c r="T206" s="1"/>
      <c r="U206" s="1"/>
      <c r="V206" s="1"/>
      <c r="W206" s="1"/>
      <c r="X206" s="1"/>
      <c r="Y206" s="1"/>
      <c r="Z206" s="1"/>
    </row>
    <row r="207" spans="1:26" ht="15.75" customHeight="1">
      <c r="A207" s="7"/>
      <c r="B207" s="130" t="s">
        <v>84</v>
      </c>
      <c r="C207" s="116"/>
      <c r="D207" s="117"/>
      <c r="E207" s="37">
        <v>23.22</v>
      </c>
      <c r="F207" s="31"/>
      <c r="G207" s="130" t="s">
        <v>76</v>
      </c>
      <c r="H207" s="116"/>
      <c r="I207" s="117"/>
      <c r="J207" s="37">
        <v>23.22</v>
      </c>
      <c r="K207" s="30"/>
      <c r="L207" s="40" t="s">
        <v>115</v>
      </c>
      <c r="M207" s="1"/>
      <c r="N207" s="1"/>
      <c r="O207" s="1"/>
      <c r="P207" s="1"/>
      <c r="Q207" s="1"/>
      <c r="R207" s="1"/>
      <c r="S207" s="1"/>
      <c r="T207" s="1"/>
      <c r="U207" s="1"/>
      <c r="V207" s="1"/>
      <c r="W207" s="1"/>
      <c r="X207" s="1"/>
      <c r="Y207" s="1"/>
      <c r="Z207" s="1"/>
    </row>
    <row r="208" spans="1:26" ht="15.75" customHeight="1">
      <c r="A208" s="7"/>
      <c r="B208" s="132" t="s">
        <v>114</v>
      </c>
      <c r="C208" s="126"/>
      <c r="D208" s="127"/>
      <c r="E208" s="36">
        <v>2.0499999999999998</v>
      </c>
      <c r="F208" s="39"/>
      <c r="G208" s="130" t="s">
        <v>76</v>
      </c>
      <c r="H208" s="116"/>
      <c r="I208" s="117"/>
      <c r="J208" s="36">
        <v>2.0499999999999998</v>
      </c>
      <c r="K208" s="39"/>
      <c r="L208" s="40" t="s">
        <v>115</v>
      </c>
      <c r="M208" s="1"/>
      <c r="N208" s="1"/>
      <c r="O208" s="1"/>
      <c r="P208" s="1"/>
      <c r="Q208" s="1"/>
      <c r="R208" s="1"/>
      <c r="S208" s="1"/>
      <c r="T208" s="1"/>
      <c r="U208" s="1"/>
      <c r="V208" s="1"/>
      <c r="W208" s="1"/>
      <c r="X208" s="1"/>
      <c r="Y208" s="1"/>
      <c r="Z208" s="1"/>
    </row>
    <row r="209" spans="1:26" ht="15.75" customHeight="1">
      <c r="A209" s="7"/>
      <c r="B209" s="130" t="s">
        <v>84</v>
      </c>
      <c r="C209" s="116"/>
      <c r="D209" s="117"/>
      <c r="E209" s="36">
        <v>6.01</v>
      </c>
      <c r="F209" s="31"/>
      <c r="G209" s="130" t="s">
        <v>76</v>
      </c>
      <c r="H209" s="116"/>
      <c r="I209" s="117"/>
      <c r="J209" s="36">
        <v>6.01</v>
      </c>
      <c r="K209" s="30"/>
      <c r="L209" s="40" t="s">
        <v>115</v>
      </c>
      <c r="M209" s="1"/>
      <c r="N209" s="1"/>
      <c r="O209" s="1"/>
      <c r="P209" s="1"/>
      <c r="Q209" s="1"/>
      <c r="R209" s="1"/>
      <c r="S209" s="1"/>
      <c r="T209" s="1"/>
      <c r="U209" s="1"/>
      <c r="V209" s="1"/>
      <c r="W209" s="1"/>
      <c r="X209" s="1"/>
      <c r="Y209" s="1"/>
      <c r="Z209" s="1"/>
    </row>
    <row r="210" spans="1:26" ht="15.75" customHeight="1">
      <c r="A210" s="7"/>
      <c r="B210" s="132" t="s">
        <v>114</v>
      </c>
      <c r="C210" s="126"/>
      <c r="D210" s="127"/>
      <c r="E210" s="36">
        <v>6.09</v>
      </c>
      <c r="F210" s="39"/>
      <c r="G210" s="130" t="s">
        <v>76</v>
      </c>
      <c r="H210" s="116"/>
      <c r="I210" s="117"/>
      <c r="J210" s="36">
        <v>6.09</v>
      </c>
      <c r="K210" s="39"/>
      <c r="L210" s="40" t="s">
        <v>115</v>
      </c>
      <c r="M210" s="1"/>
      <c r="N210" s="1"/>
      <c r="O210" s="1"/>
      <c r="P210" s="1"/>
      <c r="Q210" s="1"/>
      <c r="R210" s="1"/>
      <c r="S210" s="1"/>
      <c r="T210" s="1"/>
      <c r="U210" s="1"/>
      <c r="V210" s="1"/>
      <c r="W210" s="1"/>
      <c r="X210" s="1"/>
      <c r="Y210" s="1"/>
      <c r="Z210" s="1"/>
    </row>
    <row r="211" spans="1:26" ht="15.75" customHeight="1">
      <c r="A211" s="7"/>
      <c r="B211" s="130" t="s">
        <v>84</v>
      </c>
      <c r="C211" s="116"/>
      <c r="D211" s="117"/>
      <c r="E211" s="36">
        <v>11.15</v>
      </c>
      <c r="F211" s="31"/>
      <c r="G211" s="130" t="s">
        <v>76</v>
      </c>
      <c r="H211" s="116"/>
      <c r="I211" s="117"/>
      <c r="J211" s="36">
        <v>11.15</v>
      </c>
      <c r="K211" s="30"/>
      <c r="L211" s="40" t="s">
        <v>115</v>
      </c>
      <c r="M211" s="1"/>
      <c r="N211" s="1"/>
      <c r="O211" s="1"/>
      <c r="P211" s="1"/>
      <c r="Q211" s="1"/>
      <c r="R211" s="1"/>
      <c r="S211" s="1"/>
      <c r="T211" s="1"/>
      <c r="U211" s="1"/>
      <c r="V211" s="1"/>
      <c r="W211" s="1"/>
      <c r="X211" s="1"/>
      <c r="Y211" s="1"/>
      <c r="Z211" s="1"/>
    </row>
    <row r="212" spans="1:26" ht="15.75" customHeight="1">
      <c r="A212" s="7"/>
      <c r="B212" s="130" t="s">
        <v>84</v>
      </c>
      <c r="C212" s="116"/>
      <c r="D212" s="117"/>
      <c r="E212" s="37">
        <v>4.05</v>
      </c>
      <c r="F212" s="31"/>
      <c r="G212" s="130" t="s">
        <v>76</v>
      </c>
      <c r="H212" s="116"/>
      <c r="I212" s="117"/>
      <c r="J212" s="37">
        <v>4.05</v>
      </c>
      <c r="K212" s="30"/>
      <c r="L212" s="40" t="s">
        <v>115</v>
      </c>
      <c r="M212" s="1"/>
      <c r="N212" s="1"/>
      <c r="O212" s="1"/>
      <c r="P212" s="1"/>
      <c r="Q212" s="1"/>
      <c r="R212" s="1"/>
      <c r="S212" s="1"/>
      <c r="T212" s="1"/>
      <c r="U212" s="1"/>
      <c r="V212" s="1"/>
      <c r="W212" s="1"/>
      <c r="X212" s="1"/>
      <c r="Y212" s="1"/>
      <c r="Z212" s="1"/>
    </row>
    <row r="213" spans="1:26" ht="15.75" customHeight="1">
      <c r="A213" s="7"/>
      <c r="B213" s="132" t="s">
        <v>114</v>
      </c>
      <c r="C213" s="126"/>
      <c r="D213" s="127"/>
      <c r="E213" s="37">
        <v>3.01</v>
      </c>
      <c r="F213" s="39"/>
      <c r="G213" s="115" t="s">
        <v>76</v>
      </c>
      <c r="H213" s="116"/>
      <c r="I213" s="117"/>
      <c r="J213" s="37">
        <v>3.01</v>
      </c>
      <c r="K213" s="39"/>
      <c r="L213" s="40" t="s">
        <v>115</v>
      </c>
      <c r="M213" s="1"/>
      <c r="N213" s="1"/>
      <c r="O213" s="1"/>
      <c r="P213" s="1"/>
      <c r="Q213" s="1"/>
      <c r="R213" s="1"/>
      <c r="S213" s="1"/>
      <c r="T213" s="1"/>
      <c r="U213" s="1"/>
      <c r="V213" s="1"/>
      <c r="W213" s="1"/>
      <c r="X213" s="1"/>
      <c r="Y213" s="1"/>
      <c r="Z213" s="1"/>
    </row>
    <row r="214" spans="1:26" ht="15.75" customHeight="1">
      <c r="A214" s="7"/>
      <c r="B214" s="130" t="s">
        <v>125</v>
      </c>
      <c r="C214" s="116"/>
      <c r="D214" s="117"/>
      <c r="E214" s="37">
        <v>2.1</v>
      </c>
      <c r="F214" s="30"/>
      <c r="G214" s="115" t="s">
        <v>41</v>
      </c>
      <c r="H214" s="116"/>
      <c r="I214" s="117"/>
      <c r="J214" s="37">
        <v>2.1</v>
      </c>
      <c r="K214" s="31"/>
      <c r="L214" s="40" t="s">
        <v>42</v>
      </c>
      <c r="M214" s="1">
        <f>SUM(J214:J223)</f>
        <v>12.959999999999999</v>
      </c>
      <c r="N214" s="1"/>
      <c r="O214" s="1"/>
      <c r="P214" s="1"/>
      <c r="Q214" s="1"/>
      <c r="R214" s="1"/>
      <c r="S214" s="1"/>
      <c r="T214" s="1"/>
      <c r="U214" s="1"/>
      <c r="V214" s="1"/>
      <c r="W214" s="1"/>
      <c r="X214" s="1"/>
      <c r="Y214" s="1"/>
      <c r="Z214" s="1"/>
    </row>
    <row r="215" spans="1:26" ht="15.75" customHeight="1">
      <c r="A215" s="7"/>
      <c r="B215" s="131" t="s">
        <v>126</v>
      </c>
      <c r="C215" s="119"/>
      <c r="D215" s="120"/>
      <c r="E215" s="37">
        <v>0.5</v>
      </c>
      <c r="F215" s="30"/>
      <c r="G215" s="115" t="s">
        <v>41</v>
      </c>
      <c r="H215" s="116"/>
      <c r="I215" s="117"/>
      <c r="J215" s="37">
        <v>0.5</v>
      </c>
      <c r="K215" s="31"/>
      <c r="L215" s="40" t="s">
        <v>42</v>
      </c>
      <c r="M215" s="1"/>
      <c r="N215" s="1"/>
      <c r="O215" s="1"/>
      <c r="P215" s="1"/>
      <c r="Q215" s="1"/>
      <c r="R215" s="1"/>
      <c r="S215" s="1"/>
      <c r="T215" s="1"/>
      <c r="U215" s="1"/>
      <c r="V215" s="1"/>
      <c r="W215" s="1"/>
      <c r="X215" s="1"/>
      <c r="Y215" s="1"/>
      <c r="Z215" s="1"/>
    </row>
    <row r="216" spans="1:26" ht="15.75" customHeight="1">
      <c r="A216" s="7"/>
      <c r="B216" s="115" t="s">
        <v>127</v>
      </c>
      <c r="C216" s="116"/>
      <c r="D216" s="117"/>
      <c r="E216" s="79">
        <v>3.01</v>
      </c>
      <c r="F216" s="78"/>
      <c r="G216" s="115" t="s">
        <v>41</v>
      </c>
      <c r="H216" s="116"/>
      <c r="I216" s="117"/>
      <c r="J216" s="79">
        <v>3.01</v>
      </c>
      <c r="K216" s="80"/>
      <c r="L216" s="40" t="s">
        <v>42</v>
      </c>
      <c r="M216" s="1"/>
      <c r="N216" s="1"/>
      <c r="O216" s="1"/>
      <c r="P216" s="1"/>
      <c r="Q216" s="1"/>
      <c r="R216" s="1"/>
      <c r="S216" s="1"/>
      <c r="T216" s="1"/>
      <c r="U216" s="1"/>
      <c r="V216" s="1"/>
      <c r="W216" s="1"/>
      <c r="X216" s="1"/>
      <c r="Y216" s="1"/>
      <c r="Z216" s="1"/>
    </row>
    <row r="217" spans="1:26" ht="15.75" customHeight="1">
      <c r="A217" s="7"/>
      <c r="B217" s="118" t="s">
        <v>128</v>
      </c>
      <c r="C217" s="119"/>
      <c r="D217" s="120"/>
      <c r="E217" s="37">
        <v>0.5</v>
      </c>
      <c r="F217" s="78"/>
      <c r="G217" s="115" t="s">
        <v>41</v>
      </c>
      <c r="H217" s="116"/>
      <c r="I217" s="117"/>
      <c r="J217" s="37">
        <v>0.5</v>
      </c>
      <c r="K217" s="80"/>
      <c r="L217" s="40" t="s">
        <v>42</v>
      </c>
      <c r="M217" s="1"/>
      <c r="N217" s="1"/>
      <c r="O217" s="1"/>
      <c r="P217" s="1"/>
      <c r="Q217" s="1"/>
      <c r="R217" s="1"/>
      <c r="S217" s="1"/>
      <c r="T217" s="1"/>
      <c r="U217" s="1"/>
      <c r="V217" s="1"/>
      <c r="W217" s="1"/>
      <c r="X217" s="1"/>
      <c r="Y217" s="1"/>
      <c r="Z217" s="1"/>
    </row>
    <row r="218" spans="1:26" ht="15.75" customHeight="1">
      <c r="A218" s="7"/>
      <c r="B218" s="118" t="s">
        <v>129</v>
      </c>
      <c r="C218" s="119"/>
      <c r="D218" s="120"/>
      <c r="E218" s="37">
        <v>0.5</v>
      </c>
      <c r="F218" s="78"/>
      <c r="G218" s="115" t="s">
        <v>41</v>
      </c>
      <c r="H218" s="116"/>
      <c r="I218" s="117"/>
      <c r="J218" s="37">
        <v>0.5</v>
      </c>
      <c r="K218" s="80"/>
      <c r="L218" s="40" t="s">
        <v>42</v>
      </c>
      <c r="M218" s="1"/>
      <c r="N218" s="1"/>
      <c r="O218" s="1"/>
      <c r="P218" s="1"/>
      <c r="Q218" s="1"/>
      <c r="R218" s="1"/>
      <c r="S218" s="1"/>
      <c r="T218" s="1"/>
      <c r="U218" s="1"/>
      <c r="V218" s="1"/>
      <c r="W218" s="1"/>
      <c r="X218" s="1"/>
      <c r="Y218" s="1"/>
      <c r="Z218" s="1"/>
    </row>
    <row r="219" spans="1:26" ht="15.75" customHeight="1">
      <c r="A219" s="7"/>
      <c r="B219" s="118" t="s">
        <v>130</v>
      </c>
      <c r="C219" s="119"/>
      <c r="D219" s="120"/>
      <c r="E219" s="37">
        <v>0.5</v>
      </c>
      <c r="F219" s="78"/>
      <c r="G219" s="115" t="s">
        <v>41</v>
      </c>
      <c r="H219" s="116"/>
      <c r="I219" s="117"/>
      <c r="J219" s="37">
        <v>0.5</v>
      </c>
      <c r="K219" s="80"/>
      <c r="L219" s="40" t="s">
        <v>42</v>
      </c>
      <c r="M219" s="1"/>
      <c r="N219" s="1"/>
      <c r="O219" s="1"/>
      <c r="P219" s="1"/>
      <c r="Q219" s="1"/>
      <c r="R219" s="1"/>
      <c r="S219" s="1"/>
      <c r="T219" s="1"/>
      <c r="U219" s="1"/>
      <c r="V219" s="1"/>
      <c r="W219" s="1"/>
      <c r="X219" s="1"/>
      <c r="Y219" s="1"/>
      <c r="Z219" s="1"/>
    </row>
    <row r="220" spans="1:26" ht="15.75" customHeight="1">
      <c r="A220" s="7"/>
      <c r="B220" s="115" t="s">
        <v>131</v>
      </c>
      <c r="C220" s="116"/>
      <c r="D220" s="117"/>
      <c r="E220" s="72">
        <v>2.1</v>
      </c>
      <c r="F220" s="78"/>
      <c r="G220" s="115" t="s">
        <v>41</v>
      </c>
      <c r="H220" s="116"/>
      <c r="I220" s="117"/>
      <c r="J220" s="72">
        <v>2.1</v>
      </c>
      <c r="K220" s="80"/>
      <c r="L220" s="40" t="s">
        <v>42</v>
      </c>
      <c r="M220" s="1"/>
      <c r="N220" s="1"/>
      <c r="O220" s="1"/>
      <c r="P220" s="1"/>
      <c r="Q220" s="1"/>
      <c r="R220" s="1"/>
      <c r="S220" s="1"/>
      <c r="T220" s="1"/>
      <c r="U220" s="1"/>
      <c r="V220" s="1"/>
      <c r="W220" s="1"/>
      <c r="X220" s="1"/>
      <c r="Y220" s="1"/>
      <c r="Z220" s="1"/>
    </row>
    <row r="221" spans="1:26" ht="15.75" customHeight="1">
      <c r="A221" s="7"/>
      <c r="B221" s="118" t="s">
        <v>132</v>
      </c>
      <c r="C221" s="119"/>
      <c r="D221" s="120"/>
      <c r="E221" s="37">
        <v>0.5</v>
      </c>
      <c r="F221" s="78"/>
      <c r="G221" s="115" t="s">
        <v>41</v>
      </c>
      <c r="H221" s="116"/>
      <c r="I221" s="117"/>
      <c r="J221" s="37">
        <v>0.5</v>
      </c>
      <c r="K221" s="80"/>
      <c r="L221" s="40" t="s">
        <v>42</v>
      </c>
    </row>
    <row r="222" spans="1:26" ht="15.75" customHeight="1">
      <c r="A222" s="7"/>
      <c r="B222" s="136" t="s">
        <v>114</v>
      </c>
      <c r="C222" s="134"/>
      <c r="D222" s="135"/>
      <c r="E222" s="79">
        <v>2.15</v>
      </c>
      <c r="F222" s="78"/>
      <c r="G222" s="115" t="s">
        <v>41</v>
      </c>
      <c r="H222" s="116"/>
      <c r="I222" s="117"/>
      <c r="J222" s="79">
        <v>2.15</v>
      </c>
      <c r="K222" s="80"/>
      <c r="L222" s="40" t="s">
        <v>42</v>
      </c>
    </row>
    <row r="223" spans="1:26" ht="15.75" customHeight="1">
      <c r="A223" s="7"/>
      <c r="B223" s="115" t="s">
        <v>75</v>
      </c>
      <c r="C223" s="116"/>
      <c r="D223" s="117"/>
      <c r="E223" s="72">
        <v>1.1000000000000001</v>
      </c>
      <c r="F223" s="78"/>
      <c r="G223" s="115" t="s">
        <v>76</v>
      </c>
      <c r="H223" s="116"/>
      <c r="I223" s="117"/>
      <c r="J223" s="72">
        <v>1.1000000000000001</v>
      </c>
      <c r="K223" s="80"/>
      <c r="L223" s="40" t="s">
        <v>115</v>
      </c>
    </row>
    <row r="224" spans="1:26" ht="15.75" customHeight="1">
      <c r="A224" s="7"/>
      <c r="B224" s="115" t="s">
        <v>84</v>
      </c>
      <c r="C224" s="116"/>
      <c r="D224" s="117"/>
      <c r="E224" s="72">
        <v>7.12</v>
      </c>
      <c r="F224" s="31"/>
      <c r="G224" s="115" t="s">
        <v>76</v>
      </c>
      <c r="H224" s="116"/>
      <c r="I224" s="117"/>
      <c r="J224" s="72">
        <v>7.12</v>
      </c>
      <c r="K224" s="30"/>
      <c r="L224" s="40" t="s">
        <v>115</v>
      </c>
    </row>
    <row r="225" spans="1:13" ht="15.75" customHeight="1">
      <c r="A225" s="7"/>
      <c r="B225" s="115" t="s">
        <v>84</v>
      </c>
      <c r="C225" s="168"/>
      <c r="D225" s="169"/>
      <c r="E225" s="72">
        <v>1.23</v>
      </c>
      <c r="F225" s="31"/>
      <c r="G225" s="115" t="s">
        <v>76</v>
      </c>
      <c r="H225" s="116"/>
      <c r="I225" s="117"/>
      <c r="J225" s="72">
        <v>1.23</v>
      </c>
      <c r="K225" s="30"/>
      <c r="L225" s="40" t="s">
        <v>115</v>
      </c>
    </row>
    <row r="226" spans="1:13" ht="15.75" customHeight="1">
      <c r="A226" s="7"/>
      <c r="B226" s="110" t="s">
        <v>114</v>
      </c>
      <c r="C226" s="168"/>
      <c r="D226" s="169"/>
      <c r="E226" s="72">
        <v>3.18</v>
      </c>
      <c r="F226" s="78"/>
      <c r="G226" s="115" t="s">
        <v>76</v>
      </c>
      <c r="H226" s="116"/>
      <c r="I226" s="117"/>
      <c r="J226" s="72">
        <v>3.18</v>
      </c>
      <c r="K226" s="80"/>
      <c r="L226" s="40" t="s">
        <v>115</v>
      </c>
      <c r="M226">
        <f>J226</f>
        <v>3.18</v>
      </c>
    </row>
    <row r="227" spans="1:13" ht="15.75" customHeight="1">
      <c r="A227" s="7"/>
      <c r="B227" s="115" t="s">
        <v>84</v>
      </c>
      <c r="C227" s="168"/>
      <c r="D227" s="169"/>
      <c r="E227" s="72">
        <v>12.17</v>
      </c>
      <c r="F227" s="31"/>
      <c r="G227" s="115" t="s">
        <v>76</v>
      </c>
      <c r="H227" s="116"/>
      <c r="I227" s="117"/>
      <c r="J227" s="72">
        <v>12.17</v>
      </c>
      <c r="K227" s="30"/>
      <c r="L227" s="40" t="s">
        <v>115</v>
      </c>
    </row>
    <row r="228" spans="1:13" ht="15.75" customHeight="1">
      <c r="A228" s="7"/>
      <c r="B228" s="110" t="s">
        <v>114</v>
      </c>
      <c r="C228" s="168"/>
      <c r="D228" s="169"/>
      <c r="E228" s="72">
        <v>6.09</v>
      </c>
      <c r="F228" s="78"/>
      <c r="G228" s="115" t="s">
        <v>76</v>
      </c>
      <c r="H228" s="116"/>
      <c r="I228" s="117"/>
      <c r="J228" s="72">
        <v>6.09</v>
      </c>
      <c r="K228" s="80"/>
      <c r="L228" s="40" t="s">
        <v>115</v>
      </c>
      <c r="M228">
        <f>SUM(J228:J236)</f>
        <v>19.159999999999997</v>
      </c>
    </row>
    <row r="229" spans="1:13" ht="15.75" customHeight="1">
      <c r="A229" s="7"/>
      <c r="B229" s="115" t="s">
        <v>125</v>
      </c>
      <c r="C229" s="116"/>
      <c r="D229" s="117"/>
      <c r="E229" s="72">
        <v>1.1100000000000001</v>
      </c>
      <c r="F229" s="78"/>
      <c r="G229" s="115" t="s">
        <v>119</v>
      </c>
      <c r="H229" s="116"/>
      <c r="I229" s="117"/>
      <c r="J229" s="72">
        <v>1.1100000000000001</v>
      </c>
      <c r="K229" s="80"/>
      <c r="L229" s="40" t="s">
        <v>42</v>
      </c>
    </row>
    <row r="230" spans="1:13" ht="15.75" customHeight="1">
      <c r="A230" s="7"/>
      <c r="B230" s="118" t="s">
        <v>129</v>
      </c>
      <c r="C230" s="119"/>
      <c r="D230" s="120"/>
      <c r="E230" s="37">
        <v>0.5</v>
      </c>
      <c r="F230" s="78"/>
      <c r="G230" s="115" t="s">
        <v>119</v>
      </c>
      <c r="H230" s="116"/>
      <c r="I230" s="117"/>
      <c r="J230" s="37">
        <v>0.5</v>
      </c>
      <c r="K230" s="80"/>
      <c r="L230" s="40" t="s">
        <v>42</v>
      </c>
    </row>
    <row r="231" spans="1:13" ht="15.75" customHeight="1">
      <c r="A231" s="7"/>
      <c r="B231" s="118" t="s">
        <v>130</v>
      </c>
      <c r="C231" s="119"/>
      <c r="D231" s="120"/>
      <c r="E231" s="37">
        <v>0.5</v>
      </c>
      <c r="F231" s="78"/>
      <c r="G231" s="115" t="s">
        <v>119</v>
      </c>
      <c r="H231" s="116"/>
      <c r="I231" s="117"/>
      <c r="J231" s="37">
        <v>0.5</v>
      </c>
      <c r="K231" s="80"/>
      <c r="L231" s="40" t="s">
        <v>42</v>
      </c>
    </row>
    <row r="232" spans="1:13" ht="15.75" customHeight="1">
      <c r="A232" s="7"/>
      <c r="B232" s="115" t="s">
        <v>133</v>
      </c>
      <c r="C232" s="116"/>
      <c r="D232" s="117"/>
      <c r="E232" s="71">
        <v>5.13</v>
      </c>
      <c r="F232" s="78"/>
      <c r="G232" s="115" t="s">
        <v>119</v>
      </c>
      <c r="H232" s="116"/>
      <c r="I232" s="117"/>
      <c r="J232" s="71">
        <v>5.13</v>
      </c>
      <c r="K232" s="80"/>
      <c r="L232" s="40" t="s">
        <v>42</v>
      </c>
    </row>
    <row r="233" spans="1:13" ht="15.95">
      <c r="A233" s="7"/>
      <c r="B233" s="118" t="s">
        <v>132</v>
      </c>
      <c r="C233" s="119"/>
      <c r="D233" s="120"/>
      <c r="E233" s="37">
        <v>0.5</v>
      </c>
      <c r="F233" s="78"/>
      <c r="G233" s="115" t="s">
        <v>119</v>
      </c>
      <c r="H233" s="116"/>
      <c r="I233" s="117"/>
      <c r="J233" s="37">
        <v>0.5</v>
      </c>
      <c r="K233" s="80"/>
      <c r="L233" s="40" t="s">
        <v>42</v>
      </c>
    </row>
    <row r="234" spans="1:13" ht="15.95">
      <c r="A234" s="7"/>
      <c r="B234" s="110" t="s">
        <v>114</v>
      </c>
      <c r="C234" s="168"/>
      <c r="D234" s="169"/>
      <c r="E234" s="71">
        <v>2.13</v>
      </c>
      <c r="F234" s="78"/>
      <c r="G234" s="115" t="s">
        <v>119</v>
      </c>
      <c r="H234" s="116"/>
      <c r="I234" s="117"/>
      <c r="J234" s="71">
        <v>2.13</v>
      </c>
      <c r="K234" s="80"/>
      <c r="L234" s="40" t="s">
        <v>42</v>
      </c>
    </row>
    <row r="235" spans="1:13" ht="15.75" customHeight="1">
      <c r="A235" s="7"/>
      <c r="B235" s="115" t="s">
        <v>75</v>
      </c>
      <c r="C235" s="116"/>
      <c r="D235" s="117"/>
      <c r="E235" s="71">
        <v>1.1100000000000001</v>
      </c>
      <c r="F235" s="78"/>
      <c r="G235" s="115" t="s">
        <v>76</v>
      </c>
      <c r="H235" s="116"/>
      <c r="I235" s="117"/>
      <c r="J235" s="71">
        <v>1.1100000000000001</v>
      </c>
      <c r="K235" s="80"/>
      <c r="L235" s="40" t="s">
        <v>115</v>
      </c>
    </row>
    <row r="236" spans="1:13" ht="15.75" customHeight="1">
      <c r="A236" s="7"/>
      <c r="B236" s="110" t="s">
        <v>114</v>
      </c>
      <c r="C236" s="126"/>
      <c r="D236" s="127"/>
      <c r="E236" s="71">
        <v>2.09</v>
      </c>
      <c r="F236" s="78"/>
      <c r="G236" s="115" t="s">
        <v>76</v>
      </c>
      <c r="H236" s="116"/>
      <c r="I236" s="117"/>
      <c r="J236" s="71">
        <v>2.09</v>
      </c>
      <c r="K236" s="80"/>
      <c r="L236" s="40" t="s">
        <v>115</v>
      </c>
    </row>
    <row r="237" spans="1:13" ht="15.75" customHeight="1">
      <c r="A237" s="7"/>
      <c r="B237" s="115" t="s">
        <v>84</v>
      </c>
      <c r="C237" s="116"/>
      <c r="D237" s="117"/>
      <c r="E237" s="71">
        <v>29.14</v>
      </c>
      <c r="F237" s="83"/>
      <c r="G237" s="115" t="s">
        <v>76</v>
      </c>
      <c r="H237" s="116"/>
      <c r="I237" s="117"/>
      <c r="J237" s="71">
        <v>29.14</v>
      </c>
      <c r="K237" s="78"/>
      <c r="L237" s="40" t="s">
        <v>115</v>
      </c>
    </row>
    <row r="238" spans="1:13" ht="15.95">
      <c r="A238" s="7"/>
      <c r="B238" s="110" t="s">
        <v>114</v>
      </c>
      <c r="C238" s="126"/>
      <c r="D238" s="127"/>
      <c r="E238" s="71">
        <v>5</v>
      </c>
      <c r="F238" s="78"/>
      <c r="G238" s="115" t="s">
        <v>76</v>
      </c>
      <c r="H238" s="116"/>
      <c r="I238" s="117"/>
      <c r="J238" s="71">
        <v>5</v>
      </c>
      <c r="K238" s="80"/>
      <c r="L238" s="40" t="s">
        <v>115</v>
      </c>
      <c r="M238">
        <f>J238</f>
        <v>5</v>
      </c>
    </row>
    <row r="239" spans="1:13" ht="15.75" customHeight="1">
      <c r="A239" s="7"/>
      <c r="B239" s="115" t="s">
        <v>84</v>
      </c>
      <c r="C239" s="116"/>
      <c r="D239" s="117"/>
      <c r="E239" s="79">
        <v>17.21</v>
      </c>
      <c r="F239" s="81"/>
      <c r="G239" s="115" t="s">
        <v>76</v>
      </c>
      <c r="H239" s="116"/>
      <c r="I239" s="117"/>
      <c r="J239" s="79">
        <v>17.21</v>
      </c>
      <c r="K239" s="78"/>
      <c r="L239" s="40" t="s">
        <v>115</v>
      </c>
    </row>
    <row r="240" spans="1:13" ht="15.95">
      <c r="A240" s="7"/>
      <c r="B240" s="110" t="s">
        <v>114</v>
      </c>
      <c r="C240" s="126"/>
      <c r="D240" s="127"/>
      <c r="E240" s="71">
        <v>3.08</v>
      </c>
      <c r="F240" s="78"/>
      <c r="G240" s="115" t="s">
        <v>76</v>
      </c>
      <c r="H240" s="116"/>
      <c r="I240" s="117"/>
      <c r="J240" s="71">
        <v>3.08</v>
      </c>
      <c r="K240" s="80"/>
      <c r="L240" s="40" t="s">
        <v>115</v>
      </c>
      <c r="M240">
        <f>SUM(J240:J247)</f>
        <v>15.16</v>
      </c>
    </row>
    <row r="241" spans="1:13" ht="15.75" customHeight="1">
      <c r="A241" s="7"/>
      <c r="B241" s="115" t="s">
        <v>125</v>
      </c>
      <c r="C241" s="116"/>
      <c r="D241" s="117"/>
      <c r="E241" s="79">
        <v>1.1100000000000001</v>
      </c>
      <c r="F241" s="78"/>
      <c r="G241" s="115" t="s">
        <v>119</v>
      </c>
      <c r="H241" s="116"/>
      <c r="I241" s="117"/>
      <c r="J241" s="79">
        <v>1.1100000000000001</v>
      </c>
      <c r="K241" s="80"/>
      <c r="L241" s="40" t="s">
        <v>42</v>
      </c>
    </row>
    <row r="242" spans="1:13" ht="15.75" customHeight="1">
      <c r="A242" s="7"/>
      <c r="B242" s="118" t="s">
        <v>129</v>
      </c>
      <c r="C242" s="119"/>
      <c r="D242" s="120"/>
      <c r="E242" s="37">
        <v>0.5</v>
      </c>
      <c r="F242" s="78"/>
      <c r="G242" s="115" t="s">
        <v>119</v>
      </c>
      <c r="H242" s="116"/>
      <c r="I242" s="117"/>
      <c r="J242" s="37">
        <v>0.5</v>
      </c>
      <c r="K242" s="80"/>
      <c r="L242" s="40" t="s">
        <v>42</v>
      </c>
    </row>
    <row r="243" spans="1:13" ht="15.75" customHeight="1">
      <c r="A243" s="7"/>
      <c r="B243" s="118" t="s">
        <v>130</v>
      </c>
      <c r="C243" s="119"/>
      <c r="D243" s="120"/>
      <c r="E243" s="37">
        <v>0.5</v>
      </c>
      <c r="F243" s="78"/>
      <c r="G243" s="115" t="s">
        <v>119</v>
      </c>
      <c r="H243" s="116"/>
      <c r="I243" s="117"/>
      <c r="J243" s="37">
        <v>0.5</v>
      </c>
      <c r="K243" s="80"/>
      <c r="L243" s="40" t="s">
        <v>42</v>
      </c>
    </row>
    <row r="244" spans="1:13" ht="15.75" customHeight="1">
      <c r="A244" s="7"/>
      <c r="B244" s="115" t="s">
        <v>133</v>
      </c>
      <c r="C244" s="116"/>
      <c r="D244" s="117"/>
      <c r="E244" s="71">
        <v>5.14</v>
      </c>
      <c r="F244" s="78"/>
      <c r="G244" s="115" t="s">
        <v>119</v>
      </c>
      <c r="H244" s="116"/>
      <c r="I244" s="117"/>
      <c r="J244" s="71">
        <v>5.14</v>
      </c>
      <c r="K244" s="80"/>
      <c r="L244" s="40" t="s">
        <v>42</v>
      </c>
    </row>
    <row r="245" spans="1:13" ht="15.95">
      <c r="A245" s="7"/>
      <c r="B245" s="118" t="s">
        <v>132</v>
      </c>
      <c r="C245" s="119"/>
      <c r="D245" s="120"/>
      <c r="E245" s="37">
        <v>0.5</v>
      </c>
      <c r="F245" s="78"/>
      <c r="G245" s="115" t="s">
        <v>119</v>
      </c>
      <c r="H245" s="116"/>
      <c r="I245" s="117"/>
      <c r="J245" s="37">
        <v>0.5</v>
      </c>
      <c r="K245" s="80"/>
      <c r="L245" s="40" t="s">
        <v>42</v>
      </c>
    </row>
    <row r="246" spans="1:13" ht="15.75" customHeight="1">
      <c r="A246" s="7"/>
      <c r="B246" s="115" t="s">
        <v>75</v>
      </c>
      <c r="C246" s="116"/>
      <c r="D246" s="117"/>
      <c r="E246" s="71">
        <v>1.1499999999999999</v>
      </c>
      <c r="F246" s="78"/>
      <c r="G246" s="115" t="s">
        <v>76</v>
      </c>
      <c r="H246" s="116"/>
      <c r="I246" s="117"/>
      <c r="J246" s="71">
        <v>1.1499999999999999</v>
      </c>
      <c r="K246" s="80"/>
      <c r="L246" s="40" t="s">
        <v>115</v>
      </c>
    </row>
    <row r="247" spans="1:13" ht="15.95">
      <c r="A247" s="7"/>
      <c r="B247" s="110" t="s">
        <v>114</v>
      </c>
      <c r="C247" s="126"/>
      <c r="D247" s="127"/>
      <c r="E247" s="71">
        <v>3.18</v>
      </c>
      <c r="F247" s="78"/>
      <c r="G247" s="115" t="s">
        <v>76</v>
      </c>
      <c r="H247" s="116"/>
      <c r="I247" s="117"/>
      <c r="J247" s="71">
        <v>3.18</v>
      </c>
      <c r="K247" s="80"/>
      <c r="L247" s="40" t="s">
        <v>115</v>
      </c>
    </row>
    <row r="248" spans="1:13" ht="15.75" customHeight="1">
      <c r="A248" s="7"/>
      <c r="B248" s="115" t="s">
        <v>84</v>
      </c>
      <c r="C248" s="116"/>
      <c r="D248" s="117"/>
      <c r="E248" s="79">
        <v>6.15</v>
      </c>
      <c r="F248" s="81"/>
      <c r="G248" s="115" t="s">
        <v>76</v>
      </c>
      <c r="H248" s="116"/>
      <c r="I248" s="117"/>
      <c r="J248" s="79">
        <v>6.15</v>
      </c>
      <c r="K248" s="78"/>
      <c r="L248" s="40" t="s">
        <v>115</v>
      </c>
    </row>
    <row r="249" spans="1:13" ht="15.75" customHeight="1">
      <c r="A249" s="7"/>
      <c r="B249" s="115" t="s">
        <v>84</v>
      </c>
      <c r="C249" s="116"/>
      <c r="D249" s="117"/>
      <c r="E249" s="79">
        <v>6.05</v>
      </c>
      <c r="F249" s="81"/>
      <c r="G249" s="115" t="s">
        <v>76</v>
      </c>
      <c r="H249" s="116"/>
      <c r="I249" s="117"/>
      <c r="J249" s="79">
        <v>6.05</v>
      </c>
      <c r="K249" s="78"/>
      <c r="L249" s="40" t="s">
        <v>115</v>
      </c>
    </row>
    <row r="250" spans="1:13" ht="15.95">
      <c r="A250" s="88"/>
      <c r="B250" s="136" t="s">
        <v>114</v>
      </c>
      <c r="C250" s="134"/>
      <c r="D250" s="135"/>
      <c r="E250" s="71">
        <v>2.1</v>
      </c>
      <c r="F250" s="78"/>
      <c r="G250" s="115" t="s">
        <v>76</v>
      </c>
      <c r="H250" s="116"/>
      <c r="I250" s="117"/>
      <c r="J250" s="71">
        <v>2.1</v>
      </c>
      <c r="K250" s="80"/>
      <c r="L250" s="40" t="s">
        <v>115</v>
      </c>
      <c r="M250">
        <f>J250</f>
        <v>2.1</v>
      </c>
    </row>
    <row r="251" spans="1:13" ht="15.95">
      <c r="A251" s="90"/>
      <c r="B251" s="134" t="s">
        <v>134</v>
      </c>
      <c r="C251" s="134"/>
      <c r="D251" s="135"/>
      <c r="E251" s="89">
        <v>1.1000000000000001</v>
      </c>
      <c r="F251" s="81"/>
      <c r="G251" s="115" t="s">
        <v>119</v>
      </c>
      <c r="H251" s="116"/>
      <c r="I251" s="117"/>
      <c r="J251" s="89">
        <v>1.1000000000000001</v>
      </c>
      <c r="K251" s="78"/>
      <c r="L251" s="62" t="s">
        <v>115</v>
      </c>
    </row>
    <row r="252" spans="1:13" ht="15.75" customHeight="1">
      <c r="A252" s="62"/>
      <c r="B252" s="115" t="s">
        <v>106</v>
      </c>
      <c r="C252" s="116"/>
      <c r="D252" s="117"/>
      <c r="E252" s="85">
        <v>0.16</v>
      </c>
      <c r="F252" s="81"/>
      <c r="G252" s="115" t="s">
        <v>119</v>
      </c>
      <c r="H252" s="116"/>
      <c r="I252" s="117"/>
      <c r="J252" s="32">
        <f>E252</f>
        <v>0.16</v>
      </c>
      <c r="K252" s="81"/>
      <c r="L252" s="40" t="s">
        <v>42</v>
      </c>
      <c r="M252" s="96">
        <f>SUM(J252:J255)</f>
        <v>4.46</v>
      </c>
    </row>
    <row r="253" spans="1:13" ht="15.75" customHeight="1">
      <c r="A253" s="84"/>
      <c r="B253" s="115" t="s">
        <v>106</v>
      </c>
      <c r="C253" s="116"/>
      <c r="D253" s="117"/>
      <c r="E253" s="85">
        <v>0.15</v>
      </c>
      <c r="F253" s="81"/>
      <c r="G253" s="115" t="s">
        <v>119</v>
      </c>
      <c r="H253" s="116"/>
      <c r="I253" s="117"/>
      <c r="J253" s="32">
        <f>E253</f>
        <v>0.15</v>
      </c>
      <c r="K253" s="81"/>
      <c r="L253" s="40" t="s">
        <v>42</v>
      </c>
    </row>
    <row r="254" spans="1:13" ht="15.75" customHeight="1">
      <c r="A254" s="84"/>
      <c r="B254" s="115" t="s">
        <v>106</v>
      </c>
      <c r="C254" s="116"/>
      <c r="D254" s="117"/>
      <c r="E254" s="85">
        <v>3.07</v>
      </c>
      <c r="F254" s="81"/>
      <c r="G254" s="115" t="s">
        <v>119</v>
      </c>
      <c r="H254" s="116"/>
      <c r="I254" s="117"/>
      <c r="J254" s="32">
        <f>E254</f>
        <v>3.07</v>
      </c>
      <c r="K254" s="81"/>
      <c r="L254" s="40" t="s">
        <v>42</v>
      </c>
    </row>
    <row r="255" spans="1:13" ht="15.75" customHeight="1">
      <c r="A255" s="84"/>
      <c r="B255" s="115" t="s">
        <v>106</v>
      </c>
      <c r="C255" s="116"/>
      <c r="D255" s="117"/>
      <c r="E255" s="85">
        <v>1.08</v>
      </c>
      <c r="F255" s="81"/>
      <c r="G255" s="115" t="s">
        <v>119</v>
      </c>
      <c r="H255" s="116"/>
      <c r="I255" s="117"/>
      <c r="J255" s="32">
        <f>E255</f>
        <v>1.08</v>
      </c>
      <c r="K255" s="81"/>
      <c r="L255" s="40" t="s">
        <v>42</v>
      </c>
    </row>
    <row r="256" spans="1:13" ht="15.95">
      <c r="A256" s="84"/>
      <c r="B256" s="139" t="s">
        <v>139</v>
      </c>
      <c r="C256" s="145"/>
      <c r="D256" s="145"/>
      <c r="E256" s="145"/>
      <c r="F256" s="146"/>
      <c r="G256" s="145" t="s">
        <v>140</v>
      </c>
      <c r="H256" s="111"/>
      <c r="I256" s="111"/>
      <c r="J256" s="111"/>
      <c r="K256" s="140"/>
      <c r="L256" s="4" t="s">
        <v>141</v>
      </c>
    </row>
    <row r="257" spans="1:12" ht="15.75" customHeight="1">
      <c r="A257" s="4" t="s">
        <v>142</v>
      </c>
      <c r="B257" s="144">
        <f>B259-B258</f>
        <v>1287.3299999999997</v>
      </c>
      <c r="C257" s="111"/>
      <c r="D257" s="111"/>
      <c r="E257" s="111"/>
      <c r="F257" s="138"/>
      <c r="G257" s="160">
        <f>G259-G258</f>
        <v>1146.1099999999997</v>
      </c>
      <c r="H257" s="111"/>
      <c r="I257" s="111"/>
      <c r="J257" s="111"/>
      <c r="K257" s="138"/>
      <c r="L257" s="8" t="s">
        <v>143</v>
      </c>
    </row>
    <row r="258" spans="1:12" ht="15.75" customHeight="1">
      <c r="A258" s="4" t="s">
        <v>144</v>
      </c>
      <c r="B258" s="167">
        <f>SUM(E251:E255)+E249+E248+E239+E237+E227+E225+E224+E212+E211+E209+E207+E205+E82+E80+E72+E70+E64+E55+E53+E52+E50+E48+E16+E15+E14+E13</f>
        <v>272.58</v>
      </c>
      <c r="C258" s="111"/>
      <c r="D258" s="111"/>
      <c r="E258" s="111"/>
      <c r="F258" s="138"/>
      <c r="G258" s="167">
        <f>SUM(M13:M255)</f>
        <v>413.80000000000007</v>
      </c>
      <c r="H258" s="111"/>
      <c r="I258" s="111"/>
      <c r="J258" s="111"/>
      <c r="K258" s="138"/>
      <c r="L258" s="8">
        <f>COUNTIF(L13:L255,"Internal")</f>
        <v>139</v>
      </c>
    </row>
    <row r="259" spans="1:12" ht="15.95">
      <c r="A259" s="4" t="s">
        <v>145</v>
      </c>
      <c r="B259" s="144">
        <f>SUM(E13:E255)</f>
        <v>1559.9099999999996</v>
      </c>
      <c r="C259" s="111"/>
      <c r="D259" s="111"/>
      <c r="E259" s="111"/>
      <c r="F259" s="138"/>
      <c r="G259" s="144">
        <f>SUM(J13:J255)</f>
        <v>1559.9099999999996</v>
      </c>
      <c r="H259" s="111"/>
      <c r="I259" s="111"/>
      <c r="J259" s="111"/>
      <c r="K259" s="138"/>
      <c r="L259" s="8" t="s">
        <v>146</v>
      </c>
    </row>
    <row r="260" spans="1:12" ht="15.75" customHeight="1">
      <c r="A260" s="4" t="s">
        <v>147</v>
      </c>
      <c r="B260" s="137">
        <f>B257/B259</f>
        <v>0.82525914956632118</v>
      </c>
      <c r="C260" s="111"/>
      <c r="D260" s="111"/>
      <c r="E260" s="111"/>
      <c r="F260" s="138"/>
      <c r="G260" s="137">
        <f>G257/G259</f>
        <v>0.73472828560622083</v>
      </c>
      <c r="H260" s="111"/>
      <c r="I260" s="111"/>
      <c r="J260" s="111"/>
      <c r="K260" s="138"/>
      <c r="L260" s="8">
        <f>COUNTIF(L13:L255,"Eksternal")</f>
        <v>70</v>
      </c>
    </row>
    <row r="261" spans="1:12" ht="15.75" customHeight="1"/>
    <row r="262" spans="1:12" ht="15.75" customHeight="1"/>
    <row r="263" spans="1:12" ht="15.75" customHeight="1"/>
    <row r="264" spans="1:12" ht="15.75" customHeight="1"/>
    <row r="265" spans="1:12" ht="15.75" customHeight="1"/>
    <row r="266" spans="1:12" ht="15.75" customHeight="1"/>
    <row r="267" spans="1:12" ht="15.75" customHeight="1"/>
    <row r="268" spans="1:12" ht="15.75" customHeight="1"/>
    <row r="269" spans="1:12" ht="15.75" customHeight="1"/>
    <row r="270" spans="1:12" ht="15.75" customHeight="1"/>
    <row r="271" spans="1:12" ht="15.75" customHeight="1"/>
    <row r="272" spans="1:1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516">
    <mergeCell ref="B256:F256"/>
    <mergeCell ref="G256:K256"/>
    <mergeCell ref="B253:D253"/>
    <mergeCell ref="G253:I253"/>
    <mergeCell ref="B254:D254"/>
    <mergeCell ref="G254:I254"/>
    <mergeCell ref="B259:F259"/>
    <mergeCell ref="G259:K259"/>
    <mergeCell ref="B260:F260"/>
    <mergeCell ref="G260:K260"/>
    <mergeCell ref="B257:F257"/>
    <mergeCell ref="G257:K257"/>
    <mergeCell ref="B258:F258"/>
    <mergeCell ref="G258:K258"/>
    <mergeCell ref="B251:D251"/>
    <mergeCell ref="G251:I251"/>
    <mergeCell ref="B252:D252"/>
    <mergeCell ref="G252:I252"/>
    <mergeCell ref="B249:D249"/>
    <mergeCell ref="G249:I249"/>
    <mergeCell ref="B250:D250"/>
    <mergeCell ref="G250:I250"/>
    <mergeCell ref="B255:D255"/>
    <mergeCell ref="G255:I255"/>
    <mergeCell ref="B245:D245"/>
    <mergeCell ref="G245:I245"/>
    <mergeCell ref="B242:D242"/>
    <mergeCell ref="G242:I242"/>
    <mergeCell ref="B243:D243"/>
    <mergeCell ref="G243:I243"/>
    <mergeCell ref="B248:D248"/>
    <mergeCell ref="G248:I248"/>
    <mergeCell ref="B246:D246"/>
    <mergeCell ref="G246:I246"/>
    <mergeCell ref="B247:D247"/>
    <mergeCell ref="G247:I247"/>
    <mergeCell ref="B240:D240"/>
    <mergeCell ref="G240:I240"/>
    <mergeCell ref="B241:D241"/>
    <mergeCell ref="G241:I241"/>
    <mergeCell ref="B238:D238"/>
    <mergeCell ref="G238:I238"/>
    <mergeCell ref="B239:D239"/>
    <mergeCell ref="G239:I239"/>
    <mergeCell ref="B244:D244"/>
    <mergeCell ref="G244:I244"/>
    <mergeCell ref="B233:D233"/>
    <mergeCell ref="G233:I233"/>
    <mergeCell ref="B234:D234"/>
    <mergeCell ref="G234:I234"/>
    <mergeCell ref="B231:D231"/>
    <mergeCell ref="G231:I231"/>
    <mergeCell ref="B232:D232"/>
    <mergeCell ref="G232:I232"/>
    <mergeCell ref="B237:D237"/>
    <mergeCell ref="G237:I237"/>
    <mergeCell ref="B235:D235"/>
    <mergeCell ref="G235:I235"/>
    <mergeCell ref="B236:D236"/>
    <mergeCell ref="G236:I236"/>
    <mergeCell ref="B225:D225"/>
    <mergeCell ref="G225:I225"/>
    <mergeCell ref="B226:D226"/>
    <mergeCell ref="G226:I226"/>
    <mergeCell ref="B224:D224"/>
    <mergeCell ref="G224:I224"/>
    <mergeCell ref="B229:D229"/>
    <mergeCell ref="G229:I229"/>
    <mergeCell ref="B230:D230"/>
    <mergeCell ref="G230:I230"/>
    <mergeCell ref="B227:D227"/>
    <mergeCell ref="G227:I227"/>
    <mergeCell ref="B228:D228"/>
    <mergeCell ref="G228:I228"/>
    <mergeCell ref="B219:D219"/>
    <mergeCell ref="G219:I219"/>
    <mergeCell ref="B216:D216"/>
    <mergeCell ref="G216:I216"/>
    <mergeCell ref="B217:D217"/>
    <mergeCell ref="G217:I217"/>
    <mergeCell ref="B222:D222"/>
    <mergeCell ref="G222:I222"/>
    <mergeCell ref="B223:D223"/>
    <mergeCell ref="G223:I223"/>
    <mergeCell ref="B220:D220"/>
    <mergeCell ref="G220:I220"/>
    <mergeCell ref="B221:D221"/>
    <mergeCell ref="G221:I221"/>
    <mergeCell ref="B214:D214"/>
    <mergeCell ref="G214:I214"/>
    <mergeCell ref="B215:D215"/>
    <mergeCell ref="G215:I215"/>
    <mergeCell ref="B212:D212"/>
    <mergeCell ref="G212:I212"/>
    <mergeCell ref="B213:D213"/>
    <mergeCell ref="G213:I213"/>
    <mergeCell ref="B218:D218"/>
    <mergeCell ref="G218:I218"/>
    <mergeCell ref="B206:D206"/>
    <mergeCell ref="G206:I206"/>
    <mergeCell ref="B207:D207"/>
    <mergeCell ref="G207:I207"/>
    <mergeCell ref="B205:D205"/>
    <mergeCell ref="G205:I205"/>
    <mergeCell ref="B211:D211"/>
    <mergeCell ref="G211:I211"/>
    <mergeCell ref="B210:D210"/>
    <mergeCell ref="G210:I210"/>
    <mergeCell ref="B208:D208"/>
    <mergeCell ref="G208:I208"/>
    <mergeCell ref="B209:D209"/>
    <mergeCell ref="G209:I209"/>
    <mergeCell ref="B199:D199"/>
    <mergeCell ref="G199:I199"/>
    <mergeCell ref="B200:D200"/>
    <mergeCell ref="G200:I200"/>
    <mergeCell ref="B198:D198"/>
    <mergeCell ref="G198:I198"/>
    <mergeCell ref="B203:D203"/>
    <mergeCell ref="G203:I203"/>
    <mergeCell ref="B204:D204"/>
    <mergeCell ref="G204:I204"/>
    <mergeCell ref="B201:D201"/>
    <mergeCell ref="G201:I201"/>
    <mergeCell ref="B202:D202"/>
    <mergeCell ref="G202:I202"/>
    <mergeCell ref="B193:D193"/>
    <mergeCell ref="G193:I193"/>
    <mergeCell ref="B190:D190"/>
    <mergeCell ref="G190:I190"/>
    <mergeCell ref="B191:D191"/>
    <mergeCell ref="G191:I191"/>
    <mergeCell ref="B196:D196"/>
    <mergeCell ref="G196:I196"/>
    <mergeCell ref="B197:D197"/>
    <mergeCell ref="G197:I197"/>
    <mergeCell ref="B194:D194"/>
    <mergeCell ref="G194:I194"/>
    <mergeCell ref="B195:D195"/>
    <mergeCell ref="G195:I195"/>
    <mergeCell ref="B188:D188"/>
    <mergeCell ref="G188:I188"/>
    <mergeCell ref="B189:D189"/>
    <mergeCell ref="G189:I189"/>
    <mergeCell ref="B186:D186"/>
    <mergeCell ref="G186:I186"/>
    <mergeCell ref="B187:D187"/>
    <mergeCell ref="G187:I187"/>
    <mergeCell ref="B192:D192"/>
    <mergeCell ref="G192:I192"/>
    <mergeCell ref="B181:D181"/>
    <mergeCell ref="G181:I181"/>
    <mergeCell ref="B178:D178"/>
    <mergeCell ref="G178:I178"/>
    <mergeCell ref="B179:D179"/>
    <mergeCell ref="G179:I179"/>
    <mergeCell ref="B184:D184"/>
    <mergeCell ref="G184:I184"/>
    <mergeCell ref="B185:D185"/>
    <mergeCell ref="G185:I185"/>
    <mergeCell ref="B182:D182"/>
    <mergeCell ref="G182:I182"/>
    <mergeCell ref="B183:D183"/>
    <mergeCell ref="G183:I183"/>
    <mergeCell ref="B176:D176"/>
    <mergeCell ref="G176:I176"/>
    <mergeCell ref="B177:D177"/>
    <mergeCell ref="G177:I177"/>
    <mergeCell ref="B174:D174"/>
    <mergeCell ref="G174:I174"/>
    <mergeCell ref="B175:D175"/>
    <mergeCell ref="G175:I175"/>
    <mergeCell ref="B180:D180"/>
    <mergeCell ref="G180:I180"/>
    <mergeCell ref="B169:D169"/>
    <mergeCell ref="G169:I169"/>
    <mergeCell ref="B166:D166"/>
    <mergeCell ref="G166:I166"/>
    <mergeCell ref="B167:D167"/>
    <mergeCell ref="G167:I167"/>
    <mergeCell ref="B172:D172"/>
    <mergeCell ref="G172:I172"/>
    <mergeCell ref="B173:D173"/>
    <mergeCell ref="G173:I173"/>
    <mergeCell ref="B170:D170"/>
    <mergeCell ref="G170:I170"/>
    <mergeCell ref="B171:D171"/>
    <mergeCell ref="G171:I171"/>
    <mergeCell ref="B164:D164"/>
    <mergeCell ref="G164:I164"/>
    <mergeCell ref="B165:D165"/>
    <mergeCell ref="G165:I165"/>
    <mergeCell ref="B162:D162"/>
    <mergeCell ref="G162:I162"/>
    <mergeCell ref="B163:D163"/>
    <mergeCell ref="G163:I163"/>
    <mergeCell ref="B168:D168"/>
    <mergeCell ref="G168:I168"/>
    <mergeCell ref="B158:D158"/>
    <mergeCell ref="G158:I158"/>
    <mergeCell ref="B155:D155"/>
    <mergeCell ref="G155:I155"/>
    <mergeCell ref="B156:D156"/>
    <mergeCell ref="G156:I156"/>
    <mergeCell ref="B161:D161"/>
    <mergeCell ref="G161:I161"/>
    <mergeCell ref="B159:D159"/>
    <mergeCell ref="G159:I159"/>
    <mergeCell ref="B160:D160"/>
    <mergeCell ref="G160:I160"/>
    <mergeCell ref="B153:D153"/>
    <mergeCell ref="G153:I153"/>
    <mergeCell ref="B154:D154"/>
    <mergeCell ref="G154:I154"/>
    <mergeCell ref="B151:D151"/>
    <mergeCell ref="G151:I151"/>
    <mergeCell ref="B152:D152"/>
    <mergeCell ref="G152:I152"/>
    <mergeCell ref="B157:D157"/>
    <mergeCell ref="G157:I157"/>
    <mergeCell ref="B146:D146"/>
    <mergeCell ref="G146:I146"/>
    <mergeCell ref="B143:D143"/>
    <mergeCell ref="G143:I143"/>
    <mergeCell ref="B144:D144"/>
    <mergeCell ref="G144:I144"/>
    <mergeCell ref="B149:D149"/>
    <mergeCell ref="G149:I149"/>
    <mergeCell ref="B150:D150"/>
    <mergeCell ref="G150:I150"/>
    <mergeCell ref="B147:D147"/>
    <mergeCell ref="G147:I147"/>
    <mergeCell ref="B148:D148"/>
    <mergeCell ref="G148:I148"/>
    <mergeCell ref="B141:D141"/>
    <mergeCell ref="G141:I141"/>
    <mergeCell ref="B142:D142"/>
    <mergeCell ref="G142:I142"/>
    <mergeCell ref="B139:D139"/>
    <mergeCell ref="G139:I139"/>
    <mergeCell ref="B140:D140"/>
    <mergeCell ref="G140:I140"/>
    <mergeCell ref="B145:D145"/>
    <mergeCell ref="G145:I145"/>
    <mergeCell ref="B134:D134"/>
    <mergeCell ref="G134:I134"/>
    <mergeCell ref="B131:D131"/>
    <mergeCell ref="G131:I131"/>
    <mergeCell ref="B132:D132"/>
    <mergeCell ref="G132:I132"/>
    <mergeCell ref="B137:D137"/>
    <mergeCell ref="G137:I137"/>
    <mergeCell ref="B138:D138"/>
    <mergeCell ref="G138:I138"/>
    <mergeCell ref="B135:D135"/>
    <mergeCell ref="G135:I135"/>
    <mergeCell ref="B136:D136"/>
    <mergeCell ref="G136:I136"/>
    <mergeCell ref="B129:D129"/>
    <mergeCell ref="G129:I129"/>
    <mergeCell ref="B130:D130"/>
    <mergeCell ref="G130:I130"/>
    <mergeCell ref="B127:D127"/>
    <mergeCell ref="G127:I127"/>
    <mergeCell ref="B128:D128"/>
    <mergeCell ref="G128:I128"/>
    <mergeCell ref="B133:D133"/>
    <mergeCell ref="G133:I133"/>
    <mergeCell ref="B122:D122"/>
    <mergeCell ref="G122:I122"/>
    <mergeCell ref="B119:D119"/>
    <mergeCell ref="G119:I119"/>
    <mergeCell ref="B120:D120"/>
    <mergeCell ref="G120:I120"/>
    <mergeCell ref="B125:D125"/>
    <mergeCell ref="G125:I125"/>
    <mergeCell ref="B126:D126"/>
    <mergeCell ref="G126:I126"/>
    <mergeCell ref="B123:D123"/>
    <mergeCell ref="G123:I123"/>
    <mergeCell ref="B124:D124"/>
    <mergeCell ref="G124:I124"/>
    <mergeCell ref="B117:D117"/>
    <mergeCell ref="G117:I117"/>
    <mergeCell ref="B118:D118"/>
    <mergeCell ref="G118:I118"/>
    <mergeCell ref="B115:D115"/>
    <mergeCell ref="G115:I115"/>
    <mergeCell ref="B116:D116"/>
    <mergeCell ref="G116:I116"/>
    <mergeCell ref="B121:D121"/>
    <mergeCell ref="G121:I121"/>
    <mergeCell ref="B110:D110"/>
    <mergeCell ref="G110:I110"/>
    <mergeCell ref="B107:D107"/>
    <mergeCell ref="G107:I107"/>
    <mergeCell ref="B108:D108"/>
    <mergeCell ref="G108:I108"/>
    <mergeCell ref="B113:D113"/>
    <mergeCell ref="G113:I113"/>
    <mergeCell ref="B114:D114"/>
    <mergeCell ref="G114:I114"/>
    <mergeCell ref="B111:D111"/>
    <mergeCell ref="G111:I111"/>
    <mergeCell ref="B112:D112"/>
    <mergeCell ref="G112:I112"/>
    <mergeCell ref="B105:D105"/>
    <mergeCell ref="G105:I105"/>
    <mergeCell ref="B106:D106"/>
    <mergeCell ref="G106:I106"/>
    <mergeCell ref="B103:D103"/>
    <mergeCell ref="G103:I103"/>
    <mergeCell ref="B104:D104"/>
    <mergeCell ref="G104:I104"/>
    <mergeCell ref="B109:D109"/>
    <mergeCell ref="G109:I109"/>
    <mergeCell ref="B98:D98"/>
    <mergeCell ref="G98:I98"/>
    <mergeCell ref="B96:D96"/>
    <mergeCell ref="G96:I96"/>
    <mergeCell ref="B101:D101"/>
    <mergeCell ref="G101:I101"/>
    <mergeCell ref="B102:D102"/>
    <mergeCell ref="G102:I102"/>
    <mergeCell ref="B99:D99"/>
    <mergeCell ref="G99:I99"/>
    <mergeCell ref="B100:D100"/>
    <mergeCell ref="G100:I100"/>
    <mergeCell ref="B94:D94"/>
    <mergeCell ref="G94:I94"/>
    <mergeCell ref="B95:D95"/>
    <mergeCell ref="G95:I95"/>
    <mergeCell ref="B92:D92"/>
    <mergeCell ref="G92:I92"/>
    <mergeCell ref="B93:D93"/>
    <mergeCell ref="G93:I93"/>
    <mergeCell ref="B97:D97"/>
    <mergeCell ref="G97:I97"/>
    <mergeCell ref="B87:D87"/>
    <mergeCell ref="G87:I87"/>
    <mergeCell ref="B84:D84"/>
    <mergeCell ref="G84:I84"/>
    <mergeCell ref="B85:D85"/>
    <mergeCell ref="G85:I85"/>
    <mergeCell ref="B90:D90"/>
    <mergeCell ref="G90:I90"/>
    <mergeCell ref="B91:D91"/>
    <mergeCell ref="G91:I91"/>
    <mergeCell ref="B88:D88"/>
    <mergeCell ref="G88:I88"/>
    <mergeCell ref="B89:D89"/>
    <mergeCell ref="G89:I89"/>
    <mergeCell ref="B82:D82"/>
    <mergeCell ref="G82:I82"/>
    <mergeCell ref="B83:D83"/>
    <mergeCell ref="G83:I83"/>
    <mergeCell ref="B80:D80"/>
    <mergeCell ref="G80:I80"/>
    <mergeCell ref="B81:D81"/>
    <mergeCell ref="G81:I81"/>
    <mergeCell ref="B86:D86"/>
    <mergeCell ref="G86:I86"/>
    <mergeCell ref="B75:D75"/>
    <mergeCell ref="G75:I75"/>
    <mergeCell ref="B72:D72"/>
    <mergeCell ref="G72:I72"/>
    <mergeCell ref="B73:D73"/>
    <mergeCell ref="G73:I73"/>
    <mergeCell ref="B78:D78"/>
    <mergeCell ref="G78:I78"/>
    <mergeCell ref="B79:D79"/>
    <mergeCell ref="G79:I79"/>
    <mergeCell ref="B76:D76"/>
    <mergeCell ref="G76:I76"/>
    <mergeCell ref="B77:D77"/>
    <mergeCell ref="G77:I77"/>
    <mergeCell ref="B70:D70"/>
    <mergeCell ref="G70:I70"/>
    <mergeCell ref="B71:D71"/>
    <mergeCell ref="G71:I71"/>
    <mergeCell ref="B68:D68"/>
    <mergeCell ref="G68:I68"/>
    <mergeCell ref="B69:D69"/>
    <mergeCell ref="G69:I69"/>
    <mergeCell ref="B74:D74"/>
    <mergeCell ref="G74:I74"/>
    <mergeCell ref="B63:D63"/>
    <mergeCell ref="G63:I63"/>
    <mergeCell ref="B60:D60"/>
    <mergeCell ref="G60:I60"/>
    <mergeCell ref="B61:D61"/>
    <mergeCell ref="G61:I61"/>
    <mergeCell ref="B66:D66"/>
    <mergeCell ref="G66:I66"/>
    <mergeCell ref="B67:D67"/>
    <mergeCell ref="G67:I67"/>
    <mergeCell ref="B64:D64"/>
    <mergeCell ref="G64:I64"/>
    <mergeCell ref="B65:D65"/>
    <mergeCell ref="G65:I65"/>
    <mergeCell ref="B58:D58"/>
    <mergeCell ref="G58:I58"/>
    <mergeCell ref="B59:D59"/>
    <mergeCell ref="G59:I59"/>
    <mergeCell ref="B56:D56"/>
    <mergeCell ref="G56:I56"/>
    <mergeCell ref="B57:D57"/>
    <mergeCell ref="G57:I57"/>
    <mergeCell ref="B62:D62"/>
    <mergeCell ref="G62:I62"/>
    <mergeCell ref="B52:D52"/>
    <mergeCell ref="G52:I52"/>
    <mergeCell ref="B49:D49"/>
    <mergeCell ref="G49:I49"/>
    <mergeCell ref="B50:D50"/>
    <mergeCell ref="G50:I50"/>
    <mergeCell ref="B54:D54"/>
    <mergeCell ref="G54:I54"/>
    <mergeCell ref="B55:D55"/>
    <mergeCell ref="G55:I55"/>
    <mergeCell ref="B53:D53"/>
    <mergeCell ref="G53:I53"/>
    <mergeCell ref="B47:D47"/>
    <mergeCell ref="G47:I47"/>
    <mergeCell ref="B48:D48"/>
    <mergeCell ref="G48:I48"/>
    <mergeCell ref="B45:D45"/>
    <mergeCell ref="G45:I45"/>
    <mergeCell ref="B46:D46"/>
    <mergeCell ref="G46:I46"/>
    <mergeCell ref="B51:D51"/>
    <mergeCell ref="G51:I51"/>
    <mergeCell ref="B40:D40"/>
    <mergeCell ref="G40:I40"/>
    <mergeCell ref="B37:D37"/>
    <mergeCell ref="G37:I37"/>
    <mergeCell ref="B38:D38"/>
    <mergeCell ref="G38:I38"/>
    <mergeCell ref="B43:D43"/>
    <mergeCell ref="G43:I43"/>
    <mergeCell ref="B44:D44"/>
    <mergeCell ref="G44:I44"/>
    <mergeCell ref="B41:D41"/>
    <mergeCell ref="G41:I41"/>
    <mergeCell ref="B42:D42"/>
    <mergeCell ref="G42:I42"/>
    <mergeCell ref="B35:D35"/>
    <mergeCell ref="G35:I35"/>
    <mergeCell ref="B36:D36"/>
    <mergeCell ref="G36:I36"/>
    <mergeCell ref="B33:D33"/>
    <mergeCell ref="G33:I33"/>
    <mergeCell ref="B34:D34"/>
    <mergeCell ref="G34:I34"/>
    <mergeCell ref="B39:D39"/>
    <mergeCell ref="G39:I39"/>
    <mergeCell ref="B27:D27"/>
    <mergeCell ref="G27:I27"/>
    <mergeCell ref="B28:D28"/>
    <mergeCell ref="G28:I28"/>
    <mergeCell ref="B26:D26"/>
    <mergeCell ref="G26:I26"/>
    <mergeCell ref="B31:D31"/>
    <mergeCell ref="G31:I31"/>
    <mergeCell ref="B32:D32"/>
    <mergeCell ref="G32:I32"/>
    <mergeCell ref="B29:D29"/>
    <mergeCell ref="G29:I29"/>
    <mergeCell ref="B30:D30"/>
    <mergeCell ref="G30:I30"/>
    <mergeCell ref="B24:D24"/>
    <mergeCell ref="G24:I24"/>
    <mergeCell ref="B25:D25"/>
    <mergeCell ref="G25:I25"/>
    <mergeCell ref="B11:D12"/>
    <mergeCell ref="E11:F11"/>
    <mergeCell ref="B13:D13"/>
    <mergeCell ref="B14:D14"/>
    <mergeCell ref="B15:D15"/>
    <mergeCell ref="B16:D16"/>
    <mergeCell ref="B17:D17"/>
    <mergeCell ref="G14:I14"/>
    <mergeCell ref="G15:I15"/>
    <mergeCell ref="G16:I16"/>
    <mergeCell ref="G17:I17"/>
    <mergeCell ref="B23:D23"/>
    <mergeCell ref="G23:I23"/>
    <mergeCell ref="G21:I21"/>
    <mergeCell ref="G22:I22"/>
    <mergeCell ref="B19:D19"/>
    <mergeCell ref="B20:D20"/>
    <mergeCell ref="B21:D21"/>
    <mergeCell ref="B22:D22"/>
    <mergeCell ref="G19:I19"/>
    <mergeCell ref="G20:I20"/>
    <mergeCell ref="J11:K11"/>
    <mergeCell ref="G13:I13"/>
    <mergeCell ref="G11:I12"/>
    <mergeCell ref="A1:Q2"/>
    <mergeCell ref="A3:B3"/>
    <mergeCell ref="C3:M3"/>
    <mergeCell ref="A4:B4"/>
    <mergeCell ref="C4:M4"/>
    <mergeCell ref="G18:I18"/>
    <mergeCell ref="A5:B5"/>
    <mergeCell ref="C5:M5"/>
    <mergeCell ref="A7:B7"/>
    <mergeCell ref="D7:E7"/>
    <mergeCell ref="M7:N7"/>
    <mergeCell ref="O7:P7"/>
    <mergeCell ref="M8:N8"/>
    <mergeCell ref="O8:P8"/>
    <mergeCell ref="A10:A12"/>
    <mergeCell ref="B10:F10"/>
    <mergeCell ref="G10:L10"/>
    <mergeCell ref="B18:D18"/>
  </mergeCells>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99"/>
  <sheetViews>
    <sheetView zoomScale="133" zoomScaleNormal="111" workbookViewId="0">
      <selection activeCell="I20" sqref="I20"/>
    </sheetView>
  </sheetViews>
  <sheetFormatPr defaultColWidth="14.42578125" defaultRowHeight="15" customHeight="1"/>
  <cols>
    <col min="1" max="1" width="35.42578125" customWidth="1"/>
    <col min="2" max="2" width="16.7109375" customWidth="1"/>
    <col min="3" max="3" width="33.28515625" customWidth="1"/>
    <col min="4" max="4" width="14.7109375" customWidth="1"/>
    <col min="5" max="5" width="9.28515625" customWidth="1"/>
    <col min="6" max="6" width="38.140625" bestFit="1" customWidth="1"/>
    <col min="7" max="7" width="15.85546875" customWidth="1"/>
    <col min="8" max="8" width="34.7109375" customWidth="1"/>
    <col min="9" max="9" width="16.42578125" customWidth="1"/>
    <col min="10" max="20" width="9.28515625" customWidth="1"/>
  </cols>
  <sheetData>
    <row r="1" spans="1:22" ht="15.95">
      <c r="A1" s="179" t="s">
        <v>150</v>
      </c>
      <c r="B1" s="194"/>
      <c r="C1" s="194"/>
      <c r="D1" s="194"/>
      <c r="E1" s="41"/>
      <c r="F1" s="179" t="s">
        <v>151</v>
      </c>
      <c r="G1" s="194"/>
      <c r="H1" s="194"/>
      <c r="I1" s="194"/>
      <c r="J1" s="41"/>
      <c r="K1" s="41"/>
      <c r="L1" s="41"/>
      <c r="M1" s="41"/>
      <c r="N1" s="41"/>
      <c r="O1" s="41"/>
      <c r="P1" s="41"/>
      <c r="Q1" s="41"/>
      <c r="R1" s="41"/>
      <c r="S1" s="41"/>
      <c r="T1" s="41"/>
      <c r="U1" s="41"/>
      <c r="V1" s="41"/>
    </row>
    <row r="2" spans="1:22">
      <c r="A2" s="49" t="s">
        <v>152</v>
      </c>
      <c r="B2" s="49" t="s">
        <v>37</v>
      </c>
      <c r="C2" s="50" t="s">
        <v>153</v>
      </c>
      <c r="D2" s="49" t="s">
        <v>154</v>
      </c>
      <c r="E2" s="41"/>
      <c r="F2" s="49" t="s">
        <v>152</v>
      </c>
      <c r="G2" s="49" t="s">
        <v>37</v>
      </c>
      <c r="H2" s="50" t="s">
        <v>153</v>
      </c>
      <c r="I2" s="49" t="s">
        <v>154</v>
      </c>
      <c r="J2" s="41"/>
      <c r="K2" s="41"/>
      <c r="L2" s="41"/>
      <c r="M2" s="41"/>
      <c r="N2" s="41"/>
      <c r="O2" s="41"/>
      <c r="P2" s="41"/>
      <c r="Q2" s="41"/>
      <c r="R2" s="41"/>
      <c r="S2" s="41"/>
      <c r="T2" s="41"/>
      <c r="U2" s="41"/>
      <c r="V2" s="41"/>
    </row>
    <row r="3" spans="1:22" ht="15.95">
      <c r="A3" s="29" t="s">
        <v>155</v>
      </c>
      <c r="B3" s="46" t="s">
        <v>43</v>
      </c>
      <c r="C3" s="47" t="str">
        <f>REPT("I",D3)</f>
        <v>I</v>
      </c>
      <c r="D3" s="46">
        <f>COUNTIF('PPM Eksisting'!$R$13:$R$266,'Tabel Gerakan Therblig PPM'!B3)</f>
        <v>1</v>
      </c>
      <c r="E3" s="41"/>
      <c r="F3" s="29" t="s">
        <v>155</v>
      </c>
      <c r="G3" s="46" t="s">
        <v>43</v>
      </c>
      <c r="H3" s="47" t="str">
        <f t="shared" ref="H3:H19" si="0">REPT("I",I3)</f>
        <v/>
      </c>
      <c r="I3" s="46">
        <f>COUNTIF('PPM Eksisting'!$S$13:$S$22,'Tabel Gerakan Therblig PPM'!G3)</f>
        <v>0</v>
      </c>
      <c r="J3" s="41"/>
      <c r="K3" s="41"/>
      <c r="L3" s="41"/>
      <c r="M3" s="41"/>
      <c r="N3" s="41"/>
      <c r="O3" s="41"/>
      <c r="P3" s="41"/>
      <c r="Q3" s="41"/>
      <c r="R3" s="41"/>
      <c r="S3" s="41"/>
      <c r="T3" s="41"/>
      <c r="U3" s="41"/>
      <c r="V3" s="41"/>
    </row>
    <row r="4" spans="1:22" ht="15.95">
      <c r="A4" s="29" t="s">
        <v>156</v>
      </c>
      <c r="B4" s="46" t="s">
        <v>157</v>
      </c>
      <c r="C4" s="47" t="str">
        <f t="shared" ref="C4:C19" si="1">REPT("I",D4)</f>
        <v/>
      </c>
      <c r="D4" s="46">
        <f>COUNTIF('PPM Eksisting'!$R$13:$R$266,'Tabel Gerakan Therblig PPM'!B4)</f>
        <v>0</v>
      </c>
      <c r="E4" s="41"/>
      <c r="F4" s="29" t="s">
        <v>156</v>
      </c>
      <c r="G4" s="46" t="s">
        <v>157</v>
      </c>
      <c r="H4" s="47" t="str">
        <f t="shared" si="0"/>
        <v/>
      </c>
      <c r="I4" s="46">
        <f>COUNTIF('PPM Eksisting'!$S$13:$S$266,'Tabel Gerakan Therblig PPM'!G4)</f>
        <v>0</v>
      </c>
      <c r="J4" s="41"/>
      <c r="K4" s="41"/>
      <c r="L4" s="41"/>
      <c r="M4" s="41"/>
      <c r="N4" s="41"/>
      <c r="O4" s="41"/>
      <c r="P4" s="41"/>
      <c r="Q4" s="41"/>
      <c r="R4" s="41"/>
      <c r="S4" s="41"/>
      <c r="T4" s="41"/>
      <c r="U4" s="41"/>
      <c r="V4" s="41"/>
    </row>
    <row r="5" spans="1:22" ht="15.95">
      <c r="A5" s="29" t="s">
        <v>158</v>
      </c>
      <c r="B5" s="46" t="s">
        <v>52</v>
      </c>
      <c r="C5" s="47" t="str">
        <f t="shared" si="1"/>
        <v>I</v>
      </c>
      <c r="D5" s="46">
        <f>COUNTIF('PPM Eksisting'!$R$13:$R$266,'Tabel Gerakan Therblig PPM'!B5)</f>
        <v>1</v>
      </c>
      <c r="E5" s="41"/>
      <c r="F5" s="29" t="s">
        <v>158</v>
      </c>
      <c r="G5" s="46" t="s">
        <v>52</v>
      </c>
      <c r="H5" s="47" t="str">
        <f t="shared" si="0"/>
        <v>IIIIII</v>
      </c>
      <c r="I5" s="46">
        <f>COUNTIF('PPM Eksisting'!$S$13:$S$266,'Tabel Gerakan Therblig PPM'!G5)</f>
        <v>6</v>
      </c>
      <c r="J5" s="41"/>
      <c r="K5" s="41"/>
      <c r="L5" s="41"/>
      <c r="M5" s="41"/>
      <c r="N5" s="41"/>
      <c r="O5" s="41"/>
      <c r="P5" s="41"/>
      <c r="Q5" s="41"/>
      <c r="R5" s="41"/>
      <c r="S5" s="41"/>
      <c r="T5" s="41"/>
      <c r="U5" s="41"/>
      <c r="V5" s="41"/>
    </row>
    <row r="6" spans="1:22" ht="31.5" customHeight="1">
      <c r="A6" s="29" t="s">
        <v>108</v>
      </c>
      <c r="B6" s="46" t="s">
        <v>46</v>
      </c>
      <c r="C6" s="47" t="str">
        <f t="shared" si="1"/>
        <v>II</v>
      </c>
      <c r="D6" s="46">
        <f>COUNTIF('PPM Eksisting'!$R$13:$R$266,'Tabel Gerakan Therblig PPM'!B6)</f>
        <v>2</v>
      </c>
      <c r="E6" s="41"/>
      <c r="F6" s="29" t="s">
        <v>108</v>
      </c>
      <c r="G6" s="46" t="s">
        <v>46</v>
      </c>
      <c r="H6" s="47" t="str">
        <f t="shared" si="0"/>
        <v>IIIIIIIIIIIIIIIIIIIIIIIIIIIIIIIIIII</v>
      </c>
      <c r="I6" s="46">
        <f>COUNTIF('PPM Eksisting'!$S$13:$S$266,'Tabel Gerakan Therblig PPM'!G6)</f>
        <v>35</v>
      </c>
      <c r="J6" s="41"/>
      <c r="K6" s="41"/>
      <c r="L6" s="41"/>
      <c r="M6" s="41"/>
      <c r="N6" s="41"/>
      <c r="O6" s="41"/>
      <c r="P6" s="41"/>
      <c r="Q6" s="41"/>
      <c r="R6" s="41"/>
      <c r="S6" s="41"/>
      <c r="T6" s="41"/>
      <c r="U6" s="41"/>
      <c r="V6" s="41"/>
    </row>
    <row r="7" spans="1:22" ht="15.95">
      <c r="A7" s="29" t="s">
        <v>110</v>
      </c>
      <c r="B7" s="46" t="s">
        <v>48</v>
      </c>
      <c r="C7" s="47" t="str">
        <f t="shared" si="1"/>
        <v>II</v>
      </c>
      <c r="D7" s="46">
        <f>COUNTIF('PPM Eksisting'!$R$13:$R$266,'Tabel Gerakan Therblig PPM'!B7)</f>
        <v>2</v>
      </c>
      <c r="E7" s="41"/>
      <c r="F7" s="29" t="s">
        <v>110</v>
      </c>
      <c r="G7" s="46" t="s">
        <v>48</v>
      </c>
      <c r="H7" s="47" t="str">
        <f t="shared" si="0"/>
        <v>IIIIIIIIII</v>
      </c>
      <c r="I7" s="46">
        <f>COUNTIF('PPM Eksisting'!$S$13:$S$266,'Tabel Gerakan Therblig PPM'!G7)</f>
        <v>10</v>
      </c>
      <c r="J7" s="41"/>
      <c r="K7" s="41"/>
      <c r="L7" s="41"/>
      <c r="M7" s="41"/>
      <c r="N7" s="41"/>
      <c r="O7" s="41"/>
      <c r="P7" s="41"/>
      <c r="Q7" s="41"/>
      <c r="R7" s="41"/>
      <c r="S7" s="41"/>
      <c r="T7" s="41"/>
      <c r="U7" s="41"/>
      <c r="V7" s="41"/>
    </row>
    <row r="8" spans="1:22" ht="15.95">
      <c r="A8" s="29" t="s">
        <v>109</v>
      </c>
      <c r="B8" s="46" t="s">
        <v>61</v>
      </c>
      <c r="C8" s="47" t="str">
        <f t="shared" si="1"/>
        <v/>
      </c>
      <c r="D8" s="46">
        <f>COUNTIF('PPM Eksisting'!$R$13:$R$266,'Tabel Gerakan Therblig PPM'!B8)</f>
        <v>0</v>
      </c>
      <c r="E8" s="41"/>
      <c r="F8" s="29" t="s">
        <v>109</v>
      </c>
      <c r="G8" s="46" t="s">
        <v>61</v>
      </c>
      <c r="H8" s="47" t="str">
        <f t="shared" si="0"/>
        <v>IIIIIIIIIIII</v>
      </c>
      <c r="I8" s="46">
        <f>COUNTIF('PPM Eksisting'!$S$13:$S$266,'Tabel Gerakan Therblig PPM'!G8)</f>
        <v>12</v>
      </c>
      <c r="J8" s="41"/>
      <c r="K8" s="41"/>
      <c r="L8" s="41"/>
      <c r="M8" s="41"/>
      <c r="N8" s="41"/>
      <c r="O8" s="41"/>
      <c r="P8" s="41"/>
      <c r="Q8" s="41"/>
      <c r="R8" s="41"/>
      <c r="S8" s="41"/>
      <c r="T8" s="41"/>
      <c r="U8" s="41"/>
      <c r="V8" s="41"/>
    </row>
    <row r="9" spans="1:22" ht="15.95">
      <c r="A9" s="29" t="s">
        <v>111</v>
      </c>
      <c r="B9" s="46" t="s">
        <v>50</v>
      </c>
      <c r="C9" s="47" t="str">
        <f t="shared" si="1"/>
        <v>II</v>
      </c>
      <c r="D9" s="46">
        <f>COUNTIF('PPM Eksisting'!$R$13:$R$266,'Tabel Gerakan Therblig PPM'!B9)</f>
        <v>2</v>
      </c>
      <c r="E9" s="41"/>
      <c r="F9" s="29" t="s">
        <v>111</v>
      </c>
      <c r="G9" s="46" t="s">
        <v>50</v>
      </c>
      <c r="H9" s="47" t="str">
        <f t="shared" si="0"/>
        <v>IIIIIIIIIIIIIIIIIIIIII</v>
      </c>
      <c r="I9" s="46">
        <f>COUNTIF('PPM Eksisting'!$S$13:$S$266,'Tabel Gerakan Therblig PPM'!G9)</f>
        <v>22</v>
      </c>
      <c r="J9" s="41"/>
      <c r="K9" s="41"/>
      <c r="L9" s="41"/>
      <c r="M9" s="41"/>
      <c r="N9" s="41"/>
      <c r="O9" s="41"/>
      <c r="P9" s="41"/>
      <c r="Q9" s="41"/>
      <c r="R9" s="41"/>
      <c r="S9" s="41"/>
      <c r="T9" s="41"/>
      <c r="U9" s="41"/>
      <c r="V9" s="41"/>
    </row>
    <row r="10" spans="1:22" ht="15.95">
      <c r="A10" s="29" t="s">
        <v>159</v>
      </c>
      <c r="B10" s="46" t="s">
        <v>58</v>
      </c>
      <c r="C10" s="47" t="str">
        <f t="shared" si="1"/>
        <v/>
      </c>
      <c r="D10" s="46">
        <f>COUNTIF('PPM Eksisting'!$R$13:$R$266,'Tabel Gerakan Therblig PPM'!B10)</f>
        <v>0</v>
      </c>
      <c r="E10" s="41"/>
      <c r="F10" s="29" t="s">
        <v>159</v>
      </c>
      <c r="G10" s="46" t="s">
        <v>58</v>
      </c>
      <c r="H10" s="47" t="str">
        <f t="shared" si="0"/>
        <v>IIIIIIIIIIIIIIIIIIIIIIIIIIIIIIIIII</v>
      </c>
      <c r="I10" s="46">
        <f>COUNTIF('PPM Eksisting'!$S$13:$S$266,'Tabel Gerakan Therblig PPM'!G10)</f>
        <v>34</v>
      </c>
      <c r="J10" s="41"/>
      <c r="K10" s="41"/>
      <c r="L10" s="41"/>
      <c r="M10" s="41"/>
      <c r="N10" s="41"/>
      <c r="O10" s="41"/>
      <c r="P10" s="41"/>
      <c r="Q10" s="41"/>
      <c r="R10" s="41"/>
      <c r="S10" s="41"/>
      <c r="T10" s="41"/>
      <c r="U10" s="41"/>
      <c r="V10" s="41"/>
    </row>
    <row r="11" spans="1:22" ht="15.95">
      <c r="A11" s="29" t="s">
        <v>160</v>
      </c>
      <c r="B11" s="46" t="s">
        <v>161</v>
      </c>
      <c r="C11" s="47" t="str">
        <f t="shared" si="1"/>
        <v/>
      </c>
      <c r="D11" s="46">
        <f>COUNTIF('PPM Eksisting'!$R$13:$R$266,'Tabel Gerakan Therblig PPM'!B11)</f>
        <v>0</v>
      </c>
      <c r="E11" s="41"/>
      <c r="F11" s="29" t="s">
        <v>160</v>
      </c>
      <c r="G11" s="46" t="s">
        <v>161</v>
      </c>
      <c r="H11" s="47" t="str">
        <f t="shared" si="0"/>
        <v/>
      </c>
      <c r="I11" s="46">
        <f>COUNTIF('PPM Eksisting'!$S$13:$S$266,'Tabel Gerakan Therblig PPM'!G11)</f>
        <v>0</v>
      </c>
      <c r="J11" s="41"/>
      <c r="K11" s="41"/>
      <c r="L11" s="41"/>
      <c r="M11" s="41"/>
      <c r="N11" s="41"/>
      <c r="O11" s="41"/>
      <c r="P11" s="41"/>
      <c r="Q11" s="41"/>
      <c r="R11" s="41"/>
      <c r="S11" s="41"/>
      <c r="T11" s="41"/>
      <c r="U11" s="41"/>
      <c r="V11" s="41"/>
    </row>
    <row r="12" spans="1:22" ht="15.95">
      <c r="A12" s="29" t="s">
        <v>104</v>
      </c>
      <c r="B12" s="46" t="s">
        <v>55</v>
      </c>
      <c r="C12" s="47" t="str">
        <f t="shared" si="1"/>
        <v/>
      </c>
      <c r="D12" s="46">
        <f>COUNTIF('PPM Eksisting'!$R$13:$R$266,'Tabel Gerakan Therblig PPM'!B12)</f>
        <v>0</v>
      </c>
      <c r="E12" s="41"/>
      <c r="F12" s="29" t="s">
        <v>104</v>
      </c>
      <c r="G12" s="46" t="s">
        <v>55</v>
      </c>
      <c r="H12" s="47" t="str">
        <f t="shared" si="0"/>
        <v>IIIIIIIIIIIIIIIIIIIIIIIIIIIIIIIIIIIIIIIIIIIII</v>
      </c>
      <c r="I12" s="46">
        <f>COUNTIF('PPM Eksisting'!$S$13:$S$266,'Tabel Gerakan Therblig PPM'!G12)</f>
        <v>45</v>
      </c>
      <c r="J12" s="41"/>
      <c r="K12" s="41"/>
      <c r="L12" s="41"/>
      <c r="M12" s="41"/>
      <c r="N12" s="41"/>
      <c r="O12" s="41"/>
      <c r="P12" s="41"/>
      <c r="Q12" s="41"/>
      <c r="R12" s="41"/>
      <c r="S12" s="41"/>
      <c r="T12" s="41"/>
      <c r="U12" s="41"/>
      <c r="V12" s="41"/>
    </row>
    <row r="13" spans="1:22" ht="15.95">
      <c r="A13" s="29" t="s">
        <v>112</v>
      </c>
      <c r="B13" s="46" t="s">
        <v>113</v>
      </c>
      <c r="C13" s="47" t="str">
        <f t="shared" si="1"/>
        <v/>
      </c>
      <c r="D13" s="46">
        <f>COUNTIF('PPM Eksisting'!$R$13:$R$266,'Tabel Gerakan Therblig PPM'!B13)</f>
        <v>0</v>
      </c>
      <c r="E13" s="41"/>
      <c r="F13" s="29" t="s">
        <v>112</v>
      </c>
      <c r="G13" s="46" t="s">
        <v>113</v>
      </c>
      <c r="H13" s="47" t="str">
        <f t="shared" si="0"/>
        <v>I</v>
      </c>
      <c r="I13" s="46">
        <f>COUNTIF('PPM Eksisting'!$S$13:$S$266,'Tabel Gerakan Therblig PPM'!G13)</f>
        <v>1</v>
      </c>
      <c r="J13" s="41"/>
      <c r="K13" s="41"/>
      <c r="L13" s="41"/>
      <c r="M13" s="41"/>
      <c r="N13" s="41"/>
      <c r="O13" s="41"/>
      <c r="P13" s="41"/>
      <c r="Q13" s="41"/>
      <c r="R13" s="41"/>
      <c r="S13" s="41"/>
      <c r="T13" s="41"/>
      <c r="U13" s="41"/>
      <c r="V13" s="41"/>
    </row>
    <row r="14" spans="1:22" ht="15.95">
      <c r="A14" s="29" t="s">
        <v>162</v>
      </c>
      <c r="B14" s="46" t="s">
        <v>163</v>
      </c>
      <c r="C14" s="47" t="str">
        <f t="shared" si="1"/>
        <v/>
      </c>
      <c r="D14" s="46">
        <f>COUNTIF('PPM Eksisting'!$R$13:$R$266,'Tabel Gerakan Therblig PPM'!B14)</f>
        <v>0</v>
      </c>
      <c r="E14" s="41"/>
      <c r="F14" s="29" t="s">
        <v>162</v>
      </c>
      <c r="G14" s="46" t="s">
        <v>163</v>
      </c>
      <c r="H14" s="47" t="str">
        <f t="shared" si="0"/>
        <v/>
      </c>
      <c r="I14" s="46">
        <f>COUNTIF('PPM Eksisting'!$S$13:$S$266,'Tabel Gerakan Therblig PPM'!G14)</f>
        <v>0</v>
      </c>
      <c r="J14" s="41"/>
      <c r="K14" s="41"/>
      <c r="L14" s="41"/>
      <c r="M14" s="41"/>
      <c r="N14" s="41"/>
      <c r="O14" s="41"/>
      <c r="P14" s="41"/>
      <c r="Q14" s="41"/>
      <c r="R14" s="41"/>
      <c r="S14" s="41"/>
      <c r="T14" s="41"/>
      <c r="U14" s="41"/>
      <c r="V14" s="41"/>
    </row>
    <row r="15" spans="1:22" ht="32.1">
      <c r="A15" s="29" t="s">
        <v>105</v>
      </c>
      <c r="B15" s="46" t="s">
        <v>67</v>
      </c>
      <c r="C15" s="47" t="str">
        <f t="shared" si="1"/>
        <v/>
      </c>
      <c r="D15" s="46">
        <f>COUNTIF('PPM Eksisting'!$R$13:$R$266,'Tabel Gerakan Therblig PPM'!B15)</f>
        <v>0</v>
      </c>
      <c r="E15" s="41"/>
      <c r="F15" s="29" t="s">
        <v>105</v>
      </c>
      <c r="G15" s="46" t="s">
        <v>67</v>
      </c>
      <c r="H15" s="47" t="str">
        <f t="shared" si="0"/>
        <v>IIIIIIIIIIIIIIIIIIIIIIIIIIIIIIIIIIIIIIIIIIIIIIIIIIIIIIIIIIIIIIIIIIIIIIIIIIIII</v>
      </c>
      <c r="I15" s="46">
        <f>COUNTIF('PPM Eksisting'!$S$13:$S$266,'Tabel Gerakan Therblig PPM'!G15)</f>
        <v>77</v>
      </c>
      <c r="J15" s="41"/>
      <c r="K15" s="41"/>
      <c r="L15" s="41"/>
      <c r="M15" s="41"/>
      <c r="N15" s="41"/>
      <c r="O15" s="41"/>
      <c r="P15" s="41"/>
      <c r="Q15" s="41"/>
      <c r="R15" s="41"/>
      <c r="S15" s="41"/>
      <c r="T15" s="41"/>
      <c r="U15" s="41"/>
      <c r="V15" s="41"/>
    </row>
    <row r="16" spans="1:22" ht="43.5" customHeight="1">
      <c r="A16" s="29" t="s">
        <v>164</v>
      </c>
      <c r="B16" s="46" t="s">
        <v>44</v>
      </c>
      <c r="C16" s="47" t="str">
        <f>REPT("I",D16)</f>
        <v>IIIIIIIIIIIIIIIIIIIIIIIIIIIIIIIIIIIIIIIIIIIIIIIIIIIIIIIIIIIIIIIIIIIIIIIIIIIIIIIIIIIIIIIIIIIIIIIIIIIIIIIIIIIIIIIIIIIIIIIIIIIIIIIIIIIIIIIIIIIIIIIIIIIIIIIIIIIIIIIIIIIIIIIIIIIIIIIIIIIIIIIIIIIIIIIIIIIIIIIIIIIIIIIIIIIIIIIIIIIIIIIIIIIIIIIIIIIIIIIIIII</v>
      </c>
      <c r="D16" s="46">
        <f>COUNTIF('PPM Eksisting'!$R$13:$R$266,'Tabel Gerakan Therblig PPM'!B16)</f>
        <v>243</v>
      </c>
      <c r="E16" s="41"/>
      <c r="F16" s="29" t="s">
        <v>164</v>
      </c>
      <c r="G16" s="46" t="s">
        <v>44</v>
      </c>
      <c r="H16" s="47" t="str">
        <f t="shared" si="0"/>
        <v>IIII</v>
      </c>
      <c r="I16" s="46">
        <f>COUNTIF('PPM Eksisting'!$S$13:$S$266,'Tabel Gerakan Therblig PPM'!G16)</f>
        <v>4</v>
      </c>
      <c r="J16" s="41"/>
      <c r="K16" s="41"/>
      <c r="L16" s="41"/>
      <c r="M16" s="41"/>
      <c r="N16" s="41"/>
      <c r="O16" s="41"/>
      <c r="P16" s="41"/>
      <c r="Q16" s="41"/>
      <c r="R16" s="41"/>
      <c r="S16" s="41"/>
      <c r="T16" s="41"/>
      <c r="U16" s="41"/>
      <c r="V16" s="41"/>
    </row>
    <row r="17" spans="1:22" ht="72.599999999999994" customHeight="1">
      <c r="A17" s="29" t="s">
        <v>165</v>
      </c>
      <c r="B17" s="46" t="s">
        <v>64</v>
      </c>
      <c r="C17" s="47" t="str">
        <f t="shared" si="1"/>
        <v>III</v>
      </c>
      <c r="D17" s="46">
        <f>COUNTIF('PPM Eksisting'!$R$13:$R$266,'Tabel Gerakan Therblig PPM'!B17)</f>
        <v>3</v>
      </c>
      <c r="E17" s="41"/>
      <c r="F17" s="29" t="s">
        <v>165</v>
      </c>
      <c r="G17" s="46" t="s">
        <v>64</v>
      </c>
      <c r="H17" s="47" t="str">
        <f t="shared" si="0"/>
        <v>I</v>
      </c>
      <c r="I17" s="46">
        <f>COUNTIF('PPM Eksisting'!$S$13:$S$266,'Tabel Gerakan Therblig PPM'!G17)</f>
        <v>1</v>
      </c>
      <c r="J17" s="41"/>
      <c r="K17" s="41"/>
      <c r="L17" s="41"/>
      <c r="M17" s="41"/>
      <c r="N17" s="41"/>
      <c r="O17" s="41"/>
      <c r="P17" s="41"/>
      <c r="Q17" s="41"/>
      <c r="R17" s="41"/>
      <c r="S17" s="41"/>
      <c r="T17" s="41"/>
      <c r="U17" s="41"/>
      <c r="V17" s="41"/>
    </row>
    <row r="18" spans="1:22" ht="15.95">
      <c r="A18" s="29" t="s">
        <v>166</v>
      </c>
      <c r="B18" s="46" t="s">
        <v>167</v>
      </c>
      <c r="C18" s="47" t="str">
        <f t="shared" si="1"/>
        <v/>
      </c>
      <c r="D18" s="46">
        <f>COUNTIF('PPM Eksisting'!$R$13:$R$266,'Tabel Gerakan Therblig PPM'!B18)</f>
        <v>0</v>
      </c>
      <c r="E18" s="41"/>
      <c r="F18" s="29" t="s">
        <v>166</v>
      </c>
      <c r="G18" s="46" t="s">
        <v>167</v>
      </c>
      <c r="H18" s="47" t="str">
        <f t="shared" si="0"/>
        <v/>
      </c>
      <c r="I18" s="46">
        <f>COUNTIF('PPM Eksisting'!$S$13:$S$266,'Tabel Gerakan Therblig PPM'!G18)</f>
        <v>0</v>
      </c>
      <c r="J18" s="41"/>
      <c r="K18" s="41"/>
      <c r="L18" s="41"/>
      <c r="M18" s="41"/>
      <c r="N18" s="41"/>
      <c r="O18" s="41"/>
      <c r="P18" s="41"/>
      <c r="Q18" s="41"/>
      <c r="R18" s="41"/>
      <c r="S18" s="41"/>
      <c r="T18" s="41"/>
      <c r="U18" s="41"/>
      <c r="V18" s="41"/>
    </row>
    <row r="19" spans="1:22" ht="15.95">
      <c r="A19" s="29" t="s">
        <v>106</v>
      </c>
      <c r="B19" s="46" t="s">
        <v>107</v>
      </c>
      <c r="C19" s="47" t="str">
        <f t="shared" si="1"/>
        <v/>
      </c>
      <c r="D19" s="46">
        <f>COUNTIF('PPM Eksisting'!$R$13:$R$266,'Tabel Gerakan Therblig PPM'!B19)</f>
        <v>0</v>
      </c>
      <c r="E19" s="41"/>
      <c r="F19" s="29" t="s">
        <v>106</v>
      </c>
      <c r="G19" s="46" t="s">
        <v>107</v>
      </c>
      <c r="H19" s="47" t="str">
        <f t="shared" si="0"/>
        <v>IIIIIII</v>
      </c>
      <c r="I19" s="46">
        <f>COUNTIF('PPM Eksisting'!$S$13:$S$266,'Tabel Gerakan Therblig PPM'!G19)</f>
        <v>7</v>
      </c>
      <c r="J19" s="41"/>
      <c r="K19" s="41"/>
      <c r="L19" s="41"/>
      <c r="M19" s="41"/>
      <c r="N19" s="41"/>
      <c r="O19" s="41"/>
      <c r="P19" s="41"/>
      <c r="Q19" s="41"/>
      <c r="R19" s="41"/>
      <c r="S19" s="41"/>
      <c r="T19" s="41"/>
      <c r="U19" s="41"/>
      <c r="V19" s="41"/>
    </row>
    <row r="20" spans="1:22" ht="15.75" customHeight="1">
      <c r="A20" s="180" t="s">
        <v>15</v>
      </c>
      <c r="B20" s="182"/>
      <c r="C20" s="185"/>
      <c r="D20" s="64">
        <f>SUM(D3:D19)</f>
        <v>254</v>
      </c>
      <c r="E20" s="41"/>
      <c r="F20" s="180" t="s">
        <v>15</v>
      </c>
      <c r="G20" s="182"/>
      <c r="H20" s="185"/>
      <c r="I20" s="64">
        <f>SUM(I3:I19)</f>
        <v>254</v>
      </c>
      <c r="J20" s="41"/>
      <c r="K20" s="41"/>
      <c r="L20" s="41"/>
      <c r="M20" s="41"/>
      <c r="N20" s="41"/>
      <c r="O20" s="41"/>
      <c r="P20" s="41"/>
      <c r="Q20" s="41"/>
      <c r="R20" s="41"/>
      <c r="S20" s="41"/>
      <c r="T20" s="41"/>
      <c r="U20" s="41"/>
      <c r="V20" s="41"/>
    </row>
    <row r="21" spans="1:22" ht="15.75" customHeight="1">
      <c r="A21" s="41"/>
      <c r="B21" s="41"/>
      <c r="C21" s="65"/>
      <c r="D21" s="41"/>
      <c r="E21" s="41"/>
      <c r="F21" s="41"/>
      <c r="G21" s="41"/>
      <c r="H21" s="41"/>
      <c r="I21" s="41"/>
      <c r="J21" s="41"/>
      <c r="K21" s="41"/>
      <c r="L21" s="41"/>
      <c r="M21" s="41"/>
      <c r="N21" s="41"/>
      <c r="O21" s="41"/>
      <c r="P21" s="41"/>
      <c r="Q21" s="41"/>
      <c r="R21" s="41"/>
      <c r="S21" s="41"/>
      <c r="T21" s="41"/>
      <c r="U21" s="41"/>
      <c r="V21" s="41"/>
    </row>
    <row r="22" spans="1:22" ht="15.75" customHeight="1">
      <c r="A22" s="41" t="s">
        <v>168</v>
      </c>
      <c r="B22" s="41"/>
      <c r="C22" s="65"/>
      <c r="D22" s="41"/>
      <c r="E22" s="41"/>
      <c r="F22" s="41"/>
      <c r="G22" s="41"/>
      <c r="H22" s="41"/>
      <c r="I22" s="41"/>
      <c r="J22" s="41"/>
      <c r="K22" s="41"/>
      <c r="L22" s="41"/>
      <c r="M22" s="41"/>
      <c r="N22" s="41"/>
      <c r="O22" s="41"/>
      <c r="P22" s="41"/>
      <c r="Q22" s="41"/>
      <c r="R22" s="41"/>
      <c r="S22" s="41"/>
      <c r="T22" s="41"/>
      <c r="U22" s="41"/>
      <c r="V22" s="41"/>
    </row>
    <row r="23" spans="1:22" ht="15.75" customHeight="1">
      <c r="A23" s="41"/>
      <c r="B23" s="41"/>
      <c r="C23" s="65"/>
      <c r="D23" s="41"/>
      <c r="E23" s="41"/>
      <c r="F23" s="41"/>
      <c r="G23" s="41"/>
      <c r="H23" s="41"/>
      <c r="I23" s="41"/>
      <c r="J23" s="41"/>
      <c r="K23" s="41"/>
      <c r="L23" s="41"/>
      <c r="M23" s="41"/>
      <c r="N23" s="41"/>
      <c r="O23" s="41"/>
      <c r="P23" s="41"/>
      <c r="Q23" s="41"/>
      <c r="R23" s="41"/>
      <c r="S23" s="41"/>
      <c r="T23" s="41"/>
      <c r="U23" s="41"/>
      <c r="V23" s="41"/>
    </row>
    <row r="24" spans="1:22" ht="15.75" customHeight="1">
      <c r="A24" s="41"/>
      <c r="B24" s="41"/>
      <c r="C24" s="65"/>
      <c r="D24" s="41"/>
      <c r="E24" s="41"/>
      <c r="F24" s="41"/>
      <c r="G24" s="41"/>
      <c r="H24" s="41"/>
      <c r="I24" s="41"/>
      <c r="J24" s="41"/>
      <c r="K24" s="41"/>
      <c r="L24" s="41"/>
      <c r="M24" s="41"/>
      <c r="N24" s="41"/>
      <c r="O24" s="41"/>
      <c r="P24" s="41"/>
      <c r="Q24" s="41"/>
      <c r="R24" s="41"/>
      <c r="S24" s="41"/>
      <c r="T24" s="41"/>
      <c r="U24" s="41"/>
      <c r="V24" s="41"/>
    </row>
    <row r="25" spans="1:22" ht="15.75" customHeight="1">
      <c r="A25" s="41"/>
      <c r="B25" s="41"/>
      <c r="C25" s="65"/>
      <c r="D25" s="41"/>
      <c r="E25" s="41"/>
      <c r="F25" s="41"/>
      <c r="G25" s="41"/>
      <c r="H25" s="41"/>
      <c r="I25" s="41"/>
      <c r="J25" s="41"/>
      <c r="K25" s="41"/>
      <c r="L25" s="41"/>
      <c r="M25" s="41"/>
      <c r="N25" s="41"/>
      <c r="O25" s="41"/>
      <c r="P25" s="41"/>
      <c r="Q25" s="41"/>
      <c r="R25" s="41"/>
      <c r="S25" s="41"/>
      <c r="T25" s="41"/>
      <c r="U25" s="41"/>
      <c r="V25" s="41"/>
    </row>
    <row r="26" spans="1:22" ht="15.75" customHeight="1">
      <c r="A26" s="41"/>
      <c r="B26" s="41"/>
      <c r="C26" s="65"/>
      <c r="D26" s="41"/>
      <c r="E26" s="41"/>
      <c r="F26" s="41"/>
      <c r="G26" s="41"/>
      <c r="H26" s="41"/>
      <c r="I26" s="41"/>
      <c r="J26" s="41"/>
      <c r="K26" s="41"/>
      <c r="L26" s="41"/>
      <c r="M26" s="41"/>
      <c r="N26" s="41"/>
      <c r="O26" s="41"/>
      <c r="P26" s="41"/>
      <c r="Q26" s="41"/>
      <c r="R26" s="41"/>
      <c r="S26" s="41"/>
      <c r="T26" s="41"/>
      <c r="U26" s="41"/>
      <c r="V26" s="41"/>
    </row>
    <row r="27" spans="1:22" ht="15.75" customHeight="1">
      <c r="A27" s="41"/>
      <c r="B27" s="41"/>
      <c r="C27" s="65"/>
      <c r="D27" s="41"/>
      <c r="E27" s="41"/>
      <c r="F27" s="41"/>
      <c r="G27" s="41"/>
      <c r="H27" s="41"/>
      <c r="I27" s="41"/>
      <c r="J27" s="41"/>
      <c r="K27" s="41"/>
      <c r="L27" s="41"/>
      <c r="M27" s="41"/>
      <c r="N27" s="41"/>
      <c r="O27" s="41"/>
      <c r="P27" s="41"/>
      <c r="Q27" s="41"/>
      <c r="R27" s="41"/>
      <c r="S27" s="41"/>
      <c r="T27" s="41"/>
      <c r="U27" s="41"/>
      <c r="V27" s="41"/>
    </row>
    <row r="28" spans="1:22" ht="15.75" customHeight="1">
      <c r="A28" s="41"/>
      <c r="B28" s="41"/>
      <c r="C28" s="65"/>
      <c r="D28" s="41"/>
      <c r="E28" s="41"/>
      <c r="F28" s="41"/>
      <c r="G28" s="41"/>
      <c r="H28" s="41"/>
      <c r="I28" s="41"/>
      <c r="J28" s="41"/>
      <c r="K28" s="41"/>
      <c r="L28" s="41"/>
      <c r="M28" s="41"/>
      <c r="N28" s="41"/>
      <c r="O28" s="41"/>
      <c r="P28" s="41"/>
      <c r="Q28" s="41"/>
      <c r="R28" s="41"/>
      <c r="S28" s="41"/>
      <c r="T28" s="41"/>
      <c r="U28" s="41"/>
      <c r="V28" s="41"/>
    </row>
    <row r="29" spans="1:22" ht="15.75" customHeight="1">
      <c r="A29" s="41"/>
      <c r="B29" s="41"/>
      <c r="C29" s="65"/>
      <c r="D29" s="41"/>
      <c r="E29" s="41"/>
      <c r="F29" s="41"/>
      <c r="G29" s="41"/>
      <c r="H29" s="41"/>
      <c r="I29" s="41"/>
      <c r="J29" s="41"/>
      <c r="K29" s="41"/>
      <c r="L29" s="41"/>
      <c r="M29" s="41"/>
      <c r="N29" s="41"/>
      <c r="O29" s="41"/>
      <c r="P29" s="41"/>
      <c r="Q29" s="41"/>
      <c r="R29" s="41"/>
      <c r="S29" s="41"/>
      <c r="T29" s="41"/>
      <c r="U29" s="41"/>
      <c r="V29" s="41"/>
    </row>
    <row r="30" spans="1:22" ht="15.75" customHeight="1">
      <c r="A30" s="41"/>
      <c r="B30" s="41"/>
      <c r="C30" s="65"/>
      <c r="D30" s="41"/>
      <c r="E30" s="41"/>
      <c r="F30" s="41"/>
      <c r="G30" s="41"/>
      <c r="H30" s="41"/>
      <c r="I30" s="41"/>
      <c r="J30" s="41"/>
      <c r="K30" s="41"/>
      <c r="L30" s="41"/>
      <c r="M30" s="41"/>
      <c r="N30" s="41"/>
      <c r="O30" s="41"/>
      <c r="P30" s="41"/>
      <c r="Q30" s="41"/>
      <c r="R30" s="41"/>
      <c r="S30" s="41"/>
      <c r="T30" s="41"/>
      <c r="U30" s="41"/>
      <c r="V30" s="41"/>
    </row>
    <row r="31" spans="1:22" ht="15.75" customHeight="1">
      <c r="A31" s="41"/>
      <c r="B31" s="41"/>
      <c r="C31" s="65"/>
      <c r="D31" s="41"/>
      <c r="E31" s="41"/>
      <c r="F31" s="41"/>
      <c r="G31" s="41"/>
      <c r="H31" s="41"/>
      <c r="I31" s="41"/>
      <c r="J31" s="41"/>
      <c r="K31" s="41"/>
      <c r="L31" s="41"/>
      <c r="M31" s="41"/>
      <c r="N31" s="41"/>
      <c r="O31" s="41"/>
      <c r="P31" s="41"/>
      <c r="Q31" s="41"/>
      <c r="R31" s="41"/>
      <c r="S31" s="41"/>
      <c r="T31" s="41"/>
      <c r="U31" s="41"/>
      <c r="V31" s="41"/>
    </row>
    <row r="32" spans="1:22" ht="15.75" customHeight="1">
      <c r="A32" s="41"/>
      <c r="B32" s="41"/>
      <c r="C32" s="65"/>
      <c r="D32" s="41"/>
      <c r="E32" s="41"/>
      <c r="F32" s="41"/>
      <c r="G32" s="41"/>
      <c r="H32" s="41"/>
      <c r="I32" s="41"/>
      <c r="J32" s="41"/>
      <c r="K32" s="41"/>
      <c r="L32" s="41"/>
      <c r="M32" s="41"/>
      <c r="N32" s="41"/>
      <c r="O32" s="41"/>
      <c r="P32" s="41"/>
      <c r="Q32" s="41"/>
      <c r="R32" s="41"/>
      <c r="S32" s="41"/>
      <c r="T32" s="41"/>
      <c r="U32" s="41"/>
      <c r="V32" s="41"/>
    </row>
    <row r="33" spans="1:22" ht="15.75" customHeight="1">
      <c r="A33" s="41"/>
      <c r="B33" s="41"/>
      <c r="C33" s="65"/>
      <c r="D33" s="41"/>
      <c r="E33" s="41"/>
      <c r="F33" s="41"/>
      <c r="G33" s="41"/>
      <c r="H33" s="41"/>
      <c r="I33" s="41"/>
      <c r="J33" s="41"/>
      <c r="K33" s="41"/>
      <c r="L33" s="41"/>
      <c r="M33" s="41"/>
      <c r="N33" s="41"/>
      <c r="O33" s="41"/>
      <c r="P33" s="41"/>
      <c r="Q33" s="41"/>
      <c r="R33" s="41"/>
      <c r="S33" s="41"/>
      <c r="T33" s="41"/>
      <c r="U33" s="41"/>
      <c r="V33" s="41"/>
    </row>
    <row r="34" spans="1:22" ht="15.75" customHeight="1">
      <c r="A34" s="41"/>
      <c r="B34" s="41"/>
      <c r="C34" s="65"/>
      <c r="D34" s="41"/>
      <c r="E34" s="41"/>
      <c r="F34" s="41"/>
      <c r="G34" s="41"/>
      <c r="H34" s="41"/>
      <c r="I34" s="41"/>
      <c r="J34" s="41"/>
      <c r="K34" s="41"/>
      <c r="L34" s="41"/>
      <c r="M34" s="41"/>
      <c r="N34" s="41"/>
      <c r="O34" s="41"/>
      <c r="P34" s="41"/>
      <c r="Q34" s="41"/>
      <c r="R34" s="41"/>
      <c r="S34" s="41"/>
      <c r="T34" s="41"/>
      <c r="U34" s="41"/>
      <c r="V34" s="41"/>
    </row>
    <row r="35" spans="1:22" ht="15.75" customHeight="1">
      <c r="A35" s="41"/>
      <c r="B35" s="41"/>
      <c r="C35" s="65"/>
      <c r="D35" s="41"/>
      <c r="E35" s="41"/>
      <c r="F35" s="41"/>
      <c r="G35" s="41"/>
      <c r="H35" s="41"/>
      <c r="I35" s="41"/>
      <c r="J35" s="41"/>
      <c r="K35" s="41"/>
      <c r="L35" s="41"/>
      <c r="M35" s="41"/>
      <c r="N35" s="41"/>
      <c r="O35" s="41"/>
      <c r="P35" s="41"/>
      <c r="Q35" s="41"/>
      <c r="R35" s="41"/>
      <c r="S35" s="41"/>
      <c r="T35" s="41"/>
      <c r="U35" s="41"/>
      <c r="V35" s="41"/>
    </row>
    <row r="36" spans="1:22" ht="15.75" customHeight="1">
      <c r="A36" s="41"/>
      <c r="B36" s="41"/>
      <c r="C36" s="65"/>
      <c r="D36" s="41"/>
      <c r="E36" s="41"/>
      <c r="F36" s="41"/>
      <c r="G36" s="41"/>
      <c r="H36" s="41"/>
      <c r="I36" s="41"/>
      <c r="J36" s="41"/>
      <c r="K36" s="41"/>
      <c r="L36" s="41"/>
      <c r="M36" s="41"/>
      <c r="N36" s="41"/>
      <c r="O36" s="41"/>
      <c r="P36" s="41"/>
      <c r="Q36" s="41"/>
      <c r="R36" s="41"/>
      <c r="S36" s="41"/>
      <c r="T36" s="41"/>
      <c r="U36" s="41"/>
      <c r="V36" s="41"/>
    </row>
    <row r="37" spans="1:22" ht="15.75" customHeight="1">
      <c r="A37" s="41"/>
      <c r="B37" s="41"/>
      <c r="C37" s="65"/>
      <c r="D37" s="41"/>
      <c r="E37" s="41"/>
      <c r="F37" s="41"/>
      <c r="G37" s="41"/>
      <c r="H37" s="41"/>
      <c r="I37" s="41"/>
      <c r="J37" s="41"/>
      <c r="K37" s="41"/>
      <c r="L37" s="41"/>
      <c r="M37" s="41"/>
      <c r="N37" s="41"/>
      <c r="O37" s="41"/>
      <c r="P37" s="41"/>
      <c r="Q37" s="41"/>
      <c r="R37" s="41"/>
      <c r="S37" s="41"/>
      <c r="T37" s="41"/>
      <c r="U37" s="41"/>
      <c r="V37" s="41"/>
    </row>
    <row r="38" spans="1:22" ht="15.75" customHeight="1">
      <c r="A38" s="41"/>
      <c r="B38" s="41"/>
      <c r="C38" s="65"/>
      <c r="D38" s="41"/>
      <c r="E38" s="41"/>
      <c r="F38" s="41"/>
      <c r="G38" s="41"/>
      <c r="H38" s="41"/>
      <c r="I38" s="41"/>
      <c r="J38" s="41"/>
      <c r="K38" s="41"/>
      <c r="L38" s="41"/>
      <c r="M38" s="41"/>
      <c r="N38" s="41"/>
      <c r="O38" s="41"/>
      <c r="P38" s="41"/>
      <c r="Q38" s="41"/>
      <c r="R38" s="41"/>
      <c r="S38" s="41"/>
      <c r="T38" s="41"/>
      <c r="U38" s="41"/>
      <c r="V38" s="41"/>
    </row>
    <row r="39" spans="1:22" ht="15.75" customHeight="1">
      <c r="A39" s="41"/>
      <c r="B39" s="41"/>
      <c r="C39" s="65"/>
      <c r="D39" s="41"/>
      <c r="E39" s="41"/>
      <c r="F39" s="41"/>
      <c r="G39" s="41"/>
      <c r="H39" s="41"/>
      <c r="I39" s="41"/>
      <c r="J39" s="41"/>
      <c r="K39" s="41"/>
      <c r="L39" s="41"/>
      <c r="M39" s="41"/>
      <c r="N39" s="41"/>
      <c r="O39" s="41"/>
      <c r="P39" s="41"/>
      <c r="Q39" s="41"/>
      <c r="R39" s="41"/>
      <c r="S39" s="41"/>
      <c r="T39" s="41"/>
      <c r="U39" s="41"/>
      <c r="V39" s="41"/>
    </row>
    <row r="40" spans="1:22" ht="15.75" customHeight="1">
      <c r="A40" s="41"/>
      <c r="B40" s="41"/>
      <c r="C40" s="65"/>
      <c r="D40" s="41"/>
      <c r="E40" s="41"/>
      <c r="F40" s="41"/>
      <c r="G40" s="41"/>
      <c r="H40" s="41"/>
      <c r="I40" s="41"/>
      <c r="J40" s="41"/>
      <c r="K40" s="41"/>
      <c r="L40" s="41"/>
      <c r="M40" s="41"/>
      <c r="N40" s="41"/>
      <c r="O40" s="41"/>
      <c r="P40" s="41"/>
      <c r="Q40" s="41"/>
      <c r="R40" s="41"/>
      <c r="S40" s="41"/>
      <c r="T40" s="41"/>
      <c r="U40" s="41"/>
      <c r="V40" s="41"/>
    </row>
    <row r="41" spans="1:22" ht="15.75" customHeight="1">
      <c r="A41" s="41"/>
      <c r="B41" s="41"/>
      <c r="C41" s="65"/>
      <c r="D41" s="41"/>
      <c r="E41" s="41"/>
      <c r="F41" s="41"/>
      <c r="G41" s="41"/>
      <c r="H41" s="41"/>
      <c r="I41" s="41"/>
      <c r="J41" s="41"/>
      <c r="K41" s="41"/>
      <c r="L41" s="41"/>
      <c r="M41" s="41"/>
      <c r="N41" s="41"/>
      <c r="O41" s="41"/>
      <c r="P41" s="41"/>
      <c r="Q41" s="41"/>
      <c r="R41" s="41"/>
      <c r="S41" s="41"/>
      <c r="T41" s="41"/>
      <c r="U41" s="41"/>
      <c r="V41" s="41"/>
    </row>
    <row r="42" spans="1:22" ht="15.75" customHeight="1">
      <c r="A42" s="41"/>
      <c r="B42" s="41"/>
      <c r="C42" s="65"/>
      <c r="D42" s="41"/>
      <c r="E42" s="41"/>
      <c r="F42" s="41"/>
      <c r="G42" s="41"/>
      <c r="H42" s="41"/>
      <c r="I42" s="41"/>
      <c r="J42" s="41"/>
      <c r="K42" s="41"/>
      <c r="L42" s="41"/>
      <c r="M42" s="41"/>
      <c r="N42" s="41"/>
      <c r="O42" s="41"/>
      <c r="P42" s="41"/>
      <c r="Q42" s="41"/>
      <c r="R42" s="41"/>
      <c r="S42" s="41"/>
      <c r="T42" s="41"/>
      <c r="U42" s="41"/>
      <c r="V42" s="41"/>
    </row>
    <row r="43" spans="1:22" ht="15.75" customHeight="1">
      <c r="A43" s="41"/>
      <c r="B43" s="41"/>
      <c r="C43" s="65"/>
      <c r="D43" s="41"/>
      <c r="E43" s="41"/>
      <c r="F43" s="41"/>
      <c r="G43" s="41"/>
      <c r="H43" s="41"/>
      <c r="I43" s="41"/>
      <c r="J43" s="41"/>
      <c r="K43" s="41"/>
      <c r="L43" s="41"/>
      <c r="M43" s="41"/>
      <c r="N43" s="41"/>
      <c r="O43" s="41"/>
      <c r="P43" s="41"/>
      <c r="Q43" s="41"/>
      <c r="R43" s="41"/>
      <c r="S43" s="41"/>
      <c r="T43" s="41"/>
      <c r="U43" s="41"/>
      <c r="V43" s="41"/>
    </row>
    <row r="44" spans="1:22" ht="15.75" customHeight="1">
      <c r="A44" s="41"/>
      <c r="B44" s="41"/>
      <c r="C44" s="65"/>
      <c r="D44" s="41"/>
      <c r="E44" s="41"/>
      <c r="F44" s="41"/>
      <c r="G44" s="41"/>
      <c r="H44" s="41"/>
      <c r="I44" s="41"/>
      <c r="J44" s="41"/>
      <c r="K44" s="41"/>
      <c r="L44" s="41"/>
      <c r="M44" s="41"/>
      <c r="N44" s="41"/>
      <c r="O44" s="41"/>
      <c r="P44" s="41"/>
      <c r="Q44" s="41"/>
      <c r="R44" s="41"/>
      <c r="S44" s="41"/>
      <c r="T44" s="41"/>
      <c r="U44" s="41"/>
      <c r="V44" s="41"/>
    </row>
    <row r="45" spans="1:22" ht="15.75" customHeight="1">
      <c r="A45" s="41"/>
      <c r="B45" s="41"/>
      <c r="C45" s="65"/>
      <c r="D45" s="41"/>
      <c r="E45" s="41"/>
      <c r="F45" s="41"/>
      <c r="G45" s="41"/>
      <c r="H45" s="41"/>
      <c r="I45" s="41"/>
      <c r="J45" s="41"/>
      <c r="K45" s="41"/>
      <c r="L45" s="41"/>
      <c r="M45" s="41"/>
      <c r="N45" s="41"/>
      <c r="O45" s="41"/>
      <c r="P45" s="41"/>
      <c r="Q45" s="41"/>
      <c r="R45" s="41"/>
      <c r="S45" s="41"/>
      <c r="T45" s="41"/>
      <c r="U45" s="41"/>
      <c r="V45" s="41"/>
    </row>
    <row r="46" spans="1:22" ht="15.75" customHeight="1">
      <c r="A46" s="41"/>
      <c r="B46" s="41"/>
      <c r="C46" s="65"/>
      <c r="D46" s="41"/>
      <c r="E46" s="41"/>
      <c r="F46" s="41"/>
      <c r="G46" s="41"/>
      <c r="H46" s="41"/>
      <c r="I46" s="41"/>
      <c r="J46" s="41"/>
      <c r="K46" s="41"/>
      <c r="L46" s="41"/>
      <c r="M46" s="41"/>
      <c r="N46" s="41"/>
      <c r="O46" s="41"/>
      <c r="P46" s="41"/>
      <c r="Q46" s="41"/>
      <c r="R46" s="41"/>
      <c r="S46" s="41"/>
      <c r="T46" s="41"/>
      <c r="U46" s="41"/>
      <c r="V46" s="41"/>
    </row>
    <row r="47" spans="1:22" ht="15.75" customHeight="1">
      <c r="A47" s="41"/>
      <c r="B47" s="41"/>
      <c r="C47" s="65"/>
      <c r="D47" s="41"/>
      <c r="E47" s="41"/>
      <c r="F47" s="41"/>
      <c r="G47" s="41"/>
      <c r="H47" s="41"/>
      <c r="I47" s="41"/>
      <c r="J47" s="41"/>
      <c r="K47" s="41"/>
      <c r="L47" s="41"/>
      <c r="M47" s="41"/>
      <c r="N47" s="41"/>
      <c r="O47" s="41"/>
      <c r="P47" s="41"/>
      <c r="Q47" s="41"/>
      <c r="R47" s="41"/>
      <c r="S47" s="41"/>
      <c r="T47" s="41"/>
      <c r="U47" s="41"/>
      <c r="V47" s="41"/>
    </row>
    <row r="48" spans="1:22" ht="15.75" customHeight="1">
      <c r="A48" s="41"/>
      <c r="B48" s="41"/>
      <c r="C48" s="65"/>
      <c r="D48" s="41"/>
      <c r="E48" s="41"/>
      <c r="F48" s="41"/>
      <c r="G48" s="41"/>
      <c r="H48" s="41"/>
      <c r="I48" s="41"/>
      <c r="J48" s="41"/>
      <c r="K48" s="41"/>
      <c r="L48" s="41"/>
      <c r="M48" s="41"/>
      <c r="N48" s="41"/>
      <c r="O48" s="41"/>
      <c r="P48" s="41"/>
      <c r="Q48" s="41"/>
      <c r="R48" s="41"/>
      <c r="S48" s="41"/>
      <c r="T48" s="41"/>
      <c r="U48" s="41"/>
      <c r="V48" s="41"/>
    </row>
    <row r="49" spans="1:22" ht="15.75" customHeight="1">
      <c r="A49" s="41"/>
      <c r="B49" s="41"/>
      <c r="C49" s="65"/>
      <c r="D49" s="41"/>
      <c r="E49" s="41"/>
      <c r="F49" s="41"/>
      <c r="G49" s="41"/>
      <c r="H49" s="41"/>
      <c r="I49" s="41"/>
      <c r="J49" s="41"/>
      <c r="K49" s="41"/>
      <c r="L49" s="41"/>
      <c r="M49" s="41"/>
      <c r="N49" s="41"/>
      <c r="O49" s="41"/>
      <c r="P49" s="41"/>
      <c r="Q49" s="41"/>
      <c r="R49" s="41"/>
      <c r="S49" s="41"/>
      <c r="T49" s="41"/>
      <c r="U49" s="41"/>
      <c r="V49" s="41"/>
    </row>
    <row r="50" spans="1:22" ht="15.75" customHeight="1">
      <c r="A50" s="41"/>
      <c r="B50" s="41"/>
      <c r="C50" s="65"/>
      <c r="D50" s="41"/>
      <c r="E50" s="41"/>
      <c r="F50" s="41"/>
      <c r="G50" s="41"/>
      <c r="H50" s="41"/>
      <c r="I50" s="41"/>
      <c r="J50" s="41"/>
      <c r="K50" s="41"/>
      <c r="L50" s="41"/>
      <c r="M50" s="41"/>
      <c r="N50" s="41"/>
      <c r="O50" s="41"/>
      <c r="P50" s="41"/>
      <c r="Q50" s="41"/>
      <c r="R50" s="41"/>
      <c r="S50" s="41"/>
      <c r="T50" s="41"/>
      <c r="U50" s="41"/>
      <c r="V50" s="41"/>
    </row>
    <row r="51" spans="1:22" ht="15.75" customHeight="1">
      <c r="A51" s="41"/>
      <c r="B51" s="41"/>
      <c r="C51" s="65"/>
      <c r="D51" s="41"/>
      <c r="E51" s="41"/>
      <c r="F51" s="41"/>
      <c r="G51" s="41"/>
      <c r="H51" s="41"/>
      <c r="I51" s="41"/>
      <c r="J51" s="41"/>
      <c r="K51" s="41"/>
      <c r="L51" s="41"/>
      <c r="M51" s="41"/>
      <c r="N51" s="41"/>
      <c r="O51" s="41"/>
      <c r="P51" s="41"/>
      <c r="Q51" s="41"/>
      <c r="R51" s="41"/>
      <c r="S51" s="41"/>
      <c r="T51" s="41"/>
      <c r="U51" s="41"/>
      <c r="V51" s="41"/>
    </row>
    <row r="52" spans="1:22" ht="15.75" customHeight="1">
      <c r="A52" s="41"/>
      <c r="B52" s="41"/>
      <c r="C52" s="65"/>
      <c r="D52" s="41"/>
      <c r="E52" s="41"/>
      <c r="F52" s="41"/>
      <c r="G52" s="41"/>
      <c r="H52" s="41"/>
      <c r="I52" s="41"/>
      <c r="J52" s="41"/>
      <c r="K52" s="41"/>
      <c r="L52" s="41"/>
      <c r="M52" s="41"/>
      <c r="N52" s="41"/>
      <c r="O52" s="41"/>
      <c r="P52" s="41"/>
      <c r="Q52" s="41"/>
      <c r="R52" s="41"/>
      <c r="S52" s="41"/>
      <c r="T52" s="41"/>
      <c r="U52" s="41"/>
      <c r="V52" s="41"/>
    </row>
    <row r="53" spans="1:22" ht="15.75" customHeight="1">
      <c r="A53" s="41"/>
      <c r="B53" s="41"/>
      <c r="C53" s="65"/>
      <c r="D53" s="41"/>
      <c r="E53" s="41"/>
      <c r="F53" s="41"/>
      <c r="G53" s="41"/>
      <c r="H53" s="41"/>
      <c r="I53" s="41"/>
      <c r="J53" s="41"/>
      <c r="K53" s="41"/>
      <c r="L53" s="41"/>
      <c r="M53" s="41"/>
      <c r="N53" s="41"/>
      <c r="O53" s="41"/>
      <c r="P53" s="41"/>
      <c r="Q53" s="41"/>
      <c r="R53" s="41"/>
      <c r="S53" s="41"/>
      <c r="T53" s="41"/>
      <c r="U53" s="41"/>
      <c r="V53" s="41"/>
    </row>
    <row r="54" spans="1:22" ht="15.75" customHeight="1">
      <c r="A54" s="41"/>
      <c r="B54" s="41"/>
      <c r="C54" s="65"/>
      <c r="D54" s="41"/>
      <c r="E54" s="41"/>
      <c r="F54" s="41"/>
      <c r="G54" s="41"/>
      <c r="H54" s="41"/>
      <c r="I54" s="41"/>
      <c r="J54" s="41"/>
      <c r="K54" s="41"/>
      <c r="L54" s="41"/>
      <c r="M54" s="41"/>
      <c r="N54" s="41"/>
      <c r="O54" s="41"/>
      <c r="P54" s="41"/>
      <c r="Q54" s="41"/>
      <c r="R54" s="41"/>
      <c r="S54" s="41"/>
      <c r="T54" s="41"/>
      <c r="U54" s="41"/>
      <c r="V54" s="41"/>
    </row>
    <row r="55" spans="1:22" ht="15.75" customHeight="1">
      <c r="A55" s="41"/>
      <c r="B55" s="41"/>
      <c r="C55" s="65"/>
      <c r="D55" s="41"/>
      <c r="E55" s="41"/>
      <c r="F55" s="41"/>
      <c r="G55" s="41"/>
      <c r="H55" s="41"/>
      <c r="I55" s="41"/>
      <c r="J55" s="41"/>
      <c r="K55" s="41"/>
      <c r="L55" s="41"/>
      <c r="M55" s="41"/>
      <c r="N55" s="41"/>
      <c r="O55" s="41"/>
      <c r="P55" s="41"/>
      <c r="Q55" s="41"/>
      <c r="R55" s="41"/>
      <c r="S55" s="41"/>
      <c r="T55" s="41"/>
      <c r="U55" s="41"/>
      <c r="V55" s="41"/>
    </row>
    <row r="56" spans="1:22" ht="15.75" customHeight="1">
      <c r="A56" s="41"/>
      <c r="B56" s="41"/>
      <c r="C56" s="65"/>
      <c r="D56" s="41"/>
      <c r="E56" s="41"/>
      <c r="F56" s="41"/>
      <c r="G56" s="41"/>
      <c r="H56" s="41"/>
      <c r="I56" s="41"/>
      <c r="J56" s="41"/>
      <c r="K56" s="41"/>
      <c r="L56" s="41"/>
      <c r="M56" s="41"/>
      <c r="N56" s="41"/>
      <c r="O56" s="41"/>
      <c r="P56" s="41"/>
      <c r="Q56" s="41"/>
      <c r="R56" s="41"/>
      <c r="S56" s="41"/>
      <c r="T56" s="41"/>
      <c r="U56" s="41"/>
      <c r="V56" s="41"/>
    </row>
    <row r="57" spans="1:22" ht="15.75" customHeight="1">
      <c r="A57" s="41"/>
      <c r="B57" s="41"/>
      <c r="C57" s="65"/>
      <c r="D57" s="41"/>
      <c r="E57" s="41"/>
      <c r="F57" s="41"/>
      <c r="G57" s="41"/>
      <c r="H57" s="41"/>
      <c r="I57" s="41"/>
      <c r="J57" s="41"/>
      <c r="K57" s="41"/>
      <c r="L57" s="41"/>
      <c r="M57" s="41"/>
      <c r="N57" s="41"/>
      <c r="O57" s="41"/>
      <c r="P57" s="41"/>
      <c r="Q57" s="41"/>
      <c r="R57" s="41"/>
      <c r="S57" s="41"/>
      <c r="T57" s="41"/>
      <c r="U57" s="41"/>
      <c r="V57" s="41"/>
    </row>
    <row r="58" spans="1:22" ht="15.75" customHeight="1">
      <c r="A58" s="41"/>
      <c r="B58" s="41"/>
      <c r="C58" s="65"/>
      <c r="D58" s="41"/>
      <c r="E58" s="41"/>
      <c r="F58" s="41"/>
      <c r="G58" s="41"/>
      <c r="H58" s="41"/>
      <c r="I58" s="41"/>
      <c r="J58" s="41"/>
      <c r="K58" s="41"/>
      <c r="L58" s="41"/>
      <c r="M58" s="41"/>
      <c r="N58" s="41"/>
      <c r="O58" s="41"/>
      <c r="P58" s="41"/>
      <c r="Q58" s="41"/>
      <c r="R58" s="41"/>
      <c r="S58" s="41"/>
      <c r="T58" s="41"/>
      <c r="U58" s="41"/>
      <c r="V58" s="41"/>
    </row>
    <row r="59" spans="1:22" ht="15.75" customHeight="1">
      <c r="A59" s="41"/>
      <c r="B59" s="41"/>
      <c r="C59" s="65"/>
      <c r="D59" s="41"/>
      <c r="E59" s="41"/>
      <c r="F59" s="41"/>
      <c r="G59" s="41"/>
      <c r="H59" s="41"/>
      <c r="I59" s="41"/>
      <c r="J59" s="41"/>
      <c r="K59" s="41"/>
      <c r="L59" s="41"/>
      <c r="M59" s="41"/>
      <c r="N59" s="41"/>
      <c r="O59" s="41"/>
      <c r="P59" s="41"/>
      <c r="Q59" s="41"/>
      <c r="R59" s="41"/>
      <c r="S59" s="41"/>
      <c r="T59" s="41"/>
      <c r="U59" s="41"/>
      <c r="V59" s="41"/>
    </row>
    <row r="60" spans="1:22" ht="15.75" customHeight="1">
      <c r="A60" s="41"/>
      <c r="B60" s="41"/>
      <c r="C60" s="65"/>
      <c r="D60" s="41"/>
      <c r="E60" s="41"/>
      <c r="F60" s="41"/>
      <c r="G60" s="41"/>
      <c r="H60" s="41"/>
      <c r="I60" s="41"/>
      <c r="J60" s="41"/>
      <c r="K60" s="41"/>
      <c r="L60" s="41"/>
      <c r="M60" s="41"/>
      <c r="N60" s="41"/>
      <c r="O60" s="41"/>
      <c r="P60" s="41"/>
      <c r="Q60" s="41"/>
      <c r="R60" s="41"/>
      <c r="S60" s="41"/>
      <c r="T60" s="41"/>
      <c r="U60" s="41"/>
      <c r="V60" s="41"/>
    </row>
    <row r="61" spans="1:22" ht="15.75" customHeight="1">
      <c r="A61" s="41"/>
      <c r="B61" s="41"/>
      <c r="C61" s="65"/>
      <c r="D61" s="41"/>
      <c r="E61" s="41"/>
      <c r="F61" s="41"/>
      <c r="G61" s="41"/>
      <c r="H61" s="41"/>
      <c r="I61" s="41"/>
      <c r="J61" s="41"/>
      <c r="K61" s="41"/>
      <c r="L61" s="41"/>
      <c r="M61" s="41"/>
      <c r="N61" s="41"/>
      <c r="O61" s="41"/>
      <c r="P61" s="41"/>
      <c r="Q61" s="41"/>
      <c r="R61" s="41"/>
      <c r="S61" s="41"/>
      <c r="T61" s="41"/>
      <c r="U61" s="41"/>
      <c r="V61" s="41"/>
    </row>
    <row r="62" spans="1:22" ht="15.75" customHeight="1">
      <c r="A62" s="41"/>
      <c r="B62" s="41"/>
      <c r="C62" s="65"/>
      <c r="D62" s="41"/>
      <c r="E62" s="41"/>
      <c r="F62" s="41"/>
      <c r="G62" s="41"/>
      <c r="H62" s="41"/>
      <c r="I62" s="41"/>
      <c r="J62" s="41"/>
      <c r="K62" s="41"/>
      <c r="L62" s="41"/>
      <c r="M62" s="41"/>
      <c r="N62" s="41"/>
      <c r="O62" s="41"/>
      <c r="P62" s="41"/>
      <c r="Q62" s="41"/>
      <c r="R62" s="41"/>
      <c r="S62" s="41"/>
      <c r="T62" s="41"/>
      <c r="U62" s="41"/>
      <c r="V62" s="41"/>
    </row>
    <row r="63" spans="1:22" ht="15.75" customHeight="1">
      <c r="A63" s="41"/>
      <c r="B63" s="41"/>
      <c r="C63" s="65"/>
      <c r="D63" s="41"/>
      <c r="E63" s="41"/>
      <c r="F63" s="41"/>
      <c r="G63" s="41"/>
      <c r="H63" s="41"/>
      <c r="I63" s="41"/>
      <c r="J63" s="41"/>
      <c r="K63" s="41"/>
      <c r="L63" s="41"/>
      <c r="M63" s="41"/>
      <c r="N63" s="41"/>
      <c r="O63" s="41"/>
      <c r="P63" s="41"/>
      <c r="Q63" s="41"/>
      <c r="R63" s="41"/>
      <c r="S63" s="41"/>
      <c r="T63" s="41"/>
      <c r="U63" s="41"/>
      <c r="V63" s="41"/>
    </row>
    <row r="64" spans="1:22" ht="15.75" customHeight="1">
      <c r="A64" s="41"/>
      <c r="B64" s="41"/>
      <c r="C64" s="65"/>
      <c r="D64" s="41"/>
      <c r="E64" s="41"/>
      <c r="F64" s="41"/>
      <c r="G64" s="41"/>
      <c r="H64" s="41"/>
      <c r="I64" s="41"/>
      <c r="J64" s="41"/>
      <c r="K64" s="41"/>
      <c r="L64" s="41"/>
      <c r="M64" s="41"/>
      <c r="N64" s="41"/>
      <c r="O64" s="41"/>
      <c r="P64" s="41"/>
      <c r="Q64" s="41"/>
      <c r="R64" s="41"/>
      <c r="S64" s="41"/>
      <c r="T64" s="41"/>
      <c r="U64" s="41"/>
      <c r="V64" s="41"/>
    </row>
    <row r="65" spans="1:22" ht="15.75" customHeight="1">
      <c r="A65" s="41"/>
      <c r="B65" s="41"/>
      <c r="C65" s="65"/>
      <c r="D65" s="41"/>
      <c r="E65" s="41"/>
      <c r="F65" s="41"/>
      <c r="G65" s="41"/>
      <c r="H65" s="41"/>
      <c r="I65" s="41"/>
      <c r="J65" s="41"/>
      <c r="K65" s="41"/>
      <c r="L65" s="41"/>
      <c r="M65" s="41"/>
      <c r="N65" s="41"/>
      <c r="O65" s="41"/>
      <c r="P65" s="41"/>
      <c r="Q65" s="41"/>
      <c r="R65" s="41"/>
      <c r="S65" s="41"/>
      <c r="T65" s="41"/>
      <c r="U65" s="41"/>
      <c r="V65" s="41"/>
    </row>
    <row r="66" spans="1:22" ht="15.75" customHeight="1">
      <c r="A66" s="41"/>
      <c r="B66" s="41"/>
      <c r="C66" s="65"/>
      <c r="D66" s="41"/>
      <c r="E66" s="41"/>
      <c r="F66" s="41"/>
      <c r="G66" s="41"/>
      <c r="H66" s="41"/>
      <c r="I66" s="41"/>
      <c r="J66" s="41"/>
      <c r="K66" s="41"/>
      <c r="L66" s="41"/>
      <c r="M66" s="41"/>
      <c r="N66" s="41"/>
      <c r="O66" s="41"/>
      <c r="P66" s="41"/>
      <c r="Q66" s="41"/>
      <c r="R66" s="41"/>
      <c r="S66" s="41"/>
      <c r="T66" s="41"/>
      <c r="U66" s="41"/>
      <c r="V66" s="41"/>
    </row>
    <row r="67" spans="1:22" ht="15.75" customHeight="1">
      <c r="A67" s="41"/>
      <c r="B67" s="41"/>
      <c r="C67" s="65"/>
      <c r="D67" s="41"/>
      <c r="E67" s="41"/>
      <c r="F67" s="41"/>
      <c r="G67" s="41"/>
      <c r="H67" s="41"/>
      <c r="I67" s="41"/>
      <c r="J67" s="41"/>
      <c r="K67" s="41"/>
      <c r="L67" s="41"/>
      <c r="M67" s="41"/>
      <c r="N67" s="41"/>
      <c r="O67" s="41"/>
      <c r="P67" s="41"/>
      <c r="Q67" s="41"/>
      <c r="R67" s="41"/>
      <c r="S67" s="41"/>
      <c r="T67" s="41"/>
      <c r="U67" s="41"/>
      <c r="V67" s="41"/>
    </row>
    <row r="68" spans="1:22" ht="15.75" customHeight="1">
      <c r="A68" s="41"/>
      <c r="B68" s="41"/>
      <c r="C68" s="65"/>
      <c r="D68" s="41"/>
      <c r="E68" s="41"/>
      <c r="F68" s="41"/>
      <c r="G68" s="41"/>
      <c r="H68" s="41"/>
      <c r="I68" s="41"/>
      <c r="J68" s="41"/>
      <c r="K68" s="41"/>
      <c r="L68" s="41"/>
      <c r="M68" s="41"/>
      <c r="N68" s="41"/>
      <c r="O68" s="41"/>
      <c r="P68" s="41"/>
      <c r="Q68" s="41"/>
      <c r="R68" s="41"/>
      <c r="S68" s="41"/>
      <c r="T68" s="41"/>
      <c r="U68" s="41"/>
      <c r="V68" s="41"/>
    </row>
    <row r="69" spans="1:22" ht="15.75" customHeight="1">
      <c r="A69" s="41"/>
      <c r="B69" s="41"/>
      <c r="C69" s="65"/>
      <c r="D69" s="41"/>
      <c r="E69" s="41"/>
      <c r="F69" s="41"/>
      <c r="G69" s="41"/>
      <c r="H69" s="41"/>
      <c r="I69" s="41"/>
      <c r="J69" s="41"/>
      <c r="K69" s="41"/>
      <c r="L69" s="41"/>
      <c r="M69" s="41"/>
      <c r="N69" s="41"/>
      <c r="O69" s="41"/>
      <c r="P69" s="41"/>
      <c r="Q69" s="41"/>
      <c r="R69" s="41"/>
      <c r="S69" s="41"/>
      <c r="T69" s="41"/>
      <c r="U69" s="41"/>
      <c r="V69" s="41"/>
    </row>
    <row r="70" spans="1:22" ht="15.75" customHeight="1">
      <c r="A70" s="41"/>
      <c r="B70" s="41"/>
      <c r="C70" s="65"/>
      <c r="D70" s="41"/>
      <c r="E70" s="41"/>
      <c r="F70" s="41"/>
      <c r="G70" s="41"/>
      <c r="H70" s="41"/>
      <c r="I70" s="41"/>
      <c r="J70" s="41"/>
      <c r="K70" s="41"/>
      <c r="L70" s="41"/>
      <c r="M70" s="41"/>
      <c r="N70" s="41"/>
      <c r="O70" s="41"/>
      <c r="P70" s="41"/>
      <c r="Q70" s="41"/>
      <c r="R70" s="41"/>
      <c r="S70" s="41"/>
      <c r="T70" s="41"/>
      <c r="U70" s="41"/>
      <c r="V70" s="41"/>
    </row>
    <row r="71" spans="1:22" ht="15.75" customHeight="1">
      <c r="A71" s="41"/>
      <c r="B71" s="41"/>
      <c r="C71" s="65"/>
      <c r="D71" s="41"/>
      <c r="E71" s="41"/>
      <c r="F71" s="41"/>
      <c r="G71" s="41"/>
      <c r="H71" s="41"/>
      <c r="I71" s="41"/>
      <c r="J71" s="41"/>
      <c r="K71" s="41"/>
      <c r="L71" s="41"/>
      <c r="M71" s="41"/>
      <c r="N71" s="41"/>
      <c r="O71" s="41"/>
      <c r="P71" s="41"/>
      <c r="Q71" s="41"/>
      <c r="R71" s="41"/>
      <c r="S71" s="41"/>
      <c r="T71" s="41"/>
      <c r="U71" s="41"/>
      <c r="V71" s="41"/>
    </row>
    <row r="72" spans="1:22" ht="15.75" customHeight="1">
      <c r="A72" s="41"/>
      <c r="B72" s="41"/>
      <c r="C72" s="65"/>
      <c r="D72" s="41"/>
      <c r="E72" s="41"/>
      <c r="F72" s="41"/>
      <c r="G72" s="41"/>
      <c r="H72" s="41"/>
      <c r="I72" s="41"/>
      <c r="J72" s="41"/>
      <c r="K72" s="41"/>
      <c r="L72" s="41"/>
      <c r="M72" s="41"/>
      <c r="N72" s="41"/>
      <c r="O72" s="41"/>
      <c r="P72" s="41"/>
      <c r="Q72" s="41"/>
      <c r="R72" s="41"/>
      <c r="S72" s="41"/>
      <c r="T72" s="41"/>
      <c r="U72" s="41"/>
      <c r="V72" s="41"/>
    </row>
    <row r="73" spans="1:22" ht="15.75" customHeight="1">
      <c r="A73" s="41"/>
      <c r="B73" s="41"/>
      <c r="C73" s="65"/>
      <c r="D73" s="41"/>
      <c r="E73" s="41"/>
      <c r="F73" s="41"/>
      <c r="G73" s="41"/>
      <c r="H73" s="41"/>
      <c r="I73" s="41"/>
      <c r="J73" s="41"/>
      <c r="K73" s="41"/>
      <c r="L73" s="41"/>
      <c r="M73" s="41"/>
      <c r="N73" s="41"/>
      <c r="O73" s="41"/>
      <c r="P73" s="41"/>
      <c r="Q73" s="41"/>
      <c r="R73" s="41"/>
      <c r="S73" s="41"/>
      <c r="T73" s="41"/>
      <c r="U73" s="41"/>
      <c r="V73" s="41"/>
    </row>
    <row r="74" spans="1:22" ht="15.75" customHeight="1">
      <c r="A74" s="41"/>
      <c r="B74" s="41"/>
      <c r="C74" s="65"/>
      <c r="D74" s="41"/>
      <c r="E74" s="41"/>
      <c r="F74" s="41"/>
      <c r="G74" s="41"/>
      <c r="H74" s="41"/>
      <c r="I74" s="41"/>
      <c r="J74" s="41"/>
      <c r="K74" s="41"/>
      <c r="L74" s="41"/>
      <c r="M74" s="41"/>
      <c r="N74" s="41"/>
      <c r="O74" s="41"/>
      <c r="P74" s="41"/>
      <c r="Q74" s="41"/>
      <c r="R74" s="41"/>
      <c r="S74" s="41"/>
      <c r="T74" s="41"/>
      <c r="U74" s="41"/>
      <c r="V74" s="41"/>
    </row>
    <row r="75" spans="1:22" ht="15.75" customHeight="1">
      <c r="A75" s="41"/>
      <c r="B75" s="41"/>
      <c r="C75" s="65"/>
      <c r="D75" s="41"/>
      <c r="E75" s="41"/>
      <c r="F75" s="41"/>
      <c r="G75" s="41"/>
      <c r="H75" s="41"/>
      <c r="I75" s="41"/>
      <c r="J75" s="41"/>
      <c r="K75" s="41"/>
      <c r="L75" s="41"/>
      <c r="M75" s="41"/>
      <c r="N75" s="41"/>
      <c r="O75" s="41"/>
      <c r="P75" s="41"/>
      <c r="Q75" s="41"/>
      <c r="R75" s="41"/>
      <c r="S75" s="41"/>
      <c r="T75" s="41"/>
      <c r="U75" s="41"/>
      <c r="V75" s="41"/>
    </row>
    <row r="76" spans="1:22" ht="15.75" customHeight="1">
      <c r="A76" s="41"/>
      <c r="B76" s="41"/>
      <c r="C76" s="65"/>
      <c r="D76" s="41"/>
      <c r="E76" s="41"/>
      <c r="F76" s="41"/>
      <c r="G76" s="41"/>
      <c r="H76" s="41"/>
      <c r="I76" s="41"/>
      <c r="J76" s="41"/>
      <c r="K76" s="41"/>
      <c r="L76" s="41"/>
      <c r="M76" s="41"/>
      <c r="N76" s="41"/>
      <c r="O76" s="41"/>
      <c r="P76" s="41"/>
      <c r="Q76" s="41"/>
      <c r="R76" s="41"/>
      <c r="S76" s="41"/>
      <c r="T76" s="41"/>
      <c r="U76" s="41"/>
      <c r="V76" s="41"/>
    </row>
    <row r="77" spans="1:22" ht="15.75" customHeight="1">
      <c r="A77" s="41"/>
      <c r="B77" s="41"/>
      <c r="C77" s="65"/>
      <c r="D77" s="41"/>
      <c r="E77" s="41"/>
      <c r="F77" s="41"/>
      <c r="G77" s="41"/>
      <c r="H77" s="41"/>
      <c r="I77" s="41"/>
      <c r="J77" s="41"/>
      <c r="K77" s="41"/>
      <c r="L77" s="41"/>
      <c r="M77" s="41"/>
      <c r="N77" s="41"/>
      <c r="O77" s="41"/>
      <c r="P77" s="41"/>
      <c r="Q77" s="41"/>
      <c r="R77" s="41"/>
      <c r="S77" s="41"/>
      <c r="T77" s="41"/>
      <c r="U77" s="41"/>
      <c r="V77" s="41"/>
    </row>
    <row r="78" spans="1:22" ht="15.75" customHeight="1">
      <c r="A78" s="41"/>
      <c r="B78" s="41"/>
      <c r="C78" s="65"/>
      <c r="D78" s="41"/>
      <c r="E78" s="41"/>
      <c r="F78" s="41"/>
      <c r="G78" s="41"/>
      <c r="H78" s="41"/>
      <c r="I78" s="41"/>
      <c r="J78" s="41"/>
      <c r="K78" s="41"/>
      <c r="L78" s="41"/>
      <c r="M78" s="41"/>
      <c r="N78" s="41"/>
      <c r="O78" s="41"/>
      <c r="P78" s="41"/>
      <c r="Q78" s="41"/>
      <c r="R78" s="41"/>
      <c r="S78" s="41"/>
      <c r="T78" s="41"/>
      <c r="U78" s="41"/>
      <c r="V78" s="41"/>
    </row>
    <row r="79" spans="1:22" ht="15.75" customHeight="1">
      <c r="A79" s="41"/>
      <c r="B79" s="41"/>
      <c r="C79" s="65"/>
      <c r="D79" s="41"/>
      <c r="E79" s="41"/>
      <c r="F79" s="41"/>
      <c r="G79" s="41"/>
      <c r="H79" s="41"/>
      <c r="I79" s="41"/>
      <c r="J79" s="41"/>
      <c r="K79" s="41"/>
      <c r="L79" s="41"/>
      <c r="M79" s="41"/>
      <c r="N79" s="41"/>
      <c r="O79" s="41"/>
      <c r="P79" s="41"/>
      <c r="Q79" s="41"/>
      <c r="R79" s="41"/>
      <c r="S79" s="41"/>
      <c r="T79" s="41"/>
      <c r="U79" s="41"/>
      <c r="V79" s="41"/>
    </row>
    <row r="80" spans="1:22" ht="15.75" customHeight="1">
      <c r="A80" s="41"/>
      <c r="B80" s="41"/>
      <c r="C80" s="65"/>
      <c r="D80" s="41"/>
      <c r="E80" s="41"/>
      <c r="F80" s="41"/>
      <c r="G80" s="41"/>
      <c r="H80" s="41"/>
      <c r="I80" s="41"/>
      <c r="J80" s="41"/>
      <c r="K80" s="41"/>
      <c r="L80" s="41"/>
      <c r="M80" s="41"/>
      <c r="N80" s="41"/>
      <c r="O80" s="41"/>
      <c r="P80" s="41"/>
      <c r="Q80" s="41"/>
      <c r="R80" s="41"/>
      <c r="S80" s="41"/>
      <c r="T80" s="41"/>
      <c r="U80" s="41"/>
      <c r="V80" s="41"/>
    </row>
    <row r="81" spans="1:22" ht="15.75" customHeight="1">
      <c r="A81" s="41"/>
      <c r="B81" s="41"/>
      <c r="C81" s="65"/>
      <c r="D81" s="41"/>
      <c r="E81" s="41"/>
      <c r="F81" s="41"/>
      <c r="G81" s="41"/>
      <c r="H81" s="41"/>
      <c r="I81" s="41"/>
      <c r="J81" s="41"/>
      <c r="K81" s="41"/>
      <c r="L81" s="41"/>
      <c r="M81" s="41"/>
      <c r="N81" s="41"/>
      <c r="O81" s="41"/>
      <c r="P81" s="41"/>
      <c r="Q81" s="41"/>
      <c r="R81" s="41"/>
      <c r="S81" s="41"/>
      <c r="T81" s="41"/>
      <c r="U81" s="41"/>
      <c r="V81" s="41"/>
    </row>
    <row r="82" spans="1:22" ht="15.75" customHeight="1">
      <c r="A82" s="41"/>
      <c r="B82" s="41"/>
      <c r="C82" s="65"/>
      <c r="D82" s="41"/>
      <c r="E82" s="41"/>
      <c r="F82" s="41"/>
      <c r="G82" s="41"/>
      <c r="H82" s="41"/>
      <c r="I82" s="41"/>
      <c r="J82" s="41"/>
      <c r="K82" s="41"/>
      <c r="L82" s="41"/>
      <c r="M82" s="41"/>
      <c r="N82" s="41"/>
      <c r="O82" s="41"/>
      <c r="P82" s="41"/>
      <c r="Q82" s="41"/>
      <c r="R82" s="41"/>
      <c r="S82" s="41"/>
      <c r="T82" s="41"/>
      <c r="U82" s="41"/>
      <c r="V82" s="41"/>
    </row>
    <row r="83" spans="1:22" ht="15.75" customHeight="1">
      <c r="A83" s="41"/>
      <c r="B83" s="41"/>
      <c r="C83" s="65"/>
      <c r="D83" s="41"/>
      <c r="E83" s="41"/>
      <c r="F83" s="41"/>
      <c r="G83" s="41"/>
      <c r="H83" s="41"/>
      <c r="I83" s="41"/>
      <c r="J83" s="41"/>
      <c r="K83" s="41"/>
      <c r="L83" s="41"/>
      <c r="M83" s="41"/>
      <c r="N83" s="41"/>
      <c r="O83" s="41"/>
      <c r="P83" s="41"/>
      <c r="Q83" s="41"/>
      <c r="R83" s="41"/>
      <c r="S83" s="41"/>
      <c r="T83" s="41"/>
      <c r="U83" s="41"/>
      <c r="V83" s="41"/>
    </row>
    <row r="84" spans="1:22" ht="15.75" customHeight="1">
      <c r="A84" s="41"/>
      <c r="B84" s="41"/>
      <c r="C84" s="65"/>
      <c r="D84" s="41"/>
      <c r="E84" s="41"/>
      <c r="F84" s="41"/>
      <c r="G84" s="41"/>
      <c r="H84" s="41"/>
      <c r="I84" s="41"/>
      <c r="J84" s="41"/>
      <c r="K84" s="41"/>
      <c r="L84" s="41"/>
      <c r="M84" s="41"/>
      <c r="N84" s="41"/>
      <c r="O84" s="41"/>
      <c r="P84" s="41"/>
      <c r="Q84" s="41"/>
      <c r="R84" s="41"/>
      <c r="S84" s="41"/>
      <c r="T84" s="41"/>
      <c r="U84" s="41"/>
      <c r="V84" s="41"/>
    </row>
    <row r="85" spans="1:22" ht="15.75" customHeight="1">
      <c r="A85" s="41"/>
      <c r="B85" s="41"/>
      <c r="C85" s="65"/>
      <c r="D85" s="41"/>
      <c r="E85" s="41"/>
      <c r="F85" s="41"/>
      <c r="G85" s="41"/>
      <c r="H85" s="41"/>
      <c r="I85" s="41"/>
      <c r="J85" s="41"/>
      <c r="K85" s="41"/>
      <c r="L85" s="41"/>
      <c r="M85" s="41"/>
      <c r="N85" s="41"/>
      <c r="O85" s="41"/>
      <c r="P85" s="41"/>
      <c r="Q85" s="41"/>
      <c r="R85" s="41"/>
      <c r="S85" s="41"/>
      <c r="T85" s="41"/>
      <c r="U85" s="41"/>
      <c r="V85" s="41"/>
    </row>
    <row r="86" spans="1:22" ht="15.75" customHeight="1">
      <c r="A86" s="41"/>
      <c r="B86" s="41"/>
      <c r="C86" s="65"/>
      <c r="D86" s="41"/>
      <c r="E86" s="41"/>
      <c r="F86" s="41"/>
      <c r="G86" s="41"/>
      <c r="H86" s="41"/>
      <c r="I86" s="41"/>
      <c r="J86" s="41"/>
      <c r="K86" s="41"/>
      <c r="L86" s="41"/>
      <c r="M86" s="41"/>
      <c r="N86" s="41"/>
      <c r="O86" s="41"/>
      <c r="P86" s="41"/>
      <c r="Q86" s="41"/>
      <c r="R86" s="41"/>
      <c r="S86" s="41"/>
      <c r="T86" s="41"/>
      <c r="U86" s="41"/>
      <c r="V86" s="41"/>
    </row>
    <row r="87" spans="1:22" ht="15.75" customHeight="1">
      <c r="A87" s="41"/>
      <c r="B87" s="41"/>
      <c r="C87" s="65"/>
      <c r="D87" s="41"/>
      <c r="E87" s="41"/>
      <c r="F87" s="41"/>
      <c r="G87" s="41"/>
      <c r="H87" s="41"/>
      <c r="I87" s="41"/>
      <c r="J87" s="41"/>
      <c r="K87" s="41"/>
      <c r="L87" s="41"/>
      <c r="M87" s="41"/>
      <c r="N87" s="41"/>
      <c r="O87" s="41"/>
      <c r="P87" s="41"/>
      <c r="Q87" s="41"/>
      <c r="R87" s="41"/>
      <c r="S87" s="41"/>
      <c r="T87" s="41"/>
      <c r="U87" s="41"/>
      <c r="V87" s="41"/>
    </row>
    <row r="88" spans="1:22" ht="15.75" customHeight="1">
      <c r="A88" s="41"/>
      <c r="B88" s="41"/>
      <c r="C88" s="65"/>
      <c r="D88" s="41"/>
      <c r="E88" s="41"/>
      <c r="F88" s="41"/>
      <c r="G88" s="41"/>
      <c r="H88" s="41"/>
      <c r="I88" s="41"/>
      <c r="J88" s="41"/>
      <c r="K88" s="41"/>
      <c r="L88" s="41"/>
      <c r="M88" s="41"/>
      <c r="N88" s="41"/>
      <c r="O88" s="41"/>
      <c r="P88" s="41"/>
      <c r="Q88" s="41"/>
      <c r="R88" s="41"/>
      <c r="S88" s="41"/>
      <c r="T88" s="41"/>
      <c r="U88" s="41"/>
      <c r="V88" s="41"/>
    </row>
    <row r="89" spans="1:22" ht="15.75" customHeight="1">
      <c r="A89" s="41"/>
      <c r="B89" s="41"/>
      <c r="C89" s="65"/>
      <c r="D89" s="41"/>
      <c r="E89" s="41"/>
      <c r="F89" s="41"/>
      <c r="G89" s="41"/>
      <c r="H89" s="41"/>
      <c r="I89" s="41"/>
      <c r="J89" s="41"/>
      <c r="K89" s="41"/>
      <c r="L89" s="41"/>
      <c r="M89" s="41"/>
      <c r="N89" s="41"/>
      <c r="O89" s="41"/>
      <c r="P89" s="41"/>
      <c r="Q89" s="41"/>
      <c r="R89" s="41"/>
      <c r="S89" s="41"/>
      <c r="T89" s="41"/>
      <c r="U89" s="41"/>
      <c r="V89" s="41"/>
    </row>
    <row r="90" spans="1:22" ht="15.75" customHeight="1">
      <c r="A90" s="41"/>
      <c r="B90" s="41"/>
      <c r="C90" s="65"/>
      <c r="D90" s="41"/>
      <c r="E90" s="41"/>
      <c r="F90" s="41"/>
      <c r="G90" s="41"/>
      <c r="H90" s="41"/>
      <c r="I90" s="41"/>
      <c r="J90" s="41"/>
      <c r="K90" s="41"/>
      <c r="L90" s="41"/>
      <c r="M90" s="41"/>
      <c r="N90" s="41"/>
      <c r="O90" s="41"/>
      <c r="P90" s="41"/>
      <c r="Q90" s="41"/>
      <c r="R90" s="41"/>
      <c r="S90" s="41"/>
      <c r="T90" s="41"/>
      <c r="U90" s="41"/>
      <c r="V90" s="41"/>
    </row>
    <row r="91" spans="1:22" ht="15.75" customHeight="1">
      <c r="A91" s="41"/>
      <c r="B91" s="41"/>
      <c r="C91" s="65"/>
      <c r="D91" s="41"/>
      <c r="E91" s="41"/>
      <c r="F91" s="41"/>
      <c r="G91" s="41"/>
      <c r="H91" s="41"/>
      <c r="I91" s="41"/>
      <c r="J91" s="41"/>
      <c r="K91" s="41"/>
      <c r="L91" s="41"/>
      <c r="M91" s="41"/>
      <c r="N91" s="41"/>
      <c r="O91" s="41"/>
      <c r="P91" s="41"/>
      <c r="Q91" s="41"/>
      <c r="R91" s="41"/>
      <c r="S91" s="41"/>
      <c r="T91" s="41"/>
      <c r="U91" s="41"/>
      <c r="V91" s="41"/>
    </row>
    <row r="92" spans="1:22" ht="15.75" customHeight="1">
      <c r="A92" s="41"/>
      <c r="B92" s="41"/>
      <c r="C92" s="65"/>
      <c r="D92" s="41"/>
      <c r="E92" s="41"/>
      <c r="F92" s="41"/>
      <c r="G92" s="41"/>
      <c r="H92" s="41"/>
      <c r="I92" s="41"/>
      <c r="J92" s="41"/>
      <c r="K92" s="41"/>
      <c r="L92" s="41"/>
      <c r="M92" s="41"/>
      <c r="N92" s="41"/>
      <c r="O92" s="41"/>
      <c r="P92" s="41"/>
      <c r="Q92" s="41"/>
      <c r="R92" s="41"/>
      <c r="S92" s="41"/>
      <c r="T92" s="41"/>
      <c r="U92" s="41"/>
      <c r="V92" s="41"/>
    </row>
    <row r="93" spans="1:22" ht="15.75" customHeight="1">
      <c r="A93" s="41"/>
      <c r="B93" s="41"/>
      <c r="C93" s="65"/>
      <c r="D93" s="41"/>
      <c r="E93" s="41"/>
      <c r="F93" s="41"/>
      <c r="G93" s="41"/>
      <c r="H93" s="41"/>
      <c r="I93" s="41"/>
      <c r="J93" s="41"/>
      <c r="K93" s="41"/>
      <c r="L93" s="41"/>
      <c r="M93" s="41"/>
      <c r="N93" s="41"/>
      <c r="O93" s="41"/>
      <c r="P93" s="41"/>
      <c r="Q93" s="41"/>
      <c r="R93" s="41"/>
      <c r="S93" s="41"/>
      <c r="T93" s="41"/>
      <c r="U93" s="41"/>
      <c r="V93" s="41"/>
    </row>
    <row r="94" spans="1:22" ht="15.75" customHeight="1">
      <c r="A94" s="41"/>
      <c r="B94" s="41"/>
      <c r="C94" s="65"/>
      <c r="D94" s="41"/>
      <c r="E94" s="41"/>
      <c r="F94" s="41"/>
      <c r="G94" s="41"/>
      <c r="H94" s="41"/>
      <c r="I94" s="41"/>
      <c r="J94" s="41"/>
      <c r="K94" s="41"/>
      <c r="L94" s="41"/>
      <c r="M94" s="41"/>
      <c r="N94" s="41"/>
      <c r="O94" s="41"/>
      <c r="P94" s="41"/>
      <c r="Q94" s="41"/>
      <c r="R94" s="41"/>
      <c r="S94" s="41"/>
      <c r="T94" s="41"/>
      <c r="U94" s="41"/>
      <c r="V94" s="41"/>
    </row>
    <row r="95" spans="1:22" ht="15.75" customHeight="1">
      <c r="A95" s="41"/>
      <c r="B95" s="41"/>
      <c r="C95" s="65"/>
      <c r="D95" s="41"/>
      <c r="E95" s="41"/>
      <c r="F95" s="41"/>
      <c r="G95" s="41"/>
      <c r="H95" s="41"/>
      <c r="I95" s="41"/>
      <c r="J95" s="41"/>
      <c r="K95" s="41"/>
      <c r="L95" s="41"/>
      <c r="M95" s="41"/>
      <c r="N95" s="41"/>
      <c r="O95" s="41"/>
      <c r="P95" s="41"/>
      <c r="Q95" s="41"/>
      <c r="R95" s="41"/>
      <c r="S95" s="41"/>
      <c r="T95" s="41"/>
      <c r="U95" s="41"/>
      <c r="V95" s="41"/>
    </row>
    <row r="96" spans="1:22" ht="15.75" customHeight="1">
      <c r="A96" s="41"/>
      <c r="B96" s="41"/>
      <c r="C96" s="65"/>
      <c r="D96" s="41"/>
      <c r="E96" s="41"/>
      <c r="F96" s="41"/>
      <c r="G96" s="41"/>
      <c r="H96" s="41"/>
      <c r="I96" s="41"/>
      <c r="J96" s="41"/>
      <c r="K96" s="41"/>
      <c r="L96" s="41"/>
      <c r="M96" s="41"/>
      <c r="N96" s="41"/>
      <c r="O96" s="41"/>
      <c r="P96" s="41"/>
      <c r="Q96" s="41"/>
      <c r="R96" s="41"/>
      <c r="S96" s="41"/>
      <c r="T96" s="41"/>
      <c r="U96" s="41"/>
      <c r="V96" s="41"/>
    </row>
    <row r="97" spans="1:22" ht="15.75" customHeight="1">
      <c r="A97" s="41"/>
      <c r="B97" s="41"/>
      <c r="C97" s="65"/>
      <c r="D97" s="41"/>
      <c r="E97" s="41"/>
      <c r="F97" s="41"/>
      <c r="G97" s="41"/>
      <c r="H97" s="41"/>
      <c r="I97" s="41"/>
      <c r="J97" s="41"/>
      <c r="K97" s="41"/>
      <c r="L97" s="41"/>
      <c r="M97" s="41"/>
      <c r="N97" s="41"/>
      <c r="O97" s="41"/>
      <c r="P97" s="41"/>
      <c r="Q97" s="41"/>
      <c r="R97" s="41"/>
      <c r="S97" s="41"/>
      <c r="T97" s="41"/>
      <c r="U97" s="41"/>
      <c r="V97" s="41"/>
    </row>
    <row r="98" spans="1:22" ht="15.75" customHeight="1">
      <c r="A98" s="41"/>
      <c r="B98" s="41"/>
      <c r="C98" s="65"/>
      <c r="D98" s="41"/>
      <c r="E98" s="41"/>
      <c r="F98" s="41"/>
      <c r="G98" s="41"/>
      <c r="H98" s="41"/>
      <c r="I98" s="41"/>
      <c r="J98" s="41"/>
      <c r="K98" s="41"/>
      <c r="L98" s="41"/>
      <c r="M98" s="41"/>
      <c r="N98" s="41"/>
      <c r="O98" s="41"/>
      <c r="P98" s="41"/>
      <c r="Q98" s="41"/>
      <c r="R98" s="41"/>
      <c r="S98" s="41"/>
      <c r="T98" s="41"/>
      <c r="U98" s="41"/>
      <c r="V98" s="41"/>
    </row>
    <row r="99" spans="1:22" ht="15.75" customHeight="1">
      <c r="A99" s="41"/>
      <c r="B99" s="41"/>
      <c r="C99" s="65"/>
      <c r="D99" s="41"/>
      <c r="E99" s="41"/>
      <c r="F99" s="41"/>
      <c r="G99" s="41"/>
      <c r="H99" s="41"/>
      <c r="I99" s="41"/>
      <c r="J99" s="41"/>
      <c r="K99" s="41"/>
      <c r="L99" s="41"/>
      <c r="M99" s="41"/>
      <c r="N99" s="41"/>
      <c r="O99" s="41"/>
      <c r="P99" s="41"/>
      <c r="Q99" s="41"/>
      <c r="R99" s="41"/>
      <c r="S99" s="41"/>
      <c r="T99" s="41"/>
      <c r="U99" s="41"/>
      <c r="V99" s="41"/>
    </row>
    <row r="100" spans="1:22" ht="15.75" customHeight="1">
      <c r="A100" s="41"/>
      <c r="B100" s="41"/>
      <c r="C100" s="65"/>
      <c r="D100" s="41"/>
      <c r="E100" s="41"/>
      <c r="F100" s="41"/>
      <c r="G100" s="41"/>
      <c r="H100" s="41"/>
      <c r="I100" s="41"/>
      <c r="J100" s="41"/>
      <c r="K100" s="41"/>
      <c r="L100" s="41"/>
      <c r="M100" s="41"/>
      <c r="N100" s="41"/>
      <c r="O100" s="41"/>
      <c r="P100" s="41"/>
      <c r="Q100" s="41"/>
      <c r="R100" s="41"/>
      <c r="S100" s="41"/>
      <c r="T100" s="41"/>
      <c r="U100" s="41"/>
      <c r="V100" s="41"/>
    </row>
    <row r="101" spans="1:22" ht="15.75" customHeight="1">
      <c r="A101" s="41"/>
      <c r="B101" s="41"/>
      <c r="C101" s="65"/>
      <c r="D101" s="41"/>
      <c r="E101" s="41"/>
      <c r="F101" s="41"/>
      <c r="G101" s="41"/>
      <c r="H101" s="41"/>
      <c r="I101" s="41"/>
      <c r="J101" s="41"/>
      <c r="K101" s="41"/>
      <c r="L101" s="41"/>
      <c r="M101" s="41"/>
      <c r="N101" s="41"/>
      <c r="O101" s="41"/>
      <c r="P101" s="41"/>
      <c r="Q101" s="41"/>
      <c r="R101" s="41"/>
      <c r="S101" s="41"/>
      <c r="T101" s="41"/>
      <c r="U101" s="41"/>
      <c r="V101" s="41"/>
    </row>
    <row r="102" spans="1:22" ht="15.75" customHeight="1">
      <c r="A102" s="41"/>
      <c r="B102" s="41"/>
      <c r="C102" s="65"/>
      <c r="D102" s="41"/>
      <c r="E102" s="41"/>
      <c r="F102" s="41"/>
      <c r="G102" s="41"/>
      <c r="H102" s="41"/>
      <c r="I102" s="41"/>
      <c r="J102" s="41"/>
      <c r="K102" s="41"/>
      <c r="L102" s="41"/>
      <c r="M102" s="41"/>
      <c r="N102" s="41"/>
      <c r="O102" s="41"/>
      <c r="P102" s="41"/>
      <c r="Q102" s="41"/>
      <c r="R102" s="41"/>
      <c r="S102" s="41"/>
      <c r="T102" s="41"/>
      <c r="U102" s="41"/>
      <c r="V102" s="41"/>
    </row>
    <row r="103" spans="1:22" ht="15.75" customHeight="1">
      <c r="A103" s="41"/>
      <c r="B103" s="41"/>
      <c r="C103" s="65"/>
      <c r="D103" s="41"/>
      <c r="E103" s="41"/>
      <c r="F103" s="41"/>
      <c r="G103" s="41"/>
      <c r="H103" s="41"/>
      <c r="I103" s="41"/>
      <c r="J103" s="41"/>
      <c r="K103" s="41"/>
      <c r="L103" s="41"/>
      <c r="M103" s="41"/>
      <c r="N103" s="41"/>
      <c r="O103" s="41"/>
      <c r="P103" s="41"/>
      <c r="Q103" s="41"/>
      <c r="R103" s="41"/>
      <c r="S103" s="41"/>
      <c r="T103" s="41"/>
      <c r="U103" s="41"/>
      <c r="V103" s="41"/>
    </row>
    <row r="104" spans="1:22" ht="15.75" customHeight="1">
      <c r="A104" s="41"/>
      <c r="B104" s="41"/>
      <c r="C104" s="65"/>
      <c r="D104" s="41"/>
      <c r="E104" s="41"/>
      <c r="F104" s="41"/>
      <c r="G104" s="41"/>
      <c r="H104" s="41"/>
      <c r="I104" s="41"/>
      <c r="J104" s="41"/>
      <c r="K104" s="41"/>
      <c r="L104" s="41"/>
      <c r="M104" s="41"/>
      <c r="N104" s="41"/>
      <c r="O104" s="41"/>
      <c r="P104" s="41"/>
      <c r="Q104" s="41"/>
      <c r="R104" s="41"/>
      <c r="S104" s="41"/>
      <c r="T104" s="41"/>
      <c r="U104" s="41"/>
      <c r="V104" s="41"/>
    </row>
    <row r="105" spans="1:22" ht="15.75" customHeight="1">
      <c r="A105" s="41"/>
      <c r="B105" s="41"/>
      <c r="C105" s="65"/>
      <c r="D105" s="41"/>
      <c r="E105" s="41"/>
      <c r="F105" s="41"/>
      <c r="G105" s="41"/>
      <c r="H105" s="41"/>
      <c r="I105" s="41"/>
      <c r="J105" s="41"/>
      <c r="K105" s="41"/>
      <c r="L105" s="41"/>
      <c r="M105" s="41"/>
      <c r="N105" s="41"/>
      <c r="O105" s="41"/>
      <c r="P105" s="41"/>
      <c r="Q105" s="41"/>
      <c r="R105" s="41"/>
      <c r="S105" s="41"/>
      <c r="T105" s="41"/>
      <c r="U105" s="41"/>
      <c r="V105" s="41"/>
    </row>
    <row r="106" spans="1:22" ht="15.75" customHeight="1">
      <c r="A106" s="41"/>
      <c r="B106" s="41"/>
      <c r="C106" s="65"/>
      <c r="D106" s="41"/>
      <c r="E106" s="41"/>
      <c r="F106" s="41"/>
      <c r="G106" s="41"/>
      <c r="H106" s="41"/>
      <c r="I106" s="41"/>
      <c r="J106" s="41"/>
      <c r="K106" s="41"/>
      <c r="L106" s="41"/>
      <c r="M106" s="41"/>
      <c r="N106" s="41"/>
      <c r="O106" s="41"/>
      <c r="P106" s="41"/>
      <c r="Q106" s="41"/>
      <c r="R106" s="41"/>
      <c r="S106" s="41"/>
      <c r="T106" s="41"/>
      <c r="U106" s="41"/>
      <c r="V106" s="41"/>
    </row>
    <row r="107" spans="1:22" ht="15.75" customHeight="1">
      <c r="A107" s="41"/>
      <c r="B107" s="41"/>
      <c r="C107" s="65"/>
      <c r="D107" s="41"/>
      <c r="E107" s="41"/>
      <c r="F107" s="41"/>
      <c r="G107" s="41"/>
      <c r="H107" s="41"/>
      <c r="I107" s="41"/>
      <c r="J107" s="41"/>
      <c r="K107" s="41"/>
      <c r="L107" s="41"/>
      <c r="M107" s="41"/>
      <c r="N107" s="41"/>
      <c r="O107" s="41"/>
      <c r="P107" s="41"/>
      <c r="Q107" s="41"/>
      <c r="R107" s="41"/>
      <c r="S107" s="41"/>
      <c r="T107" s="41"/>
      <c r="U107" s="41"/>
      <c r="V107" s="41"/>
    </row>
    <row r="108" spans="1:22" ht="15.75" customHeight="1">
      <c r="A108" s="41"/>
      <c r="B108" s="41"/>
      <c r="C108" s="65"/>
      <c r="D108" s="41"/>
      <c r="E108" s="41"/>
      <c r="F108" s="41"/>
      <c r="G108" s="41"/>
      <c r="H108" s="41"/>
      <c r="I108" s="41"/>
      <c r="J108" s="41"/>
      <c r="K108" s="41"/>
      <c r="L108" s="41"/>
      <c r="M108" s="41"/>
      <c r="N108" s="41"/>
      <c r="O108" s="41"/>
      <c r="P108" s="41"/>
      <c r="Q108" s="41"/>
      <c r="R108" s="41"/>
      <c r="S108" s="41"/>
      <c r="T108" s="41"/>
      <c r="U108" s="41"/>
      <c r="V108" s="41"/>
    </row>
    <row r="109" spans="1:22" ht="15.75" customHeight="1">
      <c r="A109" s="41"/>
      <c r="B109" s="41"/>
      <c r="C109" s="65"/>
      <c r="D109" s="41"/>
      <c r="E109" s="41"/>
      <c r="F109" s="41"/>
      <c r="G109" s="41"/>
      <c r="H109" s="41"/>
      <c r="I109" s="41"/>
      <c r="J109" s="41"/>
      <c r="K109" s="41"/>
      <c r="L109" s="41"/>
      <c r="M109" s="41"/>
      <c r="N109" s="41"/>
      <c r="O109" s="41"/>
      <c r="P109" s="41"/>
      <c r="Q109" s="41"/>
      <c r="R109" s="41"/>
      <c r="S109" s="41"/>
      <c r="T109" s="41"/>
      <c r="U109" s="41"/>
      <c r="V109" s="41"/>
    </row>
    <row r="110" spans="1:22" ht="15.75" customHeight="1">
      <c r="A110" s="41"/>
      <c r="B110" s="41"/>
      <c r="C110" s="65"/>
      <c r="D110" s="41"/>
      <c r="E110" s="41"/>
      <c r="F110" s="41"/>
      <c r="G110" s="41"/>
      <c r="H110" s="41"/>
      <c r="I110" s="41"/>
      <c r="J110" s="41"/>
      <c r="K110" s="41"/>
      <c r="L110" s="41"/>
      <c r="M110" s="41"/>
      <c r="N110" s="41"/>
      <c r="O110" s="41"/>
      <c r="P110" s="41"/>
      <c r="Q110" s="41"/>
      <c r="R110" s="41"/>
      <c r="S110" s="41"/>
      <c r="T110" s="41"/>
      <c r="U110" s="41"/>
      <c r="V110" s="41"/>
    </row>
    <row r="111" spans="1:22" ht="15.75" customHeight="1">
      <c r="A111" s="41"/>
      <c r="B111" s="41"/>
      <c r="C111" s="65"/>
      <c r="D111" s="41"/>
      <c r="E111" s="41"/>
      <c r="F111" s="41"/>
      <c r="G111" s="41"/>
      <c r="H111" s="41"/>
      <c r="I111" s="41"/>
      <c r="J111" s="41"/>
      <c r="K111" s="41"/>
      <c r="L111" s="41"/>
      <c r="M111" s="41"/>
      <c r="N111" s="41"/>
      <c r="O111" s="41"/>
      <c r="P111" s="41"/>
      <c r="Q111" s="41"/>
      <c r="R111" s="41"/>
      <c r="S111" s="41"/>
      <c r="T111" s="41"/>
      <c r="U111" s="41"/>
      <c r="V111" s="41"/>
    </row>
    <row r="112" spans="1:22" ht="15.75" customHeight="1">
      <c r="A112" s="41"/>
      <c r="B112" s="41"/>
      <c r="C112" s="65"/>
      <c r="D112" s="41"/>
      <c r="E112" s="41"/>
      <c r="F112" s="41"/>
      <c r="G112" s="41"/>
      <c r="H112" s="41"/>
      <c r="I112" s="41"/>
      <c r="J112" s="41"/>
      <c r="K112" s="41"/>
      <c r="L112" s="41"/>
      <c r="M112" s="41"/>
      <c r="N112" s="41"/>
      <c r="O112" s="41"/>
      <c r="P112" s="41"/>
      <c r="Q112" s="41"/>
      <c r="R112" s="41"/>
      <c r="S112" s="41"/>
      <c r="T112" s="41"/>
      <c r="U112" s="41"/>
      <c r="V112" s="41"/>
    </row>
    <row r="113" spans="1:22" ht="15.75" customHeight="1">
      <c r="A113" s="41"/>
      <c r="B113" s="41"/>
      <c r="C113" s="65"/>
      <c r="D113" s="41"/>
      <c r="E113" s="41"/>
      <c r="F113" s="41"/>
      <c r="G113" s="41"/>
      <c r="H113" s="41"/>
      <c r="I113" s="41"/>
      <c r="J113" s="41"/>
      <c r="K113" s="41"/>
      <c r="L113" s="41"/>
      <c r="M113" s="41"/>
      <c r="N113" s="41"/>
      <c r="O113" s="41"/>
      <c r="P113" s="41"/>
      <c r="Q113" s="41"/>
      <c r="R113" s="41"/>
      <c r="S113" s="41"/>
      <c r="T113" s="41"/>
      <c r="U113" s="41"/>
      <c r="V113" s="41"/>
    </row>
    <row r="114" spans="1:22" ht="15.75" customHeight="1">
      <c r="A114" s="41"/>
      <c r="B114" s="41"/>
      <c r="C114" s="65"/>
      <c r="D114" s="41"/>
      <c r="E114" s="41"/>
      <c r="F114" s="41"/>
      <c r="G114" s="41"/>
      <c r="H114" s="41"/>
      <c r="I114" s="41"/>
      <c r="J114" s="41"/>
      <c r="K114" s="41"/>
      <c r="L114" s="41"/>
      <c r="M114" s="41"/>
      <c r="N114" s="41"/>
      <c r="O114" s="41"/>
      <c r="P114" s="41"/>
      <c r="Q114" s="41"/>
      <c r="R114" s="41"/>
      <c r="S114" s="41"/>
      <c r="T114" s="41"/>
      <c r="U114" s="41"/>
      <c r="V114" s="41"/>
    </row>
    <row r="115" spans="1:22" ht="15.75" customHeight="1">
      <c r="A115" s="41"/>
      <c r="B115" s="41"/>
      <c r="C115" s="65"/>
      <c r="D115" s="41"/>
      <c r="E115" s="41"/>
      <c r="F115" s="41"/>
      <c r="G115" s="41"/>
      <c r="H115" s="41"/>
      <c r="I115" s="41"/>
      <c r="J115" s="41"/>
      <c r="K115" s="41"/>
      <c r="L115" s="41"/>
      <c r="M115" s="41"/>
      <c r="N115" s="41"/>
      <c r="O115" s="41"/>
      <c r="P115" s="41"/>
      <c r="Q115" s="41"/>
      <c r="R115" s="41"/>
      <c r="S115" s="41"/>
      <c r="T115" s="41"/>
      <c r="U115" s="41"/>
      <c r="V115" s="41"/>
    </row>
    <row r="116" spans="1:22" ht="15.75" customHeight="1">
      <c r="A116" s="41"/>
      <c r="B116" s="41"/>
      <c r="C116" s="65"/>
      <c r="D116" s="41"/>
      <c r="E116" s="41"/>
      <c r="F116" s="41"/>
      <c r="G116" s="41"/>
      <c r="H116" s="41"/>
      <c r="I116" s="41"/>
      <c r="J116" s="41"/>
      <c r="K116" s="41"/>
      <c r="L116" s="41"/>
      <c r="M116" s="41"/>
      <c r="N116" s="41"/>
      <c r="O116" s="41"/>
      <c r="P116" s="41"/>
      <c r="Q116" s="41"/>
      <c r="R116" s="41"/>
      <c r="S116" s="41"/>
      <c r="T116" s="41"/>
      <c r="U116" s="41"/>
      <c r="V116" s="41"/>
    </row>
    <row r="117" spans="1:22" ht="15.75" customHeight="1">
      <c r="A117" s="41"/>
      <c r="B117" s="41"/>
      <c r="C117" s="65"/>
      <c r="D117" s="41"/>
      <c r="E117" s="41"/>
      <c r="F117" s="41"/>
      <c r="G117" s="41"/>
      <c r="H117" s="41"/>
      <c r="I117" s="41"/>
      <c r="J117" s="41"/>
      <c r="K117" s="41"/>
      <c r="L117" s="41"/>
      <c r="M117" s="41"/>
      <c r="N117" s="41"/>
      <c r="O117" s="41"/>
      <c r="P117" s="41"/>
      <c r="Q117" s="41"/>
      <c r="R117" s="41"/>
      <c r="S117" s="41"/>
      <c r="T117" s="41"/>
      <c r="U117" s="41"/>
      <c r="V117" s="41"/>
    </row>
    <row r="118" spans="1:22" ht="15.75" customHeight="1">
      <c r="A118" s="41"/>
      <c r="B118" s="41"/>
      <c r="C118" s="65"/>
      <c r="D118" s="41"/>
      <c r="E118" s="41"/>
      <c r="F118" s="41"/>
      <c r="G118" s="41"/>
      <c r="H118" s="41"/>
      <c r="I118" s="41"/>
      <c r="J118" s="41"/>
      <c r="K118" s="41"/>
      <c r="L118" s="41"/>
      <c r="M118" s="41"/>
      <c r="N118" s="41"/>
      <c r="O118" s="41"/>
      <c r="P118" s="41"/>
      <c r="Q118" s="41"/>
      <c r="R118" s="41"/>
      <c r="S118" s="41"/>
      <c r="T118" s="41"/>
      <c r="U118" s="41"/>
      <c r="V118" s="41"/>
    </row>
    <row r="119" spans="1:22" ht="15.75" customHeight="1">
      <c r="A119" s="41"/>
      <c r="B119" s="41"/>
      <c r="C119" s="65"/>
      <c r="D119" s="41"/>
      <c r="E119" s="41"/>
      <c r="F119" s="41"/>
      <c r="G119" s="41"/>
      <c r="H119" s="41"/>
      <c r="I119" s="41"/>
      <c r="J119" s="41"/>
      <c r="K119" s="41"/>
      <c r="L119" s="41"/>
      <c r="M119" s="41"/>
      <c r="N119" s="41"/>
      <c r="O119" s="41"/>
      <c r="P119" s="41"/>
      <c r="Q119" s="41"/>
      <c r="R119" s="41"/>
      <c r="S119" s="41"/>
      <c r="T119" s="41"/>
      <c r="U119" s="41"/>
      <c r="V119" s="41"/>
    </row>
    <row r="120" spans="1:22" ht="15.75" customHeight="1">
      <c r="A120" s="41"/>
      <c r="B120" s="41"/>
      <c r="C120" s="65"/>
      <c r="D120" s="41"/>
      <c r="E120" s="41"/>
      <c r="F120" s="41"/>
      <c r="G120" s="41"/>
      <c r="H120" s="41"/>
      <c r="I120" s="41"/>
      <c r="J120" s="41"/>
      <c r="K120" s="41"/>
      <c r="L120" s="41"/>
      <c r="M120" s="41"/>
      <c r="N120" s="41"/>
      <c r="O120" s="41"/>
      <c r="P120" s="41"/>
      <c r="Q120" s="41"/>
      <c r="R120" s="41"/>
      <c r="S120" s="41"/>
      <c r="T120" s="41"/>
      <c r="U120" s="41"/>
      <c r="V120" s="41"/>
    </row>
    <row r="121" spans="1:22" ht="15.75" customHeight="1">
      <c r="A121" s="41"/>
      <c r="B121" s="41"/>
      <c r="C121" s="65"/>
      <c r="D121" s="41"/>
      <c r="E121" s="41"/>
      <c r="F121" s="41"/>
      <c r="G121" s="41"/>
      <c r="H121" s="41"/>
      <c r="I121" s="41"/>
      <c r="J121" s="41"/>
      <c r="K121" s="41"/>
      <c r="L121" s="41"/>
      <c r="M121" s="41"/>
      <c r="N121" s="41"/>
      <c r="O121" s="41"/>
      <c r="P121" s="41"/>
      <c r="Q121" s="41"/>
      <c r="R121" s="41"/>
      <c r="S121" s="41"/>
      <c r="T121" s="41"/>
      <c r="U121" s="41"/>
      <c r="V121" s="41"/>
    </row>
    <row r="122" spans="1:22" ht="15.75" customHeight="1">
      <c r="A122" s="41"/>
      <c r="B122" s="41"/>
      <c r="C122" s="65"/>
      <c r="D122" s="41"/>
      <c r="E122" s="41"/>
      <c r="F122" s="41"/>
      <c r="G122" s="41"/>
      <c r="H122" s="41"/>
      <c r="I122" s="41"/>
      <c r="J122" s="41"/>
      <c r="K122" s="41"/>
      <c r="L122" s="41"/>
      <c r="M122" s="41"/>
      <c r="N122" s="41"/>
      <c r="O122" s="41"/>
      <c r="P122" s="41"/>
      <c r="Q122" s="41"/>
      <c r="R122" s="41"/>
      <c r="S122" s="41"/>
      <c r="T122" s="41"/>
      <c r="U122" s="41"/>
      <c r="V122" s="41"/>
    </row>
    <row r="123" spans="1:22" ht="15.75" customHeight="1">
      <c r="A123" s="41"/>
      <c r="B123" s="41"/>
      <c r="C123" s="65"/>
      <c r="D123" s="41"/>
      <c r="E123" s="41"/>
      <c r="F123" s="41"/>
      <c r="G123" s="41"/>
      <c r="H123" s="41"/>
      <c r="I123" s="41"/>
      <c r="J123" s="41"/>
      <c r="K123" s="41"/>
      <c r="L123" s="41"/>
      <c r="M123" s="41"/>
      <c r="N123" s="41"/>
      <c r="O123" s="41"/>
      <c r="P123" s="41"/>
      <c r="Q123" s="41"/>
      <c r="R123" s="41"/>
      <c r="S123" s="41"/>
      <c r="T123" s="41"/>
      <c r="U123" s="41"/>
      <c r="V123" s="41"/>
    </row>
    <row r="124" spans="1:22" ht="15.75" customHeight="1">
      <c r="A124" s="41"/>
      <c r="B124" s="41"/>
      <c r="C124" s="65"/>
      <c r="D124" s="41"/>
      <c r="E124" s="41"/>
      <c r="F124" s="41"/>
      <c r="G124" s="41"/>
      <c r="H124" s="41"/>
      <c r="I124" s="41"/>
      <c r="J124" s="41"/>
      <c r="K124" s="41"/>
      <c r="L124" s="41"/>
      <c r="M124" s="41"/>
      <c r="N124" s="41"/>
      <c r="O124" s="41"/>
      <c r="P124" s="41"/>
      <c r="Q124" s="41"/>
      <c r="R124" s="41"/>
      <c r="S124" s="41"/>
      <c r="T124" s="41"/>
      <c r="U124" s="41"/>
      <c r="V124" s="41"/>
    </row>
    <row r="125" spans="1:22" ht="15.75" customHeight="1">
      <c r="A125" s="41"/>
      <c r="B125" s="41"/>
      <c r="C125" s="65"/>
      <c r="D125" s="41"/>
      <c r="E125" s="41"/>
      <c r="F125" s="41"/>
      <c r="G125" s="41"/>
      <c r="H125" s="41"/>
      <c r="I125" s="41"/>
      <c r="J125" s="41"/>
      <c r="K125" s="41"/>
      <c r="L125" s="41"/>
      <c r="M125" s="41"/>
      <c r="N125" s="41"/>
      <c r="O125" s="41"/>
      <c r="P125" s="41"/>
      <c r="Q125" s="41"/>
      <c r="R125" s="41"/>
      <c r="S125" s="41"/>
      <c r="T125" s="41"/>
      <c r="U125" s="41"/>
      <c r="V125" s="41"/>
    </row>
    <row r="126" spans="1:22" ht="15.75" customHeight="1">
      <c r="A126" s="41"/>
      <c r="B126" s="41"/>
      <c r="C126" s="65"/>
      <c r="D126" s="41"/>
      <c r="E126" s="41"/>
      <c r="F126" s="41"/>
      <c r="G126" s="41"/>
      <c r="H126" s="41"/>
      <c r="I126" s="41"/>
      <c r="J126" s="41"/>
      <c r="K126" s="41"/>
      <c r="L126" s="41"/>
      <c r="M126" s="41"/>
      <c r="N126" s="41"/>
      <c r="O126" s="41"/>
      <c r="P126" s="41"/>
      <c r="Q126" s="41"/>
      <c r="R126" s="41"/>
      <c r="S126" s="41"/>
      <c r="T126" s="41"/>
      <c r="U126" s="41"/>
      <c r="V126" s="41"/>
    </row>
    <row r="127" spans="1:22" ht="15.75" customHeight="1">
      <c r="A127" s="41"/>
      <c r="B127" s="41"/>
      <c r="C127" s="65"/>
      <c r="D127" s="41"/>
      <c r="E127" s="41"/>
      <c r="F127" s="41"/>
      <c r="G127" s="41"/>
      <c r="H127" s="41"/>
      <c r="I127" s="41"/>
      <c r="J127" s="41"/>
      <c r="K127" s="41"/>
      <c r="L127" s="41"/>
      <c r="M127" s="41"/>
      <c r="N127" s="41"/>
      <c r="O127" s="41"/>
      <c r="P127" s="41"/>
      <c r="Q127" s="41"/>
      <c r="R127" s="41"/>
      <c r="S127" s="41"/>
      <c r="T127" s="41"/>
      <c r="U127" s="41"/>
      <c r="V127" s="41"/>
    </row>
    <row r="128" spans="1:22" ht="15.75" customHeight="1">
      <c r="A128" s="41"/>
      <c r="B128" s="41"/>
      <c r="C128" s="65"/>
      <c r="D128" s="41"/>
      <c r="E128" s="41"/>
      <c r="F128" s="41"/>
      <c r="G128" s="41"/>
      <c r="H128" s="41"/>
      <c r="I128" s="41"/>
      <c r="J128" s="41"/>
      <c r="K128" s="41"/>
      <c r="L128" s="41"/>
      <c r="M128" s="41"/>
      <c r="N128" s="41"/>
      <c r="O128" s="41"/>
      <c r="P128" s="41"/>
      <c r="Q128" s="41"/>
      <c r="R128" s="41"/>
      <c r="S128" s="41"/>
      <c r="T128" s="41"/>
      <c r="U128" s="41"/>
      <c r="V128" s="41"/>
    </row>
    <row r="129" spans="1:22" ht="15.75" customHeight="1">
      <c r="A129" s="41"/>
      <c r="B129" s="41"/>
      <c r="C129" s="65"/>
      <c r="D129" s="41"/>
      <c r="E129" s="41"/>
      <c r="F129" s="41"/>
      <c r="G129" s="41"/>
      <c r="H129" s="41"/>
      <c r="I129" s="41"/>
      <c r="J129" s="41"/>
      <c r="K129" s="41"/>
      <c r="L129" s="41"/>
      <c r="M129" s="41"/>
      <c r="N129" s="41"/>
      <c r="O129" s="41"/>
      <c r="P129" s="41"/>
      <c r="Q129" s="41"/>
      <c r="R129" s="41"/>
      <c r="S129" s="41"/>
      <c r="T129" s="41"/>
      <c r="U129" s="41"/>
      <c r="V129" s="41"/>
    </row>
    <row r="130" spans="1:22" ht="15.75" customHeight="1">
      <c r="A130" s="41"/>
      <c r="B130" s="41"/>
      <c r="C130" s="65"/>
      <c r="D130" s="41"/>
      <c r="E130" s="41"/>
      <c r="F130" s="41"/>
      <c r="G130" s="41"/>
      <c r="H130" s="41"/>
      <c r="I130" s="41"/>
      <c r="J130" s="41"/>
      <c r="K130" s="41"/>
      <c r="L130" s="41"/>
      <c r="M130" s="41"/>
      <c r="N130" s="41"/>
      <c r="O130" s="41"/>
      <c r="P130" s="41"/>
      <c r="Q130" s="41"/>
      <c r="R130" s="41"/>
      <c r="S130" s="41"/>
      <c r="T130" s="41"/>
      <c r="U130" s="41"/>
      <c r="V130" s="41"/>
    </row>
    <row r="131" spans="1:22" ht="15.75" customHeight="1">
      <c r="A131" s="41"/>
      <c r="B131" s="41"/>
      <c r="C131" s="65"/>
      <c r="D131" s="41"/>
      <c r="E131" s="41"/>
      <c r="F131" s="41"/>
      <c r="G131" s="41"/>
      <c r="H131" s="41"/>
      <c r="I131" s="41"/>
      <c r="J131" s="41"/>
      <c r="K131" s="41"/>
      <c r="L131" s="41"/>
      <c r="M131" s="41"/>
      <c r="N131" s="41"/>
      <c r="O131" s="41"/>
      <c r="P131" s="41"/>
      <c r="Q131" s="41"/>
      <c r="R131" s="41"/>
      <c r="S131" s="41"/>
      <c r="T131" s="41"/>
      <c r="U131" s="41"/>
      <c r="V131" s="41"/>
    </row>
    <row r="132" spans="1:22" ht="15.75" customHeight="1">
      <c r="A132" s="41"/>
      <c r="B132" s="41"/>
      <c r="C132" s="65"/>
      <c r="D132" s="41"/>
      <c r="E132" s="41"/>
      <c r="F132" s="41"/>
      <c r="G132" s="41"/>
      <c r="H132" s="41"/>
      <c r="I132" s="41"/>
      <c r="J132" s="41"/>
      <c r="K132" s="41"/>
      <c r="L132" s="41"/>
      <c r="M132" s="41"/>
      <c r="N132" s="41"/>
      <c r="O132" s="41"/>
      <c r="P132" s="41"/>
      <c r="Q132" s="41"/>
      <c r="R132" s="41"/>
      <c r="S132" s="41"/>
      <c r="T132" s="41"/>
      <c r="U132" s="41"/>
      <c r="V132" s="41"/>
    </row>
    <row r="133" spans="1:22" ht="15.75" customHeight="1">
      <c r="A133" s="41"/>
      <c r="B133" s="41"/>
      <c r="C133" s="65"/>
      <c r="D133" s="41"/>
      <c r="E133" s="41"/>
      <c r="F133" s="41"/>
      <c r="G133" s="41"/>
      <c r="H133" s="41"/>
      <c r="I133" s="41"/>
      <c r="J133" s="41"/>
      <c r="K133" s="41"/>
      <c r="L133" s="41"/>
      <c r="M133" s="41"/>
      <c r="N133" s="41"/>
      <c r="O133" s="41"/>
      <c r="P133" s="41"/>
      <c r="Q133" s="41"/>
      <c r="R133" s="41"/>
      <c r="S133" s="41"/>
      <c r="T133" s="41"/>
      <c r="U133" s="41"/>
      <c r="V133" s="41"/>
    </row>
    <row r="134" spans="1:22" ht="15.75" customHeight="1">
      <c r="A134" s="41"/>
      <c r="B134" s="41"/>
      <c r="C134" s="65"/>
      <c r="D134" s="41"/>
      <c r="E134" s="41"/>
      <c r="F134" s="41"/>
      <c r="G134" s="41"/>
      <c r="H134" s="41"/>
      <c r="I134" s="41"/>
      <c r="J134" s="41"/>
      <c r="K134" s="41"/>
      <c r="L134" s="41"/>
      <c r="M134" s="41"/>
      <c r="N134" s="41"/>
      <c r="O134" s="41"/>
      <c r="P134" s="41"/>
      <c r="Q134" s="41"/>
      <c r="R134" s="41"/>
      <c r="S134" s="41"/>
      <c r="T134" s="41"/>
      <c r="U134" s="41"/>
      <c r="V134" s="41"/>
    </row>
    <row r="135" spans="1:22" ht="15.75" customHeight="1">
      <c r="A135" s="41"/>
      <c r="B135" s="41"/>
      <c r="C135" s="65"/>
      <c r="D135" s="41"/>
      <c r="E135" s="41"/>
      <c r="F135" s="41"/>
      <c r="G135" s="41"/>
      <c r="H135" s="41"/>
      <c r="I135" s="41"/>
      <c r="J135" s="41"/>
      <c r="K135" s="41"/>
      <c r="L135" s="41"/>
      <c r="M135" s="41"/>
      <c r="N135" s="41"/>
      <c r="O135" s="41"/>
      <c r="P135" s="41"/>
      <c r="Q135" s="41"/>
      <c r="R135" s="41"/>
      <c r="S135" s="41"/>
      <c r="T135" s="41"/>
      <c r="U135" s="41"/>
      <c r="V135" s="41"/>
    </row>
    <row r="136" spans="1:22" ht="15.75" customHeight="1">
      <c r="A136" s="41"/>
      <c r="B136" s="41"/>
      <c r="C136" s="65"/>
      <c r="D136" s="41"/>
      <c r="E136" s="41"/>
      <c r="F136" s="41"/>
      <c r="G136" s="41"/>
      <c r="H136" s="41"/>
      <c r="I136" s="41"/>
      <c r="J136" s="41"/>
      <c r="K136" s="41"/>
      <c r="L136" s="41"/>
      <c r="M136" s="41"/>
      <c r="N136" s="41"/>
      <c r="O136" s="41"/>
      <c r="P136" s="41"/>
      <c r="Q136" s="41"/>
      <c r="R136" s="41"/>
      <c r="S136" s="41"/>
      <c r="T136" s="41"/>
      <c r="U136" s="41"/>
      <c r="V136" s="41"/>
    </row>
    <row r="137" spans="1:22" ht="15.75" customHeight="1">
      <c r="A137" s="41"/>
      <c r="B137" s="41"/>
      <c r="C137" s="65"/>
      <c r="D137" s="41"/>
      <c r="E137" s="41"/>
      <c r="F137" s="41"/>
      <c r="G137" s="41"/>
      <c r="H137" s="41"/>
      <c r="I137" s="41"/>
      <c r="J137" s="41"/>
      <c r="K137" s="41"/>
      <c r="L137" s="41"/>
      <c r="M137" s="41"/>
      <c r="N137" s="41"/>
      <c r="O137" s="41"/>
      <c r="P137" s="41"/>
      <c r="Q137" s="41"/>
      <c r="R137" s="41"/>
      <c r="S137" s="41"/>
      <c r="T137" s="41"/>
      <c r="U137" s="41"/>
      <c r="V137" s="41"/>
    </row>
    <row r="138" spans="1:22" ht="15.75" customHeight="1">
      <c r="A138" s="41"/>
      <c r="B138" s="41"/>
      <c r="C138" s="65"/>
      <c r="D138" s="41"/>
      <c r="E138" s="41"/>
      <c r="F138" s="41"/>
      <c r="G138" s="41"/>
      <c r="H138" s="41"/>
      <c r="I138" s="41"/>
      <c r="J138" s="41"/>
      <c r="K138" s="41"/>
      <c r="L138" s="41"/>
      <c r="M138" s="41"/>
      <c r="N138" s="41"/>
      <c r="O138" s="41"/>
      <c r="P138" s="41"/>
      <c r="Q138" s="41"/>
      <c r="R138" s="41"/>
      <c r="S138" s="41"/>
      <c r="T138" s="41"/>
      <c r="U138" s="41"/>
      <c r="V138" s="41"/>
    </row>
    <row r="139" spans="1:22" ht="15.75" customHeight="1">
      <c r="A139" s="41"/>
      <c r="B139" s="41"/>
      <c r="C139" s="65"/>
      <c r="D139" s="41"/>
      <c r="E139" s="41"/>
      <c r="F139" s="41"/>
      <c r="G139" s="41"/>
      <c r="H139" s="41"/>
      <c r="I139" s="41"/>
      <c r="J139" s="41"/>
      <c r="K139" s="41"/>
      <c r="L139" s="41"/>
      <c r="M139" s="41"/>
      <c r="N139" s="41"/>
      <c r="O139" s="41"/>
      <c r="P139" s="41"/>
      <c r="Q139" s="41"/>
      <c r="R139" s="41"/>
      <c r="S139" s="41"/>
      <c r="T139" s="41"/>
      <c r="U139" s="41"/>
      <c r="V139" s="41"/>
    </row>
    <row r="140" spans="1:22" ht="15.75" customHeight="1">
      <c r="A140" s="41"/>
      <c r="B140" s="41"/>
      <c r="C140" s="65"/>
      <c r="D140" s="41"/>
      <c r="E140" s="41"/>
      <c r="F140" s="41"/>
      <c r="G140" s="41"/>
      <c r="H140" s="41"/>
      <c r="I140" s="41"/>
      <c r="J140" s="41"/>
      <c r="K140" s="41"/>
      <c r="L140" s="41"/>
      <c r="M140" s="41"/>
      <c r="N140" s="41"/>
      <c r="O140" s="41"/>
      <c r="P140" s="41"/>
      <c r="Q140" s="41"/>
      <c r="R140" s="41"/>
      <c r="S140" s="41"/>
      <c r="T140" s="41"/>
      <c r="U140" s="41"/>
      <c r="V140" s="41"/>
    </row>
    <row r="141" spans="1:22" ht="15.75" customHeight="1">
      <c r="A141" s="41"/>
      <c r="B141" s="41"/>
      <c r="C141" s="65"/>
      <c r="D141" s="41"/>
      <c r="E141" s="41"/>
      <c r="F141" s="41"/>
      <c r="G141" s="41"/>
      <c r="H141" s="41"/>
      <c r="I141" s="41"/>
      <c r="J141" s="41"/>
      <c r="K141" s="41"/>
      <c r="L141" s="41"/>
      <c r="M141" s="41"/>
      <c r="N141" s="41"/>
      <c r="O141" s="41"/>
      <c r="P141" s="41"/>
      <c r="Q141" s="41"/>
      <c r="R141" s="41"/>
      <c r="S141" s="41"/>
      <c r="T141" s="41"/>
      <c r="U141" s="41"/>
      <c r="V141" s="41"/>
    </row>
    <row r="142" spans="1:22" ht="15.75" customHeight="1">
      <c r="A142" s="41"/>
      <c r="B142" s="41"/>
      <c r="C142" s="65"/>
      <c r="D142" s="41"/>
      <c r="E142" s="41"/>
      <c r="F142" s="41"/>
      <c r="G142" s="41"/>
      <c r="H142" s="41"/>
      <c r="I142" s="41"/>
      <c r="J142" s="41"/>
      <c r="K142" s="41"/>
      <c r="L142" s="41"/>
      <c r="M142" s="41"/>
      <c r="N142" s="41"/>
      <c r="O142" s="41"/>
      <c r="P142" s="41"/>
      <c r="Q142" s="41"/>
      <c r="R142" s="41"/>
      <c r="S142" s="41"/>
      <c r="T142" s="41"/>
      <c r="U142" s="41"/>
      <c r="V142" s="41"/>
    </row>
    <row r="143" spans="1:22" ht="15.75" customHeight="1">
      <c r="A143" s="41"/>
      <c r="B143" s="41"/>
      <c r="C143" s="65"/>
      <c r="D143" s="41"/>
      <c r="E143" s="41"/>
      <c r="F143" s="41"/>
      <c r="G143" s="41"/>
      <c r="H143" s="41"/>
      <c r="I143" s="41"/>
      <c r="J143" s="41"/>
      <c r="K143" s="41"/>
      <c r="L143" s="41"/>
      <c r="M143" s="41"/>
      <c r="N143" s="41"/>
      <c r="O143" s="41"/>
      <c r="P143" s="41"/>
      <c r="Q143" s="41"/>
      <c r="R143" s="41"/>
      <c r="S143" s="41"/>
      <c r="T143" s="41"/>
      <c r="U143" s="41"/>
      <c r="V143" s="41"/>
    </row>
    <row r="144" spans="1:22" ht="15.75" customHeight="1">
      <c r="A144" s="41"/>
      <c r="B144" s="41"/>
      <c r="C144" s="65"/>
      <c r="D144" s="41"/>
      <c r="E144" s="41"/>
      <c r="F144" s="41"/>
      <c r="G144" s="41"/>
      <c r="H144" s="41"/>
      <c r="I144" s="41"/>
      <c r="J144" s="41"/>
      <c r="K144" s="41"/>
      <c r="L144" s="41"/>
      <c r="M144" s="41"/>
      <c r="N144" s="41"/>
      <c r="O144" s="41"/>
      <c r="P144" s="41"/>
      <c r="Q144" s="41"/>
      <c r="R144" s="41"/>
      <c r="S144" s="41"/>
      <c r="T144" s="41"/>
      <c r="U144" s="41"/>
      <c r="V144" s="41"/>
    </row>
    <row r="145" spans="1:22" ht="15.75" customHeight="1">
      <c r="A145" s="41"/>
      <c r="B145" s="41"/>
      <c r="C145" s="65"/>
      <c r="D145" s="41"/>
      <c r="E145" s="41"/>
      <c r="F145" s="41"/>
      <c r="G145" s="41"/>
      <c r="H145" s="41"/>
      <c r="I145" s="41"/>
      <c r="J145" s="41"/>
      <c r="K145" s="41"/>
      <c r="L145" s="41"/>
      <c r="M145" s="41"/>
      <c r="N145" s="41"/>
      <c r="O145" s="41"/>
      <c r="P145" s="41"/>
      <c r="Q145" s="41"/>
      <c r="R145" s="41"/>
      <c r="S145" s="41"/>
      <c r="T145" s="41"/>
      <c r="U145" s="41"/>
      <c r="V145" s="41"/>
    </row>
    <row r="146" spans="1:22" ht="15.75" customHeight="1">
      <c r="A146" s="41"/>
      <c r="B146" s="41"/>
      <c r="C146" s="65"/>
      <c r="D146" s="41"/>
      <c r="E146" s="41"/>
      <c r="F146" s="41"/>
      <c r="G146" s="41"/>
      <c r="H146" s="41"/>
      <c r="I146" s="41"/>
      <c r="J146" s="41"/>
      <c r="K146" s="41"/>
      <c r="L146" s="41"/>
      <c r="M146" s="41"/>
      <c r="N146" s="41"/>
      <c r="O146" s="41"/>
      <c r="P146" s="41"/>
      <c r="Q146" s="41"/>
      <c r="R146" s="41"/>
      <c r="S146" s="41"/>
      <c r="T146" s="41"/>
      <c r="U146" s="41"/>
      <c r="V146" s="41"/>
    </row>
    <row r="147" spans="1:22" ht="15.75" customHeight="1">
      <c r="A147" s="41"/>
      <c r="B147" s="41"/>
      <c r="C147" s="65"/>
      <c r="D147" s="41"/>
      <c r="E147" s="41"/>
      <c r="F147" s="41"/>
      <c r="G147" s="41"/>
      <c r="H147" s="41"/>
      <c r="I147" s="41"/>
      <c r="J147" s="41"/>
      <c r="K147" s="41"/>
      <c r="L147" s="41"/>
      <c r="M147" s="41"/>
      <c r="N147" s="41"/>
      <c r="O147" s="41"/>
      <c r="P147" s="41"/>
      <c r="Q147" s="41"/>
      <c r="R147" s="41"/>
      <c r="S147" s="41"/>
      <c r="T147" s="41"/>
      <c r="U147" s="41"/>
      <c r="V147" s="41"/>
    </row>
    <row r="148" spans="1:22" ht="15.75" customHeight="1">
      <c r="A148" s="41"/>
      <c r="B148" s="41"/>
      <c r="C148" s="65"/>
      <c r="D148" s="41"/>
      <c r="E148" s="41"/>
      <c r="F148" s="41"/>
      <c r="G148" s="41"/>
      <c r="H148" s="41"/>
      <c r="I148" s="41"/>
      <c r="J148" s="41"/>
      <c r="K148" s="41"/>
      <c r="L148" s="41"/>
      <c r="M148" s="41"/>
      <c r="N148" s="41"/>
      <c r="O148" s="41"/>
      <c r="P148" s="41"/>
      <c r="Q148" s="41"/>
      <c r="R148" s="41"/>
      <c r="S148" s="41"/>
      <c r="T148" s="41"/>
      <c r="U148" s="41"/>
      <c r="V148" s="41"/>
    </row>
    <row r="149" spans="1:22" ht="15.75" customHeight="1">
      <c r="A149" s="41"/>
      <c r="B149" s="41"/>
      <c r="C149" s="65"/>
      <c r="D149" s="41"/>
      <c r="E149" s="41"/>
      <c r="F149" s="41"/>
      <c r="G149" s="41"/>
      <c r="H149" s="41"/>
      <c r="I149" s="41"/>
      <c r="J149" s="41"/>
      <c r="K149" s="41"/>
      <c r="L149" s="41"/>
      <c r="M149" s="41"/>
      <c r="N149" s="41"/>
      <c r="O149" s="41"/>
      <c r="P149" s="41"/>
      <c r="Q149" s="41"/>
      <c r="R149" s="41"/>
      <c r="S149" s="41"/>
      <c r="T149" s="41"/>
      <c r="U149" s="41"/>
      <c r="V149" s="41"/>
    </row>
    <row r="150" spans="1:22" ht="15.75" customHeight="1">
      <c r="A150" s="41"/>
      <c r="B150" s="41"/>
      <c r="C150" s="65"/>
      <c r="D150" s="41"/>
      <c r="E150" s="41"/>
      <c r="F150" s="41"/>
      <c r="G150" s="41"/>
      <c r="H150" s="41"/>
      <c r="I150" s="41"/>
      <c r="J150" s="41"/>
      <c r="K150" s="41"/>
      <c r="L150" s="41"/>
      <c r="M150" s="41"/>
      <c r="N150" s="41"/>
      <c r="O150" s="41"/>
      <c r="P150" s="41"/>
      <c r="Q150" s="41"/>
      <c r="R150" s="41"/>
      <c r="S150" s="41"/>
      <c r="T150" s="41"/>
      <c r="U150" s="41"/>
      <c r="V150" s="41"/>
    </row>
    <row r="151" spans="1:22" ht="15.75" customHeight="1">
      <c r="A151" s="41"/>
      <c r="B151" s="41"/>
      <c r="C151" s="65"/>
      <c r="D151" s="41"/>
      <c r="E151" s="41"/>
      <c r="F151" s="41"/>
      <c r="G151" s="41"/>
      <c r="H151" s="41"/>
      <c r="I151" s="41"/>
      <c r="J151" s="41"/>
      <c r="K151" s="41"/>
      <c r="L151" s="41"/>
      <c r="M151" s="41"/>
      <c r="N151" s="41"/>
      <c r="O151" s="41"/>
      <c r="P151" s="41"/>
      <c r="Q151" s="41"/>
      <c r="R151" s="41"/>
      <c r="S151" s="41"/>
      <c r="T151" s="41"/>
      <c r="U151" s="41"/>
      <c r="V151" s="41"/>
    </row>
    <row r="152" spans="1:22" ht="15.75" customHeight="1">
      <c r="A152" s="41"/>
      <c r="B152" s="41"/>
      <c r="C152" s="65"/>
      <c r="D152" s="41"/>
      <c r="E152" s="41"/>
      <c r="F152" s="41"/>
      <c r="G152" s="41"/>
      <c r="H152" s="41"/>
      <c r="I152" s="41"/>
      <c r="J152" s="41"/>
      <c r="K152" s="41"/>
      <c r="L152" s="41"/>
      <c r="M152" s="41"/>
      <c r="N152" s="41"/>
      <c r="O152" s="41"/>
      <c r="P152" s="41"/>
      <c r="Q152" s="41"/>
      <c r="R152" s="41"/>
      <c r="S152" s="41"/>
      <c r="T152" s="41"/>
      <c r="U152" s="41"/>
      <c r="V152" s="41"/>
    </row>
    <row r="153" spans="1:22" ht="15.75" customHeight="1">
      <c r="A153" s="41"/>
      <c r="B153" s="41"/>
      <c r="C153" s="65"/>
      <c r="D153" s="41"/>
      <c r="E153" s="41"/>
      <c r="F153" s="41"/>
      <c r="G153" s="41"/>
      <c r="H153" s="41"/>
      <c r="I153" s="41"/>
      <c r="J153" s="41"/>
      <c r="K153" s="41"/>
      <c r="L153" s="41"/>
      <c r="M153" s="41"/>
      <c r="N153" s="41"/>
      <c r="O153" s="41"/>
      <c r="P153" s="41"/>
      <c r="Q153" s="41"/>
      <c r="R153" s="41"/>
      <c r="S153" s="41"/>
      <c r="T153" s="41"/>
      <c r="U153" s="41"/>
      <c r="V153" s="41"/>
    </row>
    <row r="154" spans="1:22" ht="15.75" customHeight="1">
      <c r="A154" s="41"/>
      <c r="B154" s="41"/>
      <c r="C154" s="65"/>
      <c r="D154" s="41"/>
      <c r="E154" s="41"/>
      <c r="F154" s="41"/>
      <c r="G154" s="41"/>
      <c r="H154" s="41"/>
      <c r="I154" s="41"/>
      <c r="J154" s="41"/>
      <c r="K154" s="41"/>
      <c r="L154" s="41"/>
      <c r="M154" s="41"/>
      <c r="N154" s="41"/>
      <c r="O154" s="41"/>
      <c r="P154" s="41"/>
      <c r="Q154" s="41"/>
      <c r="R154" s="41"/>
      <c r="S154" s="41"/>
      <c r="T154" s="41"/>
      <c r="U154" s="41"/>
      <c r="V154" s="41"/>
    </row>
    <row r="155" spans="1:22" ht="15.75" customHeight="1">
      <c r="A155" s="41"/>
      <c r="B155" s="41"/>
      <c r="C155" s="65"/>
      <c r="D155" s="41"/>
      <c r="E155" s="41"/>
      <c r="F155" s="41"/>
      <c r="G155" s="41"/>
      <c r="H155" s="41"/>
      <c r="I155" s="41"/>
      <c r="J155" s="41"/>
      <c r="K155" s="41"/>
      <c r="L155" s="41"/>
      <c r="M155" s="41"/>
      <c r="N155" s="41"/>
      <c r="O155" s="41"/>
      <c r="P155" s="41"/>
      <c r="Q155" s="41"/>
      <c r="R155" s="41"/>
      <c r="S155" s="41"/>
      <c r="T155" s="41"/>
      <c r="U155" s="41"/>
      <c r="V155" s="41"/>
    </row>
    <row r="156" spans="1:22" ht="15.75" customHeight="1">
      <c r="A156" s="41"/>
      <c r="B156" s="41"/>
      <c r="C156" s="65"/>
      <c r="D156" s="41"/>
      <c r="E156" s="41"/>
      <c r="F156" s="41"/>
      <c r="G156" s="41"/>
      <c r="H156" s="41"/>
      <c r="I156" s="41"/>
      <c r="J156" s="41"/>
      <c r="K156" s="41"/>
      <c r="L156" s="41"/>
      <c r="M156" s="41"/>
      <c r="N156" s="41"/>
      <c r="O156" s="41"/>
      <c r="P156" s="41"/>
      <c r="Q156" s="41"/>
      <c r="R156" s="41"/>
      <c r="S156" s="41"/>
      <c r="T156" s="41"/>
      <c r="U156" s="41"/>
      <c r="V156" s="41"/>
    </row>
    <row r="157" spans="1:22" ht="15.75" customHeight="1">
      <c r="A157" s="41"/>
      <c r="B157" s="41"/>
      <c r="C157" s="65"/>
      <c r="D157" s="41"/>
      <c r="E157" s="41"/>
      <c r="F157" s="41"/>
      <c r="G157" s="41"/>
      <c r="H157" s="41"/>
      <c r="I157" s="41"/>
      <c r="J157" s="41"/>
      <c r="K157" s="41"/>
      <c r="L157" s="41"/>
      <c r="M157" s="41"/>
      <c r="N157" s="41"/>
      <c r="O157" s="41"/>
      <c r="P157" s="41"/>
      <c r="Q157" s="41"/>
      <c r="R157" s="41"/>
      <c r="S157" s="41"/>
      <c r="T157" s="41"/>
      <c r="U157" s="41"/>
      <c r="V157" s="41"/>
    </row>
    <row r="158" spans="1:22" ht="15.75" customHeight="1">
      <c r="A158" s="41"/>
      <c r="B158" s="41"/>
      <c r="C158" s="65"/>
      <c r="D158" s="41"/>
      <c r="E158" s="41"/>
      <c r="F158" s="41"/>
      <c r="G158" s="41"/>
      <c r="H158" s="41"/>
      <c r="I158" s="41"/>
      <c r="J158" s="41"/>
      <c r="K158" s="41"/>
      <c r="L158" s="41"/>
      <c r="M158" s="41"/>
      <c r="N158" s="41"/>
      <c r="O158" s="41"/>
      <c r="P158" s="41"/>
      <c r="Q158" s="41"/>
      <c r="R158" s="41"/>
      <c r="S158" s="41"/>
      <c r="T158" s="41"/>
      <c r="U158" s="41"/>
      <c r="V158" s="41"/>
    </row>
    <row r="159" spans="1:22" ht="15.75" customHeight="1">
      <c r="A159" s="41"/>
      <c r="B159" s="41"/>
      <c r="C159" s="65"/>
      <c r="D159" s="41"/>
      <c r="E159" s="41"/>
      <c r="F159" s="41"/>
      <c r="G159" s="41"/>
      <c r="H159" s="41"/>
      <c r="I159" s="41"/>
      <c r="J159" s="41"/>
      <c r="K159" s="41"/>
      <c r="L159" s="41"/>
      <c r="M159" s="41"/>
      <c r="N159" s="41"/>
      <c r="O159" s="41"/>
      <c r="P159" s="41"/>
      <c r="Q159" s="41"/>
      <c r="R159" s="41"/>
      <c r="S159" s="41"/>
      <c r="T159" s="41"/>
      <c r="U159" s="41"/>
      <c r="V159" s="41"/>
    </row>
    <row r="160" spans="1:22" ht="15.75" customHeight="1">
      <c r="A160" s="41"/>
      <c r="B160" s="41"/>
      <c r="C160" s="65"/>
      <c r="D160" s="41"/>
      <c r="E160" s="41"/>
      <c r="F160" s="41"/>
      <c r="G160" s="41"/>
      <c r="H160" s="41"/>
      <c r="I160" s="41"/>
      <c r="J160" s="41"/>
      <c r="K160" s="41"/>
      <c r="L160" s="41"/>
      <c r="M160" s="41"/>
      <c r="N160" s="41"/>
      <c r="O160" s="41"/>
      <c r="P160" s="41"/>
      <c r="Q160" s="41"/>
      <c r="R160" s="41"/>
      <c r="S160" s="41"/>
      <c r="T160" s="41"/>
      <c r="U160" s="41"/>
      <c r="V160" s="41"/>
    </row>
    <row r="161" spans="1:22" ht="15.75" customHeight="1">
      <c r="A161" s="41"/>
      <c r="B161" s="41"/>
      <c r="C161" s="65"/>
      <c r="D161" s="41"/>
      <c r="E161" s="41"/>
      <c r="F161" s="41"/>
      <c r="G161" s="41"/>
      <c r="H161" s="41"/>
      <c r="I161" s="41"/>
      <c r="J161" s="41"/>
      <c r="K161" s="41"/>
      <c r="L161" s="41"/>
      <c r="M161" s="41"/>
      <c r="N161" s="41"/>
      <c r="O161" s="41"/>
      <c r="P161" s="41"/>
      <c r="Q161" s="41"/>
      <c r="R161" s="41"/>
      <c r="S161" s="41"/>
      <c r="T161" s="41"/>
      <c r="U161" s="41"/>
      <c r="V161" s="41"/>
    </row>
    <row r="162" spans="1:22" ht="15.75" customHeight="1">
      <c r="A162" s="41"/>
      <c r="B162" s="41"/>
      <c r="C162" s="65"/>
      <c r="D162" s="41"/>
      <c r="E162" s="41"/>
      <c r="F162" s="41"/>
      <c r="G162" s="41"/>
      <c r="H162" s="41"/>
      <c r="I162" s="41"/>
      <c r="J162" s="41"/>
      <c r="K162" s="41"/>
      <c r="L162" s="41"/>
      <c r="M162" s="41"/>
      <c r="N162" s="41"/>
      <c r="O162" s="41"/>
      <c r="P162" s="41"/>
      <c r="Q162" s="41"/>
      <c r="R162" s="41"/>
      <c r="S162" s="41"/>
      <c r="T162" s="41"/>
      <c r="U162" s="41"/>
      <c r="V162" s="41"/>
    </row>
    <row r="163" spans="1:22" ht="15.75" customHeight="1">
      <c r="A163" s="41"/>
      <c r="B163" s="41"/>
      <c r="C163" s="65"/>
      <c r="D163" s="41"/>
      <c r="E163" s="41"/>
      <c r="F163" s="41"/>
      <c r="G163" s="41"/>
      <c r="H163" s="41"/>
      <c r="I163" s="41"/>
      <c r="J163" s="41"/>
      <c r="K163" s="41"/>
      <c r="L163" s="41"/>
      <c r="M163" s="41"/>
      <c r="N163" s="41"/>
      <c r="O163" s="41"/>
      <c r="P163" s="41"/>
      <c r="Q163" s="41"/>
      <c r="R163" s="41"/>
      <c r="S163" s="41"/>
      <c r="T163" s="41"/>
      <c r="U163" s="41"/>
      <c r="V163" s="41"/>
    </row>
    <row r="164" spans="1:22" ht="15.75" customHeight="1">
      <c r="A164" s="41"/>
      <c r="B164" s="41"/>
      <c r="C164" s="65"/>
      <c r="D164" s="41"/>
      <c r="E164" s="41"/>
      <c r="F164" s="41"/>
      <c r="G164" s="41"/>
      <c r="H164" s="41"/>
      <c r="I164" s="41"/>
      <c r="J164" s="41"/>
      <c r="K164" s="41"/>
      <c r="L164" s="41"/>
      <c r="M164" s="41"/>
      <c r="N164" s="41"/>
      <c r="O164" s="41"/>
      <c r="P164" s="41"/>
      <c r="Q164" s="41"/>
      <c r="R164" s="41"/>
      <c r="S164" s="41"/>
      <c r="T164" s="41"/>
      <c r="U164" s="41"/>
      <c r="V164" s="41"/>
    </row>
    <row r="165" spans="1:22" ht="15.75" customHeight="1">
      <c r="A165" s="41"/>
      <c r="B165" s="41"/>
      <c r="C165" s="65"/>
      <c r="D165" s="41"/>
      <c r="E165" s="41"/>
      <c r="F165" s="41"/>
      <c r="G165" s="41"/>
      <c r="H165" s="41"/>
      <c r="I165" s="41"/>
      <c r="J165" s="41"/>
      <c r="K165" s="41"/>
      <c r="L165" s="41"/>
      <c r="M165" s="41"/>
      <c r="N165" s="41"/>
      <c r="O165" s="41"/>
      <c r="P165" s="41"/>
      <c r="Q165" s="41"/>
      <c r="R165" s="41"/>
      <c r="S165" s="41"/>
      <c r="T165" s="41"/>
      <c r="U165" s="41"/>
      <c r="V165" s="41"/>
    </row>
    <row r="166" spans="1:22" ht="15.75" customHeight="1">
      <c r="A166" s="41"/>
      <c r="B166" s="41"/>
      <c r="C166" s="65"/>
      <c r="D166" s="41"/>
      <c r="E166" s="41"/>
      <c r="F166" s="41"/>
      <c r="G166" s="41"/>
      <c r="H166" s="41"/>
      <c r="I166" s="41"/>
      <c r="J166" s="41"/>
      <c r="K166" s="41"/>
      <c r="L166" s="41"/>
      <c r="M166" s="41"/>
      <c r="N166" s="41"/>
      <c r="O166" s="41"/>
      <c r="P166" s="41"/>
      <c r="Q166" s="41"/>
      <c r="R166" s="41"/>
      <c r="S166" s="41"/>
      <c r="T166" s="41"/>
      <c r="U166" s="41"/>
      <c r="V166" s="41"/>
    </row>
    <row r="167" spans="1:22" ht="15.75" customHeight="1">
      <c r="A167" s="41"/>
      <c r="B167" s="41"/>
      <c r="C167" s="65"/>
      <c r="D167" s="41"/>
      <c r="E167" s="41"/>
      <c r="F167" s="41"/>
      <c r="G167" s="41"/>
      <c r="H167" s="41"/>
      <c r="I167" s="41"/>
      <c r="J167" s="41"/>
      <c r="K167" s="41"/>
      <c r="L167" s="41"/>
      <c r="M167" s="41"/>
      <c r="N167" s="41"/>
      <c r="O167" s="41"/>
      <c r="P167" s="41"/>
      <c r="Q167" s="41"/>
      <c r="R167" s="41"/>
      <c r="S167" s="41"/>
      <c r="T167" s="41"/>
      <c r="U167" s="41"/>
      <c r="V167" s="41"/>
    </row>
    <row r="168" spans="1:22" ht="15.75" customHeight="1">
      <c r="A168" s="41"/>
      <c r="B168" s="41"/>
      <c r="C168" s="65"/>
      <c r="D168" s="41"/>
      <c r="E168" s="41"/>
      <c r="F168" s="41"/>
      <c r="G168" s="41"/>
      <c r="H168" s="41"/>
      <c r="I168" s="41"/>
      <c r="J168" s="41"/>
      <c r="K168" s="41"/>
      <c r="L168" s="41"/>
      <c r="M168" s="41"/>
      <c r="N168" s="41"/>
      <c r="O168" s="41"/>
      <c r="P168" s="41"/>
      <c r="Q168" s="41"/>
      <c r="R168" s="41"/>
      <c r="S168" s="41"/>
      <c r="T168" s="41"/>
      <c r="U168" s="41"/>
      <c r="V168" s="41"/>
    </row>
    <row r="169" spans="1:22" ht="15.75" customHeight="1">
      <c r="A169" s="41"/>
      <c r="B169" s="41"/>
      <c r="C169" s="65"/>
      <c r="D169" s="41"/>
      <c r="E169" s="41"/>
      <c r="F169" s="41"/>
      <c r="G169" s="41"/>
      <c r="H169" s="41"/>
      <c r="I169" s="41"/>
      <c r="J169" s="41"/>
      <c r="K169" s="41"/>
      <c r="L169" s="41"/>
      <c r="M169" s="41"/>
      <c r="N169" s="41"/>
      <c r="O169" s="41"/>
      <c r="P169" s="41"/>
      <c r="Q169" s="41"/>
      <c r="R169" s="41"/>
      <c r="S169" s="41"/>
      <c r="T169" s="41"/>
      <c r="U169" s="41"/>
      <c r="V169" s="41"/>
    </row>
    <row r="170" spans="1:22" ht="15.75" customHeight="1">
      <c r="A170" s="41"/>
      <c r="B170" s="41"/>
      <c r="C170" s="65"/>
      <c r="D170" s="41"/>
      <c r="E170" s="41"/>
      <c r="F170" s="41"/>
      <c r="G170" s="41"/>
      <c r="H170" s="41"/>
      <c r="I170" s="41"/>
      <c r="J170" s="41"/>
      <c r="K170" s="41"/>
      <c r="L170" s="41"/>
      <c r="M170" s="41"/>
      <c r="N170" s="41"/>
      <c r="O170" s="41"/>
      <c r="P170" s="41"/>
      <c r="Q170" s="41"/>
      <c r="R170" s="41"/>
      <c r="S170" s="41"/>
      <c r="T170" s="41"/>
      <c r="U170" s="41"/>
      <c r="V170" s="41"/>
    </row>
    <row r="171" spans="1:22" ht="15.75" customHeight="1">
      <c r="A171" s="41"/>
      <c r="B171" s="41"/>
      <c r="C171" s="65"/>
      <c r="D171" s="41"/>
      <c r="E171" s="41"/>
      <c r="F171" s="41"/>
      <c r="G171" s="41"/>
      <c r="H171" s="41"/>
      <c r="I171" s="41"/>
      <c r="J171" s="41"/>
      <c r="K171" s="41"/>
      <c r="L171" s="41"/>
      <c r="M171" s="41"/>
      <c r="N171" s="41"/>
      <c r="O171" s="41"/>
      <c r="P171" s="41"/>
      <c r="Q171" s="41"/>
      <c r="R171" s="41"/>
      <c r="S171" s="41"/>
      <c r="T171" s="41"/>
      <c r="U171" s="41"/>
      <c r="V171" s="41"/>
    </row>
    <row r="172" spans="1:22" ht="15.75" customHeight="1">
      <c r="A172" s="41"/>
      <c r="B172" s="41"/>
      <c r="C172" s="65"/>
      <c r="D172" s="41"/>
      <c r="E172" s="41"/>
      <c r="F172" s="41"/>
      <c r="G172" s="41"/>
      <c r="H172" s="41"/>
      <c r="I172" s="41"/>
      <c r="J172" s="41"/>
      <c r="K172" s="41"/>
      <c r="L172" s="41"/>
      <c r="M172" s="41"/>
      <c r="N172" s="41"/>
      <c r="O172" s="41"/>
      <c r="P172" s="41"/>
      <c r="Q172" s="41"/>
      <c r="R172" s="41"/>
      <c r="S172" s="41"/>
      <c r="T172" s="41"/>
      <c r="U172" s="41"/>
      <c r="V172" s="41"/>
    </row>
    <row r="173" spans="1:22" ht="15.75" customHeight="1">
      <c r="A173" s="41"/>
      <c r="B173" s="41"/>
      <c r="C173" s="65"/>
      <c r="D173" s="41"/>
      <c r="E173" s="41"/>
      <c r="F173" s="41"/>
      <c r="G173" s="41"/>
      <c r="H173" s="41"/>
      <c r="I173" s="41"/>
      <c r="J173" s="41"/>
      <c r="K173" s="41"/>
      <c r="L173" s="41"/>
      <c r="M173" s="41"/>
      <c r="N173" s="41"/>
      <c r="O173" s="41"/>
      <c r="P173" s="41"/>
      <c r="Q173" s="41"/>
      <c r="R173" s="41"/>
      <c r="S173" s="41"/>
      <c r="T173" s="41"/>
      <c r="U173" s="41"/>
      <c r="V173" s="41"/>
    </row>
    <row r="174" spans="1:22" ht="15.75" customHeight="1">
      <c r="A174" s="41"/>
      <c r="B174" s="41"/>
      <c r="C174" s="65"/>
      <c r="D174" s="41"/>
      <c r="E174" s="41"/>
      <c r="F174" s="41"/>
      <c r="G174" s="41"/>
      <c r="H174" s="41"/>
      <c r="I174" s="41"/>
      <c r="J174" s="41"/>
      <c r="K174" s="41"/>
      <c r="L174" s="41"/>
      <c r="M174" s="41"/>
      <c r="N174" s="41"/>
      <c r="O174" s="41"/>
      <c r="P174" s="41"/>
      <c r="Q174" s="41"/>
      <c r="R174" s="41"/>
      <c r="S174" s="41"/>
      <c r="T174" s="41"/>
      <c r="U174" s="41"/>
      <c r="V174" s="41"/>
    </row>
    <row r="175" spans="1:22" ht="15.75" customHeight="1">
      <c r="A175" s="41"/>
      <c r="B175" s="41"/>
      <c r="C175" s="65"/>
      <c r="D175" s="41"/>
      <c r="E175" s="41"/>
      <c r="F175" s="41"/>
      <c r="G175" s="41"/>
      <c r="H175" s="41"/>
      <c r="I175" s="41"/>
      <c r="J175" s="41"/>
      <c r="K175" s="41"/>
      <c r="L175" s="41"/>
      <c r="M175" s="41"/>
      <c r="N175" s="41"/>
      <c r="O175" s="41"/>
      <c r="P175" s="41"/>
      <c r="Q175" s="41"/>
      <c r="R175" s="41"/>
      <c r="S175" s="41"/>
      <c r="T175" s="41"/>
      <c r="U175" s="41"/>
      <c r="V175" s="41"/>
    </row>
    <row r="176" spans="1:22" ht="15.75" customHeight="1">
      <c r="A176" s="41"/>
      <c r="B176" s="41"/>
      <c r="C176" s="65"/>
      <c r="D176" s="41"/>
      <c r="E176" s="41"/>
      <c r="F176" s="41"/>
      <c r="G176" s="41"/>
      <c r="H176" s="41"/>
      <c r="I176" s="41"/>
      <c r="J176" s="41"/>
      <c r="K176" s="41"/>
      <c r="L176" s="41"/>
      <c r="M176" s="41"/>
      <c r="N176" s="41"/>
      <c r="O176" s="41"/>
      <c r="P176" s="41"/>
      <c r="Q176" s="41"/>
      <c r="R176" s="41"/>
      <c r="S176" s="41"/>
      <c r="T176" s="41"/>
      <c r="U176" s="41"/>
      <c r="V176" s="41"/>
    </row>
    <row r="177" spans="1:22" ht="15.75" customHeight="1">
      <c r="A177" s="41"/>
      <c r="B177" s="41"/>
      <c r="C177" s="65"/>
      <c r="D177" s="41"/>
      <c r="E177" s="41"/>
      <c r="F177" s="41"/>
      <c r="G177" s="41"/>
      <c r="H177" s="41"/>
      <c r="I177" s="41"/>
      <c r="J177" s="41"/>
      <c r="K177" s="41"/>
      <c r="L177" s="41"/>
      <c r="M177" s="41"/>
      <c r="N177" s="41"/>
      <c r="O177" s="41"/>
      <c r="P177" s="41"/>
      <c r="Q177" s="41"/>
      <c r="R177" s="41"/>
      <c r="S177" s="41"/>
      <c r="T177" s="41"/>
      <c r="U177" s="41"/>
      <c r="V177" s="41"/>
    </row>
    <row r="178" spans="1:22" ht="15.75" customHeight="1">
      <c r="A178" s="41"/>
      <c r="B178" s="41"/>
      <c r="C178" s="65"/>
      <c r="D178" s="41"/>
      <c r="E178" s="41"/>
      <c r="F178" s="41"/>
      <c r="G178" s="41"/>
      <c r="H178" s="41"/>
      <c r="I178" s="41"/>
      <c r="J178" s="41"/>
      <c r="K178" s="41"/>
      <c r="L178" s="41"/>
      <c r="M178" s="41"/>
      <c r="N178" s="41"/>
      <c r="O178" s="41"/>
      <c r="P178" s="41"/>
      <c r="Q178" s="41"/>
      <c r="R178" s="41"/>
      <c r="S178" s="41"/>
      <c r="T178" s="41"/>
      <c r="U178" s="41"/>
      <c r="V178" s="41"/>
    </row>
    <row r="179" spans="1:22" ht="15.75" customHeight="1">
      <c r="A179" s="41"/>
      <c r="B179" s="41"/>
      <c r="C179" s="65"/>
      <c r="D179" s="41"/>
      <c r="E179" s="41"/>
      <c r="F179" s="41"/>
      <c r="G179" s="41"/>
      <c r="H179" s="41"/>
      <c r="I179" s="41"/>
      <c r="J179" s="41"/>
      <c r="K179" s="41"/>
      <c r="L179" s="41"/>
      <c r="M179" s="41"/>
      <c r="N179" s="41"/>
      <c r="O179" s="41"/>
      <c r="P179" s="41"/>
      <c r="Q179" s="41"/>
      <c r="R179" s="41"/>
      <c r="S179" s="41"/>
      <c r="T179" s="41"/>
      <c r="U179" s="41"/>
      <c r="V179" s="41"/>
    </row>
    <row r="180" spans="1:22" ht="15.75" customHeight="1">
      <c r="A180" s="41"/>
      <c r="B180" s="41"/>
      <c r="C180" s="65"/>
      <c r="D180" s="41"/>
      <c r="E180" s="41"/>
      <c r="F180" s="41"/>
      <c r="G180" s="41"/>
      <c r="H180" s="41"/>
      <c r="I180" s="41"/>
      <c r="J180" s="41"/>
      <c r="K180" s="41"/>
      <c r="L180" s="41"/>
      <c r="M180" s="41"/>
      <c r="N180" s="41"/>
      <c r="O180" s="41"/>
      <c r="P180" s="41"/>
      <c r="Q180" s="41"/>
      <c r="R180" s="41"/>
      <c r="S180" s="41"/>
      <c r="T180" s="41"/>
      <c r="U180" s="41"/>
      <c r="V180" s="41"/>
    </row>
    <row r="181" spans="1:22" ht="15.75" customHeight="1">
      <c r="A181" s="41"/>
      <c r="B181" s="41"/>
      <c r="C181" s="65"/>
      <c r="D181" s="41"/>
      <c r="E181" s="41"/>
      <c r="F181" s="41"/>
      <c r="G181" s="41"/>
      <c r="H181" s="41"/>
      <c r="I181" s="41"/>
      <c r="J181" s="41"/>
      <c r="K181" s="41"/>
      <c r="L181" s="41"/>
      <c r="M181" s="41"/>
      <c r="N181" s="41"/>
      <c r="O181" s="41"/>
      <c r="P181" s="41"/>
      <c r="Q181" s="41"/>
      <c r="R181" s="41"/>
      <c r="S181" s="41"/>
      <c r="T181" s="41"/>
      <c r="U181" s="41"/>
      <c r="V181" s="41"/>
    </row>
    <row r="182" spans="1:22" ht="15.75" customHeight="1">
      <c r="A182" s="41"/>
      <c r="B182" s="41"/>
      <c r="C182" s="65"/>
      <c r="D182" s="41"/>
      <c r="E182" s="41"/>
      <c r="F182" s="41"/>
      <c r="G182" s="41"/>
      <c r="H182" s="41"/>
      <c r="I182" s="41"/>
      <c r="J182" s="41"/>
      <c r="K182" s="41"/>
      <c r="L182" s="41"/>
      <c r="M182" s="41"/>
      <c r="N182" s="41"/>
      <c r="O182" s="41"/>
      <c r="P182" s="41"/>
      <c r="Q182" s="41"/>
      <c r="R182" s="41"/>
      <c r="S182" s="41"/>
      <c r="T182" s="41"/>
      <c r="U182" s="41"/>
      <c r="V182" s="41"/>
    </row>
    <row r="183" spans="1:22" ht="15.75" customHeight="1">
      <c r="A183" s="41"/>
      <c r="B183" s="41"/>
      <c r="C183" s="65"/>
      <c r="D183" s="41"/>
      <c r="E183" s="41"/>
      <c r="F183" s="41"/>
      <c r="G183" s="41"/>
      <c r="H183" s="41"/>
      <c r="I183" s="41"/>
      <c r="J183" s="41"/>
      <c r="K183" s="41"/>
      <c r="L183" s="41"/>
      <c r="M183" s="41"/>
      <c r="N183" s="41"/>
      <c r="O183" s="41"/>
      <c r="P183" s="41"/>
      <c r="Q183" s="41"/>
      <c r="R183" s="41"/>
      <c r="S183" s="41"/>
      <c r="T183" s="41"/>
      <c r="U183" s="41"/>
      <c r="V183" s="41"/>
    </row>
    <row r="184" spans="1:22" ht="15.75" customHeight="1">
      <c r="A184" s="41"/>
      <c r="B184" s="41"/>
      <c r="C184" s="65"/>
      <c r="D184" s="41"/>
      <c r="E184" s="41"/>
      <c r="F184" s="41"/>
      <c r="G184" s="41"/>
      <c r="H184" s="41"/>
      <c r="I184" s="41"/>
      <c r="J184" s="41"/>
      <c r="K184" s="41"/>
      <c r="L184" s="41"/>
      <c r="M184" s="41"/>
      <c r="N184" s="41"/>
      <c r="O184" s="41"/>
      <c r="P184" s="41"/>
      <c r="Q184" s="41"/>
      <c r="R184" s="41"/>
      <c r="S184" s="41"/>
      <c r="T184" s="41"/>
      <c r="U184" s="41"/>
      <c r="V184" s="41"/>
    </row>
    <row r="185" spans="1:22" ht="15.75" customHeight="1">
      <c r="A185" s="41"/>
      <c r="B185" s="41"/>
      <c r="C185" s="65"/>
      <c r="D185" s="41"/>
      <c r="E185" s="41"/>
      <c r="F185" s="41"/>
      <c r="G185" s="41"/>
      <c r="H185" s="41"/>
      <c r="I185" s="41"/>
      <c r="J185" s="41"/>
      <c r="K185" s="41"/>
      <c r="L185" s="41"/>
      <c r="M185" s="41"/>
      <c r="N185" s="41"/>
      <c r="O185" s="41"/>
      <c r="P185" s="41"/>
      <c r="Q185" s="41"/>
      <c r="R185" s="41"/>
      <c r="S185" s="41"/>
      <c r="T185" s="41"/>
      <c r="U185" s="41"/>
      <c r="V185" s="41"/>
    </row>
    <row r="186" spans="1:22" ht="15.75" customHeight="1">
      <c r="A186" s="41"/>
      <c r="B186" s="41"/>
      <c r="C186" s="65"/>
      <c r="D186" s="41"/>
      <c r="E186" s="41"/>
      <c r="F186" s="41"/>
      <c r="G186" s="41"/>
      <c r="H186" s="41"/>
      <c r="I186" s="41"/>
      <c r="J186" s="41"/>
      <c r="K186" s="41"/>
      <c r="L186" s="41"/>
      <c r="M186" s="41"/>
      <c r="N186" s="41"/>
      <c r="O186" s="41"/>
      <c r="P186" s="41"/>
      <c r="Q186" s="41"/>
      <c r="R186" s="41"/>
      <c r="S186" s="41"/>
      <c r="T186" s="41"/>
      <c r="U186" s="41"/>
      <c r="V186" s="41"/>
    </row>
    <row r="187" spans="1:22" ht="15.75" customHeight="1">
      <c r="A187" s="41"/>
      <c r="B187" s="41"/>
      <c r="C187" s="65"/>
      <c r="D187" s="41"/>
      <c r="E187" s="41"/>
      <c r="F187" s="41"/>
      <c r="G187" s="41"/>
      <c r="H187" s="41"/>
      <c r="I187" s="41"/>
      <c r="J187" s="41"/>
      <c r="K187" s="41"/>
      <c r="L187" s="41"/>
      <c r="M187" s="41"/>
      <c r="N187" s="41"/>
      <c r="O187" s="41"/>
      <c r="P187" s="41"/>
      <c r="Q187" s="41"/>
      <c r="R187" s="41"/>
      <c r="S187" s="41"/>
      <c r="T187" s="41"/>
      <c r="U187" s="41"/>
      <c r="V187" s="41"/>
    </row>
    <row r="188" spans="1:22" ht="15.75" customHeight="1">
      <c r="A188" s="41"/>
      <c r="B188" s="41"/>
      <c r="C188" s="65"/>
      <c r="D188" s="41"/>
      <c r="E188" s="41"/>
      <c r="F188" s="41"/>
      <c r="G188" s="41"/>
      <c r="H188" s="41"/>
      <c r="I188" s="41"/>
      <c r="J188" s="41"/>
      <c r="K188" s="41"/>
      <c r="L188" s="41"/>
      <c r="M188" s="41"/>
      <c r="N188" s="41"/>
      <c r="O188" s="41"/>
      <c r="P188" s="41"/>
      <c r="Q188" s="41"/>
      <c r="R188" s="41"/>
      <c r="S188" s="41"/>
      <c r="T188" s="41"/>
      <c r="U188" s="41"/>
      <c r="V188" s="41"/>
    </row>
    <row r="189" spans="1:22" ht="15.75" customHeight="1">
      <c r="A189" s="41"/>
      <c r="B189" s="41"/>
      <c r="C189" s="65"/>
      <c r="D189" s="41"/>
      <c r="E189" s="41"/>
      <c r="F189" s="41"/>
      <c r="G189" s="41"/>
      <c r="H189" s="41"/>
      <c r="I189" s="41"/>
      <c r="J189" s="41"/>
      <c r="K189" s="41"/>
      <c r="L189" s="41"/>
      <c r="M189" s="41"/>
      <c r="N189" s="41"/>
      <c r="O189" s="41"/>
      <c r="P189" s="41"/>
      <c r="Q189" s="41"/>
      <c r="R189" s="41"/>
      <c r="S189" s="41"/>
      <c r="T189" s="41"/>
      <c r="U189" s="41"/>
      <c r="V189" s="41"/>
    </row>
    <row r="190" spans="1:22" ht="15.75" customHeight="1">
      <c r="A190" s="41"/>
      <c r="B190" s="41"/>
      <c r="C190" s="65"/>
      <c r="D190" s="41"/>
      <c r="E190" s="41"/>
      <c r="F190" s="41"/>
      <c r="G190" s="41"/>
      <c r="H190" s="41"/>
      <c r="I190" s="41"/>
      <c r="J190" s="41"/>
      <c r="K190" s="41"/>
      <c r="L190" s="41"/>
      <c r="M190" s="41"/>
      <c r="N190" s="41"/>
      <c r="O190" s="41"/>
      <c r="P190" s="41"/>
      <c r="Q190" s="41"/>
      <c r="R190" s="41"/>
      <c r="S190" s="41"/>
      <c r="T190" s="41"/>
      <c r="U190" s="41"/>
      <c r="V190" s="41"/>
    </row>
    <row r="191" spans="1:22" ht="15.75" customHeight="1">
      <c r="A191" s="41"/>
      <c r="B191" s="41"/>
      <c r="C191" s="65"/>
      <c r="D191" s="41"/>
      <c r="E191" s="41"/>
      <c r="F191" s="41"/>
      <c r="G191" s="41"/>
      <c r="H191" s="41"/>
      <c r="I191" s="41"/>
      <c r="J191" s="41"/>
      <c r="K191" s="41"/>
      <c r="L191" s="41"/>
      <c r="M191" s="41"/>
      <c r="N191" s="41"/>
      <c r="O191" s="41"/>
      <c r="P191" s="41"/>
      <c r="Q191" s="41"/>
      <c r="R191" s="41"/>
      <c r="S191" s="41"/>
      <c r="T191" s="41"/>
      <c r="U191" s="41"/>
      <c r="V191" s="41"/>
    </row>
    <row r="192" spans="1:22" ht="15.75" customHeight="1">
      <c r="A192" s="41"/>
      <c r="B192" s="41"/>
      <c r="C192" s="65"/>
      <c r="D192" s="41"/>
      <c r="E192" s="41"/>
      <c r="F192" s="41"/>
      <c r="G192" s="41"/>
      <c r="H192" s="41"/>
      <c r="I192" s="41"/>
      <c r="J192" s="41"/>
      <c r="K192" s="41"/>
      <c r="L192" s="41"/>
      <c r="M192" s="41"/>
      <c r="N192" s="41"/>
      <c r="O192" s="41"/>
      <c r="P192" s="41"/>
      <c r="Q192" s="41"/>
      <c r="R192" s="41"/>
      <c r="S192" s="41"/>
      <c r="T192" s="41"/>
      <c r="U192" s="41"/>
      <c r="V192" s="41"/>
    </row>
    <row r="193" spans="1:22" ht="15.75" customHeight="1">
      <c r="A193" s="41"/>
      <c r="B193" s="41"/>
      <c r="C193" s="65"/>
      <c r="D193" s="41"/>
      <c r="E193" s="41"/>
      <c r="F193" s="41"/>
      <c r="G193" s="41"/>
      <c r="H193" s="41"/>
      <c r="I193" s="41"/>
      <c r="J193" s="41"/>
      <c r="K193" s="41"/>
      <c r="L193" s="41"/>
      <c r="M193" s="41"/>
      <c r="N193" s="41"/>
      <c r="O193" s="41"/>
      <c r="P193" s="41"/>
      <c r="Q193" s="41"/>
      <c r="R193" s="41"/>
      <c r="S193" s="41"/>
      <c r="T193" s="41"/>
      <c r="U193" s="41"/>
      <c r="V193" s="41"/>
    </row>
    <row r="194" spans="1:22" ht="15.75" customHeight="1">
      <c r="A194" s="41"/>
      <c r="B194" s="41"/>
      <c r="C194" s="65"/>
      <c r="D194" s="41"/>
      <c r="E194" s="41"/>
      <c r="F194" s="41"/>
      <c r="G194" s="41"/>
      <c r="H194" s="41"/>
      <c r="I194" s="41"/>
      <c r="J194" s="41"/>
      <c r="K194" s="41"/>
      <c r="L194" s="41"/>
      <c r="M194" s="41"/>
      <c r="N194" s="41"/>
      <c r="O194" s="41"/>
      <c r="P194" s="41"/>
      <c r="Q194" s="41"/>
      <c r="R194" s="41"/>
      <c r="S194" s="41"/>
      <c r="T194" s="41"/>
      <c r="U194" s="41"/>
      <c r="V194" s="41"/>
    </row>
    <row r="195" spans="1:22" ht="15.75" customHeight="1">
      <c r="A195" s="41"/>
      <c r="B195" s="41"/>
      <c r="C195" s="65"/>
      <c r="D195" s="41"/>
      <c r="E195" s="41"/>
      <c r="F195" s="41"/>
      <c r="G195" s="41"/>
      <c r="H195" s="41"/>
      <c r="I195" s="41"/>
      <c r="J195" s="41"/>
      <c r="K195" s="41"/>
      <c r="L195" s="41"/>
      <c r="M195" s="41"/>
      <c r="N195" s="41"/>
      <c r="O195" s="41"/>
      <c r="P195" s="41"/>
      <c r="Q195" s="41"/>
      <c r="R195" s="41"/>
      <c r="S195" s="41"/>
      <c r="T195" s="41"/>
      <c r="U195" s="41"/>
      <c r="V195" s="41"/>
    </row>
    <row r="196" spans="1:22" ht="15.75" customHeight="1">
      <c r="A196" s="41"/>
      <c r="B196" s="41"/>
      <c r="C196" s="65"/>
      <c r="D196" s="41"/>
      <c r="E196" s="41"/>
      <c r="F196" s="41"/>
      <c r="G196" s="41"/>
      <c r="H196" s="41"/>
      <c r="I196" s="41"/>
      <c r="J196" s="41"/>
      <c r="K196" s="41"/>
      <c r="L196" s="41"/>
      <c r="M196" s="41"/>
      <c r="N196" s="41"/>
      <c r="O196" s="41"/>
      <c r="P196" s="41"/>
      <c r="Q196" s="41"/>
      <c r="R196" s="41"/>
      <c r="S196" s="41"/>
      <c r="T196" s="41"/>
      <c r="U196" s="41"/>
      <c r="V196" s="41"/>
    </row>
    <row r="197" spans="1:22" ht="15.75" customHeight="1">
      <c r="A197" s="41"/>
      <c r="B197" s="41"/>
      <c r="C197" s="65"/>
      <c r="D197" s="41"/>
      <c r="E197" s="41"/>
      <c r="F197" s="41"/>
      <c r="G197" s="41"/>
      <c r="H197" s="41"/>
      <c r="I197" s="41"/>
      <c r="J197" s="41"/>
      <c r="K197" s="41"/>
      <c r="L197" s="41"/>
      <c r="M197" s="41"/>
      <c r="N197" s="41"/>
      <c r="O197" s="41"/>
      <c r="P197" s="41"/>
      <c r="Q197" s="41"/>
      <c r="R197" s="41"/>
      <c r="S197" s="41"/>
      <c r="T197" s="41"/>
      <c r="U197" s="41"/>
      <c r="V197" s="41"/>
    </row>
    <row r="198" spans="1:22" ht="15.75" customHeight="1">
      <c r="A198" s="41"/>
      <c r="B198" s="41"/>
      <c r="C198" s="65"/>
      <c r="D198" s="41"/>
      <c r="E198" s="41"/>
      <c r="F198" s="41"/>
      <c r="G198" s="41"/>
      <c r="H198" s="41"/>
      <c r="I198" s="41"/>
      <c r="J198" s="41"/>
      <c r="K198" s="41"/>
      <c r="L198" s="41"/>
      <c r="M198" s="41"/>
      <c r="N198" s="41"/>
      <c r="O198" s="41"/>
      <c r="P198" s="41"/>
      <c r="Q198" s="41"/>
      <c r="R198" s="41"/>
      <c r="S198" s="41"/>
      <c r="T198" s="41"/>
      <c r="U198" s="41"/>
      <c r="V198" s="41"/>
    </row>
    <row r="199" spans="1:22" ht="15.75" customHeight="1">
      <c r="A199" s="41"/>
      <c r="B199" s="41"/>
      <c r="C199" s="65"/>
      <c r="D199" s="41"/>
      <c r="E199" s="41"/>
      <c r="F199" s="41"/>
      <c r="G199" s="41"/>
      <c r="H199" s="41"/>
      <c r="I199" s="41"/>
      <c r="J199" s="41"/>
      <c r="K199" s="41"/>
      <c r="L199" s="41"/>
      <c r="M199" s="41"/>
      <c r="N199" s="41"/>
      <c r="O199" s="41"/>
      <c r="P199" s="41"/>
      <c r="Q199" s="41"/>
      <c r="R199" s="41"/>
      <c r="S199" s="41"/>
      <c r="T199" s="41"/>
      <c r="U199" s="41"/>
      <c r="V199" s="41"/>
    </row>
    <row r="200" spans="1:22" ht="15.75" customHeight="1">
      <c r="A200" s="41"/>
      <c r="B200" s="41"/>
      <c r="C200" s="65"/>
      <c r="D200" s="41"/>
      <c r="E200" s="41"/>
      <c r="F200" s="41"/>
      <c r="G200" s="41"/>
      <c r="H200" s="41"/>
      <c r="I200" s="41"/>
      <c r="J200" s="41"/>
      <c r="K200" s="41"/>
      <c r="L200" s="41"/>
      <c r="M200" s="41"/>
      <c r="N200" s="41"/>
      <c r="O200" s="41"/>
      <c r="P200" s="41"/>
      <c r="Q200" s="41"/>
      <c r="R200" s="41"/>
      <c r="S200" s="41"/>
      <c r="T200" s="41"/>
      <c r="U200" s="41"/>
      <c r="V200" s="41"/>
    </row>
    <row r="201" spans="1:22" ht="15.75" customHeight="1">
      <c r="A201" s="41"/>
      <c r="B201" s="41"/>
      <c r="C201" s="65"/>
      <c r="D201" s="41"/>
      <c r="E201" s="41"/>
      <c r="F201" s="41"/>
      <c r="G201" s="41"/>
      <c r="H201" s="41"/>
      <c r="I201" s="41"/>
      <c r="J201" s="41"/>
      <c r="K201" s="41"/>
      <c r="L201" s="41"/>
      <c r="M201" s="41"/>
      <c r="N201" s="41"/>
      <c r="O201" s="41"/>
      <c r="P201" s="41"/>
      <c r="Q201" s="41"/>
      <c r="R201" s="41"/>
      <c r="S201" s="41"/>
      <c r="T201" s="41"/>
      <c r="U201" s="41"/>
      <c r="V201" s="41"/>
    </row>
    <row r="202" spans="1:22" ht="15.75" customHeight="1">
      <c r="A202" s="41"/>
      <c r="B202" s="41"/>
      <c r="C202" s="65"/>
      <c r="D202" s="41"/>
      <c r="E202" s="41"/>
      <c r="F202" s="41"/>
      <c r="G202" s="41"/>
      <c r="H202" s="41"/>
      <c r="I202" s="41"/>
      <c r="J202" s="41"/>
      <c r="K202" s="41"/>
      <c r="L202" s="41"/>
      <c r="M202" s="41"/>
      <c r="N202" s="41"/>
      <c r="O202" s="41"/>
      <c r="P202" s="41"/>
      <c r="Q202" s="41"/>
      <c r="R202" s="41"/>
      <c r="S202" s="41"/>
      <c r="T202" s="41"/>
      <c r="U202" s="41"/>
      <c r="V202" s="41"/>
    </row>
    <row r="203" spans="1:22" ht="15.75" customHeight="1">
      <c r="A203" s="41"/>
      <c r="B203" s="41"/>
      <c r="C203" s="65"/>
      <c r="D203" s="41"/>
      <c r="E203" s="41"/>
      <c r="F203" s="41"/>
      <c r="G203" s="41"/>
      <c r="H203" s="41"/>
      <c r="I203" s="41"/>
      <c r="J203" s="41"/>
      <c r="K203" s="41"/>
      <c r="L203" s="41"/>
      <c r="M203" s="41"/>
      <c r="N203" s="41"/>
      <c r="O203" s="41"/>
      <c r="P203" s="41"/>
      <c r="Q203" s="41"/>
      <c r="R203" s="41"/>
      <c r="S203" s="41"/>
      <c r="T203" s="41"/>
      <c r="U203" s="41"/>
      <c r="V203" s="41"/>
    </row>
    <row r="204" spans="1:22" ht="15.75" customHeight="1">
      <c r="A204" s="41"/>
      <c r="B204" s="41"/>
      <c r="C204" s="65"/>
      <c r="D204" s="41"/>
      <c r="E204" s="41"/>
      <c r="F204" s="41"/>
      <c r="G204" s="41"/>
      <c r="H204" s="41"/>
      <c r="I204" s="41"/>
      <c r="J204" s="41"/>
      <c r="K204" s="41"/>
      <c r="L204" s="41"/>
      <c r="M204" s="41"/>
      <c r="N204" s="41"/>
      <c r="O204" s="41"/>
      <c r="P204" s="41"/>
      <c r="Q204" s="41"/>
      <c r="R204" s="41"/>
      <c r="S204" s="41"/>
      <c r="T204" s="41"/>
      <c r="U204" s="41"/>
      <c r="V204" s="41"/>
    </row>
    <row r="205" spans="1:22" ht="15.75" customHeight="1">
      <c r="A205" s="41"/>
      <c r="B205" s="41"/>
      <c r="C205" s="65"/>
      <c r="D205" s="41"/>
      <c r="E205" s="41"/>
      <c r="F205" s="41"/>
      <c r="G205" s="41"/>
      <c r="H205" s="41"/>
      <c r="I205" s="41"/>
      <c r="J205" s="41"/>
      <c r="K205" s="41"/>
      <c r="L205" s="41"/>
      <c r="M205" s="41"/>
      <c r="N205" s="41"/>
      <c r="O205" s="41"/>
      <c r="P205" s="41"/>
      <c r="Q205" s="41"/>
      <c r="R205" s="41"/>
      <c r="S205" s="41"/>
      <c r="T205" s="41"/>
      <c r="U205" s="41"/>
      <c r="V205" s="41"/>
    </row>
    <row r="206" spans="1:22" ht="15.75" customHeight="1">
      <c r="A206" s="41"/>
      <c r="B206" s="41"/>
      <c r="C206" s="65"/>
      <c r="D206" s="41"/>
      <c r="E206" s="41"/>
      <c r="F206" s="41"/>
      <c r="G206" s="41"/>
      <c r="H206" s="41"/>
      <c r="I206" s="41"/>
      <c r="J206" s="41"/>
      <c r="K206" s="41"/>
      <c r="L206" s="41"/>
      <c r="M206" s="41"/>
      <c r="N206" s="41"/>
      <c r="O206" s="41"/>
      <c r="P206" s="41"/>
      <c r="Q206" s="41"/>
      <c r="R206" s="41"/>
      <c r="S206" s="41"/>
      <c r="T206" s="41"/>
      <c r="U206" s="41"/>
      <c r="V206" s="41"/>
    </row>
    <row r="207" spans="1:22" ht="15.75" customHeight="1">
      <c r="A207" s="41"/>
      <c r="B207" s="41"/>
      <c r="C207" s="65"/>
      <c r="D207" s="41"/>
      <c r="E207" s="41"/>
      <c r="F207" s="41"/>
      <c r="G207" s="41"/>
      <c r="H207" s="41"/>
      <c r="I207" s="41"/>
      <c r="J207" s="41"/>
      <c r="K207" s="41"/>
      <c r="L207" s="41"/>
      <c r="M207" s="41"/>
      <c r="N207" s="41"/>
      <c r="O207" s="41"/>
      <c r="P207" s="41"/>
      <c r="Q207" s="41"/>
      <c r="R207" s="41"/>
      <c r="S207" s="41"/>
      <c r="T207" s="41"/>
      <c r="U207" s="41"/>
      <c r="V207" s="41"/>
    </row>
    <row r="208" spans="1:22" ht="15.75" customHeight="1">
      <c r="A208" s="41"/>
      <c r="B208" s="41"/>
      <c r="C208" s="65"/>
      <c r="D208" s="41"/>
      <c r="E208" s="41"/>
      <c r="F208" s="41"/>
      <c r="G208" s="41"/>
      <c r="H208" s="41"/>
      <c r="I208" s="41"/>
      <c r="J208" s="41"/>
      <c r="K208" s="41"/>
      <c r="L208" s="41"/>
      <c r="M208" s="41"/>
      <c r="N208" s="41"/>
      <c r="O208" s="41"/>
      <c r="P208" s="41"/>
      <c r="Q208" s="41"/>
      <c r="R208" s="41"/>
      <c r="S208" s="41"/>
      <c r="T208" s="41"/>
      <c r="U208" s="41"/>
      <c r="V208" s="41"/>
    </row>
    <row r="209" spans="1:22" ht="15.75" customHeight="1">
      <c r="A209" s="41"/>
      <c r="B209" s="41"/>
      <c r="C209" s="65"/>
      <c r="D209" s="41"/>
      <c r="E209" s="41"/>
      <c r="F209" s="41"/>
      <c r="G209" s="41"/>
      <c r="H209" s="41"/>
      <c r="I209" s="41"/>
      <c r="J209" s="41"/>
      <c r="K209" s="41"/>
      <c r="L209" s="41"/>
      <c r="M209" s="41"/>
      <c r="N209" s="41"/>
      <c r="O209" s="41"/>
      <c r="P209" s="41"/>
      <c r="Q209" s="41"/>
      <c r="R209" s="41"/>
      <c r="S209" s="41"/>
      <c r="T209" s="41"/>
      <c r="U209" s="41"/>
      <c r="V209" s="41"/>
    </row>
    <row r="210" spans="1:22" ht="15.75" customHeight="1">
      <c r="A210" s="41"/>
      <c r="B210" s="41"/>
      <c r="C210" s="65"/>
      <c r="D210" s="41"/>
      <c r="E210" s="41"/>
      <c r="F210" s="41"/>
      <c r="G210" s="41"/>
      <c r="H210" s="41"/>
      <c r="I210" s="41"/>
      <c r="J210" s="41"/>
      <c r="K210" s="41"/>
      <c r="L210" s="41"/>
      <c r="M210" s="41"/>
      <c r="N210" s="41"/>
      <c r="O210" s="41"/>
      <c r="P210" s="41"/>
      <c r="Q210" s="41"/>
      <c r="R210" s="41"/>
      <c r="S210" s="41"/>
      <c r="T210" s="41"/>
      <c r="U210" s="41"/>
      <c r="V210" s="41"/>
    </row>
    <row r="211" spans="1:22" ht="15.75" customHeight="1">
      <c r="A211" s="41"/>
      <c r="B211" s="41"/>
      <c r="C211" s="65"/>
      <c r="D211" s="41"/>
      <c r="E211" s="41"/>
      <c r="F211" s="41"/>
      <c r="G211" s="41"/>
      <c r="H211" s="41"/>
      <c r="I211" s="41"/>
      <c r="J211" s="41"/>
      <c r="K211" s="41"/>
      <c r="L211" s="41"/>
      <c r="M211" s="41"/>
      <c r="N211" s="41"/>
      <c r="O211" s="41"/>
      <c r="P211" s="41"/>
      <c r="Q211" s="41"/>
      <c r="R211" s="41"/>
      <c r="S211" s="41"/>
      <c r="T211" s="41"/>
      <c r="U211" s="41"/>
      <c r="V211" s="41"/>
    </row>
    <row r="212" spans="1:22" ht="15.75" customHeight="1">
      <c r="A212" s="41"/>
      <c r="B212" s="41"/>
      <c r="C212" s="65"/>
      <c r="D212" s="41"/>
      <c r="E212" s="41"/>
      <c r="F212" s="41"/>
      <c r="G212" s="41"/>
      <c r="H212" s="41"/>
      <c r="I212" s="41"/>
      <c r="J212" s="41"/>
      <c r="K212" s="41"/>
      <c r="L212" s="41"/>
      <c r="M212" s="41"/>
      <c r="N212" s="41"/>
      <c r="O212" s="41"/>
      <c r="P212" s="41"/>
      <c r="Q212" s="41"/>
      <c r="R212" s="41"/>
      <c r="S212" s="41"/>
      <c r="T212" s="41"/>
      <c r="U212" s="41"/>
      <c r="V212" s="41"/>
    </row>
    <row r="213" spans="1:22" ht="15.75" customHeight="1">
      <c r="A213" s="41"/>
      <c r="B213" s="41"/>
      <c r="C213" s="65"/>
      <c r="D213" s="41"/>
      <c r="E213" s="41"/>
      <c r="F213" s="41"/>
      <c r="G213" s="41"/>
      <c r="H213" s="41"/>
      <c r="I213" s="41"/>
      <c r="J213" s="41"/>
      <c r="K213" s="41"/>
      <c r="L213" s="41"/>
      <c r="M213" s="41"/>
      <c r="N213" s="41"/>
      <c r="O213" s="41"/>
      <c r="P213" s="41"/>
      <c r="Q213" s="41"/>
      <c r="R213" s="41"/>
      <c r="S213" s="41"/>
      <c r="T213" s="41"/>
      <c r="U213" s="41"/>
      <c r="V213" s="41"/>
    </row>
    <row r="214" spans="1:22" ht="15.75" customHeight="1">
      <c r="A214" s="41"/>
      <c r="B214" s="41"/>
      <c r="C214" s="65"/>
      <c r="D214" s="41"/>
      <c r="E214" s="41"/>
      <c r="F214" s="41"/>
      <c r="G214" s="41"/>
      <c r="H214" s="41"/>
      <c r="I214" s="41"/>
      <c r="J214" s="41"/>
      <c r="K214" s="41"/>
      <c r="L214" s="41"/>
      <c r="M214" s="41"/>
      <c r="N214" s="41"/>
      <c r="O214" s="41"/>
      <c r="P214" s="41"/>
      <c r="Q214" s="41"/>
      <c r="R214" s="41"/>
      <c r="S214" s="41"/>
      <c r="T214" s="41"/>
      <c r="U214" s="41"/>
      <c r="V214" s="41"/>
    </row>
    <row r="215" spans="1:22" ht="15.75" customHeight="1">
      <c r="A215" s="41"/>
      <c r="B215" s="41"/>
      <c r="C215" s="65"/>
      <c r="D215" s="41"/>
      <c r="E215" s="41"/>
      <c r="F215" s="41"/>
      <c r="G215" s="41"/>
      <c r="H215" s="41"/>
      <c r="I215" s="41"/>
      <c r="J215" s="41"/>
      <c r="K215" s="41"/>
      <c r="L215" s="41"/>
      <c r="M215" s="41"/>
      <c r="N215" s="41"/>
      <c r="O215" s="41"/>
      <c r="P215" s="41"/>
      <c r="Q215" s="41"/>
      <c r="R215" s="41"/>
      <c r="S215" s="41"/>
      <c r="T215" s="41"/>
      <c r="U215" s="41"/>
      <c r="V215" s="41"/>
    </row>
    <row r="216" spans="1:22" ht="15.75" customHeight="1">
      <c r="A216" s="41"/>
      <c r="B216" s="41"/>
      <c r="C216" s="65"/>
      <c r="D216" s="41"/>
      <c r="E216" s="41"/>
      <c r="F216" s="41"/>
      <c r="G216" s="41"/>
      <c r="H216" s="41"/>
      <c r="I216" s="41"/>
      <c r="J216" s="41"/>
      <c r="K216" s="41"/>
      <c r="L216" s="41"/>
      <c r="M216" s="41"/>
      <c r="N216" s="41"/>
      <c r="O216" s="41"/>
      <c r="P216" s="41"/>
      <c r="Q216" s="41"/>
      <c r="R216" s="41"/>
      <c r="S216" s="41"/>
      <c r="T216" s="41"/>
      <c r="U216" s="41"/>
      <c r="V216" s="41"/>
    </row>
    <row r="217" spans="1:22" ht="15.75" customHeight="1">
      <c r="A217" s="41"/>
      <c r="B217" s="41"/>
      <c r="C217" s="65"/>
      <c r="D217" s="41"/>
      <c r="E217" s="41"/>
      <c r="F217" s="41"/>
      <c r="G217" s="41"/>
      <c r="H217" s="41"/>
      <c r="I217" s="41"/>
      <c r="J217" s="41"/>
      <c r="K217" s="41"/>
      <c r="L217" s="41"/>
      <c r="M217" s="41"/>
      <c r="N217" s="41"/>
      <c r="O217" s="41"/>
      <c r="P217" s="41"/>
      <c r="Q217" s="41"/>
      <c r="R217" s="41"/>
      <c r="S217" s="41"/>
      <c r="T217" s="41"/>
      <c r="U217" s="41"/>
      <c r="V217" s="41"/>
    </row>
    <row r="218" spans="1:22" ht="15.75" customHeight="1">
      <c r="A218" s="41"/>
      <c r="B218" s="41"/>
      <c r="C218" s="65"/>
      <c r="D218" s="41"/>
      <c r="E218" s="41"/>
      <c r="F218" s="41"/>
      <c r="G218" s="41"/>
      <c r="H218" s="41"/>
      <c r="I218" s="41"/>
      <c r="J218" s="41"/>
      <c r="K218" s="41"/>
      <c r="L218" s="41"/>
      <c r="M218" s="41"/>
      <c r="N218" s="41"/>
      <c r="O218" s="41"/>
      <c r="P218" s="41"/>
      <c r="Q218" s="41"/>
      <c r="R218" s="41"/>
      <c r="S218" s="41"/>
      <c r="T218" s="41"/>
      <c r="U218" s="41"/>
      <c r="V218" s="41"/>
    </row>
    <row r="219" spans="1:22" ht="15.75" customHeight="1">
      <c r="A219" s="41"/>
      <c r="B219" s="41"/>
      <c r="C219" s="65"/>
      <c r="D219" s="41"/>
      <c r="E219" s="41"/>
      <c r="F219" s="41"/>
      <c r="G219" s="41"/>
      <c r="H219" s="41"/>
      <c r="I219" s="41"/>
      <c r="J219" s="41"/>
      <c r="K219" s="41"/>
      <c r="L219" s="41"/>
      <c r="M219" s="41"/>
      <c r="N219" s="41"/>
      <c r="O219" s="41"/>
      <c r="P219" s="41"/>
      <c r="Q219" s="41"/>
      <c r="R219" s="41"/>
      <c r="S219" s="41"/>
      <c r="T219" s="41"/>
      <c r="U219" s="41"/>
      <c r="V219" s="41"/>
    </row>
    <row r="220" spans="1:22" ht="15.75" customHeight="1">
      <c r="A220" s="41"/>
      <c r="B220" s="41"/>
      <c r="C220" s="65"/>
      <c r="D220" s="41"/>
      <c r="E220" s="41"/>
      <c r="F220" s="41"/>
      <c r="G220" s="41"/>
      <c r="H220" s="41"/>
      <c r="I220" s="41"/>
      <c r="J220" s="41"/>
      <c r="K220" s="41"/>
      <c r="L220" s="41"/>
      <c r="M220" s="41"/>
      <c r="N220" s="41"/>
      <c r="O220" s="41"/>
      <c r="P220" s="41"/>
      <c r="Q220" s="41"/>
      <c r="R220" s="41"/>
      <c r="S220" s="41"/>
      <c r="T220" s="41"/>
      <c r="U220" s="41"/>
      <c r="V220" s="41"/>
    </row>
    <row r="221" spans="1:22" ht="15.75" customHeight="1"/>
    <row r="222" spans="1:22" ht="15.75" customHeight="1"/>
    <row r="223" spans="1:22" ht="15.75" customHeight="1"/>
    <row r="224" spans="1: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A1:D1"/>
    <mergeCell ref="A20:C20"/>
    <mergeCell ref="F20:H20"/>
    <mergeCell ref="F1:I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01"/>
  <sheetViews>
    <sheetView tabSelected="1" zoomScale="125" zoomScaleNormal="100" workbookViewId="0">
      <selection activeCell="G64" sqref="G64"/>
    </sheetView>
  </sheetViews>
  <sheetFormatPr defaultColWidth="14.42578125" defaultRowHeight="15" customHeight="1"/>
  <cols>
    <col min="1" max="1" width="70.42578125" customWidth="1"/>
    <col min="2" max="2" width="25" customWidth="1"/>
    <col min="3" max="3" width="23.42578125" customWidth="1"/>
    <col min="4" max="4" width="12.7109375" customWidth="1"/>
    <col min="5" max="5" width="14.7109375" customWidth="1"/>
    <col min="6" max="6" width="19.28515625" bestFit="1" customWidth="1"/>
    <col min="7" max="7" width="72.85546875" customWidth="1"/>
    <col min="8" max="8" width="29.7109375" customWidth="1"/>
    <col min="9" max="9" width="25.140625" customWidth="1"/>
    <col min="10" max="10" width="14.140625" customWidth="1"/>
    <col min="11" max="11" width="15.28515625" customWidth="1"/>
    <col min="12" max="12" width="19.28515625" bestFit="1" customWidth="1"/>
    <col min="13" max="20" width="9.28515625" customWidth="1"/>
  </cols>
  <sheetData>
    <row r="1" spans="1:20" ht="21">
      <c r="A1" s="100" t="s">
        <v>169</v>
      </c>
      <c r="B1" s="100"/>
      <c r="C1" s="100"/>
      <c r="D1" s="100"/>
      <c r="E1" s="100"/>
      <c r="F1" s="100"/>
      <c r="G1" s="100"/>
      <c r="H1" s="100"/>
      <c r="I1" s="100"/>
      <c r="J1" s="100"/>
      <c r="K1" s="100"/>
      <c r="L1" s="100"/>
      <c r="M1" s="41"/>
      <c r="N1" s="41"/>
      <c r="O1" s="41"/>
      <c r="P1" s="41"/>
      <c r="Q1" s="41"/>
      <c r="R1" s="41"/>
      <c r="S1" s="41"/>
      <c r="T1" s="41"/>
    </row>
    <row r="2" spans="1:20" hidden="1">
      <c r="A2" s="41"/>
      <c r="B2" s="41"/>
      <c r="C2" s="66"/>
      <c r="D2" s="41"/>
      <c r="E2" s="41"/>
      <c r="F2" s="41"/>
      <c r="G2" s="41"/>
      <c r="H2" s="41"/>
      <c r="I2" s="41"/>
      <c r="J2" s="41"/>
      <c r="K2" s="41"/>
      <c r="L2" s="41"/>
      <c r="M2" s="41"/>
      <c r="N2" s="41"/>
      <c r="O2" s="41"/>
      <c r="P2" s="41"/>
      <c r="Q2" s="41"/>
      <c r="R2" s="41"/>
      <c r="S2" s="41"/>
      <c r="T2" s="41"/>
    </row>
    <row r="3" spans="1:20">
      <c r="A3" s="101" t="s">
        <v>138</v>
      </c>
      <c r="B3" s="101"/>
      <c r="C3" s="101"/>
      <c r="D3" s="101"/>
      <c r="E3" s="101"/>
      <c r="F3" s="101"/>
      <c r="G3" s="102" t="s">
        <v>139</v>
      </c>
      <c r="H3" s="102"/>
      <c r="I3" s="102"/>
      <c r="J3" s="102"/>
      <c r="K3" s="102"/>
      <c r="L3" s="102"/>
      <c r="M3" s="41"/>
      <c r="N3" s="41"/>
      <c r="O3" s="41"/>
      <c r="P3" s="41"/>
      <c r="Q3" s="41"/>
      <c r="R3" s="41"/>
      <c r="S3" s="41"/>
      <c r="T3" s="41"/>
    </row>
    <row r="4" spans="1:20" ht="15.95">
      <c r="A4" s="42" t="s">
        <v>170</v>
      </c>
      <c r="B4" s="43" t="s">
        <v>171</v>
      </c>
      <c r="C4" s="44" t="s">
        <v>153</v>
      </c>
      <c r="D4" s="45" t="s">
        <v>154</v>
      </c>
      <c r="E4" s="42" t="s">
        <v>172</v>
      </c>
      <c r="F4" s="42" t="s">
        <v>173</v>
      </c>
      <c r="G4" s="42" t="s">
        <v>170</v>
      </c>
      <c r="H4" s="43" t="s">
        <v>171</v>
      </c>
      <c r="I4" s="44" t="s">
        <v>153</v>
      </c>
      <c r="J4" s="45" t="s">
        <v>154</v>
      </c>
      <c r="K4" s="42" t="s">
        <v>172</v>
      </c>
      <c r="L4" s="42" t="s">
        <v>173</v>
      </c>
      <c r="M4" s="41"/>
      <c r="N4" s="41"/>
      <c r="O4" s="41"/>
      <c r="P4" s="41"/>
      <c r="Q4" s="41"/>
      <c r="R4" s="41"/>
      <c r="S4" s="41"/>
      <c r="T4" s="41"/>
    </row>
    <row r="5" spans="1:20" ht="96">
      <c r="A5" s="9" t="s">
        <v>174</v>
      </c>
      <c r="B5" s="11" t="s">
        <v>175</v>
      </c>
      <c r="C5" s="16" t="s">
        <v>176</v>
      </c>
      <c r="D5" s="13">
        <v>243</v>
      </c>
      <c r="E5" s="14">
        <f>D5/$D$19</f>
        <v>1</v>
      </c>
      <c r="F5" s="15">
        <f>E5</f>
        <v>1</v>
      </c>
      <c r="G5" s="9" t="s">
        <v>108</v>
      </c>
      <c r="H5" s="11" t="s">
        <v>175</v>
      </c>
      <c r="I5" s="12" t="s">
        <v>177</v>
      </c>
      <c r="J5" s="13">
        <v>35</v>
      </c>
      <c r="K5" s="14">
        <f t="shared" ref="K5" si="0">J5/$J$19</f>
        <v>0.21212121212121213</v>
      </c>
      <c r="L5" s="15">
        <f t="shared" ref="L5:L11" si="1">K5</f>
        <v>0.21212121212121213</v>
      </c>
      <c r="M5" s="41"/>
      <c r="N5" s="41"/>
      <c r="O5" s="41"/>
      <c r="P5" s="41"/>
      <c r="Q5" s="41"/>
      <c r="R5" s="41"/>
      <c r="S5" s="41"/>
      <c r="T5" s="41"/>
    </row>
    <row r="6" spans="1:20" ht="15.95">
      <c r="A6" s="9"/>
      <c r="B6" s="11"/>
      <c r="C6" s="12"/>
      <c r="D6" s="13"/>
      <c r="E6" s="14"/>
      <c r="F6" s="15"/>
      <c r="G6" s="17" t="s">
        <v>110</v>
      </c>
      <c r="H6" s="11" t="s">
        <v>175</v>
      </c>
      <c r="I6" s="16" t="s">
        <v>178</v>
      </c>
      <c r="J6" s="13">
        <v>10</v>
      </c>
      <c r="K6" s="14">
        <f t="shared" ref="K6:K11" si="2">J6/$J$19</f>
        <v>6.0606060606060608E-2</v>
      </c>
      <c r="L6" s="15">
        <f t="shared" si="1"/>
        <v>6.0606060606060608E-2</v>
      </c>
      <c r="M6" s="41"/>
      <c r="N6" s="41"/>
      <c r="O6" s="41"/>
      <c r="P6" s="41"/>
      <c r="Q6" s="41"/>
      <c r="R6" s="41"/>
      <c r="S6" s="41"/>
      <c r="T6" s="41"/>
    </row>
    <row r="7" spans="1:20" ht="15.95">
      <c r="A7" s="9"/>
      <c r="B7" s="11"/>
      <c r="C7" s="12"/>
      <c r="D7" s="13"/>
      <c r="E7" s="14"/>
      <c r="F7" s="15"/>
      <c r="G7" s="17" t="s">
        <v>179</v>
      </c>
      <c r="H7" s="11" t="s">
        <v>175</v>
      </c>
      <c r="I7" s="16" t="s">
        <v>180</v>
      </c>
      <c r="J7" s="13">
        <v>12</v>
      </c>
      <c r="K7" s="14">
        <f t="shared" si="2"/>
        <v>7.2727272727272724E-2</v>
      </c>
      <c r="L7" s="15">
        <f t="shared" si="1"/>
        <v>7.2727272727272724E-2</v>
      </c>
      <c r="M7" s="41"/>
      <c r="N7" s="41"/>
      <c r="O7" s="41"/>
      <c r="P7" s="41"/>
      <c r="Q7" s="41"/>
      <c r="R7" s="41"/>
      <c r="S7" s="41"/>
      <c r="T7" s="41"/>
    </row>
    <row r="8" spans="1:20" ht="15.95">
      <c r="A8" s="9"/>
      <c r="B8" s="11"/>
      <c r="C8" s="12"/>
      <c r="D8" s="13"/>
      <c r="E8" s="14"/>
      <c r="F8" s="15"/>
      <c r="G8" s="17" t="s">
        <v>111</v>
      </c>
      <c r="H8" s="11" t="s">
        <v>175</v>
      </c>
      <c r="I8" s="16" t="s">
        <v>181</v>
      </c>
      <c r="J8" s="13">
        <v>22</v>
      </c>
      <c r="K8" s="14">
        <f t="shared" si="2"/>
        <v>0.13333333333333333</v>
      </c>
      <c r="L8" s="15">
        <f t="shared" si="1"/>
        <v>0.13333333333333333</v>
      </c>
      <c r="M8" s="41"/>
      <c r="N8" s="41"/>
      <c r="O8" s="41"/>
      <c r="P8" s="41"/>
      <c r="Q8" s="41"/>
      <c r="R8" s="41"/>
      <c r="S8" s="41"/>
      <c r="T8" s="41"/>
    </row>
    <row r="9" spans="1:20" ht="15.95">
      <c r="A9" s="9"/>
      <c r="B9" s="11"/>
      <c r="C9" s="12"/>
      <c r="D9" s="13"/>
      <c r="E9" s="14"/>
      <c r="F9" s="15"/>
      <c r="G9" s="17" t="s">
        <v>159</v>
      </c>
      <c r="H9" s="11" t="s">
        <v>175</v>
      </c>
      <c r="I9" s="16" t="s">
        <v>182</v>
      </c>
      <c r="J9" s="13">
        <v>34</v>
      </c>
      <c r="K9" s="14">
        <f t="shared" si="2"/>
        <v>0.20606060606060606</v>
      </c>
      <c r="L9" s="15">
        <f t="shared" si="1"/>
        <v>0.20606060606060606</v>
      </c>
      <c r="M9" s="41"/>
      <c r="N9" s="41"/>
      <c r="O9" s="41"/>
      <c r="P9" s="41"/>
      <c r="Q9" s="41"/>
      <c r="R9" s="41"/>
      <c r="S9" s="41"/>
      <c r="T9" s="41"/>
    </row>
    <row r="10" spans="1:20" ht="15.95">
      <c r="A10" s="9"/>
      <c r="B10" s="11"/>
      <c r="C10" s="12"/>
      <c r="D10" s="13"/>
      <c r="E10" s="14"/>
      <c r="F10" s="15"/>
      <c r="G10" s="17" t="s">
        <v>104</v>
      </c>
      <c r="H10" s="11" t="s">
        <v>175</v>
      </c>
      <c r="I10" s="16" t="s">
        <v>183</v>
      </c>
      <c r="J10" s="13">
        <v>45</v>
      </c>
      <c r="K10" s="14">
        <f t="shared" si="2"/>
        <v>0.27272727272727271</v>
      </c>
      <c r="L10" s="15">
        <f t="shared" si="1"/>
        <v>0.27272727272727271</v>
      </c>
      <c r="M10" s="41"/>
      <c r="N10" s="41"/>
      <c r="O10" s="41"/>
      <c r="P10" s="41"/>
      <c r="Q10" s="41"/>
      <c r="R10" s="41"/>
      <c r="S10" s="41"/>
      <c r="T10" s="41"/>
    </row>
    <row r="11" spans="1:20" ht="15.95">
      <c r="A11" s="9"/>
      <c r="B11" s="11"/>
      <c r="C11" s="12"/>
      <c r="D11" s="13"/>
      <c r="E11" s="14"/>
      <c r="F11" s="15"/>
      <c r="G11" s="17" t="s">
        <v>106</v>
      </c>
      <c r="H11" s="11" t="s">
        <v>175</v>
      </c>
      <c r="I11" s="16" t="s">
        <v>184</v>
      </c>
      <c r="J11" s="13">
        <v>7</v>
      </c>
      <c r="K11" s="14">
        <f t="shared" si="2"/>
        <v>4.2424242424242427E-2</v>
      </c>
      <c r="L11" s="15">
        <f t="shared" si="1"/>
        <v>4.2424242424242427E-2</v>
      </c>
      <c r="M11" s="41"/>
      <c r="N11" s="41"/>
      <c r="O11" s="41"/>
      <c r="P11" s="41"/>
      <c r="Q11" s="41"/>
      <c r="R11" s="41"/>
      <c r="S11" s="41"/>
      <c r="T11" s="41"/>
    </row>
    <row r="12" spans="1:20">
      <c r="A12" s="9"/>
      <c r="B12" s="11"/>
      <c r="C12" s="12"/>
      <c r="D12" s="13"/>
      <c r="E12" s="14"/>
      <c r="F12" s="15"/>
      <c r="G12" s="17"/>
      <c r="H12" s="11"/>
      <c r="I12" s="16"/>
      <c r="J12" s="13"/>
      <c r="K12" s="14"/>
      <c r="L12" s="15"/>
      <c r="M12" s="41"/>
      <c r="N12" s="41"/>
      <c r="O12" s="41"/>
      <c r="P12" s="41"/>
      <c r="Q12" s="41"/>
      <c r="R12" s="41"/>
      <c r="S12" s="41"/>
      <c r="T12" s="41"/>
    </row>
    <row r="13" spans="1:20" hidden="1">
      <c r="A13" s="9"/>
      <c r="B13" s="9"/>
      <c r="C13" s="12"/>
      <c r="D13" s="13"/>
      <c r="E13" s="14">
        <f t="shared" ref="E13:E18" si="3">D13/$D$19</f>
        <v>0</v>
      </c>
      <c r="F13" s="15">
        <f t="shared" ref="F13:F18" si="4">F12+E13</f>
        <v>0</v>
      </c>
      <c r="G13" s="9"/>
      <c r="H13" s="9"/>
      <c r="I13" s="12"/>
      <c r="J13" s="13"/>
      <c r="K13" s="14">
        <f t="shared" ref="K13:K18" si="5">J13/$D$19</f>
        <v>0</v>
      </c>
      <c r="L13" s="15">
        <f t="shared" ref="L13:L18" si="6">L12+K13</f>
        <v>0</v>
      </c>
      <c r="M13" s="41"/>
      <c r="N13" s="41"/>
      <c r="O13" s="41"/>
      <c r="P13" s="41"/>
      <c r="Q13" s="41"/>
      <c r="R13" s="41"/>
      <c r="S13" s="41"/>
      <c r="T13" s="41"/>
    </row>
    <row r="14" spans="1:20" hidden="1">
      <c r="A14" s="17"/>
      <c r="B14" s="18"/>
      <c r="C14" s="10"/>
      <c r="D14" s="13"/>
      <c r="E14" s="14">
        <f t="shared" si="3"/>
        <v>0</v>
      </c>
      <c r="F14" s="15">
        <f t="shared" si="4"/>
        <v>0</v>
      </c>
      <c r="G14" s="17"/>
      <c r="H14" s="18"/>
      <c r="I14" s="10"/>
      <c r="J14" s="13"/>
      <c r="K14" s="14">
        <f t="shared" si="5"/>
        <v>0</v>
      </c>
      <c r="L14" s="15">
        <f t="shared" si="6"/>
        <v>0</v>
      </c>
      <c r="M14" s="41"/>
      <c r="N14" s="41"/>
      <c r="O14" s="41"/>
      <c r="P14" s="41"/>
      <c r="Q14" s="41"/>
      <c r="R14" s="41"/>
      <c r="S14" s="41"/>
      <c r="T14" s="41"/>
    </row>
    <row r="15" spans="1:20" hidden="1">
      <c r="A15" s="17"/>
      <c r="B15" s="18"/>
      <c r="C15" s="10"/>
      <c r="D15" s="19"/>
      <c r="E15" s="20">
        <f t="shared" si="3"/>
        <v>0</v>
      </c>
      <c r="F15" s="15">
        <f t="shared" si="4"/>
        <v>0</v>
      </c>
      <c r="G15" s="17"/>
      <c r="H15" s="18"/>
      <c r="I15" s="10"/>
      <c r="J15" s="19"/>
      <c r="K15" s="20">
        <f t="shared" si="5"/>
        <v>0</v>
      </c>
      <c r="L15" s="15">
        <f t="shared" si="6"/>
        <v>0</v>
      </c>
      <c r="M15" s="41"/>
      <c r="N15" s="41"/>
      <c r="O15" s="41"/>
      <c r="P15" s="41"/>
      <c r="Q15" s="41"/>
      <c r="R15" s="41"/>
      <c r="S15" s="41"/>
      <c r="T15" s="41"/>
    </row>
    <row r="16" spans="1:20" hidden="1">
      <c r="A16" s="17"/>
      <c r="B16" s="18"/>
      <c r="C16" s="10"/>
      <c r="D16" s="19"/>
      <c r="E16" s="20">
        <f t="shared" si="3"/>
        <v>0</v>
      </c>
      <c r="F16" s="15">
        <f t="shared" si="4"/>
        <v>0</v>
      </c>
      <c r="G16" s="17"/>
      <c r="H16" s="18"/>
      <c r="I16" s="10"/>
      <c r="J16" s="19"/>
      <c r="K16" s="20">
        <f t="shared" si="5"/>
        <v>0</v>
      </c>
      <c r="L16" s="15">
        <f t="shared" si="6"/>
        <v>0</v>
      </c>
      <c r="M16" s="41"/>
      <c r="N16" s="41"/>
      <c r="O16" s="41"/>
      <c r="P16" s="41"/>
      <c r="Q16" s="41"/>
      <c r="R16" s="41"/>
      <c r="S16" s="41"/>
      <c r="T16" s="41"/>
    </row>
    <row r="17" spans="1:20" hidden="1">
      <c r="A17" s="17"/>
      <c r="B17" s="18"/>
      <c r="C17" s="10"/>
      <c r="D17" s="19"/>
      <c r="E17" s="20">
        <f t="shared" si="3"/>
        <v>0</v>
      </c>
      <c r="F17" s="15">
        <f t="shared" si="4"/>
        <v>0</v>
      </c>
      <c r="G17" s="17"/>
      <c r="H17" s="18"/>
      <c r="I17" s="10"/>
      <c r="J17" s="19"/>
      <c r="K17" s="20">
        <f t="shared" si="5"/>
        <v>0</v>
      </c>
      <c r="L17" s="15">
        <f t="shared" si="6"/>
        <v>0</v>
      </c>
      <c r="M17" s="41"/>
      <c r="N17" s="41"/>
      <c r="O17" s="41"/>
      <c r="P17" s="41"/>
      <c r="Q17" s="41"/>
      <c r="R17" s="41"/>
      <c r="S17" s="41"/>
      <c r="T17" s="41"/>
    </row>
    <row r="18" spans="1:20" hidden="1">
      <c r="A18" s="17"/>
      <c r="B18" s="18"/>
      <c r="C18" s="10"/>
      <c r="D18" s="19"/>
      <c r="E18" s="20">
        <f t="shared" si="3"/>
        <v>0</v>
      </c>
      <c r="F18" s="15">
        <f t="shared" si="4"/>
        <v>0</v>
      </c>
      <c r="G18" s="17"/>
      <c r="H18" s="18"/>
      <c r="I18" s="10"/>
      <c r="J18" s="19"/>
      <c r="K18" s="20">
        <f t="shared" si="5"/>
        <v>0</v>
      </c>
      <c r="L18" s="15">
        <f t="shared" si="6"/>
        <v>0</v>
      </c>
      <c r="M18" s="41"/>
      <c r="N18" s="41"/>
      <c r="O18" s="41"/>
      <c r="P18" s="41"/>
      <c r="Q18" s="41"/>
      <c r="R18" s="41"/>
      <c r="S18" s="41"/>
      <c r="T18" s="41"/>
    </row>
    <row r="19" spans="1:20" ht="15.95">
      <c r="A19" s="21"/>
      <c r="B19" s="22"/>
      <c r="C19" s="23" t="s">
        <v>15</v>
      </c>
      <c r="D19" s="19">
        <f>SUM(D5:D18)</f>
        <v>243</v>
      </c>
      <c r="E19" s="24"/>
      <c r="F19" s="21"/>
      <c r="G19" s="21"/>
      <c r="H19" s="22"/>
      <c r="I19" s="23" t="s">
        <v>15</v>
      </c>
      <c r="J19" s="19">
        <f>SUM(J5:J18)</f>
        <v>165</v>
      </c>
      <c r="K19" s="24"/>
      <c r="L19" s="21"/>
      <c r="M19" s="41"/>
      <c r="N19" s="41"/>
      <c r="O19" s="41"/>
      <c r="P19" s="41"/>
      <c r="Q19" s="41"/>
      <c r="R19" s="41"/>
      <c r="S19" s="41"/>
      <c r="T19" s="41"/>
    </row>
    <row r="20" spans="1:20">
      <c r="A20" s="41"/>
      <c r="B20" s="41"/>
      <c r="C20" s="66"/>
      <c r="D20" s="41"/>
      <c r="E20" s="41"/>
      <c r="F20" s="41"/>
      <c r="G20" s="41"/>
      <c r="H20" s="41"/>
      <c r="I20" s="41"/>
      <c r="J20" s="41"/>
      <c r="K20" s="41"/>
      <c r="L20" s="41"/>
      <c r="M20" s="41"/>
      <c r="N20" s="41"/>
      <c r="O20" s="41"/>
      <c r="P20" s="41"/>
      <c r="Q20" s="41"/>
      <c r="R20" s="41"/>
      <c r="S20" s="41"/>
      <c r="T20" s="41"/>
    </row>
    <row r="21" spans="1:20">
      <c r="A21" s="41"/>
      <c r="B21" s="41"/>
      <c r="C21" s="66"/>
      <c r="D21" s="41"/>
      <c r="E21" s="41"/>
      <c r="F21" s="41"/>
      <c r="G21" s="41"/>
      <c r="H21" s="41"/>
      <c r="I21" s="41"/>
      <c r="J21" s="41"/>
      <c r="K21" s="41"/>
      <c r="L21" s="41"/>
      <c r="M21" s="41"/>
      <c r="N21" s="41"/>
      <c r="O21" s="41"/>
      <c r="P21" s="41"/>
      <c r="Q21" s="41"/>
      <c r="R21" s="41"/>
      <c r="S21" s="41"/>
      <c r="T21" s="41"/>
    </row>
    <row r="22" spans="1:20" ht="15.75" customHeight="1">
      <c r="A22" s="41"/>
      <c r="B22" s="41"/>
      <c r="C22" s="66"/>
      <c r="D22" s="41"/>
      <c r="E22" s="41"/>
      <c r="F22" s="41"/>
      <c r="G22" s="41"/>
      <c r="H22" s="41"/>
      <c r="I22" s="41"/>
      <c r="J22" s="41"/>
      <c r="K22" s="41"/>
      <c r="L22" s="41"/>
      <c r="M22" s="41"/>
      <c r="N22" s="41"/>
      <c r="O22" s="41"/>
      <c r="P22" s="41"/>
      <c r="Q22" s="41"/>
      <c r="R22" s="41"/>
      <c r="S22" s="41"/>
      <c r="T22" s="41"/>
    </row>
    <row r="23" spans="1:20" ht="15.75" customHeight="1">
      <c r="A23" s="41"/>
      <c r="B23" s="41"/>
      <c r="C23" s="66"/>
      <c r="D23" s="41"/>
      <c r="E23" s="41"/>
      <c r="F23" s="41"/>
      <c r="G23" s="41"/>
      <c r="H23" s="41"/>
      <c r="I23" s="41"/>
      <c r="J23" s="41"/>
      <c r="K23" s="41"/>
      <c r="L23" s="41"/>
      <c r="M23" s="41"/>
      <c r="N23" s="41"/>
      <c r="O23" s="41"/>
      <c r="P23" s="41"/>
      <c r="Q23" s="41"/>
      <c r="R23" s="41"/>
      <c r="S23" s="41"/>
      <c r="T23" s="41"/>
    </row>
    <row r="24" spans="1:20" ht="15.75" customHeight="1">
      <c r="A24" s="41"/>
      <c r="B24" s="41"/>
      <c r="C24" s="66"/>
      <c r="D24" s="41"/>
      <c r="E24" s="41"/>
      <c r="F24" s="41"/>
      <c r="G24" s="41"/>
      <c r="H24" s="41"/>
      <c r="I24" s="41"/>
      <c r="J24" s="41"/>
      <c r="K24" s="41"/>
      <c r="L24" s="41"/>
      <c r="M24" s="41"/>
      <c r="N24" s="41"/>
      <c r="O24" s="41"/>
      <c r="P24" s="41"/>
      <c r="Q24" s="41"/>
      <c r="R24" s="41"/>
      <c r="S24" s="41"/>
      <c r="T24" s="41"/>
    </row>
    <row r="25" spans="1:20" ht="15.75" customHeight="1">
      <c r="A25" s="41"/>
      <c r="B25" s="41"/>
      <c r="C25" s="66"/>
      <c r="D25" s="41"/>
      <c r="E25" s="41"/>
      <c r="F25" s="41"/>
      <c r="G25" s="41"/>
      <c r="H25" s="41"/>
      <c r="I25" s="41"/>
      <c r="J25" s="41"/>
      <c r="K25" s="41"/>
      <c r="L25" s="41"/>
      <c r="M25" s="41"/>
      <c r="N25" s="41"/>
      <c r="O25" s="41"/>
      <c r="P25" s="41"/>
      <c r="Q25" s="41"/>
      <c r="R25" s="41"/>
      <c r="S25" s="41"/>
      <c r="T25" s="41"/>
    </row>
    <row r="26" spans="1:20" ht="15.75" customHeight="1">
      <c r="A26" s="41"/>
      <c r="B26" s="41"/>
      <c r="C26" s="66"/>
      <c r="D26" s="41"/>
      <c r="E26" s="41"/>
      <c r="F26" s="41"/>
      <c r="G26" s="41"/>
      <c r="H26" s="41"/>
      <c r="I26" s="41"/>
      <c r="J26" s="41"/>
      <c r="K26" s="41"/>
      <c r="L26" s="41"/>
      <c r="M26" s="41"/>
      <c r="N26" s="41"/>
      <c r="O26" s="41"/>
      <c r="P26" s="41"/>
      <c r="Q26" s="41"/>
      <c r="R26" s="41"/>
      <c r="S26" s="41"/>
      <c r="T26" s="41"/>
    </row>
    <row r="27" spans="1:20" ht="15.75" customHeight="1">
      <c r="A27" s="41"/>
      <c r="B27" s="41"/>
      <c r="C27" s="66"/>
      <c r="D27" s="41"/>
      <c r="E27" s="41"/>
      <c r="F27" s="41"/>
      <c r="G27" s="41"/>
      <c r="H27" s="41"/>
      <c r="I27" s="41"/>
      <c r="J27" s="41"/>
      <c r="K27" s="41"/>
      <c r="L27" s="41"/>
      <c r="M27" s="41"/>
      <c r="N27" s="41"/>
      <c r="O27" s="41"/>
      <c r="P27" s="41"/>
      <c r="Q27" s="41"/>
      <c r="R27" s="41"/>
      <c r="S27" s="41"/>
      <c r="T27" s="41"/>
    </row>
    <row r="28" spans="1:20" ht="15.75" customHeight="1">
      <c r="A28" s="41"/>
      <c r="B28" s="41"/>
      <c r="C28" s="66"/>
      <c r="D28" s="41"/>
      <c r="E28" s="41"/>
      <c r="F28" s="41"/>
      <c r="G28" s="41"/>
      <c r="H28" s="41"/>
      <c r="I28" s="41"/>
      <c r="J28" s="41"/>
      <c r="K28" s="41"/>
      <c r="L28" s="41"/>
      <c r="M28" s="41"/>
      <c r="N28" s="41"/>
      <c r="O28" s="41"/>
      <c r="P28" s="41"/>
      <c r="Q28" s="41"/>
      <c r="R28" s="41"/>
      <c r="S28" s="41"/>
      <c r="T28" s="41"/>
    </row>
    <row r="29" spans="1:20" ht="15.75" customHeight="1">
      <c r="A29" s="41"/>
      <c r="B29" s="41"/>
      <c r="C29" s="66"/>
      <c r="D29" s="41"/>
      <c r="E29" s="41"/>
      <c r="F29" s="41"/>
      <c r="G29" s="41"/>
      <c r="H29" s="41"/>
      <c r="I29" s="41"/>
      <c r="J29" s="41"/>
      <c r="K29" s="41"/>
      <c r="L29" s="41"/>
      <c r="M29" s="41"/>
      <c r="N29" s="41"/>
      <c r="O29" s="41"/>
      <c r="P29" s="41"/>
      <c r="Q29" s="41"/>
      <c r="R29" s="41"/>
      <c r="S29" s="41"/>
      <c r="T29" s="41"/>
    </row>
    <row r="30" spans="1:20" ht="15.75" customHeight="1">
      <c r="A30" s="41"/>
      <c r="B30" s="41"/>
      <c r="C30" s="66"/>
      <c r="D30" s="41"/>
      <c r="E30" s="41"/>
      <c r="F30" s="41"/>
      <c r="G30" s="41"/>
      <c r="H30" s="41"/>
      <c r="I30" s="41"/>
      <c r="J30" s="41"/>
      <c r="K30" s="41"/>
      <c r="L30" s="41"/>
      <c r="M30" s="41"/>
      <c r="N30" s="41"/>
      <c r="O30" s="41"/>
      <c r="P30" s="41"/>
      <c r="Q30" s="41"/>
      <c r="R30" s="41"/>
      <c r="S30" s="41"/>
      <c r="T30" s="41"/>
    </row>
    <row r="31" spans="1:20" ht="15.75" customHeight="1">
      <c r="A31" s="41"/>
      <c r="B31" s="41"/>
      <c r="C31" s="66"/>
      <c r="D31" s="41"/>
      <c r="E31" s="41"/>
      <c r="F31" s="41"/>
      <c r="G31" s="41"/>
      <c r="H31" s="41"/>
      <c r="I31" s="41"/>
      <c r="J31" s="41"/>
      <c r="K31" s="41"/>
      <c r="L31" s="41"/>
      <c r="M31" s="41"/>
      <c r="N31" s="41"/>
      <c r="O31" s="41"/>
      <c r="P31" s="41"/>
      <c r="Q31" s="41"/>
      <c r="R31" s="41"/>
      <c r="S31" s="41"/>
      <c r="T31" s="41"/>
    </row>
    <row r="32" spans="1:20" ht="15.75" customHeight="1">
      <c r="A32" s="41"/>
      <c r="B32" s="41"/>
      <c r="C32" s="66"/>
      <c r="D32" s="41"/>
      <c r="E32" s="41"/>
      <c r="F32" s="41"/>
      <c r="G32" s="41"/>
      <c r="H32" s="41"/>
      <c r="I32" s="41"/>
      <c r="J32" s="41"/>
      <c r="K32" s="41"/>
      <c r="L32" s="41"/>
      <c r="M32" s="41"/>
      <c r="N32" s="41"/>
      <c r="O32" s="41"/>
      <c r="P32" s="41"/>
      <c r="Q32" s="41"/>
      <c r="R32" s="41"/>
      <c r="S32" s="41"/>
      <c r="T32" s="41"/>
    </row>
    <row r="33" spans="1:20" ht="15.75" customHeight="1">
      <c r="A33" s="41"/>
      <c r="B33" s="41"/>
      <c r="C33" s="66"/>
      <c r="D33" s="41"/>
      <c r="E33" s="41"/>
      <c r="F33" s="41"/>
      <c r="G33" s="41"/>
      <c r="H33" s="41"/>
      <c r="I33" s="41"/>
      <c r="J33" s="41"/>
      <c r="K33" s="41"/>
      <c r="L33" s="41"/>
      <c r="M33" s="41"/>
      <c r="N33" s="41"/>
      <c r="O33" s="41"/>
      <c r="P33" s="41"/>
      <c r="Q33" s="41"/>
      <c r="R33" s="41"/>
      <c r="S33" s="41"/>
      <c r="T33" s="41"/>
    </row>
    <row r="34" spans="1:20" ht="15.75" customHeight="1">
      <c r="A34" s="41"/>
      <c r="B34" s="41"/>
      <c r="C34" s="66"/>
      <c r="D34" s="41"/>
      <c r="E34" s="41"/>
      <c r="F34" s="41"/>
      <c r="G34" s="41"/>
      <c r="H34" s="41"/>
      <c r="I34" s="41"/>
      <c r="J34" s="41"/>
      <c r="K34" s="41"/>
      <c r="L34" s="41"/>
      <c r="M34" s="41"/>
      <c r="N34" s="41"/>
      <c r="O34" s="41"/>
      <c r="P34" s="41"/>
      <c r="Q34" s="41"/>
      <c r="R34" s="41"/>
      <c r="S34" s="41"/>
      <c r="T34" s="41"/>
    </row>
    <row r="35" spans="1:20" ht="15.75" customHeight="1">
      <c r="A35" s="41"/>
      <c r="B35" s="41"/>
      <c r="C35" s="66"/>
      <c r="D35" s="41"/>
      <c r="E35" s="41"/>
      <c r="F35" s="41"/>
      <c r="G35" s="41"/>
      <c r="H35" s="41"/>
      <c r="I35" s="41"/>
      <c r="J35" s="41"/>
      <c r="K35" s="41"/>
      <c r="L35" s="41"/>
      <c r="M35" s="41"/>
      <c r="N35" s="41"/>
      <c r="O35" s="41"/>
      <c r="P35" s="41"/>
      <c r="Q35" s="41"/>
      <c r="R35" s="41"/>
      <c r="S35" s="41"/>
      <c r="T35" s="41"/>
    </row>
    <row r="36" spans="1:20" ht="15.75" customHeight="1">
      <c r="A36" s="41"/>
      <c r="B36" s="41"/>
      <c r="C36" s="66"/>
      <c r="D36" s="41"/>
      <c r="E36" s="41"/>
      <c r="F36" s="41"/>
      <c r="G36" s="41"/>
      <c r="H36" s="41"/>
      <c r="I36" s="41"/>
      <c r="J36" s="41"/>
      <c r="K36" s="41"/>
      <c r="L36" s="41"/>
      <c r="M36" s="41"/>
      <c r="N36" s="41"/>
      <c r="O36" s="41"/>
      <c r="P36" s="41"/>
      <c r="Q36" s="41"/>
      <c r="R36" s="41"/>
      <c r="S36" s="41"/>
      <c r="T36" s="41"/>
    </row>
    <row r="37" spans="1:20" ht="15.75" customHeight="1">
      <c r="A37" s="41"/>
      <c r="B37" s="41"/>
      <c r="C37" s="66"/>
      <c r="D37" s="41"/>
      <c r="E37" s="41"/>
      <c r="F37" s="41"/>
      <c r="G37" s="41"/>
      <c r="H37" s="41"/>
      <c r="I37" s="41"/>
      <c r="J37" s="41"/>
      <c r="K37" s="41"/>
      <c r="L37" s="41"/>
      <c r="M37" s="41"/>
      <c r="N37" s="41"/>
      <c r="O37" s="41"/>
      <c r="P37" s="41"/>
      <c r="Q37" s="41"/>
      <c r="R37" s="41"/>
      <c r="S37" s="41"/>
      <c r="T37" s="41"/>
    </row>
    <row r="38" spans="1:20" ht="15.75" customHeight="1">
      <c r="A38" s="41"/>
      <c r="B38" s="41"/>
      <c r="C38" s="66"/>
      <c r="D38" s="41"/>
      <c r="E38" s="41"/>
      <c r="F38" s="41"/>
      <c r="G38" s="41"/>
      <c r="H38" s="41"/>
      <c r="I38" s="41"/>
      <c r="J38" s="41"/>
      <c r="K38" s="41"/>
      <c r="L38" s="41"/>
      <c r="M38" s="41"/>
      <c r="N38" s="41"/>
      <c r="O38" s="41"/>
      <c r="P38" s="41"/>
      <c r="Q38" s="41"/>
      <c r="R38" s="41"/>
      <c r="S38" s="41"/>
      <c r="T38" s="41"/>
    </row>
    <row r="39" spans="1:20" ht="15.75" customHeight="1">
      <c r="A39" s="41"/>
      <c r="B39" s="41"/>
      <c r="C39" s="66"/>
      <c r="D39" s="41"/>
      <c r="E39" s="41"/>
      <c r="F39" s="41"/>
      <c r="G39" s="41"/>
      <c r="H39" s="41"/>
      <c r="I39" s="41"/>
      <c r="J39" s="41"/>
      <c r="K39" s="41"/>
      <c r="L39" s="41"/>
      <c r="M39" s="41"/>
      <c r="N39" s="41"/>
      <c r="O39" s="41"/>
      <c r="P39" s="41"/>
      <c r="Q39" s="41"/>
      <c r="R39" s="41"/>
      <c r="S39" s="41"/>
      <c r="T39" s="41"/>
    </row>
    <row r="40" spans="1:20" ht="15.75" customHeight="1">
      <c r="A40" s="97" t="s">
        <v>185</v>
      </c>
      <c r="B40" s="94"/>
      <c r="C40" s="66"/>
      <c r="D40" s="41"/>
      <c r="E40" s="41"/>
      <c r="F40" s="41"/>
      <c r="G40" s="41"/>
      <c r="H40" s="41"/>
      <c r="I40" s="41"/>
      <c r="J40" s="41"/>
      <c r="K40" s="41"/>
      <c r="L40" s="41"/>
      <c r="M40" s="41"/>
      <c r="N40" s="41"/>
      <c r="O40" s="41"/>
      <c r="P40" s="41"/>
      <c r="Q40" s="41"/>
      <c r="R40" s="41"/>
      <c r="S40" s="41"/>
      <c r="T40" s="41"/>
    </row>
    <row r="41" spans="1:20" ht="15.75" customHeight="1">
      <c r="A41" s="41" t="s">
        <v>186</v>
      </c>
      <c r="B41" s="41"/>
      <c r="C41" s="66"/>
      <c r="D41" s="41"/>
      <c r="E41" s="41"/>
      <c r="F41" s="41"/>
      <c r="G41" s="41"/>
      <c r="H41" s="41"/>
      <c r="I41" s="41"/>
      <c r="J41" s="41"/>
      <c r="K41" s="41"/>
      <c r="L41" s="41"/>
      <c r="M41" s="41"/>
      <c r="N41" s="41"/>
      <c r="O41" s="41"/>
      <c r="P41" s="41"/>
      <c r="Q41" s="41"/>
      <c r="R41" s="41"/>
      <c r="S41" s="41"/>
      <c r="T41" s="41"/>
    </row>
    <row r="42" spans="1:20" ht="15.75" customHeight="1">
      <c r="A42" s="41" t="s">
        <v>187</v>
      </c>
      <c r="B42" s="41"/>
      <c r="C42" s="66"/>
      <c r="D42" s="41"/>
      <c r="E42" s="41"/>
      <c r="F42" s="41"/>
      <c r="G42" s="41"/>
      <c r="H42" s="41"/>
      <c r="I42" s="41"/>
      <c r="J42" s="41"/>
      <c r="K42" s="41"/>
      <c r="L42" s="41"/>
      <c r="M42" s="41"/>
      <c r="N42" s="41"/>
      <c r="O42" s="41"/>
      <c r="P42" s="41"/>
      <c r="Q42" s="41"/>
      <c r="R42" s="41"/>
      <c r="S42" s="41"/>
      <c r="T42" s="41"/>
    </row>
    <row r="43" spans="1:20" ht="15.75" customHeight="1">
      <c r="A43" s="41" t="s">
        <v>188</v>
      </c>
      <c r="B43" s="41"/>
      <c r="C43" s="66"/>
      <c r="D43" s="41"/>
      <c r="E43" s="41"/>
      <c r="F43" s="41"/>
      <c r="G43" s="41"/>
      <c r="H43" s="41"/>
      <c r="I43" s="41"/>
      <c r="J43" s="41"/>
      <c r="K43" s="41"/>
      <c r="L43" s="41"/>
      <c r="M43" s="41"/>
      <c r="N43" s="41"/>
      <c r="O43" s="41"/>
      <c r="P43" s="41"/>
      <c r="Q43" s="41"/>
      <c r="R43" s="41"/>
      <c r="S43" s="41"/>
      <c r="T43" s="41"/>
    </row>
    <row r="44" spans="1:20" ht="15.75" customHeight="1">
      <c r="A44" s="98" t="s">
        <v>189</v>
      </c>
      <c r="B44" s="41"/>
      <c r="C44" s="66"/>
      <c r="D44" s="41"/>
      <c r="E44" s="41"/>
      <c r="F44" s="41"/>
      <c r="G44" s="41"/>
      <c r="H44" s="41"/>
      <c r="I44" s="41"/>
      <c r="J44" s="41"/>
      <c r="K44" s="41"/>
      <c r="L44" s="41"/>
      <c r="M44" s="41"/>
      <c r="N44" s="41"/>
      <c r="O44" s="41"/>
      <c r="P44" s="41"/>
      <c r="Q44" s="41"/>
      <c r="R44" s="41"/>
      <c r="S44" s="41"/>
      <c r="T44" s="41"/>
    </row>
    <row r="45" spans="1:20" ht="15.75" customHeight="1">
      <c r="A45" s="99" t="s">
        <v>190</v>
      </c>
      <c r="B45" s="41"/>
      <c r="C45" s="66"/>
      <c r="D45" s="41"/>
      <c r="E45" s="41"/>
      <c r="F45" s="41"/>
      <c r="G45" s="41"/>
      <c r="H45" s="41"/>
      <c r="I45" s="41"/>
      <c r="J45" s="41"/>
      <c r="K45" s="41"/>
      <c r="L45" s="41"/>
      <c r="M45" s="41"/>
      <c r="N45" s="41"/>
      <c r="O45" s="41"/>
      <c r="P45" s="41"/>
      <c r="Q45" s="41"/>
      <c r="R45" s="41"/>
      <c r="S45" s="41"/>
      <c r="T45" s="41"/>
    </row>
    <row r="46" spans="1:20" ht="15.75" customHeight="1">
      <c r="A46" s="98" t="s">
        <v>191</v>
      </c>
      <c r="B46" s="41"/>
      <c r="C46" s="66"/>
      <c r="D46" s="41"/>
      <c r="E46" s="41"/>
      <c r="F46" s="41"/>
      <c r="G46" s="41"/>
      <c r="H46" s="41"/>
      <c r="I46" s="41"/>
      <c r="J46" s="41"/>
      <c r="K46" s="41"/>
      <c r="L46" s="41"/>
      <c r="M46" s="41"/>
      <c r="N46" s="41"/>
      <c r="O46" s="41"/>
      <c r="P46" s="41"/>
      <c r="Q46" s="41"/>
      <c r="R46" s="41"/>
      <c r="S46" s="41"/>
      <c r="T46" s="41"/>
    </row>
    <row r="47" spans="1:20" ht="15.75" customHeight="1">
      <c r="A47" s="41"/>
      <c r="B47" s="41"/>
      <c r="C47" s="66"/>
      <c r="D47" s="41"/>
      <c r="E47" s="41"/>
      <c r="F47" s="41"/>
      <c r="G47" s="41"/>
      <c r="H47" s="41"/>
      <c r="I47" s="41"/>
      <c r="J47" s="41"/>
      <c r="K47" s="41"/>
      <c r="L47" s="41"/>
      <c r="M47" s="41"/>
      <c r="N47" s="41"/>
      <c r="O47" s="41"/>
      <c r="P47" s="41"/>
      <c r="Q47" s="41"/>
      <c r="R47" s="41"/>
      <c r="S47" s="41"/>
      <c r="T47" s="41"/>
    </row>
    <row r="48" spans="1:20" ht="15.75" customHeight="1">
      <c r="A48" s="41"/>
      <c r="B48" s="41"/>
      <c r="C48" s="66"/>
      <c r="D48" s="41"/>
      <c r="E48" s="41"/>
      <c r="F48" s="41"/>
      <c r="G48" s="41"/>
      <c r="H48" s="41"/>
      <c r="I48" s="41"/>
      <c r="J48" s="41"/>
      <c r="K48" s="41"/>
      <c r="L48" s="41"/>
      <c r="M48" s="41"/>
      <c r="N48" s="41"/>
      <c r="O48" s="41"/>
      <c r="P48" s="41"/>
      <c r="Q48" s="41"/>
      <c r="R48" s="41"/>
      <c r="S48" s="41"/>
      <c r="T48" s="41"/>
    </row>
    <row r="49" spans="1:20" ht="15.75" customHeight="1">
      <c r="A49" s="41"/>
      <c r="B49" s="41"/>
      <c r="C49" s="66"/>
      <c r="D49" s="41"/>
      <c r="E49" s="41"/>
      <c r="F49" s="41"/>
      <c r="G49" s="41"/>
      <c r="H49" s="41"/>
      <c r="I49" s="41"/>
      <c r="J49" s="41"/>
      <c r="K49" s="41"/>
      <c r="L49" s="41"/>
      <c r="M49" s="41"/>
      <c r="N49" s="41"/>
      <c r="O49" s="41"/>
      <c r="P49" s="41"/>
      <c r="Q49" s="41"/>
      <c r="R49" s="41"/>
      <c r="S49" s="41"/>
      <c r="T49" s="41"/>
    </row>
    <row r="50" spans="1:20" ht="15.75" customHeight="1">
      <c r="A50" s="41"/>
      <c r="B50" s="41"/>
      <c r="C50" s="66"/>
      <c r="D50" s="41"/>
      <c r="E50" s="41"/>
      <c r="F50" s="41"/>
      <c r="G50" s="41"/>
      <c r="H50" s="41"/>
      <c r="I50" s="41"/>
      <c r="J50" s="41"/>
      <c r="K50" s="41"/>
      <c r="L50" s="41"/>
      <c r="M50" s="41"/>
      <c r="N50" s="41"/>
      <c r="O50" s="41"/>
      <c r="P50" s="41"/>
      <c r="Q50" s="41"/>
      <c r="R50" s="41"/>
      <c r="S50" s="41"/>
      <c r="T50" s="41"/>
    </row>
    <row r="51" spans="1:20" ht="15.75" customHeight="1">
      <c r="A51" s="41"/>
      <c r="B51" s="41"/>
      <c r="C51" s="66"/>
      <c r="D51" s="41"/>
      <c r="E51" s="41"/>
      <c r="F51" s="41"/>
      <c r="G51" s="41"/>
      <c r="H51" s="41"/>
      <c r="I51" s="41"/>
      <c r="J51" s="41"/>
      <c r="K51" s="41"/>
      <c r="L51" s="41"/>
      <c r="M51" s="41"/>
      <c r="N51" s="41"/>
      <c r="O51" s="41"/>
      <c r="P51" s="41"/>
      <c r="Q51" s="41"/>
      <c r="R51" s="41"/>
      <c r="S51" s="41"/>
      <c r="T51" s="41"/>
    </row>
    <row r="52" spans="1:20" ht="15.75" customHeight="1">
      <c r="A52" s="41"/>
      <c r="B52" s="41"/>
      <c r="C52" s="66"/>
      <c r="D52" s="41"/>
      <c r="E52" s="41"/>
      <c r="F52" s="41"/>
      <c r="G52" s="41"/>
      <c r="H52" s="41"/>
      <c r="I52" s="41"/>
      <c r="J52" s="41"/>
      <c r="K52" s="41"/>
      <c r="L52" s="41"/>
      <c r="M52" s="41"/>
      <c r="N52" s="41"/>
      <c r="O52" s="41"/>
      <c r="P52" s="41"/>
      <c r="Q52" s="41"/>
      <c r="R52" s="41"/>
      <c r="S52" s="41"/>
      <c r="T52" s="41"/>
    </row>
    <row r="53" spans="1:20" ht="15.75" customHeight="1">
      <c r="A53" s="41"/>
      <c r="B53" s="41"/>
      <c r="C53" s="66"/>
      <c r="D53" s="41"/>
      <c r="E53" s="41"/>
      <c r="F53" s="41"/>
      <c r="G53" s="41"/>
      <c r="H53" s="41"/>
      <c r="I53" s="41"/>
      <c r="J53" s="41"/>
      <c r="K53" s="41"/>
      <c r="L53" s="41"/>
      <c r="M53" s="41"/>
      <c r="N53" s="41"/>
      <c r="O53" s="41"/>
      <c r="P53" s="41"/>
      <c r="Q53" s="41"/>
      <c r="R53" s="41"/>
      <c r="S53" s="41"/>
      <c r="T53" s="41"/>
    </row>
    <row r="54" spans="1:20" ht="15.75" customHeight="1">
      <c r="A54" s="41"/>
      <c r="B54" s="41"/>
      <c r="C54" s="103" t="s">
        <v>192</v>
      </c>
      <c r="D54" s="103"/>
      <c r="E54" s="103"/>
      <c r="F54" s="41"/>
      <c r="G54" s="41"/>
      <c r="H54" s="41"/>
      <c r="I54" s="41"/>
      <c r="J54" s="41"/>
      <c r="K54" s="41"/>
      <c r="L54" s="41"/>
      <c r="M54" s="41"/>
      <c r="N54" s="41"/>
      <c r="O54" s="41"/>
      <c r="P54" s="41"/>
      <c r="Q54" s="41"/>
      <c r="R54" s="41"/>
      <c r="S54" s="41"/>
      <c r="T54" s="41"/>
    </row>
    <row r="55" spans="1:20" ht="15.75" customHeight="1">
      <c r="A55" s="41"/>
      <c r="B55" s="41"/>
      <c r="C55" s="103"/>
      <c r="D55" s="103"/>
      <c r="E55" s="103"/>
      <c r="F55" s="41"/>
      <c r="G55" s="41"/>
      <c r="H55" s="41"/>
      <c r="I55" s="41"/>
      <c r="J55" s="41"/>
      <c r="K55" s="41"/>
      <c r="L55" s="41"/>
      <c r="M55" s="41"/>
      <c r="N55" s="41"/>
      <c r="O55" s="41"/>
      <c r="P55" s="41"/>
      <c r="Q55" s="41"/>
      <c r="R55" s="41"/>
      <c r="S55" s="41"/>
      <c r="T55" s="41"/>
    </row>
    <row r="56" spans="1:20" ht="15.75" customHeight="1">
      <c r="A56" s="41"/>
      <c r="B56" s="41"/>
      <c r="C56" s="103"/>
      <c r="D56" s="103"/>
      <c r="E56" s="103"/>
      <c r="F56" s="41"/>
      <c r="G56" s="41"/>
      <c r="H56" s="41"/>
      <c r="I56" s="41"/>
      <c r="J56" s="41"/>
      <c r="K56" s="41"/>
      <c r="L56" s="41"/>
      <c r="M56" s="41"/>
      <c r="N56" s="41"/>
      <c r="O56" s="41"/>
      <c r="P56" s="41"/>
      <c r="Q56" s="41"/>
      <c r="R56" s="41"/>
      <c r="S56" s="41"/>
      <c r="T56" s="41"/>
    </row>
    <row r="57" spans="1:20" ht="15.75" customHeight="1">
      <c r="A57" s="41"/>
      <c r="B57" s="41"/>
      <c r="C57" s="103"/>
      <c r="D57" s="103"/>
      <c r="E57" s="103"/>
      <c r="F57" s="41"/>
      <c r="G57" s="41"/>
      <c r="H57" s="41"/>
      <c r="I57" s="41"/>
      <c r="J57" s="41"/>
      <c r="K57" s="41"/>
      <c r="L57" s="41"/>
      <c r="M57" s="41"/>
      <c r="N57" s="41"/>
      <c r="O57" s="41"/>
      <c r="P57" s="41"/>
      <c r="Q57" s="41"/>
      <c r="R57" s="41"/>
      <c r="S57" s="41"/>
      <c r="T57" s="41"/>
    </row>
    <row r="58" spans="1:20" ht="15.75" customHeight="1">
      <c r="A58" s="41"/>
      <c r="B58" s="41"/>
      <c r="C58" s="103"/>
      <c r="D58" s="103"/>
      <c r="E58" s="103"/>
      <c r="F58" s="41"/>
      <c r="G58" s="41"/>
      <c r="H58" s="41"/>
      <c r="I58" s="41"/>
      <c r="J58" s="41"/>
      <c r="K58" s="41"/>
      <c r="L58" s="41"/>
      <c r="M58" s="41"/>
      <c r="N58" s="41"/>
      <c r="O58" s="41"/>
      <c r="P58" s="41"/>
      <c r="Q58" s="41"/>
      <c r="R58" s="41"/>
      <c r="S58" s="41"/>
      <c r="T58" s="41"/>
    </row>
    <row r="59" spans="1:20" ht="15.75" customHeight="1">
      <c r="A59" s="41"/>
      <c r="B59" s="41"/>
      <c r="C59" s="103"/>
      <c r="D59" s="103"/>
      <c r="E59" s="103"/>
      <c r="F59" s="41"/>
      <c r="G59" s="41"/>
      <c r="H59" s="41"/>
      <c r="I59" s="41"/>
      <c r="J59" s="41"/>
      <c r="K59" s="41"/>
      <c r="L59" s="41"/>
      <c r="M59" s="41"/>
      <c r="N59" s="41"/>
      <c r="O59" s="41"/>
      <c r="P59" s="41"/>
      <c r="Q59" s="41"/>
      <c r="R59" s="41"/>
      <c r="S59" s="41"/>
      <c r="T59" s="41"/>
    </row>
    <row r="60" spans="1:20" ht="15.75" customHeight="1">
      <c r="A60" s="41"/>
      <c r="B60" s="41"/>
      <c r="C60" s="103"/>
      <c r="D60" s="103"/>
      <c r="E60" s="103"/>
      <c r="F60" s="41"/>
      <c r="G60" s="41"/>
      <c r="H60" s="41"/>
      <c r="I60" s="41"/>
      <c r="J60" s="41"/>
      <c r="K60" s="41"/>
      <c r="L60" s="41"/>
      <c r="M60" s="41"/>
      <c r="N60" s="41"/>
      <c r="O60" s="41"/>
      <c r="P60" s="41"/>
      <c r="Q60" s="41"/>
      <c r="R60" s="41"/>
      <c r="S60" s="41"/>
      <c r="T60" s="41"/>
    </row>
    <row r="61" spans="1:20" ht="15.75" customHeight="1">
      <c r="A61" s="41"/>
      <c r="B61" s="41"/>
      <c r="C61" s="103"/>
      <c r="D61" s="103"/>
      <c r="E61" s="103"/>
      <c r="F61" s="41"/>
      <c r="G61" s="41"/>
      <c r="H61" s="41"/>
      <c r="I61" s="41"/>
      <c r="J61" s="41"/>
      <c r="K61" s="41"/>
      <c r="L61" s="41"/>
      <c r="M61" s="41"/>
      <c r="N61" s="41"/>
      <c r="O61" s="41"/>
      <c r="P61" s="41"/>
      <c r="Q61" s="41"/>
      <c r="R61" s="41"/>
      <c r="S61" s="41"/>
      <c r="T61" s="41"/>
    </row>
    <row r="62" spans="1:20" ht="15.75" customHeight="1">
      <c r="A62" s="41"/>
      <c r="B62" s="41"/>
      <c r="C62" s="103"/>
      <c r="D62" s="103"/>
      <c r="E62" s="103"/>
      <c r="F62" s="41"/>
      <c r="G62" s="41"/>
      <c r="H62" s="41"/>
      <c r="I62" s="41"/>
      <c r="J62" s="41"/>
      <c r="K62" s="41"/>
      <c r="L62" s="41"/>
      <c r="M62" s="41"/>
      <c r="N62" s="41"/>
      <c r="O62" s="41"/>
      <c r="P62" s="41"/>
      <c r="Q62" s="41"/>
      <c r="R62" s="41"/>
      <c r="S62" s="41"/>
      <c r="T62" s="41"/>
    </row>
    <row r="63" spans="1:20" ht="15.75" customHeight="1">
      <c r="A63" s="41"/>
      <c r="B63" s="41"/>
      <c r="C63" s="103"/>
      <c r="D63" s="103"/>
      <c r="E63" s="103"/>
      <c r="F63" s="41"/>
      <c r="G63" s="41"/>
      <c r="H63" s="41"/>
      <c r="I63" s="41"/>
      <c r="J63" s="41"/>
      <c r="K63" s="41"/>
      <c r="L63" s="41"/>
      <c r="M63" s="41"/>
      <c r="N63" s="41"/>
      <c r="O63" s="41"/>
      <c r="P63" s="41"/>
      <c r="Q63" s="41"/>
      <c r="R63" s="41"/>
      <c r="S63" s="41"/>
      <c r="T63" s="41"/>
    </row>
    <row r="64" spans="1:20" ht="15.75" customHeight="1">
      <c r="A64" s="41"/>
      <c r="B64" s="41"/>
      <c r="C64" s="103"/>
      <c r="D64" s="103"/>
      <c r="E64" s="103"/>
      <c r="F64" s="41"/>
      <c r="G64" s="41"/>
      <c r="H64" s="41"/>
      <c r="I64" s="41"/>
      <c r="J64" s="41"/>
      <c r="K64" s="41"/>
      <c r="L64" s="41"/>
      <c r="M64" s="41"/>
      <c r="N64" s="41"/>
      <c r="O64" s="41"/>
      <c r="P64" s="41"/>
      <c r="Q64" s="41"/>
      <c r="R64" s="41"/>
      <c r="S64" s="41"/>
      <c r="T64" s="41"/>
    </row>
    <row r="65" spans="1:20" ht="15.75" customHeight="1">
      <c r="A65" s="41"/>
      <c r="B65" s="41"/>
      <c r="C65" s="103"/>
      <c r="D65" s="103"/>
      <c r="E65" s="103"/>
      <c r="F65" s="41"/>
      <c r="G65" s="41"/>
      <c r="H65" s="41"/>
      <c r="I65" s="41"/>
      <c r="J65" s="41"/>
      <c r="K65" s="41"/>
      <c r="L65" s="41"/>
      <c r="M65" s="41"/>
      <c r="N65" s="41"/>
      <c r="O65" s="41"/>
      <c r="P65" s="41"/>
      <c r="Q65" s="41"/>
      <c r="R65" s="41"/>
      <c r="S65" s="41"/>
      <c r="T65" s="41"/>
    </row>
    <row r="66" spans="1:20" ht="15.75" customHeight="1">
      <c r="A66" s="41"/>
      <c r="B66" s="41"/>
      <c r="C66" s="103"/>
      <c r="D66" s="103"/>
      <c r="E66" s="103"/>
      <c r="F66" s="41"/>
      <c r="G66" s="41"/>
      <c r="H66" s="41"/>
      <c r="I66" s="41"/>
      <c r="J66" s="41"/>
      <c r="K66" s="41"/>
      <c r="L66" s="41"/>
      <c r="M66" s="41"/>
      <c r="N66" s="41"/>
      <c r="O66" s="41"/>
      <c r="P66" s="41"/>
      <c r="Q66" s="41"/>
      <c r="R66" s="41"/>
      <c r="S66" s="41"/>
      <c r="T66" s="41"/>
    </row>
    <row r="67" spans="1:20" ht="15.75" customHeight="1">
      <c r="A67" s="41"/>
      <c r="B67" s="41"/>
      <c r="C67" s="103"/>
      <c r="D67" s="103"/>
      <c r="E67" s="103"/>
      <c r="F67" s="41"/>
      <c r="G67" s="41"/>
      <c r="H67" s="41"/>
      <c r="I67" s="41"/>
      <c r="J67" s="41"/>
      <c r="K67" s="41"/>
      <c r="L67" s="41"/>
      <c r="M67" s="41"/>
      <c r="N67" s="41"/>
      <c r="O67" s="41"/>
      <c r="P67" s="41"/>
      <c r="Q67" s="41"/>
      <c r="R67" s="41"/>
      <c r="S67" s="41"/>
      <c r="T67" s="41"/>
    </row>
    <row r="68" spans="1:20" ht="15.75" customHeight="1">
      <c r="A68" s="41"/>
      <c r="B68" s="41"/>
      <c r="C68" s="103"/>
      <c r="D68" s="103"/>
      <c r="E68" s="103"/>
      <c r="F68" s="41"/>
      <c r="G68" s="41"/>
      <c r="H68" s="41"/>
      <c r="I68" s="41"/>
      <c r="J68" s="41"/>
      <c r="K68" s="41"/>
      <c r="L68" s="41"/>
      <c r="M68" s="41"/>
      <c r="N68" s="41"/>
      <c r="O68" s="41"/>
      <c r="P68" s="41"/>
      <c r="Q68" s="41"/>
      <c r="R68" s="41"/>
      <c r="S68" s="41"/>
      <c r="T68" s="41"/>
    </row>
    <row r="69" spans="1:20" ht="15.75" customHeight="1">
      <c r="A69" s="41"/>
      <c r="B69" s="41"/>
      <c r="C69" s="103"/>
      <c r="D69" s="103"/>
      <c r="E69" s="103"/>
      <c r="F69" s="41"/>
      <c r="G69" s="41"/>
      <c r="H69" s="41"/>
      <c r="I69" s="41"/>
      <c r="J69" s="41"/>
      <c r="K69" s="41"/>
      <c r="L69" s="41"/>
      <c r="M69" s="41"/>
      <c r="N69" s="41"/>
      <c r="O69" s="41"/>
      <c r="P69" s="41"/>
      <c r="Q69" s="41"/>
      <c r="R69" s="41"/>
      <c r="S69" s="41"/>
      <c r="T69" s="41"/>
    </row>
    <row r="70" spans="1:20" ht="15.75" customHeight="1">
      <c r="A70" s="41"/>
      <c r="B70" s="41"/>
      <c r="C70" s="103"/>
      <c r="D70" s="103"/>
      <c r="E70" s="103"/>
      <c r="F70" s="41"/>
      <c r="G70" s="41"/>
      <c r="H70" s="41"/>
      <c r="I70" s="41"/>
      <c r="J70" s="41"/>
      <c r="K70" s="41"/>
      <c r="L70" s="41"/>
      <c r="M70" s="41"/>
      <c r="N70" s="41"/>
      <c r="O70" s="41"/>
      <c r="P70" s="41"/>
      <c r="Q70" s="41"/>
      <c r="R70" s="41"/>
      <c r="S70" s="41"/>
      <c r="T70" s="41"/>
    </row>
    <row r="71" spans="1:20" ht="15.75" customHeight="1">
      <c r="A71" s="41"/>
      <c r="B71" s="41"/>
      <c r="C71" s="66"/>
      <c r="D71" s="41"/>
      <c r="E71" s="41"/>
      <c r="F71" s="41"/>
      <c r="G71" s="41"/>
      <c r="H71" s="41"/>
      <c r="I71" s="41"/>
      <c r="J71" s="41"/>
      <c r="K71" s="41"/>
      <c r="L71" s="41"/>
      <c r="M71" s="41"/>
      <c r="N71" s="41"/>
      <c r="O71" s="41"/>
      <c r="P71" s="41"/>
      <c r="Q71" s="41"/>
      <c r="R71" s="41"/>
      <c r="S71" s="41"/>
      <c r="T71" s="41"/>
    </row>
    <row r="72" spans="1:20" ht="15.75" customHeight="1">
      <c r="A72" s="41"/>
      <c r="B72" s="41"/>
      <c r="C72" s="66"/>
      <c r="D72" s="41"/>
      <c r="E72" s="41"/>
      <c r="F72" s="41"/>
      <c r="G72" s="41"/>
      <c r="H72" s="41"/>
      <c r="I72" s="41"/>
      <c r="J72" s="41"/>
      <c r="K72" s="41"/>
      <c r="L72" s="41"/>
      <c r="M72" s="41"/>
      <c r="N72" s="41"/>
      <c r="O72" s="41"/>
      <c r="P72" s="41"/>
      <c r="Q72" s="41"/>
      <c r="R72" s="41"/>
      <c r="S72" s="41"/>
      <c r="T72" s="41"/>
    </row>
    <row r="73" spans="1:20" ht="15.75" customHeight="1">
      <c r="A73" s="41"/>
      <c r="B73" s="41"/>
      <c r="C73" s="66"/>
      <c r="D73" s="41"/>
      <c r="E73" s="41"/>
      <c r="F73" s="41"/>
      <c r="G73" s="41"/>
      <c r="H73" s="41"/>
      <c r="I73" s="41"/>
      <c r="J73" s="41"/>
      <c r="K73" s="41"/>
      <c r="L73" s="41"/>
      <c r="M73" s="41"/>
      <c r="N73" s="41"/>
      <c r="O73" s="41"/>
      <c r="P73" s="41"/>
      <c r="Q73" s="41"/>
      <c r="R73" s="41"/>
      <c r="S73" s="41"/>
      <c r="T73" s="41"/>
    </row>
    <row r="74" spans="1:20" ht="15.75" customHeight="1">
      <c r="A74" s="41"/>
      <c r="B74" s="41"/>
      <c r="C74" s="66"/>
      <c r="D74" s="41"/>
      <c r="E74" s="41"/>
      <c r="F74" s="41"/>
      <c r="G74" s="41"/>
      <c r="H74" s="41"/>
      <c r="I74" s="41"/>
      <c r="J74" s="41"/>
      <c r="K74" s="41"/>
      <c r="L74" s="41"/>
      <c r="M74" s="41"/>
      <c r="N74" s="41"/>
      <c r="O74" s="41"/>
      <c r="P74" s="41"/>
      <c r="Q74" s="41"/>
      <c r="R74" s="41"/>
      <c r="S74" s="41"/>
      <c r="T74" s="41"/>
    </row>
    <row r="75" spans="1:20" ht="15.75" customHeight="1">
      <c r="A75" s="41"/>
      <c r="B75" s="41"/>
      <c r="C75" s="66"/>
      <c r="D75" s="41"/>
      <c r="E75" s="41"/>
      <c r="F75" s="41"/>
      <c r="G75" s="41"/>
      <c r="H75" s="41"/>
      <c r="I75" s="41"/>
      <c r="J75" s="41"/>
      <c r="K75" s="41"/>
      <c r="L75" s="41"/>
      <c r="M75" s="41"/>
      <c r="N75" s="41"/>
      <c r="O75" s="41"/>
      <c r="P75" s="41"/>
      <c r="Q75" s="41"/>
      <c r="R75" s="41"/>
      <c r="S75" s="41"/>
      <c r="T75" s="41"/>
    </row>
    <row r="76" spans="1:20" ht="15.75" customHeight="1">
      <c r="A76" s="41"/>
      <c r="B76" s="41"/>
      <c r="C76" s="66"/>
      <c r="D76" s="41"/>
      <c r="E76" s="41"/>
      <c r="F76" s="41"/>
      <c r="G76" s="41"/>
      <c r="H76" s="41"/>
      <c r="I76" s="41"/>
      <c r="J76" s="41"/>
      <c r="K76" s="41"/>
      <c r="L76" s="41"/>
      <c r="M76" s="41"/>
      <c r="N76" s="41"/>
      <c r="O76" s="41"/>
      <c r="P76" s="41"/>
      <c r="Q76" s="41"/>
      <c r="R76" s="41"/>
      <c r="S76" s="41"/>
      <c r="T76" s="41"/>
    </row>
    <row r="77" spans="1:20" ht="15.75" customHeight="1">
      <c r="A77" s="41"/>
      <c r="B77" s="41"/>
      <c r="C77" s="66"/>
      <c r="D77" s="41"/>
      <c r="E77" s="41"/>
      <c r="F77" s="41"/>
      <c r="G77" s="41"/>
      <c r="H77" s="41"/>
      <c r="I77" s="41"/>
      <c r="J77" s="41"/>
      <c r="K77" s="41"/>
      <c r="L77" s="41"/>
      <c r="M77" s="41"/>
      <c r="N77" s="41"/>
      <c r="O77" s="41"/>
      <c r="P77" s="41"/>
      <c r="Q77" s="41"/>
      <c r="R77" s="41"/>
      <c r="S77" s="41"/>
      <c r="T77" s="41"/>
    </row>
    <row r="78" spans="1:20" ht="15.75" customHeight="1">
      <c r="A78" s="41"/>
      <c r="B78" s="41"/>
      <c r="C78" s="66"/>
      <c r="D78" s="41"/>
      <c r="E78" s="41"/>
      <c r="F78" s="41"/>
      <c r="G78" s="41"/>
      <c r="H78" s="41"/>
      <c r="I78" s="41"/>
      <c r="J78" s="41"/>
      <c r="K78" s="41"/>
      <c r="L78" s="41"/>
      <c r="M78" s="41"/>
      <c r="N78" s="41"/>
      <c r="O78" s="41"/>
      <c r="P78" s="41"/>
      <c r="Q78" s="41"/>
      <c r="R78" s="41"/>
      <c r="S78" s="41"/>
      <c r="T78" s="41"/>
    </row>
    <row r="79" spans="1:20" ht="15.75" customHeight="1">
      <c r="A79" s="41"/>
      <c r="B79" s="41"/>
      <c r="C79" s="66"/>
      <c r="D79" s="41"/>
      <c r="E79" s="41"/>
      <c r="F79" s="41"/>
      <c r="G79" s="41"/>
      <c r="H79" s="41"/>
      <c r="I79" s="41"/>
      <c r="J79" s="41"/>
      <c r="K79" s="41"/>
      <c r="L79" s="41"/>
      <c r="M79" s="41"/>
      <c r="N79" s="41"/>
      <c r="O79" s="41"/>
      <c r="P79" s="41"/>
      <c r="Q79" s="41"/>
      <c r="R79" s="41"/>
      <c r="S79" s="41"/>
      <c r="T79" s="41"/>
    </row>
    <row r="80" spans="1:20" ht="15.75" customHeight="1">
      <c r="A80" s="41"/>
      <c r="B80" s="41"/>
      <c r="C80" s="66"/>
      <c r="D80" s="41"/>
      <c r="E80" s="41"/>
      <c r="F80" s="41"/>
      <c r="G80" s="41"/>
      <c r="H80" s="41"/>
      <c r="I80" s="41"/>
      <c r="J80" s="41"/>
      <c r="K80" s="41"/>
      <c r="L80" s="41"/>
      <c r="M80" s="41"/>
      <c r="N80" s="41"/>
      <c r="O80" s="41"/>
      <c r="P80" s="41"/>
      <c r="Q80" s="41"/>
      <c r="R80" s="41"/>
      <c r="S80" s="41"/>
      <c r="T80" s="41"/>
    </row>
    <row r="81" spans="1:20" ht="15.75" customHeight="1">
      <c r="A81" s="41"/>
      <c r="B81" s="41"/>
      <c r="C81" s="66"/>
      <c r="D81" s="41"/>
      <c r="E81" s="41"/>
      <c r="F81" s="41"/>
      <c r="G81" s="41"/>
      <c r="H81" s="41"/>
      <c r="I81" s="41"/>
      <c r="J81" s="41"/>
      <c r="K81" s="41"/>
      <c r="L81" s="41"/>
      <c r="M81" s="41"/>
      <c r="N81" s="41"/>
      <c r="O81" s="41"/>
      <c r="P81" s="41"/>
      <c r="Q81" s="41"/>
      <c r="R81" s="41"/>
      <c r="S81" s="41"/>
      <c r="T81" s="41"/>
    </row>
    <row r="82" spans="1:20" ht="15.75" customHeight="1">
      <c r="A82" s="41"/>
      <c r="B82" s="41"/>
      <c r="C82" s="66"/>
      <c r="D82" s="41"/>
      <c r="E82" s="41"/>
      <c r="F82" s="41"/>
      <c r="G82" s="41"/>
      <c r="H82" s="41"/>
      <c r="I82" s="41"/>
      <c r="J82" s="41"/>
      <c r="K82" s="41"/>
      <c r="L82" s="41"/>
      <c r="M82" s="41"/>
      <c r="N82" s="41"/>
      <c r="O82" s="41"/>
      <c r="P82" s="41"/>
      <c r="Q82" s="41"/>
      <c r="R82" s="41"/>
      <c r="S82" s="41"/>
      <c r="T82" s="41"/>
    </row>
    <row r="83" spans="1:20" ht="15.75" customHeight="1">
      <c r="A83" s="41"/>
      <c r="B83" s="41"/>
      <c r="C83" s="66"/>
      <c r="D83" s="41"/>
      <c r="E83" s="41"/>
      <c r="F83" s="41"/>
      <c r="G83" s="41"/>
      <c r="H83" s="41"/>
      <c r="I83" s="41"/>
      <c r="J83" s="41"/>
      <c r="K83" s="41"/>
      <c r="L83" s="41"/>
      <c r="M83" s="41"/>
      <c r="N83" s="41"/>
      <c r="O83" s="41"/>
      <c r="P83" s="41"/>
      <c r="Q83" s="41"/>
      <c r="R83" s="41"/>
      <c r="S83" s="41"/>
      <c r="T83" s="41"/>
    </row>
    <row r="84" spans="1:20" ht="15.75" customHeight="1">
      <c r="A84" s="41"/>
      <c r="B84" s="41"/>
      <c r="C84" s="66"/>
      <c r="D84" s="41"/>
      <c r="E84" s="41"/>
      <c r="F84" s="41"/>
      <c r="G84" s="41"/>
      <c r="H84" s="41"/>
      <c r="I84" s="41"/>
      <c r="J84" s="41"/>
      <c r="K84" s="41"/>
      <c r="L84" s="41"/>
      <c r="M84" s="41"/>
      <c r="N84" s="41"/>
      <c r="O84" s="41"/>
      <c r="P84" s="41"/>
      <c r="Q84" s="41"/>
      <c r="R84" s="41"/>
      <c r="S84" s="41"/>
      <c r="T84" s="41"/>
    </row>
    <row r="85" spans="1:20" ht="15.75" customHeight="1">
      <c r="A85" s="41"/>
      <c r="B85" s="41"/>
      <c r="C85" s="66"/>
      <c r="D85" s="41"/>
      <c r="E85" s="41"/>
      <c r="F85" s="41"/>
      <c r="G85" s="41"/>
      <c r="H85" s="41"/>
      <c r="I85" s="41"/>
      <c r="J85" s="41"/>
      <c r="K85" s="41"/>
      <c r="L85" s="41"/>
      <c r="M85" s="41"/>
      <c r="N85" s="41"/>
      <c r="O85" s="41"/>
      <c r="P85" s="41"/>
      <c r="Q85" s="41"/>
      <c r="R85" s="41"/>
      <c r="S85" s="41"/>
      <c r="T85" s="41"/>
    </row>
    <row r="86" spans="1:20" ht="15.75" customHeight="1">
      <c r="A86" s="41"/>
      <c r="B86" s="41"/>
      <c r="C86" s="66"/>
      <c r="D86" s="41"/>
      <c r="E86" s="41"/>
      <c r="F86" s="41"/>
      <c r="G86" s="41"/>
      <c r="H86" s="41"/>
      <c r="I86" s="41"/>
      <c r="J86" s="41"/>
      <c r="K86" s="41"/>
      <c r="L86" s="41"/>
      <c r="M86" s="41"/>
      <c r="N86" s="41"/>
      <c r="O86" s="41"/>
      <c r="P86" s="41"/>
      <c r="Q86" s="41"/>
      <c r="R86" s="41"/>
      <c r="S86" s="41"/>
      <c r="T86" s="41"/>
    </row>
    <row r="87" spans="1:20" ht="15.75" customHeight="1">
      <c r="A87" s="41"/>
      <c r="B87" s="41"/>
      <c r="C87" s="66"/>
      <c r="D87" s="41"/>
      <c r="E87" s="41"/>
      <c r="F87" s="41"/>
      <c r="G87" s="41"/>
      <c r="H87" s="41"/>
      <c r="I87" s="41"/>
      <c r="J87" s="41"/>
      <c r="K87" s="41"/>
      <c r="L87" s="41"/>
      <c r="M87" s="41"/>
      <c r="N87" s="41"/>
      <c r="O87" s="41"/>
      <c r="P87" s="41"/>
      <c r="Q87" s="41"/>
      <c r="R87" s="41"/>
      <c r="S87" s="41"/>
      <c r="T87" s="41"/>
    </row>
    <row r="88" spans="1:20" ht="15.75" customHeight="1">
      <c r="A88" s="41"/>
      <c r="B88" s="41"/>
      <c r="C88" s="66"/>
      <c r="D88" s="41"/>
      <c r="E88" s="41"/>
      <c r="F88" s="41"/>
      <c r="G88" s="41"/>
      <c r="H88" s="41"/>
      <c r="I88" s="41"/>
      <c r="J88" s="41"/>
      <c r="K88" s="41"/>
      <c r="L88" s="41"/>
      <c r="M88" s="41"/>
      <c r="N88" s="41"/>
      <c r="O88" s="41"/>
      <c r="P88" s="41"/>
      <c r="Q88" s="41"/>
      <c r="R88" s="41"/>
      <c r="S88" s="41"/>
      <c r="T88" s="41"/>
    </row>
    <row r="89" spans="1:20" ht="15.75" customHeight="1">
      <c r="A89" s="41"/>
      <c r="B89" s="41"/>
      <c r="C89" s="66"/>
      <c r="D89" s="41"/>
      <c r="E89" s="41"/>
      <c r="F89" s="41"/>
      <c r="G89" s="41"/>
      <c r="H89" s="41"/>
      <c r="I89" s="41"/>
      <c r="J89" s="41"/>
      <c r="K89" s="41"/>
      <c r="L89" s="41"/>
      <c r="M89" s="41"/>
      <c r="N89" s="41"/>
      <c r="O89" s="41"/>
      <c r="P89" s="41"/>
      <c r="Q89" s="41"/>
      <c r="R89" s="41"/>
      <c r="S89" s="41"/>
      <c r="T89" s="41"/>
    </row>
    <row r="90" spans="1:20" ht="15.75" customHeight="1">
      <c r="A90" s="41"/>
      <c r="B90" s="41"/>
      <c r="C90" s="66"/>
      <c r="D90" s="41"/>
      <c r="E90" s="41"/>
      <c r="F90" s="41"/>
      <c r="G90" s="41"/>
      <c r="H90" s="41"/>
      <c r="I90" s="41"/>
      <c r="J90" s="41"/>
      <c r="K90" s="41"/>
      <c r="L90" s="41"/>
      <c r="M90" s="41"/>
      <c r="N90" s="41"/>
      <c r="O90" s="41"/>
      <c r="P90" s="41"/>
      <c r="Q90" s="41"/>
      <c r="R90" s="41"/>
      <c r="S90" s="41"/>
      <c r="T90" s="41"/>
    </row>
    <row r="91" spans="1:20" ht="15.75" customHeight="1">
      <c r="A91" s="41"/>
      <c r="B91" s="41"/>
      <c r="C91" s="66"/>
      <c r="D91" s="41"/>
      <c r="E91" s="41"/>
      <c r="F91" s="41"/>
      <c r="G91" s="41"/>
      <c r="H91" s="41"/>
      <c r="I91" s="41"/>
      <c r="J91" s="41"/>
      <c r="K91" s="41"/>
      <c r="L91" s="41"/>
      <c r="M91" s="41"/>
      <c r="N91" s="41"/>
      <c r="O91" s="41"/>
      <c r="P91" s="41"/>
      <c r="Q91" s="41"/>
      <c r="R91" s="41"/>
      <c r="S91" s="41"/>
      <c r="T91" s="41"/>
    </row>
    <row r="92" spans="1:20" ht="15.75" customHeight="1">
      <c r="A92" s="41"/>
      <c r="B92" s="41"/>
      <c r="C92" s="66"/>
      <c r="D92" s="41"/>
      <c r="E92" s="41"/>
      <c r="F92" s="41"/>
      <c r="G92" s="41"/>
      <c r="H92" s="41"/>
      <c r="I92" s="41"/>
      <c r="J92" s="41"/>
      <c r="K92" s="41"/>
      <c r="L92" s="41"/>
      <c r="M92" s="41"/>
      <c r="N92" s="41"/>
      <c r="O92" s="41"/>
      <c r="P92" s="41"/>
      <c r="Q92" s="41"/>
      <c r="R92" s="41"/>
      <c r="S92" s="41"/>
      <c r="T92" s="41"/>
    </row>
    <row r="93" spans="1:20" ht="15.75" customHeight="1">
      <c r="A93" s="41"/>
      <c r="B93" s="41"/>
      <c r="C93" s="66"/>
      <c r="D93" s="41"/>
      <c r="E93" s="41"/>
      <c r="F93" s="41"/>
      <c r="G93" s="41"/>
      <c r="H93" s="41"/>
      <c r="I93" s="41"/>
      <c r="J93" s="41"/>
      <c r="K93" s="41"/>
      <c r="L93" s="41"/>
      <c r="M93" s="41"/>
      <c r="N93" s="41"/>
      <c r="O93" s="41"/>
      <c r="P93" s="41"/>
      <c r="Q93" s="41"/>
      <c r="R93" s="41"/>
      <c r="S93" s="41"/>
      <c r="T93" s="41"/>
    </row>
    <row r="94" spans="1:20" ht="15.75" customHeight="1">
      <c r="A94" s="41"/>
      <c r="B94" s="41"/>
      <c r="C94" s="66"/>
      <c r="D94" s="41"/>
      <c r="E94" s="41"/>
      <c r="F94" s="41"/>
      <c r="G94" s="41"/>
      <c r="H94" s="41"/>
      <c r="I94" s="41"/>
      <c r="J94" s="41"/>
      <c r="K94" s="41"/>
      <c r="L94" s="41"/>
      <c r="M94" s="41"/>
      <c r="N94" s="41"/>
      <c r="O94" s="41"/>
      <c r="P94" s="41"/>
      <c r="Q94" s="41"/>
      <c r="R94" s="41"/>
      <c r="S94" s="41"/>
      <c r="T94" s="41"/>
    </row>
    <row r="95" spans="1:20" ht="15.75" customHeight="1">
      <c r="A95" s="41"/>
      <c r="B95" s="41"/>
      <c r="C95" s="66"/>
      <c r="D95" s="41"/>
      <c r="E95" s="41"/>
      <c r="F95" s="41"/>
      <c r="G95" s="41"/>
      <c r="H95" s="41"/>
      <c r="I95" s="41"/>
      <c r="J95" s="41"/>
      <c r="K95" s="41"/>
      <c r="L95" s="41"/>
      <c r="M95" s="41"/>
      <c r="N95" s="41"/>
      <c r="O95" s="41"/>
      <c r="P95" s="41"/>
      <c r="Q95" s="41"/>
      <c r="R95" s="41"/>
      <c r="S95" s="41"/>
      <c r="T95" s="41"/>
    </row>
    <row r="96" spans="1:20" ht="15.75" customHeight="1">
      <c r="A96" s="41"/>
      <c r="B96" s="41"/>
      <c r="C96" s="66"/>
      <c r="D96" s="41"/>
      <c r="E96" s="41"/>
      <c r="F96" s="41"/>
      <c r="G96" s="41"/>
      <c r="H96" s="41"/>
      <c r="I96" s="41"/>
      <c r="J96" s="41"/>
      <c r="K96" s="41"/>
      <c r="L96" s="41"/>
      <c r="M96" s="41"/>
      <c r="N96" s="41"/>
      <c r="O96" s="41"/>
      <c r="P96" s="41"/>
      <c r="Q96" s="41"/>
      <c r="R96" s="41"/>
      <c r="S96" s="41"/>
      <c r="T96" s="41"/>
    </row>
    <row r="97" spans="1:20" ht="15.75" customHeight="1">
      <c r="A97" s="41"/>
      <c r="B97" s="41"/>
      <c r="C97" s="66"/>
      <c r="D97" s="41"/>
      <c r="E97" s="41"/>
      <c r="F97" s="41"/>
      <c r="G97" s="41"/>
      <c r="H97" s="41"/>
      <c r="I97" s="41"/>
      <c r="J97" s="41"/>
      <c r="K97" s="41"/>
      <c r="L97" s="41"/>
      <c r="M97" s="41"/>
      <c r="N97" s="41"/>
      <c r="O97" s="41"/>
      <c r="P97" s="41"/>
      <c r="Q97" s="41"/>
      <c r="R97" s="41"/>
      <c r="S97" s="41"/>
      <c r="T97" s="41"/>
    </row>
    <row r="98" spans="1:20" ht="15.75" customHeight="1">
      <c r="A98" s="41"/>
      <c r="B98" s="41"/>
      <c r="C98" s="66"/>
      <c r="D98" s="41"/>
      <c r="E98" s="41"/>
      <c r="F98" s="41"/>
      <c r="G98" s="41"/>
      <c r="H98" s="41"/>
      <c r="I98" s="41"/>
      <c r="J98" s="41"/>
      <c r="K98" s="41"/>
      <c r="L98" s="41"/>
      <c r="M98" s="41"/>
      <c r="N98" s="41"/>
      <c r="O98" s="41"/>
      <c r="P98" s="41"/>
      <c r="Q98" s="41"/>
      <c r="R98" s="41"/>
      <c r="S98" s="41"/>
      <c r="T98" s="41"/>
    </row>
    <row r="99" spans="1:20" ht="15.75" customHeight="1">
      <c r="A99" s="41"/>
      <c r="B99" s="41"/>
      <c r="C99" s="66"/>
      <c r="D99" s="41"/>
      <c r="E99" s="41"/>
      <c r="F99" s="41"/>
      <c r="G99" s="41"/>
      <c r="H99" s="41"/>
      <c r="I99" s="41"/>
      <c r="J99" s="41"/>
      <c r="K99" s="41"/>
      <c r="L99" s="41"/>
      <c r="M99" s="41"/>
      <c r="N99" s="41"/>
      <c r="O99" s="41"/>
      <c r="P99" s="41"/>
      <c r="Q99" s="41"/>
      <c r="R99" s="41"/>
      <c r="S99" s="41"/>
      <c r="T99" s="41"/>
    </row>
    <row r="100" spans="1:20" ht="15.75" customHeight="1">
      <c r="A100" s="41"/>
      <c r="B100" s="41"/>
      <c r="C100" s="66"/>
      <c r="D100" s="41"/>
      <c r="E100" s="41"/>
      <c r="F100" s="41"/>
      <c r="G100" s="41"/>
      <c r="H100" s="41"/>
      <c r="I100" s="41"/>
      <c r="J100" s="41"/>
      <c r="K100" s="41"/>
      <c r="L100" s="41"/>
      <c r="M100" s="41"/>
      <c r="N100" s="41"/>
      <c r="O100" s="41"/>
      <c r="P100" s="41"/>
      <c r="Q100" s="41"/>
      <c r="R100" s="41"/>
      <c r="S100" s="41"/>
      <c r="T100" s="41"/>
    </row>
    <row r="101" spans="1:20" ht="15.75" customHeight="1">
      <c r="A101" s="41"/>
      <c r="B101" s="41"/>
      <c r="C101" s="66"/>
      <c r="D101" s="41"/>
      <c r="E101" s="41"/>
      <c r="F101" s="41"/>
      <c r="G101" s="41"/>
      <c r="H101" s="41"/>
      <c r="I101" s="41"/>
      <c r="J101" s="41"/>
      <c r="K101" s="41"/>
      <c r="L101" s="41"/>
      <c r="M101" s="41"/>
      <c r="N101" s="41"/>
      <c r="O101" s="41"/>
      <c r="P101" s="41"/>
      <c r="Q101" s="41"/>
      <c r="R101" s="41"/>
      <c r="S101" s="41"/>
      <c r="T101" s="41"/>
    </row>
    <row r="102" spans="1:20" ht="15.75" customHeight="1">
      <c r="A102" s="41"/>
      <c r="B102" s="41"/>
      <c r="C102" s="66"/>
      <c r="D102" s="41"/>
      <c r="E102" s="41"/>
      <c r="F102" s="41"/>
      <c r="G102" s="41"/>
      <c r="H102" s="41"/>
      <c r="I102" s="41"/>
      <c r="J102" s="41"/>
      <c r="K102" s="41"/>
      <c r="L102" s="41"/>
      <c r="M102" s="41"/>
      <c r="N102" s="41"/>
      <c r="O102" s="41"/>
      <c r="P102" s="41"/>
      <c r="Q102" s="41"/>
      <c r="R102" s="41"/>
      <c r="S102" s="41"/>
      <c r="T102" s="41"/>
    </row>
    <row r="103" spans="1:20" ht="15.75" customHeight="1">
      <c r="A103" s="41"/>
      <c r="B103" s="41"/>
      <c r="C103" s="66"/>
      <c r="D103" s="41"/>
      <c r="E103" s="41"/>
      <c r="F103" s="41"/>
      <c r="G103" s="41"/>
      <c r="H103" s="41"/>
      <c r="I103" s="41"/>
      <c r="J103" s="41"/>
      <c r="K103" s="41"/>
      <c r="L103" s="41"/>
      <c r="M103" s="41"/>
      <c r="N103" s="41"/>
      <c r="O103" s="41"/>
      <c r="P103" s="41"/>
      <c r="Q103" s="41"/>
      <c r="R103" s="41"/>
      <c r="S103" s="41"/>
      <c r="T103" s="41"/>
    </row>
    <row r="104" spans="1:20" ht="15.75" customHeight="1">
      <c r="A104" s="41"/>
      <c r="B104" s="41"/>
      <c r="C104" s="66"/>
      <c r="D104" s="41"/>
      <c r="E104" s="41"/>
      <c r="F104" s="41"/>
      <c r="G104" s="41"/>
      <c r="H104" s="41"/>
      <c r="I104" s="41"/>
      <c r="J104" s="41"/>
      <c r="K104" s="41"/>
      <c r="L104" s="41"/>
      <c r="M104" s="41"/>
      <c r="N104" s="41"/>
      <c r="O104" s="41"/>
      <c r="P104" s="41"/>
      <c r="Q104" s="41"/>
      <c r="R104" s="41"/>
      <c r="S104" s="41"/>
      <c r="T104" s="41"/>
    </row>
    <row r="105" spans="1:20" ht="15.75" customHeight="1">
      <c r="A105" s="41"/>
      <c r="B105" s="41"/>
      <c r="C105" s="66"/>
      <c r="D105" s="41"/>
      <c r="E105" s="41"/>
      <c r="F105" s="41"/>
      <c r="G105" s="41"/>
      <c r="H105" s="41"/>
      <c r="I105" s="41"/>
      <c r="J105" s="41"/>
      <c r="K105" s="41"/>
      <c r="L105" s="41"/>
      <c r="M105" s="41"/>
      <c r="N105" s="41"/>
      <c r="O105" s="41"/>
      <c r="P105" s="41"/>
      <c r="Q105" s="41"/>
      <c r="R105" s="41"/>
      <c r="S105" s="41"/>
      <c r="T105" s="41"/>
    </row>
    <row r="106" spans="1:20" ht="15.75" customHeight="1">
      <c r="A106" s="41"/>
      <c r="B106" s="41"/>
      <c r="C106" s="66"/>
      <c r="D106" s="41"/>
      <c r="E106" s="41"/>
      <c r="F106" s="41"/>
      <c r="G106" s="41"/>
      <c r="H106" s="41"/>
      <c r="I106" s="41"/>
      <c r="J106" s="41"/>
      <c r="K106" s="41"/>
      <c r="L106" s="41"/>
      <c r="M106" s="41"/>
      <c r="N106" s="41"/>
      <c r="O106" s="41"/>
      <c r="P106" s="41"/>
      <c r="Q106" s="41"/>
      <c r="R106" s="41"/>
      <c r="S106" s="41"/>
      <c r="T106" s="41"/>
    </row>
    <row r="107" spans="1:20" ht="15.75" customHeight="1">
      <c r="A107" s="41"/>
      <c r="B107" s="41"/>
      <c r="C107" s="66"/>
      <c r="D107" s="41"/>
      <c r="E107" s="41"/>
      <c r="F107" s="41"/>
      <c r="G107" s="41"/>
      <c r="H107" s="41"/>
      <c r="I107" s="41"/>
      <c r="J107" s="41"/>
      <c r="K107" s="41"/>
      <c r="L107" s="41"/>
      <c r="M107" s="41"/>
      <c r="N107" s="41"/>
      <c r="O107" s="41"/>
      <c r="P107" s="41"/>
      <c r="Q107" s="41"/>
      <c r="R107" s="41"/>
      <c r="S107" s="41"/>
      <c r="T107" s="41"/>
    </row>
    <row r="108" spans="1:20" ht="15.75" customHeight="1">
      <c r="A108" s="41"/>
      <c r="B108" s="41"/>
      <c r="C108" s="66"/>
      <c r="D108" s="41"/>
      <c r="E108" s="41"/>
      <c r="F108" s="41"/>
      <c r="G108" s="41"/>
      <c r="H108" s="41"/>
      <c r="I108" s="41"/>
      <c r="J108" s="41"/>
      <c r="K108" s="41"/>
      <c r="L108" s="41"/>
      <c r="M108" s="41"/>
      <c r="N108" s="41"/>
      <c r="O108" s="41"/>
      <c r="P108" s="41"/>
      <c r="Q108" s="41"/>
      <c r="R108" s="41"/>
      <c r="S108" s="41"/>
      <c r="T108" s="41"/>
    </row>
    <row r="109" spans="1:20" ht="15.75" customHeight="1">
      <c r="A109" s="41"/>
      <c r="B109" s="41"/>
      <c r="C109" s="66"/>
      <c r="D109" s="41"/>
      <c r="E109" s="41"/>
      <c r="F109" s="41"/>
      <c r="G109" s="41"/>
      <c r="H109" s="41"/>
      <c r="I109" s="41"/>
      <c r="J109" s="41"/>
      <c r="K109" s="41"/>
      <c r="L109" s="41"/>
      <c r="M109" s="41"/>
      <c r="N109" s="41"/>
      <c r="O109" s="41"/>
      <c r="P109" s="41"/>
      <c r="Q109" s="41"/>
      <c r="R109" s="41"/>
      <c r="S109" s="41"/>
      <c r="T109" s="41"/>
    </row>
    <row r="110" spans="1:20" ht="15.75" customHeight="1">
      <c r="A110" s="41"/>
      <c r="B110" s="41"/>
      <c r="C110" s="66"/>
      <c r="D110" s="41"/>
      <c r="E110" s="41"/>
      <c r="F110" s="41"/>
      <c r="G110" s="41"/>
      <c r="H110" s="41"/>
      <c r="I110" s="41"/>
      <c r="J110" s="41"/>
      <c r="K110" s="41"/>
      <c r="L110" s="41"/>
      <c r="M110" s="41"/>
      <c r="N110" s="41"/>
      <c r="O110" s="41"/>
      <c r="P110" s="41"/>
      <c r="Q110" s="41"/>
      <c r="R110" s="41"/>
      <c r="S110" s="41"/>
      <c r="T110" s="41"/>
    </row>
    <row r="111" spans="1:20" ht="15.75" customHeight="1">
      <c r="A111" s="41"/>
      <c r="B111" s="41"/>
      <c r="C111" s="66"/>
      <c r="D111" s="41"/>
      <c r="E111" s="41"/>
      <c r="F111" s="41"/>
      <c r="G111" s="41"/>
      <c r="H111" s="41"/>
      <c r="I111" s="41"/>
      <c r="J111" s="41"/>
      <c r="K111" s="41"/>
      <c r="L111" s="41"/>
      <c r="M111" s="41"/>
      <c r="N111" s="41"/>
      <c r="O111" s="41"/>
      <c r="P111" s="41"/>
      <c r="Q111" s="41"/>
      <c r="R111" s="41"/>
      <c r="S111" s="41"/>
      <c r="T111" s="41"/>
    </row>
    <row r="112" spans="1:20" ht="15.75" customHeight="1">
      <c r="A112" s="41"/>
      <c r="B112" s="41"/>
      <c r="C112" s="66"/>
      <c r="D112" s="41"/>
      <c r="E112" s="41"/>
      <c r="F112" s="41"/>
      <c r="G112" s="41"/>
      <c r="H112" s="41"/>
      <c r="I112" s="41"/>
      <c r="J112" s="41"/>
      <c r="K112" s="41"/>
      <c r="L112" s="41"/>
      <c r="M112" s="41"/>
      <c r="N112" s="41"/>
      <c r="O112" s="41"/>
      <c r="P112" s="41"/>
      <c r="Q112" s="41"/>
      <c r="R112" s="41"/>
      <c r="S112" s="41"/>
      <c r="T112" s="41"/>
    </row>
    <row r="113" spans="1:20" ht="15.75" customHeight="1">
      <c r="A113" s="41"/>
      <c r="B113" s="41"/>
      <c r="C113" s="66"/>
      <c r="D113" s="41"/>
      <c r="E113" s="41"/>
      <c r="F113" s="41"/>
      <c r="G113" s="41"/>
      <c r="H113" s="41"/>
      <c r="I113" s="41"/>
      <c r="J113" s="41"/>
      <c r="K113" s="41"/>
      <c r="L113" s="41"/>
      <c r="M113" s="41"/>
      <c r="N113" s="41"/>
      <c r="O113" s="41"/>
      <c r="P113" s="41"/>
      <c r="Q113" s="41"/>
      <c r="R113" s="41"/>
      <c r="S113" s="41"/>
      <c r="T113" s="41"/>
    </row>
    <row r="114" spans="1:20" ht="15.75" customHeight="1">
      <c r="A114" s="41"/>
      <c r="B114" s="41"/>
      <c r="C114" s="66"/>
      <c r="D114" s="41"/>
      <c r="E114" s="41"/>
      <c r="F114" s="41"/>
      <c r="G114" s="41"/>
      <c r="H114" s="41"/>
      <c r="I114" s="41"/>
      <c r="J114" s="41"/>
      <c r="K114" s="41"/>
      <c r="L114" s="41"/>
      <c r="M114" s="41"/>
      <c r="N114" s="41"/>
      <c r="O114" s="41"/>
      <c r="P114" s="41"/>
      <c r="Q114" s="41"/>
      <c r="R114" s="41"/>
      <c r="S114" s="41"/>
      <c r="T114" s="41"/>
    </row>
    <row r="115" spans="1:20" ht="15.75" customHeight="1">
      <c r="A115" s="41"/>
      <c r="B115" s="41"/>
      <c r="C115" s="66"/>
      <c r="D115" s="41"/>
      <c r="E115" s="41"/>
      <c r="F115" s="41"/>
      <c r="G115" s="41"/>
      <c r="H115" s="41"/>
      <c r="I115" s="41"/>
      <c r="J115" s="41"/>
      <c r="K115" s="41"/>
      <c r="L115" s="41"/>
      <c r="M115" s="41"/>
      <c r="N115" s="41"/>
      <c r="O115" s="41"/>
      <c r="P115" s="41"/>
      <c r="Q115" s="41"/>
      <c r="R115" s="41"/>
      <c r="S115" s="41"/>
      <c r="T115" s="41"/>
    </row>
    <row r="116" spans="1:20" ht="15.75" customHeight="1">
      <c r="A116" s="41"/>
      <c r="B116" s="41"/>
      <c r="C116" s="66"/>
      <c r="D116" s="41"/>
      <c r="E116" s="41"/>
      <c r="F116" s="41"/>
      <c r="G116" s="41"/>
      <c r="H116" s="41"/>
      <c r="I116" s="41"/>
      <c r="J116" s="41"/>
      <c r="K116" s="41"/>
      <c r="L116" s="41"/>
      <c r="M116" s="41"/>
      <c r="N116" s="41"/>
      <c r="O116" s="41"/>
      <c r="P116" s="41"/>
      <c r="Q116" s="41"/>
      <c r="R116" s="41"/>
      <c r="S116" s="41"/>
      <c r="T116" s="41"/>
    </row>
    <row r="117" spans="1:20" ht="15.75" customHeight="1">
      <c r="A117" s="41"/>
      <c r="B117" s="41"/>
      <c r="C117" s="66"/>
      <c r="D117" s="41"/>
      <c r="E117" s="41"/>
      <c r="F117" s="41"/>
      <c r="G117" s="41"/>
      <c r="H117" s="41"/>
      <c r="I117" s="41"/>
      <c r="J117" s="41"/>
      <c r="K117" s="41"/>
      <c r="L117" s="41"/>
      <c r="M117" s="41"/>
      <c r="N117" s="41"/>
      <c r="O117" s="41"/>
      <c r="P117" s="41"/>
      <c r="Q117" s="41"/>
      <c r="R117" s="41"/>
      <c r="S117" s="41"/>
      <c r="T117" s="41"/>
    </row>
    <row r="118" spans="1:20" ht="15.75" customHeight="1">
      <c r="A118" s="41"/>
      <c r="B118" s="41"/>
      <c r="C118" s="66"/>
      <c r="D118" s="41"/>
      <c r="E118" s="41"/>
      <c r="F118" s="41"/>
      <c r="G118" s="41"/>
      <c r="H118" s="41"/>
      <c r="I118" s="41"/>
      <c r="J118" s="41"/>
      <c r="K118" s="41"/>
      <c r="L118" s="41"/>
      <c r="M118" s="41"/>
      <c r="N118" s="41"/>
      <c r="O118" s="41"/>
      <c r="P118" s="41"/>
      <c r="Q118" s="41"/>
      <c r="R118" s="41"/>
      <c r="S118" s="41"/>
      <c r="T118" s="41"/>
    </row>
    <row r="119" spans="1:20" ht="15.75" customHeight="1">
      <c r="A119" s="41"/>
      <c r="B119" s="41"/>
      <c r="C119" s="66"/>
      <c r="D119" s="41"/>
      <c r="E119" s="41"/>
      <c r="F119" s="41"/>
      <c r="G119" s="41"/>
      <c r="H119" s="41"/>
      <c r="I119" s="41"/>
      <c r="J119" s="41"/>
      <c r="K119" s="41"/>
      <c r="L119" s="41"/>
      <c r="M119" s="41"/>
      <c r="N119" s="41"/>
      <c r="O119" s="41"/>
      <c r="P119" s="41"/>
      <c r="Q119" s="41"/>
      <c r="R119" s="41"/>
      <c r="S119" s="41"/>
      <c r="T119" s="41"/>
    </row>
    <row r="120" spans="1:20" ht="15.75" customHeight="1">
      <c r="A120" s="41"/>
      <c r="B120" s="41"/>
      <c r="C120" s="66"/>
      <c r="D120" s="41"/>
      <c r="E120" s="41"/>
      <c r="F120" s="41"/>
      <c r="G120" s="41"/>
      <c r="H120" s="41"/>
      <c r="I120" s="41"/>
      <c r="J120" s="41"/>
      <c r="K120" s="41"/>
      <c r="L120" s="41"/>
      <c r="M120" s="41"/>
      <c r="N120" s="41"/>
      <c r="O120" s="41"/>
      <c r="P120" s="41"/>
      <c r="Q120" s="41"/>
      <c r="R120" s="41"/>
      <c r="S120" s="41"/>
      <c r="T120" s="41"/>
    </row>
    <row r="121" spans="1:20" ht="15.75" customHeight="1">
      <c r="A121" s="41"/>
      <c r="B121" s="41"/>
      <c r="C121" s="66"/>
      <c r="D121" s="41"/>
      <c r="E121" s="41"/>
      <c r="F121" s="41"/>
      <c r="G121" s="41"/>
      <c r="H121" s="41"/>
      <c r="I121" s="41"/>
      <c r="J121" s="41"/>
      <c r="K121" s="41"/>
      <c r="L121" s="41"/>
      <c r="M121" s="41"/>
      <c r="N121" s="41"/>
      <c r="O121" s="41"/>
      <c r="P121" s="41"/>
      <c r="Q121" s="41"/>
      <c r="R121" s="41"/>
      <c r="S121" s="41"/>
      <c r="T121" s="41"/>
    </row>
    <row r="122" spans="1:20" ht="15.75" customHeight="1">
      <c r="A122" s="41"/>
      <c r="B122" s="41"/>
      <c r="C122" s="66"/>
      <c r="D122" s="41"/>
      <c r="E122" s="41"/>
      <c r="F122" s="41"/>
      <c r="G122" s="41"/>
      <c r="H122" s="41"/>
      <c r="I122" s="41"/>
      <c r="J122" s="41"/>
      <c r="K122" s="41"/>
      <c r="L122" s="41"/>
      <c r="M122" s="41"/>
      <c r="N122" s="41"/>
      <c r="O122" s="41"/>
      <c r="P122" s="41"/>
      <c r="Q122" s="41"/>
      <c r="R122" s="41"/>
      <c r="S122" s="41"/>
      <c r="T122" s="41"/>
    </row>
    <row r="123" spans="1:20" ht="15.75" customHeight="1">
      <c r="A123" s="41"/>
      <c r="B123" s="41"/>
      <c r="C123" s="66"/>
      <c r="D123" s="41"/>
      <c r="E123" s="41"/>
      <c r="F123" s="41"/>
      <c r="G123" s="41"/>
      <c r="H123" s="41"/>
      <c r="I123" s="41"/>
      <c r="J123" s="41"/>
      <c r="K123" s="41"/>
      <c r="L123" s="41"/>
      <c r="M123" s="41"/>
      <c r="N123" s="41"/>
      <c r="O123" s="41"/>
      <c r="P123" s="41"/>
      <c r="Q123" s="41"/>
      <c r="R123" s="41"/>
      <c r="S123" s="41"/>
      <c r="T123" s="41"/>
    </row>
    <row r="124" spans="1:20" ht="15.75" customHeight="1">
      <c r="A124" s="41"/>
      <c r="B124" s="41"/>
      <c r="C124" s="66"/>
      <c r="D124" s="41"/>
      <c r="E124" s="41"/>
      <c r="F124" s="41"/>
      <c r="G124" s="41"/>
      <c r="H124" s="41"/>
      <c r="I124" s="41"/>
      <c r="J124" s="41"/>
      <c r="K124" s="41"/>
      <c r="L124" s="41"/>
      <c r="M124" s="41"/>
      <c r="N124" s="41"/>
      <c r="O124" s="41"/>
      <c r="P124" s="41"/>
      <c r="Q124" s="41"/>
      <c r="R124" s="41"/>
      <c r="S124" s="41"/>
      <c r="T124" s="41"/>
    </row>
    <row r="125" spans="1:20" ht="15.75" customHeight="1">
      <c r="A125" s="41"/>
      <c r="B125" s="41"/>
      <c r="C125" s="66"/>
      <c r="D125" s="41"/>
      <c r="E125" s="41"/>
      <c r="F125" s="41"/>
      <c r="G125" s="41"/>
      <c r="H125" s="41"/>
      <c r="I125" s="41"/>
      <c r="J125" s="41"/>
      <c r="K125" s="41"/>
      <c r="L125" s="41"/>
      <c r="M125" s="41"/>
      <c r="N125" s="41"/>
      <c r="O125" s="41"/>
      <c r="P125" s="41"/>
      <c r="Q125" s="41"/>
      <c r="R125" s="41"/>
      <c r="S125" s="41"/>
      <c r="T125" s="41"/>
    </row>
    <row r="126" spans="1:20" ht="15.75" customHeight="1">
      <c r="A126" s="41"/>
      <c r="B126" s="41"/>
      <c r="C126" s="66"/>
      <c r="D126" s="41"/>
      <c r="E126" s="41"/>
      <c r="F126" s="41"/>
      <c r="G126" s="41"/>
      <c r="H126" s="41"/>
      <c r="I126" s="41"/>
      <c r="J126" s="41"/>
      <c r="K126" s="41"/>
      <c r="L126" s="41"/>
      <c r="M126" s="41"/>
      <c r="N126" s="41"/>
      <c r="O126" s="41"/>
      <c r="P126" s="41"/>
      <c r="Q126" s="41"/>
      <c r="R126" s="41"/>
      <c r="S126" s="41"/>
      <c r="T126" s="41"/>
    </row>
    <row r="127" spans="1:20" ht="15.75" customHeight="1">
      <c r="A127" s="41"/>
      <c r="B127" s="41"/>
      <c r="C127" s="66"/>
      <c r="D127" s="41"/>
      <c r="E127" s="41"/>
      <c r="F127" s="41"/>
      <c r="G127" s="41"/>
      <c r="H127" s="41"/>
      <c r="I127" s="41"/>
      <c r="J127" s="41"/>
      <c r="K127" s="41"/>
      <c r="L127" s="41"/>
      <c r="M127" s="41"/>
      <c r="N127" s="41"/>
      <c r="O127" s="41"/>
      <c r="P127" s="41"/>
      <c r="Q127" s="41"/>
      <c r="R127" s="41"/>
      <c r="S127" s="41"/>
      <c r="T127" s="41"/>
    </row>
    <row r="128" spans="1:20" ht="15.75" customHeight="1">
      <c r="A128" s="41"/>
      <c r="B128" s="41"/>
      <c r="C128" s="66"/>
      <c r="D128" s="41"/>
      <c r="E128" s="41"/>
      <c r="F128" s="41"/>
      <c r="G128" s="41"/>
      <c r="H128" s="41"/>
      <c r="I128" s="41"/>
      <c r="J128" s="41"/>
      <c r="K128" s="41"/>
      <c r="L128" s="41"/>
      <c r="M128" s="41"/>
      <c r="N128" s="41"/>
      <c r="O128" s="41"/>
      <c r="P128" s="41"/>
      <c r="Q128" s="41"/>
      <c r="R128" s="41"/>
      <c r="S128" s="41"/>
      <c r="T128" s="41"/>
    </row>
    <row r="129" spans="1:20" ht="15.75" customHeight="1">
      <c r="A129" s="41"/>
      <c r="B129" s="41"/>
      <c r="C129" s="66"/>
      <c r="D129" s="41"/>
      <c r="E129" s="41"/>
      <c r="F129" s="41"/>
      <c r="G129" s="41"/>
      <c r="H129" s="41"/>
      <c r="I129" s="41"/>
      <c r="J129" s="41"/>
      <c r="K129" s="41"/>
      <c r="L129" s="41"/>
      <c r="M129" s="41"/>
      <c r="N129" s="41"/>
      <c r="O129" s="41"/>
      <c r="P129" s="41"/>
      <c r="Q129" s="41"/>
      <c r="R129" s="41"/>
      <c r="S129" s="41"/>
      <c r="T129" s="41"/>
    </row>
    <row r="130" spans="1:20" ht="15.75" customHeight="1">
      <c r="A130" s="41"/>
      <c r="B130" s="41"/>
      <c r="C130" s="66"/>
      <c r="D130" s="41"/>
      <c r="E130" s="41"/>
      <c r="F130" s="41"/>
      <c r="G130" s="41"/>
      <c r="H130" s="41"/>
      <c r="I130" s="41"/>
      <c r="J130" s="41"/>
      <c r="K130" s="41"/>
      <c r="L130" s="41"/>
      <c r="M130" s="41"/>
      <c r="N130" s="41"/>
      <c r="O130" s="41"/>
      <c r="P130" s="41"/>
      <c r="Q130" s="41"/>
      <c r="R130" s="41"/>
      <c r="S130" s="41"/>
      <c r="T130" s="41"/>
    </row>
    <row r="131" spans="1:20" ht="15.75" customHeight="1">
      <c r="A131" s="41"/>
      <c r="B131" s="41"/>
      <c r="C131" s="66"/>
      <c r="D131" s="41"/>
      <c r="E131" s="41"/>
      <c r="F131" s="41"/>
      <c r="G131" s="41"/>
      <c r="H131" s="41"/>
      <c r="I131" s="41"/>
      <c r="J131" s="41"/>
      <c r="K131" s="41"/>
      <c r="L131" s="41"/>
      <c r="M131" s="41"/>
      <c r="N131" s="41"/>
      <c r="O131" s="41"/>
      <c r="P131" s="41"/>
      <c r="Q131" s="41"/>
      <c r="R131" s="41"/>
      <c r="S131" s="41"/>
      <c r="T131" s="41"/>
    </row>
    <row r="132" spans="1:20" ht="15.75" customHeight="1">
      <c r="A132" s="41"/>
      <c r="B132" s="41"/>
      <c r="C132" s="66"/>
      <c r="D132" s="41"/>
      <c r="E132" s="41"/>
      <c r="F132" s="41"/>
      <c r="G132" s="41"/>
      <c r="H132" s="41"/>
      <c r="I132" s="41"/>
      <c r="J132" s="41"/>
      <c r="K132" s="41"/>
      <c r="L132" s="41"/>
      <c r="M132" s="41"/>
      <c r="N132" s="41"/>
      <c r="O132" s="41"/>
      <c r="P132" s="41"/>
      <c r="Q132" s="41"/>
      <c r="R132" s="41"/>
      <c r="S132" s="41"/>
      <c r="T132" s="41"/>
    </row>
    <row r="133" spans="1:20" ht="15.75" customHeight="1">
      <c r="A133" s="41"/>
      <c r="B133" s="41"/>
      <c r="C133" s="66"/>
      <c r="D133" s="41"/>
      <c r="E133" s="41"/>
      <c r="F133" s="41"/>
      <c r="G133" s="41"/>
      <c r="H133" s="41"/>
      <c r="I133" s="41"/>
      <c r="J133" s="41"/>
      <c r="K133" s="41"/>
      <c r="L133" s="41"/>
      <c r="M133" s="41"/>
      <c r="N133" s="41"/>
      <c r="O133" s="41"/>
      <c r="P133" s="41"/>
      <c r="Q133" s="41"/>
      <c r="R133" s="41"/>
      <c r="S133" s="41"/>
      <c r="T133" s="41"/>
    </row>
    <row r="134" spans="1:20" ht="15.75" customHeight="1">
      <c r="A134" s="41"/>
      <c r="B134" s="41"/>
      <c r="C134" s="66"/>
      <c r="D134" s="41"/>
      <c r="E134" s="41"/>
      <c r="F134" s="41"/>
      <c r="G134" s="41"/>
      <c r="H134" s="41"/>
      <c r="I134" s="41"/>
      <c r="J134" s="41"/>
      <c r="K134" s="41"/>
      <c r="L134" s="41"/>
      <c r="M134" s="41"/>
      <c r="N134" s="41"/>
      <c r="O134" s="41"/>
      <c r="P134" s="41"/>
      <c r="Q134" s="41"/>
      <c r="R134" s="41"/>
      <c r="S134" s="41"/>
      <c r="T134" s="41"/>
    </row>
    <row r="135" spans="1:20" ht="15.75" customHeight="1">
      <c r="A135" s="41"/>
      <c r="B135" s="41"/>
      <c r="C135" s="66"/>
      <c r="D135" s="41"/>
      <c r="E135" s="41"/>
      <c r="F135" s="41"/>
      <c r="G135" s="41"/>
      <c r="H135" s="41"/>
      <c r="I135" s="41"/>
      <c r="J135" s="41"/>
      <c r="K135" s="41"/>
      <c r="L135" s="41"/>
      <c r="M135" s="41"/>
      <c r="N135" s="41"/>
      <c r="O135" s="41"/>
      <c r="P135" s="41"/>
      <c r="Q135" s="41"/>
      <c r="R135" s="41"/>
      <c r="S135" s="41"/>
      <c r="T135" s="41"/>
    </row>
    <row r="136" spans="1:20" ht="15.75" customHeight="1">
      <c r="A136" s="41"/>
      <c r="B136" s="41"/>
      <c r="C136" s="66"/>
      <c r="D136" s="41"/>
      <c r="E136" s="41"/>
      <c r="F136" s="41"/>
      <c r="G136" s="41"/>
      <c r="H136" s="41"/>
      <c r="I136" s="41"/>
      <c r="J136" s="41"/>
      <c r="K136" s="41"/>
      <c r="L136" s="41"/>
      <c r="M136" s="41"/>
      <c r="N136" s="41"/>
      <c r="O136" s="41"/>
      <c r="P136" s="41"/>
      <c r="Q136" s="41"/>
      <c r="R136" s="41"/>
      <c r="S136" s="41"/>
      <c r="T136" s="41"/>
    </row>
    <row r="137" spans="1:20" ht="15.75" customHeight="1">
      <c r="A137" s="41"/>
      <c r="B137" s="41"/>
      <c r="C137" s="66"/>
      <c r="D137" s="41"/>
      <c r="E137" s="41"/>
      <c r="F137" s="41"/>
      <c r="G137" s="41"/>
      <c r="H137" s="41"/>
      <c r="I137" s="41"/>
      <c r="J137" s="41"/>
      <c r="K137" s="41"/>
      <c r="L137" s="41"/>
      <c r="M137" s="41"/>
      <c r="N137" s="41"/>
      <c r="O137" s="41"/>
      <c r="P137" s="41"/>
      <c r="Q137" s="41"/>
      <c r="R137" s="41"/>
      <c r="S137" s="41"/>
      <c r="T137" s="41"/>
    </row>
    <row r="138" spans="1:20" ht="15.75" customHeight="1">
      <c r="A138" s="41"/>
      <c r="B138" s="41"/>
      <c r="C138" s="66"/>
      <c r="D138" s="41"/>
      <c r="E138" s="41"/>
      <c r="F138" s="41"/>
      <c r="G138" s="41"/>
      <c r="H138" s="41"/>
      <c r="I138" s="41"/>
      <c r="J138" s="41"/>
      <c r="K138" s="41"/>
      <c r="L138" s="41"/>
      <c r="M138" s="41"/>
      <c r="N138" s="41"/>
      <c r="O138" s="41"/>
      <c r="P138" s="41"/>
      <c r="Q138" s="41"/>
      <c r="R138" s="41"/>
      <c r="S138" s="41"/>
      <c r="T138" s="41"/>
    </row>
    <row r="139" spans="1:20" ht="15.75" customHeight="1">
      <c r="A139" s="41"/>
      <c r="B139" s="41"/>
      <c r="C139" s="66"/>
      <c r="D139" s="41"/>
      <c r="E139" s="41"/>
      <c r="F139" s="41"/>
      <c r="G139" s="41"/>
      <c r="H139" s="41"/>
      <c r="I139" s="41"/>
      <c r="J139" s="41"/>
      <c r="K139" s="41"/>
      <c r="L139" s="41"/>
      <c r="M139" s="41"/>
      <c r="N139" s="41"/>
      <c r="O139" s="41"/>
      <c r="P139" s="41"/>
      <c r="Q139" s="41"/>
      <c r="R139" s="41"/>
      <c r="S139" s="41"/>
      <c r="T139" s="41"/>
    </row>
    <row r="140" spans="1:20" ht="15.75" customHeight="1">
      <c r="A140" s="41"/>
      <c r="B140" s="41"/>
      <c r="C140" s="66"/>
      <c r="D140" s="41"/>
      <c r="E140" s="41"/>
      <c r="F140" s="41"/>
      <c r="G140" s="41"/>
      <c r="H140" s="41"/>
      <c r="I140" s="41"/>
      <c r="J140" s="41"/>
      <c r="K140" s="41"/>
      <c r="L140" s="41"/>
      <c r="M140" s="41"/>
      <c r="N140" s="41"/>
      <c r="O140" s="41"/>
      <c r="P140" s="41"/>
      <c r="Q140" s="41"/>
      <c r="R140" s="41"/>
      <c r="S140" s="41"/>
      <c r="T140" s="41"/>
    </row>
    <row r="141" spans="1:20" ht="15.75" customHeight="1">
      <c r="A141" s="41"/>
      <c r="B141" s="41"/>
      <c r="C141" s="66"/>
      <c r="D141" s="41"/>
      <c r="E141" s="41"/>
      <c r="F141" s="41"/>
      <c r="G141" s="41"/>
      <c r="H141" s="41"/>
      <c r="I141" s="41"/>
      <c r="J141" s="41"/>
      <c r="K141" s="41"/>
      <c r="L141" s="41"/>
      <c r="M141" s="41"/>
      <c r="N141" s="41"/>
      <c r="O141" s="41"/>
      <c r="P141" s="41"/>
      <c r="Q141" s="41"/>
      <c r="R141" s="41"/>
      <c r="S141" s="41"/>
      <c r="T141" s="41"/>
    </row>
    <row r="142" spans="1:20" ht="15.75" customHeight="1">
      <c r="A142" s="41"/>
      <c r="B142" s="41"/>
      <c r="C142" s="66"/>
      <c r="D142" s="41"/>
      <c r="E142" s="41"/>
      <c r="F142" s="41"/>
      <c r="G142" s="41"/>
      <c r="H142" s="41"/>
      <c r="I142" s="41"/>
      <c r="J142" s="41"/>
      <c r="K142" s="41"/>
      <c r="L142" s="41"/>
      <c r="M142" s="41"/>
      <c r="N142" s="41"/>
      <c r="O142" s="41"/>
      <c r="P142" s="41"/>
      <c r="Q142" s="41"/>
      <c r="R142" s="41"/>
      <c r="S142" s="41"/>
      <c r="T142" s="41"/>
    </row>
    <row r="143" spans="1:20" ht="15.75" customHeight="1">
      <c r="A143" s="41"/>
      <c r="B143" s="41"/>
      <c r="C143" s="66"/>
      <c r="D143" s="41"/>
      <c r="E143" s="41"/>
      <c r="F143" s="41"/>
      <c r="G143" s="41"/>
      <c r="H143" s="41"/>
      <c r="I143" s="41"/>
      <c r="J143" s="41"/>
      <c r="K143" s="41"/>
      <c r="L143" s="41"/>
      <c r="M143" s="41"/>
      <c r="N143" s="41"/>
      <c r="O143" s="41"/>
      <c r="P143" s="41"/>
      <c r="Q143" s="41"/>
      <c r="R143" s="41"/>
      <c r="S143" s="41"/>
      <c r="T143" s="41"/>
    </row>
    <row r="144" spans="1:20" ht="15.75" customHeight="1">
      <c r="A144" s="41"/>
      <c r="B144" s="41"/>
      <c r="C144" s="66"/>
      <c r="D144" s="41"/>
      <c r="E144" s="41"/>
      <c r="F144" s="41"/>
      <c r="G144" s="41"/>
      <c r="H144" s="41"/>
      <c r="I144" s="41"/>
      <c r="J144" s="41"/>
      <c r="K144" s="41"/>
      <c r="L144" s="41"/>
      <c r="M144" s="41"/>
      <c r="N144" s="41"/>
      <c r="O144" s="41"/>
      <c r="P144" s="41"/>
      <c r="Q144" s="41"/>
      <c r="R144" s="41"/>
      <c r="S144" s="41"/>
      <c r="T144" s="41"/>
    </row>
    <row r="145" spans="1:20" ht="15.75" customHeight="1">
      <c r="A145" s="41"/>
      <c r="B145" s="41"/>
      <c r="C145" s="66"/>
      <c r="D145" s="41"/>
      <c r="E145" s="41"/>
      <c r="F145" s="41"/>
      <c r="G145" s="41"/>
      <c r="H145" s="41"/>
      <c r="I145" s="41"/>
      <c r="J145" s="41"/>
      <c r="K145" s="41"/>
      <c r="L145" s="41"/>
      <c r="M145" s="41"/>
      <c r="N145" s="41"/>
      <c r="O145" s="41"/>
      <c r="P145" s="41"/>
      <c r="Q145" s="41"/>
      <c r="R145" s="41"/>
      <c r="S145" s="41"/>
      <c r="T145" s="41"/>
    </row>
    <row r="146" spans="1:20" ht="15.75" customHeight="1">
      <c r="A146" s="41"/>
      <c r="B146" s="41"/>
      <c r="C146" s="66"/>
      <c r="D146" s="41"/>
      <c r="E146" s="41"/>
      <c r="F146" s="41"/>
      <c r="G146" s="41"/>
      <c r="H146" s="41"/>
      <c r="I146" s="41"/>
      <c r="J146" s="41"/>
      <c r="K146" s="41"/>
      <c r="L146" s="41"/>
      <c r="M146" s="41"/>
      <c r="N146" s="41"/>
      <c r="O146" s="41"/>
      <c r="P146" s="41"/>
      <c r="Q146" s="41"/>
      <c r="R146" s="41"/>
      <c r="S146" s="41"/>
      <c r="T146" s="41"/>
    </row>
    <row r="147" spans="1:20" ht="15.75" customHeight="1">
      <c r="A147" s="41"/>
      <c r="B147" s="41"/>
      <c r="C147" s="66"/>
      <c r="D147" s="41"/>
      <c r="E147" s="41"/>
      <c r="F147" s="41"/>
      <c r="G147" s="41"/>
      <c r="H147" s="41"/>
      <c r="I147" s="41"/>
      <c r="J147" s="41"/>
      <c r="K147" s="41"/>
      <c r="L147" s="41"/>
      <c r="M147" s="41"/>
      <c r="N147" s="41"/>
      <c r="O147" s="41"/>
      <c r="P147" s="41"/>
      <c r="Q147" s="41"/>
      <c r="R147" s="41"/>
      <c r="S147" s="41"/>
      <c r="T147" s="41"/>
    </row>
    <row r="148" spans="1:20" ht="15.75" customHeight="1">
      <c r="A148" s="41"/>
      <c r="B148" s="41"/>
      <c r="C148" s="66"/>
      <c r="D148" s="41"/>
      <c r="E148" s="41"/>
      <c r="F148" s="41"/>
      <c r="G148" s="41"/>
      <c r="H148" s="41"/>
      <c r="I148" s="41"/>
      <c r="J148" s="41"/>
      <c r="K148" s="41"/>
      <c r="L148" s="41"/>
      <c r="M148" s="41"/>
      <c r="N148" s="41"/>
      <c r="O148" s="41"/>
      <c r="P148" s="41"/>
      <c r="Q148" s="41"/>
      <c r="R148" s="41"/>
      <c r="S148" s="41"/>
      <c r="T148" s="41"/>
    </row>
    <row r="149" spans="1:20" ht="15.75" customHeight="1">
      <c r="A149" s="41"/>
      <c r="B149" s="41"/>
      <c r="C149" s="66"/>
      <c r="D149" s="41"/>
      <c r="E149" s="41"/>
      <c r="F149" s="41"/>
      <c r="G149" s="41"/>
      <c r="H149" s="41"/>
      <c r="I149" s="41"/>
      <c r="J149" s="41"/>
      <c r="K149" s="41"/>
      <c r="L149" s="41"/>
      <c r="M149" s="41"/>
      <c r="N149" s="41"/>
      <c r="O149" s="41"/>
      <c r="P149" s="41"/>
      <c r="Q149" s="41"/>
      <c r="R149" s="41"/>
      <c r="S149" s="41"/>
      <c r="T149" s="41"/>
    </row>
    <row r="150" spans="1:20" ht="15.75" customHeight="1">
      <c r="A150" s="41"/>
      <c r="B150" s="41"/>
      <c r="C150" s="66"/>
      <c r="D150" s="41"/>
      <c r="E150" s="41"/>
      <c r="F150" s="41"/>
      <c r="G150" s="41"/>
      <c r="H150" s="41"/>
      <c r="I150" s="41"/>
      <c r="J150" s="41"/>
      <c r="K150" s="41"/>
      <c r="L150" s="41"/>
      <c r="M150" s="41"/>
      <c r="N150" s="41"/>
      <c r="O150" s="41"/>
      <c r="P150" s="41"/>
      <c r="Q150" s="41"/>
      <c r="R150" s="41"/>
      <c r="S150" s="41"/>
      <c r="T150" s="41"/>
    </row>
    <row r="151" spans="1:20" ht="15.75" customHeight="1">
      <c r="A151" s="41"/>
      <c r="B151" s="41"/>
      <c r="C151" s="66"/>
      <c r="D151" s="41"/>
      <c r="E151" s="41"/>
      <c r="F151" s="41"/>
      <c r="G151" s="41"/>
      <c r="H151" s="41"/>
      <c r="I151" s="41"/>
      <c r="J151" s="41"/>
      <c r="K151" s="41"/>
      <c r="L151" s="41"/>
      <c r="M151" s="41"/>
      <c r="N151" s="41"/>
      <c r="O151" s="41"/>
      <c r="P151" s="41"/>
      <c r="Q151" s="41"/>
      <c r="R151" s="41"/>
      <c r="S151" s="41"/>
      <c r="T151" s="41"/>
    </row>
    <row r="152" spans="1:20" ht="15.75" customHeight="1">
      <c r="A152" s="41"/>
      <c r="B152" s="41"/>
      <c r="C152" s="66"/>
      <c r="D152" s="41"/>
      <c r="E152" s="41"/>
      <c r="F152" s="41"/>
      <c r="G152" s="41"/>
      <c r="H152" s="41"/>
      <c r="I152" s="41"/>
      <c r="J152" s="41"/>
      <c r="K152" s="41"/>
      <c r="L152" s="41"/>
      <c r="M152" s="41"/>
      <c r="N152" s="41"/>
      <c r="O152" s="41"/>
      <c r="P152" s="41"/>
      <c r="Q152" s="41"/>
      <c r="R152" s="41"/>
      <c r="S152" s="41"/>
      <c r="T152" s="41"/>
    </row>
    <row r="153" spans="1:20" ht="15.75" customHeight="1">
      <c r="A153" s="41"/>
      <c r="B153" s="41"/>
      <c r="C153" s="66"/>
      <c r="D153" s="41"/>
      <c r="E153" s="41"/>
      <c r="F153" s="41"/>
      <c r="G153" s="41"/>
      <c r="H153" s="41"/>
      <c r="I153" s="41"/>
      <c r="J153" s="41"/>
      <c r="K153" s="41"/>
      <c r="L153" s="41"/>
      <c r="M153" s="41"/>
      <c r="N153" s="41"/>
      <c r="O153" s="41"/>
      <c r="P153" s="41"/>
      <c r="Q153" s="41"/>
      <c r="R153" s="41"/>
      <c r="S153" s="41"/>
      <c r="T153" s="41"/>
    </row>
    <row r="154" spans="1:20" ht="15.75" customHeight="1">
      <c r="A154" s="41"/>
      <c r="B154" s="41"/>
      <c r="C154" s="66"/>
      <c r="D154" s="41"/>
      <c r="E154" s="41"/>
      <c r="F154" s="41"/>
      <c r="G154" s="41"/>
      <c r="H154" s="41"/>
      <c r="I154" s="41"/>
      <c r="J154" s="41"/>
      <c r="K154" s="41"/>
      <c r="L154" s="41"/>
      <c r="M154" s="41"/>
      <c r="N154" s="41"/>
      <c r="O154" s="41"/>
      <c r="P154" s="41"/>
      <c r="Q154" s="41"/>
      <c r="R154" s="41"/>
      <c r="S154" s="41"/>
      <c r="T154" s="41"/>
    </row>
    <row r="155" spans="1:20" ht="15.75" customHeight="1">
      <c r="A155" s="41"/>
      <c r="B155" s="41"/>
      <c r="C155" s="66"/>
      <c r="D155" s="41"/>
      <c r="E155" s="41"/>
      <c r="F155" s="41"/>
      <c r="G155" s="41"/>
      <c r="H155" s="41"/>
      <c r="I155" s="41"/>
      <c r="J155" s="41"/>
      <c r="K155" s="41"/>
      <c r="L155" s="41"/>
      <c r="M155" s="41"/>
      <c r="N155" s="41"/>
      <c r="O155" s="41"/>
      <c r="P155" s="41"/>
      <c r="Q155" s="41"/>
      <c r="R155" s="41"/>
      <c r="S155" s="41"/>
      <c r="T155" s="41"/>
    </row>
    <row r="156" spans="1:20" ht="15.75" customHeight="1">
      <c r="A156" s="41"/>
      <c r="B156" s="41"/>
      <c r="C156" s="66"/>
      <c r="D156" s="41"/>
      <c r="E156" s="41"/>
      <c r="F156" s="41"/>
      <c r="G156" s="41"/>
      <c r="H156" s="41"/>
      <c r="I156" s="41"/>
      <c r="J156" s="41"/>
      <c r="K156" s="41"/>
      <c r="L156" s="41"/>
      <c r="M156" s="41"/>
      <c r="N156" s="41"/>
      <c r="O156" s="41"/>
      <c r="P156" s="41"/>
      <c r="Q156" s="41"/>
      <c r="R156" s="41"/>
      <c r="S156" s="41"/>
      <c r="T156" s="41"/>
    </row>
    <row r="157" spans="1:20" ht="15.75" customHeight="1">
      <c r="A157" s="41"/>
      <c r="B157" s="41"/>
      <c r="C157" s="66"/>
      <c r="D157" s="41"/>
      <c r="E157" s="41"/>
      <c r="F157" s="41"/>
      <c r="G157" s="41"/>
      <c r="H157" s="41"/>
      <c r="I157" s="41"/>
      <c r="J157" s="41"/>
      <c r="K157" s="41"/>
      <c r="L157" s="41"/>
      <c r="M157" s="41"/>
      <c r="N157" s="41"/>
      <c r="O157" s="41"/>
      <c r="P157" s="41"/>
      <c r="Q157" s="41"/>
      <c r="R157" s="41"/>
      <c r="S157" s="41"/>
      <c r="T157" s="41"/>
    </row>
    <row r="158" spans="1:20" ht="15.75" customHeight="1">
      <c r="A158" s="41"/>
      <c r="B158" s="41"/>
      <c r="C158" s="66"/>
      <c r="D158" s="41"/>
      <c r="E158" s="41"/>
      <c r="F158" s="41"/>
      <c r="G158" s="41"/>
      <c r="H158" s="41"/>
      <c r="I158" s="41"/>
      <c r="J158" s="41"/>
      <c r="K158" s="41"/>
      <c r="L158" s="41"/>
      <c r="M158" s="41"/>
      <c r="N158" s="41"/>
      <c r="O158" s="41"/>
      <c r="P158" s="41"/>
      <c r="Q158" s="41"/>
      <c r="R158" s="41"/>
      <c r="S158" s="41"/>
      <c r="T158" s="41"/>
    </row>
    <row r="159" spans="1:20" ht="15.75" customHeight="1">
      <c r="A159" s="41"/>
      <c r="B159" s="41"/>
      <c r="C159" s="66"/>
      <c r="D159" s="41"/>
      <c r="E159" s="41"/>
      <c r="F159" s="41"/>
      <c r="G159" s="41"/>
      <c r="H159" s="41"/>
      <c r="I159" s="41"/>
      <c r="J159" s="41"/>
      <c r="K159" s="41"/>
      <c r="L159" s="41"/>
      <c r="M159" s="41"/>
      <c r="N159" s="41"/>
      <c r="O159" s="41"/>
      <c r="P159" s="41"/>
      <c r="Q159" s="41"/>
      <c r="R159" s="41"/>
      <c r="S159" s="41"/>
      <c r="T159" s="41"/>
    </row>
    <row r="160" spans="1:20" ht="15.75" customHeight="1">
      <c r="A160" s="41"/>
      <c r="B160" s="41"/>
      <c r="C160" s="66"/>
      <c r="D160" s="41"/>
      <c r="E160" s="41"/>
      <c r="F160" s="41"/>
      <c r="G160" s="41"/>
      <c r="H160" s="41"/>
      <c r="I160" s="41"/>
      <c r="J160" s="41"/>
      <c r="K160" s="41"/>
      <c r="L160" s="41"/>
      <c r="M160" s="41"/>
      <c r="N160" s="41"/>
      <c r="O160" s="41"/>
      <c r="P160" s="41"/>
      <c r="Q160" s="41"/>
      <c r="R160" s="41"/>
      <c r="S160" s="41"/>
      <c r="T160" s="41"/>
    </row>
    <row r="161" spans="1:20" ht="15.75" customHeight="1">
      <c r="A161" s="41"/>
      <c r="B161" s="41"/>
      <c r="C161" s="66"/>
      <c r="D161" s="41"/>
      <c r="E161" s="41"/>
      <c r="F161" s="41"/>
      <c r="G161" s="41"/>
      <c r="H161" s="41"/>
      <c r="I161" s="41"/>
      <c r="J161" s="41"/>
      <c r="K161" s="41"/>
      <c r="L161" s="41"/>
      <c r="M161" s="41"/>
      <c r="N161" s="41"/>
      <c r="O161" s="41"/>
      <c r="P161" s="41"/>
      <c r="Q161" s="41"/>
      <c r="R161" s="41"/>
      <c r="S161" s="41"/>
      <c r="T161" s="41"/>
    </row>
    <row r="162" spans="1:20" ht="15.75" customHeight="1">
      <c r="A162" s="41"/>
      <c r="B162" s="41"/>
      <c r="C162" s="66"/>
      <c r="D162" s="41"/>
      <c r="E162" s="41"/>
      <c r="F162" s="41"/>
      <c r="G162" s="41"/>
      <c r="H162" s="41"/>
      <c r="I162" s="41"/>
      <c r="J162" s="41"/>
      <c r="K162" s="41"/>
      <c r="L162" s="41"/>
      <c r="M162" s="41"/>
      <c r="N162" s="41"/>
      <c r="O162" s="41"/>
      <c r="P162" s="41"/>
      <c r="Q162" s="41"/>
      <c r="R162" s="41"/>
      <c r="S162" s="41"/>
      <c r="T162" s="41"/>
    </row>
    <row r="163" spans="1:20" ht="15.75" customHeight="1">
      <c r="A163" s="41"/>
      <c r="B163" s="41"/>
      <c r="C163" s="66"/>
      <c r="D163" s="41"/>
      <c r="E163" s="41"/>
      <c r="F163" s="41"/>
      <c r="G163" s="41"/>
      <c r="H163" s="41"/>
      <c r="I163" s="41"/>
      <c r="J163" s="41"/>
      <c r="K163" s="41"/>
      <c r="L163" s="41"/>
      <c r="M163" s="41"/>
      <c r="N163" s="41"/>
      <c r="O163" s="41"/>
      <c r="P163" s="41"/>
      <c r="Q163" s="41"/>
      <c r="R163" s="41"/>
      <c r="S163" s="41"/>
      <c r="T163" s="41"/>
    </row>
    <row r="164" spans="1:20" ht="15.75" customHeight="1">
      <c r="A164" s="41"/>
      <c r="B164" s="41"/>
      <c r="C164" s="66"/>
      <c r="D164" s="41"/>
      <c r="E164" s="41"/>
      <c r="F164" s="41"/>
      <c r="G164" s="41"/>
      <c r="H164" s="41"/>
      <c r="I164" s="41"/>
      <c r="J164" s="41"/>
      <c r="K164" s="41"/>
      <c r="L164" s="41"/>
      <c r="M164" s="41"/>
      <c r="N164" s="41"/>
      <c r="O164" s="41"/>
      <c r="P164" s="41"/>
      <c r="Q164" s="41"/>
      <c r="R164" s="41"/>
      <c r="S164" s="41"/>
      <c r="T164" s="41"/>
    </row>
    <row r="165" spans="1:20" ht="15.75" customHeight="1">
      <c r="A165" s="41"/>
      <c r="B165" s="41"/>
      <c r="C165" s="66"/>
      <c r="D165" s="41"/>
      <c r="E165" s="41"/>
      <c r="F165" s="41"/>
      <c r="G165" s="41"/>
      <c r="H165" s="41"/>
      <c r="I165" s="41"/>
      <c r="J165" s="41"/>
      <c r="K165" s="41"/>
      <c r="L165" s="41"/>
      <c r="M165" s="41"/>
      <c r="N165" s="41"/>
      <c r="O165" s="41"/>
      <c r="P165" s="41"/>
      <c r="Q165" s="41"/>
      <c r="R165" s="41"/>
      <c r="S165" s="41"/>
      <c r="T165" s="41"/>
    </row>
    <row r="166" spans="1:20" ht="15.75" customHeight="1">
      <c r="A166" s="41"/>
      <c r="B166" s="41"/>
      <c r="C166" s="66"/>
      <c r="D166" s="41"/>
      <c r="E166" s="41"/>
      <c r="F166" s="41"/>
      <c r="G166" s="41"/>
      <c r="H166" s="41"/>
      <c r="I166" s="41"/>
      <c r="J166" s="41"/>
      <c r="K166" s="41"/>
      <c r="L166" s="41"/>
      <c r="M166" s="41"/>
      <c r="N166" s="41"/>
      <c r="O166" s="41"/>
      <c r="P166" s="41"/>
      <c r="Q166" s="41"/>
      <c r="R166" s="41"/>
      <c r="S166" s="41"/>
      <c r="T166" s="41"/>
    </row>
    <row r="167" spans="1:20" ht="15.75" customHeight="1">
      <c r="A167" s="41"/>
      <c r="B167" s="41"/>
      <c r="C167" s="66"/>
      <c r="D167" s="41"/>
      <c r="E167" s="41"/>
      <c r="F167" s="41"/>
      <c r="G167" s="41"/>
      <c r="H167" s="41"/>
      <c r="I167" s="41"/>
      <c r="J167" s="41"/>
      <c r="K167" s="41"/>
      <c r="L167" s="41"/>
      <c r="M167" s="41"/>
      <c r="N167" s="41"/>
      <c r="O167" s="41"/>
      <c r="P167" s="41"/>
      <c r="Q167" s="41"/>
      <c r="R167" s="41"/>
      <c r="S167" s="41"/>
      <c r="T167" s="41"/>
    </row>
    <row r="168" spans="1:20" ht="15.75" customHeight="1">
      <c r="A168" s="41"/>
      <c r="B168" s="41"/>
      <c r="C168" s="66"/>
      <c r="D168" s="41"/>
      <c r="E168" s="41"/>
      <c r="F168" s="41"/>
      <c r="G168" s="41"/>
      <c r="H168" s="41"/>
      <c r="I168" s="41"/>
      <c r="J168" s="41"/>
      <c r="K168" s="41"/>
      <c r="L168" s="41"/>
      <c r="M168" s="41"/>
      <c r="N168" s="41"/>
      <c r="O168" s="41"/>
      <c r="P168" s="41"/>
      <c r="Q168" s="41"/>
      <c r="R168" s="41"/>
      <c r="S168" s="41"/>
      <c r="T168" s="41"/>
    </row>
    <row r="169" spans="1:20" ht="15.75" customHeight="1">
      <c r="A169" s="41"/>
      <c r="B169" s="41"/>
      <c r="C169" s="66"/>
      <c r="D169" s="41"/>
      <c r="E169" s="41"/>
      <c r="F169" s="41"/>
      <c r="G169" s="41"/>
      <c r="H169" s="41"/>
      <c r="I169" s="41"/>
      <c r="J169" s="41"/>
      <c r="K169" s="41"/>
      <c r="L169" s="41"/>
      <c r="M169" s="41"/>
      <c r="N169" s="41"/>
      <c r="O169" s="41"/>
      <c r="P169" s="41"/>
      <c r="Q169" s="41"/>
      <c r="R169" s="41"/>
      <c r="S169" s="41"/>
      <c r="T169" s="41"/>
    </row>
    <row r="170" spans="1:20" ht="15.75" customHeight="1">
      <c r="A170" s="41"/>
      <c r="B170" s="41"/>
      <c r="C170" s="66"/>
      <c r="D170" s="41"/>
      <c r="E170" s="41"/>
      <c r="F170" s="41"/>
      <c r="G170" s="41"/>
      <c r="H170" s="41"/>
      <c r="I170" s="41"/>
      <c r="J170" s="41"/>
      <c r="K170" s="41"/>
      <c r="L170" s="41"/>
      <c r="M170" s="41"/>
      <c r="N170" s="41"/>
      <c r="O170" s="41"/>
      <c r="P170" s="41"/>
      <c r="Q170" s="41"/>
      <c r="R170" s="41"/>
      <c r="S170" s="41"/>
      <c r="T170" s="41"/>
    </row>
    <row r="171" spans="1:20" ht="15.75" customHeight="1">
      <c r="A171" s="41"/>
      <c r="B171" s="41"/>
      <c r="C171" s="66"/>
      <c r="D171" s="41"/>
      <c r="E171" s="41"/>
      <c r="F171" s="41"/>
      <c r="G171" s="41"/>
      <c r="H171" s="41"/>
      <c r="I171" s="41"/>
      <c r="J171" s="41"/>
      <c r="K171" s="41"/>
      <c r="L171" s="41"/>
      <c r="M171" s="41"/>
      <c r="N171" s="41"/>
      <c r="O171" s="41"/>
      <c r="P171" s="41"/>
      <c r="Q171" s="41"/>
      <c r="R171" s="41"/>
      <c r="S171" s="41"/>
      <c r="T171" s="41"/>
    </row>
    <row r="172" spans="1:20" ht="15.75" customHeight="1">
      <c r="A172" s="41"/>
      <c r="B172" s="41"/>
      <c r="C172" s="66"/>
      <c r="D172" s="41"/>
      <c r="E172" s="41"/>
      <c r="F172" s="41"/>
      <c r="G172" s="41"/>
      <c r="H172" s="41"/>
      <c r="I172" s="41"/>
      <c r="J172" s="41"/>
      <c r="K172" s="41"/>
      <c r="L172" s="41"/>
      <c r="M172" s="41"/>
      <c r="N172" s="41"/>
      <c r="O172" s="41"/>
      <c r="P172" s="41"/>
      <c r="Q172" s="41"/>
      <c r="R172" s="41"/>
      <c r="S172" s="41"/>
      <c r="T172" s="41"/>
    </row>
    <row r="173" spans="1:20" ht="15.75" customHeight="1">
      <c r="A173" s="41"/>
      <c r="B173" s="41"/>
      <c r="C173" s="66"/>
      <c r="D173" s="41"/>
      <c r="E173" s="41"/>
      <c r="F173" s="41"/>
      <c r="G173" s="41"/>
      <c r="H173" s="41"/>
      <c r="I173" s="41"/>
      <c r="J173" s="41"/>
      <c r="K173" s="41"/>
      <c r="L173" s="41"/>
      <c r="M173" s="41"/>
      <c r="N173" s="41"/>
      <c r="O173" s="41"/>
      <c r="P173" s="41"/>
      <c r="Q173" s="41"/>
      <c r="R173" s="41"/>
      <c r="S173" s="41"/>
      <c r="T173" s="41"/>
    </row>
    <row r="174" spans="1:20" ht="15.75" customHeight="1">
      <c r="A174" s="41"/>
      <c r="B174" s="41"/>
      <c r="C174" s="66"/>
      <c r="D174" s="41"/>
      <c r="E174" s="41"/>
      <c r="F174" s="41"/>
      <c r="G174" s="41"/>
      <c r="H174" s="41"/>
      <c r="I174" s="41"/>
      <c r="J174" s="41"/>
      <c r="K174" s="41"/>
      <c r="L174" s="41"/>
      <c r="M174" s="41"/>
      <c r="N174" s="41"/>
      <c r="O174" s="41"/>
      <c r="P174" s="41"/>
      <c r="Q174" s="41"/>
      <c r="R174" s="41"/>
      <c r="S174" s="41"/>
      <c r="T174" s="41"/>
    </row>
    <row r="175" spans="1:20" ht="15.75" customHeight="1">
      <c r="A175" s="41"/>
      <c r="B175" s="41"/>
      <c r="C175" s="66"/>
      <c r="D175" s="41"/>
      <c r="E175" s="41"/>
      <c r="F175" s="41"/>
      <c r="G175" s="41"/>
      <c r="H175" s="41"/>
      <c r="I175" s="41"/>
      <c r="J175" s="41"/>
      <c r="K175" s="41"/>
      <c r="L175" s="41"/>
      <c r="M175" s="41"/>
      <c r="N175" s="41"/>
      <c r="O175" s="41"/>
      <c r="P175" s="41"/>
      <c r="Q175" s="41"/>
      <c r="R175" s="41"/>
      <c r="S175" s="41"/>
      <c r="T175" s="41"/>
    </row>
    <row r="176" spans="1:20" ht="15.75" customHeight="1">
      <c r="A176" s="41"/>
      <c r="B176" s="41"/>
      <c r="C176" s="66"/>
      <c r="D176" s="41"/>
      <c r="E176" s="41"/>
      <c r="F176" s="41"/>
      <c r="G176" s="41"/>
      <c r="H176" s="41"/>
      <c r="I176" s="41"/>
      <c r="J176" s="41"/>
      <c r="K176" s="41"/>
      <c r="L176" s="41"/>
      <c r="M176" s="41"/>
      <c r="N176" s="41"/>
      <c r="O176" s="41"/>
      <c r="P176" s="41"/>
      <c r="Q176" s="41"/>
      <c r="R176" s="41"/>
      <c r="S176" s="41"/>
      <c r="T176" s="41"/>
    </row>
    <row r="177" spans="1:20" ht="15.75" customHeight="1">
      <c r="A177" s="41"/>
      <c r="B177" s="41"/>
      <c r="C177" s="66"/>
      <c r="D177" s="41"/>
      <c r="E177" s="41"/>
      <c r="F177" s="41"/>
      <c r="G177" s="41"/>
      <c r="H177" s="41"/>
      <c r="I177" s="41"/>
      <c r="J177" s="41"/>
      <c r="K177" s="41"/>
      <c r="L177" s="41"/>
      <c r="M177" s="41"/>
      <c r="N177" s="41"/>
      <c r="O177" s="41"/>
      <c r="P177" s="41"/>
      <c r="Q177" s="41"/>
      <c r="R177" s="41"/>
      <c r="S177" s="41"/>
      <c r="T177" s="41"/>
    </row>
    <row r="178" spans="1:20" ht="15.75" customHeight="1">
      <c r="A178" s="41"/>
      <c r="B178" s="41"/>
      <c r="C178" s="66"/>
      <c r="D178" s="41"/>
      <c r="E178" s="41"/>
      <c r="F178" s="41"/>
      <c r="G178" s="41"/>
      <c r="H178" s="41"/>
      <c r="I178" s="41"/>
      <c r="J178" s="41"/>
      <c r="K178" s="41"/>
      <c r="L178" s="41"/>
      <c r="M178" s="41"/>
      <c r="N178" s="41"/>
      <c r="O178" s="41"/>
      <c r="P178" s="41"/>
      <c r="Q178" s="41"/>
      <c r="R178" s="41"/>
      <c r="S178" s="41"/>
      <c r="T178" s="41"/>
    </row>
    <row r="179" spans="1:20" ht="15.75" customHeight="1">
      <c r="A179" s="41"/>
      <c r="B179" s="41"/>
      <c r="C179" s="66"/>
      <c r="D179" s="41"/>
      <c r="E179" s="41"/>
      <c r="F179" s="41"/>
      <c r="G179" s="41"/>
      <c r="H179" s="41"/>
      <c r="I179" s="41"/>
      <c r="J179" s="41"/>
      <c r="K179" s="41"/>
      <c r="L179" s="41"/>
      <c r="M179" s="41"/>
      <c r="N179" s="41"/>
      <c r="O179" s="41"/>
      <c r="P179" s="41"/>
      <c r="Q179" s="41"/>
      <c r="R179" s="41"/>
      <c r="S179" s="41"/>
      <c r="T179" s="41"/>
    </row>
    <row r="180" spans="1:20" ht="15.75" customHeight="1">
      <c r="A180" s="41"/>
      <c r="B180" s="41"/>
      <c r="C180" s="66"/>
      <c r="D180" s="41"/>
      <c r="E180" s="41"/>
      <c r="F180" s="41"/>
      <c r="G180" s="41"/>
      <c r="H180" s="41"/>
      <c r="I180" s="41"/>
      <c r="J180" s="41"/>
      <c r="K180" s="41"/>
      <c r="L180" s="41"/>
      <c r="M180" s="41"/>
      <c r="N180" s="41"/>
      <c r="O180" s="41"/>
      <c r="P180" s="41"/>
      <c r="Q180" s="41"/>
      <c r="R180" s="41"/>
      <c r="S180" s="41"/>
      <c r="T180" s="41"/>
    </row>
    <row r="181" spans="1:20" ht="15.75" customHeight="1">
      <c r="A181" s="41"/>
      <c r="B181" s="41"/>
      <c r="C181" s="66"/>
      <c r="D181" s="41"/>
      <c r="E181" s="41"/>
      <c r="F181" s="41"/>
      <c r="G181" s="41"/>
      <c r="H181" s="41"/>
      <c r="I181" s="41"/>
      <c r="J181" s="41"/>
      <c r="K181" s="41"/>
      <c r="L181" s="41"/>
      <c r="M181" s="41"/>
      <c r="N181" s="41"/>
      <c r="O181" s="41"/>
      <c r="P181" s="41"/>
      <c r="Q181" s="41"/>
      <c r="R181" s="41"/>
      <c r="S181" s="41"/>
      <c r="T181" s="41"/>
    </row>
    <row r="182" spans="1:20" ht="15.75" customHeight="1">
      <c r="A182" s="41"/>
      <c r="B182" s="41"/>
      <c r="C182" s="66"/>
      <c r="D182" s="41"/>
      <c r="E182" s="41"/>
      <c r="F182" s="41"/>
      <c r="G182" s="41"/>
      <c r="H182" s="41"/>
      <c r="I182" s="41"/>
      <c r="J182" s="41"/>
      <c r="K182" s="41"/>
      <c r="L182" s="41"/>
      <c r="M182" s="41"/>
      <c r="N182" s="41"/>
      <c r="O182" s="41"/>
      <c r="P182" s="41"/>
      <c r="Q182" s="41"/>
      <c r="R182" s="41"/>
      <c r="S182" s="41"/>
      <c r="T182" s="41"/>
    </row>
    <row r="183" spans="1:20" ht="15.75" customHeight="1">
      <c r="A183" s="41"/>
      <c r="B183" s="41"/>
      <c r="C183" s="66"/>
      <c r="D183" s="41"/>
      <c r="E183" s="41"/>
      <c r="F183" s="41"/>
      <c r="G183" s="41"/>
      <c r="H183" s="41"/>
      <c r="I183" s="41"/>
      <c r="J183" s="41"/>
      <c r="K183" s="41"/>
      <c r="L183" s="41"/>
      <c r="M183" s="41"/>
      <c r="N183" s="41"/>
      <c r="O183" s="41"/>
      <c r="P183" s="41"/>
      <c r="Q183" s="41"/>
      <c r="R183" s="41"/>
      <c r="S183" s="41"/>
      <c r="T183" s="41"/>
    </row>
    <row r="184" spans="1:20" ht="15.75" customHeight="1">
      <c r="A184" s="41"/>
      <c r="B184" s="41"/>
      <c r="C184" s="66"/>
      <c r="D184" s="41"/>
      <c r="E184" s="41"/>
      <c r="F184" s="41"/>
      <c r="G184" s="41"/>
      <c r="H184" s="41"/>
      <c r="I184" s="41"/>
      <c r="J184" s="41"/>
      <c r="K184" s="41"/>
      <c r="L184" s="41"/>
      <c r="M184" s="41"/>
      <c r="N184" s="41"/>
      <c r="O184" s="41"/>
      <c r="P184" s="41"/>
      <c r="Q184" s="41"/>
      <c r="R184" s="41"/>
      <c r="S184" s="41"/>
      <c r="T184" s="41"/>
    </row>
    <row r="185" spans="1:20" ht="15.75" customHeight="1">
      <c r="A185" s="41"/>
      <c r="B185" s="41"/>
      <c r="C185" s="66"/>
      <c r="D185" s="41"/>
      <c r="E185" s="41"/>
      <c r="F185" s="41"/>
      <c r="G185" s="41"/>
      <c r="H185" s="41"/>
      <c r="I185" s="41"/>
      <c r="J185" s="41"/>
      <c r="K185" s="41"/>
      <c r="L185" s="41"/>
      <c r="M185" s="41"/>
      <c r="N185" s="41"/>
      <c r="O185" s="41"/>
      <c r="P185" s="41"/>
      <c r="Q185" s="41"/>
      <c r="R185" s="41"/>
      <c r="S185" s="41"/>
      <c r="T185" s="41"/>
    </row>
    <row r="186" spans="1:20" ht="15.75" customHeight="1">
      <c r="A186" s="41"/>
      <c r="B186" s="41"/>
      <c r="C186" s="66"/>
      <c r="D186" s="41"/>
      <c r="E186" s="41"/>
      <c r="F186" s="41"/>
      <c r="G186" s="41"/>
      <c r="H186" s="41"/>
      <c r="I186" s="41"/>
      <c r="J186" s="41"/>
      <c r="K186" s="41"/>
      <c r="L186" s="41"/>
      <c r="M186" s="41"/>
      <c r="N186" s="41"/>
      <c r="O186" s="41"/>
      <c r="P186" s="41"/>
      <c r="Q186" s="41"/>
      <c r="R186" s="41"/>
      <c r="S186" s="41"/>
      <c r="T186" s="41"/>
    </row>
    <row r="187" spans="1:20" ht="15.75" customHeight="1">
      <c r="A187" s="41"/>
      <c r="B187" s="41"/>
      <c r="C187" s="66"/>
      <c r="D187" s="41"/>
      <c r="E187" s="41"/>
      <c r="F187" s="41"/>
      <c r="G187" s="41"/>
      <c r="H187" s="41"/>
      <c r="I187" s="41"/>
      <c r="J187" s="41"/>
      <c r="K187" s="41"/>
      <c r="L187" s="41"/>
      <c r="M187" s="41"/>
      <c r="N187" s="41"/>
      <c r="O187" s="41"/>
      <c r="P187" s="41"/>
      <c r="Q187" s="41"/>
      <c r="R187" s="41"/>
      <c r="S187" s="41"/>
      <c r="T187" s="41"/>
    </row>
    <row r="188" spans="1:20" ht="15.75" customHeight="1">
      <c r="A188" s="41"/>
      <c r="B188" s="41"/>
      <c r="C188" s="66"/>
      <c r="D188" s="41"/>
      <c r="E188" s="41"/>
      <c r="F188" s="41"/>
      <c r="G188" s="41"/>
      <c r="H188" s="41"/>
      <c r="I188" s="41"/>
      <c r="J188" s="41"/>
      <c r="K188" s="41"/>
      <c r="L188" s="41"/>
      <c r="M188" s="41"/>
      <c r="N188" s="41"/>
      <c r="O188" s="41"/>
      <c r="P188" s="41"/>
      <c r="Q188" s="41"/>
      <c r="R188" s="41"/>
      <c r="S188" s="41"/>
      <c r="T188" s="41"/>
    </row>
    <row r="189" spans="1:20" ht="15.75" customHeight="1">
      <c r="A189" s="41"/>
      <c r="B189" s="41"/>
      <c r="C189" s="66"/>
      <c r="D189" s="41"/>
      <c r="E189" s="41"/>
      <c r="F189" s="41"/>
      <c r="G189" s="41"/>
      <c r="H189" s="41"/>
      <c r="I189" s="41"/>
      <c r="J189" s="41"/>
      <c r="K189" s="41"/>
      <c r="L189" s="41"/>
      <c r="M189" s="41"/>
      <c r="N189" s="41"/>
      <c r="O189" s="41"/>
      <c r="P189" s="41"/>
      <c r="Q189" s="41"/>
      <c r="R189" s="41"/>
      <c r="S189" s="41"/>
      <c r="T189" s="41"/>
    </row>
    <row r="190" spans="1:20" ht="15.75" customHeight="1">
      <c r="A190" s="41"/>
      <c r="B190" s="41"/>
      <c r="C190" s="66"/>
      <c r="D190" s="41"/>
      <c r="E190" s="41"/>
      <c r="F190" s="41"/>
      <c r="G190" s="41"/>
      <c r="H190" s="41"/>
      <c r="I190" s="41"/>
      <c r="J190" s="41"/>
      <c r="K190" s="41"/>
      <c r="L190" s="41"/>
      <c r="M190" s="41"/>
      <c r="N190" s="41"/>
      <c r="O190" s="41"/>
      <c r="P190" s="41"/>
      <c r="Q190" s="41"/>
      <c r="R190" s="41"/>
      <c r="S190" s="41"/>
      <c r="T190" s="41"/>
    </row>
    <row r="191" spans="1:20" ht="15.75" customHeight="1">
      <c r="A191" s="41"/>
      <c r="B191" s="41"/>
      <c r="C191" s="66"/>
      <c r="D191" s="41"/>
      <c r="E191" s="41"/>
      <c r="F191" s="41"/>
      <c r="G191" s="41"/>
      <c r="H191" s="41"/>
      <c r="I191" s="41"/>
      <c r="J191" s="41"/>
      <c r="K191" s="41"/>
      <c r="L191" s="41"/>
      <c r="M191" s="41"/>
      <c r="N191" s="41"/>
      <c r="O191" s="41"/>
      <c r="P191" s="41"/>
      <c r="Q191" s="41"/>
      <c r="R191" s="41"/>
      <c r="S191" s="41"/>
      <c r="T191" s="41"/>
    </row>
    <row r="192" spans="1:20" ht="15.75" customHeight="1">
      <c r="A192" s="41"/>
      <c r="B192" s="41"/>
      <c r="C192" s="66"/>
      <c r="D192" s="41"/>
      <c r="E192" s="41"/>
      <c r="F192" s="41"/>
      <c r="G192" s="41"/>
      <c r="H192" s="41"/>
      <c r="I192" s="41"/>
      <c r="J192" s="41"/>
      <c r="K192" s="41"/>
      <c r="L192" s="41"/>
      <c r="M192" s="41"/>
      <c r="N192" s="41"/>
      <c r="O192" s="41"/>
      <c r="P192" s="41"/>
      <c r="Q192" s="41"/>
      <c r="R192" s="41"/>
      <c r="S192" s="41"/>
      <c r="T192" s="41"/>
    </row>
    <row r="193" spans="1:20" ht="15.75" customHeight="1">
      <c r="A193" s="41"/>
      <c r="B193" s="41"/>
      <c r="C193" s="66"/>
      <c r="D193" s="41"/>
      <c r="E193" s="41"/>
      <c r="F193" s="41"/>
      <c r="G193" s="41"/>
      <c r="H193" s="41"/>
      <c r="I193" s="41"/>
      <c r="J193" s="41"/>
      <c r="K193" s="41"/>
      <c r="L193" s="41"/>
      <c r="M193" s="41"/>
      <c r="N193" s="41"/>
      <c r="O193" s="41"/>
      <c r="P193" s="41"/>
      <c r="Q193" s="41"/>
      <c r="R193" s="41"/>
      <c r="S193" s="41"/>
      <c r="T193" s="41"/>
    </row>
    <row r="194" spans="1:20" ht="15.75" customHeight="1">
      <c r="A194" s="41"/>
      <c r="B194" s="41"/>
      <c r="C194" s="66"/>
      <c r="D194" s="41"/>
      <c r="E194" s="41"/>
      <c r="F194" s="41"/>
      <c r="G194" s="41"/>
      <c r="H194" s="41"/>
      <c r="I194" s="41"/>
      <c r="J194" s="41"/>
      <c r="K194" s="41"/>
      <c r="L194" s="41"/>
      <c r="M194" s="41"/>
      <c r="N194" s="41"/>
      <c r="O194" s="41"/>
      <c r="P194" s="41"/>
      <c r="Q194" s="41"/>
      <c r="R194" s="41"/>
      <c r="S194" s="41"/>
      <c r="T194" s="41"/>
    </row>
    <row r="195" spans="1:20" ht="15.75" customHeight="1">
      <c r="A195" s="41"/>
      <c r="B195" s="41"/>
      <c r="C195" s="66"/>
      <c r="D195" s="41"/>
      <c r="E195" s="41"/>
      <c r="F195" s="41"/>
      <c r="G195" s="41"/>
      <c r="H195" s="41"/>
      <c r="I195" s="41"/>
      <c r="J195" s="41"/>
      <c r="K195" s="41"/>
      <c r="L195" s="41"/>
      <c r="M195" s="41"/>
      <c r="N195" s="41"/>
      <c r="O195" s="41"/>
      <c r="P195" s="41"/>
      <c r="Q195" s="41"/>
      <c r="R195" s="41"/>
      <c r="S195" s="41"/>
      <c r="T195" s="41"/>
    </row>
    <row r="196" spans="1:20" ht="15.75" customHeight="1">
      <c r="A196" s="41"/>
      <c r="B196" s="41"/>
      <c r="C196" s="66"/>
      <c r="D196" s="41"/>
      <c r="E196" s="41"/>
      <c r="F196" s="41"/>
      <c r="G196" s="41"/>
      <c r="H196" s="41"/>
      <c r="I196" s="41"/>
      <c r="J196" s="41"/>
      <c r="K196" s="41"/>
      <c r="L196" s="41"/>
      <c r="M196" s="41"/>
      <c r="N196" s="41"/>
      <c r="O196" s="41"/>
      <c r="P196" s="41"/>
      <c r="Q196" s="41"/>
      <c r="R196" s="41"/>
      <c r="S196" s="41"/>
      <c r="T196" s="41"/>
    </row>
    <row r="197" spans="1:20" ht="15.75" customHeight="1">
      <c r="A197" s="41"/>
      <c r="B197" s="41"/>
      <c r="C197" s="66"/>
      <c r="D197" s="41"/>
      <c r="E197" s="41"/>
      <c r="F197" s="41"/>
      <c r="G197" s="41"/>
      <c r="H197" s="41"/>
      <c r="I197" s="41"/>
      <c r="J197" s="41"/>
      <c r="K197" s="41"/>
      <c r="L197" s="41"/>
      <c r="M197" s="41"/>
      <c r="N197" s="41"/>
      <c r="O197" s="41"/>
      <c r="P197" s="41"/>
      <c r="Q197" s="41"/>
      <c r="R197" s="41"/>
      <c r="S197" s="41"/>
      <c r="T197" s="41"/>
    </row>
    <row r="198" spans="1:20" ht="15.75" customHeight="1">
      <c r="A198" s="41"/>
      <c r="B198" s="41"/>
      <c r="C198" s="66"/>
      <c r="D198" s="41"/>
      <c r="E198" s="41"/>
      <c r="F198" s="41"/>
      <c r="G198" s="41"/>
      <c r="H198" s="41"/>
      <c r="I198" s="41"/>
      <c r="J198" s="41"/>
      <c r="K198" s="41"/>
      <c r="L198" s="41"/>
      <c r="M198" s="41"/>
      <c r="N198" s="41"/>
      <c r="O198" s="41"/>
      <c r="P198" s="41"/>
      <c r="Q198" s="41"/>
      <c r="R198" s="41"/>
      <c r="S198" s="41"/>
      <c r="T198" s="41"/>
    </row>
    <row r="199" spans="1:20" ht="15.75" customHeight="1">
      <c r="A199" s="41"/>
      <c r="B199" s="41"/>
      <c r="C199" s="66"/>
      <c r="D199" s="41"/>
      <c r="E199" s="41"/>
      <c r="F199" s="41"/>
      <c r="G199" s="41"/>
      <c r="H199" s="41"/>
      <c r="I199" s="41"/>
      <c r="J199" s="41"/>
      <c r="K199" s="41"/>
      <c r="L199" s="41"/>
      <c r="M199" s="41"/>
      <c r="N199" s="41"/>
      <c r="O199" s="41"/>
      <c r="P199" s="41"/>
      <c r="Q199" s="41"/>
      <c r="R199" s="41"/>
      <c r="S199" s="41"/>
      <c r="T199" s="41"/>
    </row>
    <row r="200" spans="1:20" ht="15.75" customHeight="1">
      <c r="A200" s="41"/>
      <c r="B200" s="41"/>
      <c r="C200" s="66"/>
      <c r="D200" s="41"/>
      <c r="E200" s="41"/>
      <c r="F200" s="41"/>
      <c r="G200" s="41"/>
      <c r="H200" s="41"/>
      <c r="I200" s="41"/>
      <c r="J200" s="41"/>
      <c r="K200" s="41"/>
      <c r="L200" s="41"/>
      <c r="M200" s="41"/>
      <c r="N200" s="41"/>
      <c r="O200" s="41"/>
      <c r="P200" s="41"/>
      <c r="Q200" s="41"/>
      <c r="R200" s="41"/>
      <c r="S200" s="41"/>
      <c r="T200" s="41"/>
    </row>
    <row r="201" spans="1:20" ht="15.75" customHeight="1">
      <c r="A201" s="41"/>
      <c r="B201" s="41"/>
      <c r="C201" s="66"/>
      <c r="D201" s="41"/>
      <c r="E201" s="41"/>
      <c r="F201" s="41"/>
      <c r="G201" s="41"/>
      <c r="H201" s="41"/>
      <c r="I201" s="41"/>
      <c r="J201" s="41"/>
      <c r="K201" s="41"/>
      <c r="L201" s="41"/>
      <c r="M201" s="41"/>
      <c r="N201" s="41"/>
      <c r="O201" s="41"/>
      <c r="P201" s="41"/>
      <c r="Q201" s="41"/>
      <c r="R201" s="41"/>
      <c r="S201" s="41"/>
      <c r="T201" s="41"/>
    </row>
    <row r="202" spans="1:20" ht="15.75" customHeight="1">
      <c r="A202" s="41"/>
      <c r="B202" s="41"/>
      <c r="C202" s="66"/>
      <c r="D202" s="41"/>
      <c r="E202" s="41"/>
      <c r="F202" s="41"/>
      <c r="G202" s="41"/>
      <c r="H202" s="41"/>
      <c r="I202" s="41"/>
      <c r="J202" s="41"/>
      <c r="K202" s="41"/>
      <c r="L202" s="41"/>
      <c r="M202" s="41"/>
      <c r="N202" s="41"/>
      <c r="O202" s="41"/>
      <c r="P202" s="41"/>
      <c r="Q202" s="41"/>
      <c r="R202" s="41"/>
      <c r="S202" s="41"/>
      <c r="T202" s="41"/>
    </row>
    <row r="203" spans="1:20" ht="15.75" customHeight="1">
      <c r="A203" s="41"/>
      <c r="B203" s="41"/>
      <c r="C203" s="66"/>
      <c r="D203" s="41"/>
      <c r="E203" s="41"/>
      <c r="F203" s="41"/>
      <c r="G203" s="41"/>
      <c r="H203" s="41"/>
      <c r="I203" s="41"/>
      <c r="J203" s="41"/>
      <c r="K203" s="41"/>
      <c r="L203" s="41"/>
      <c r="M203" s="41"/>
      <c r="N203" s="41"/>
      <c r="O203" s="41"/>
      <c r="P203" s="41"/>
      <c r="Q203" s="41"/>
      <c r="R203" s="41"/>
      <c r="S203" s="41"/>
      <c r="T203" s="41"/>
    </row>
    <row r="204" spans="1:20" ht="15.75" customHeight="1">
      <c r="A204" s="41"/>
      <c r="B204" s="41"/>
      <c r="C204" s="66"/>
      <c r="D204" s="41"/>
      <c r="E204" s="41"/>
      <c r="F204" s="41"/>
      <c r="G204" s="41"/>
      <c r="H204" s="41"/>
      <c r="I204" s="41"/>
      <c r="J204" s="41"/>
      <c r="K204" s="41"/>
      <c r="L204" s="41"/>
      <c r="M204" s="41"/>
      <c r="N204" s="41"/>
      <c r="O204" s="41"/>
      <c r="P204" s="41"/>
      <c r="Q204" s="41"/>
      <c r="R204" s="41"/>
      <c r="S204" s="41"/>
      <c r="T204" s="41"/>
    </row>
    <row r="205" spans="1:20" ht="15.75" customHeight="1">
      <c r="A205" s="41"/>
      <c r="B205" s="41"/>
      <c r="C205" s="66"/>
      <c r="D205" s="41"/>
      <c r="E205" s="41"/>
      <c r="F205" s="41"/>
      <c r="G205" s="41"/>
      <c r="H205" s="41"/>
      <c r="I205" s="41"/>
      <c r="J205" s="41"/>
      <c r="K205" s="41"/>
      <c r="L205" s="41"/>
      <c r="M205" s="41"/>
      <c r="N205" s="41"/>
      <c r="O205" s="41"/>
      <c r="P205" s="41"/>
      <c r="Q205" s="41"/>
      <c r="R205" s="41"/>
      <c r="S205" s="41"/>
      <c r="T205" s="41"/>
    </row>
    <row r="206" spans="1:20" ht="15.75" customHeight="1">
      <c r="A206" s="41"/>
      <c r="B206" s="41"/>
      <c r="C206" s="66"/>
      <c r="D206" s="41"/>
      <c r="E206" s="41"/>
      <c r="F206" s="41"/>
      <c r="G206" s="41"/>
      <c r="H206" s="41"/>
      <c r="I206" s="41"/>
      <c r="J206" s="41"/>
      <c r="K206" s="41"/>
      <c r="L206" s="41"/>
      <c r="M206" s="41"/>
      <c r="N206" s="41"/>
      <c r="O206" s="41"/>
      <c r="P206" s="41"/>
      <c r="Q206" s="41"/>
      <c r="R206" s="41"/>
      <c r="S206" s="41"/>
      <c r="T206" s="41"/>
    </row>
    <row r="207" spans="1:20" ht="15.75" customHeight="1">
      <c r="A207" s="41"/>
      <c r="B207" s="41"/>
      <c r="C207" s="66"/>
      <c r="D207" s="41"/>
      <c r="E207" s="41"/>
      <c r="F207" s="41"/>
      <c r="G207" s="41"/>
      <c r="H207" s="41"/>
      <c r="I207" s="41"/>
      <c r="J207" s="41"/>
      <c r="K207" s="41"/>
      <c r="L207" s="41"/>
      <c r="M207" s="41"/>
      <c r="N207" s="41"/>
      <c r="O207" s="41"/>
      <c r="P207" s="41"/>
      <c r="Q207" s="41"/>
      <c r="R207" s="41"/>
      <c r="S207" s="41"/>
      <c r="T207" s="41"/>
    </row>
    <row r="208" spans="1:20" ht="15.75" customHeight="1">
      <c r="A208" s="41"/>
      <c r="B208" s="41"/>
      <c r="C208" s="66"/>
      <c r="D208" s="41"/>
      <c r="E208" s="41"/>
      <c r="F208" s="41"/>
      <c r="G208" s="41"/>
      <c r="H208" s="41"/>
      <c r="I208" s="41"/>
      <c r="J208" s="41"/>
      <c r="K208" s="41"/>
      <c r="L208" s="41"/>
      <c r="M208" s="41"/>
      <c r="N208" s="41"/>
      <c r="O208" s="41"/>
      <c r="P208" s="41"/>
      <c r="Q208" s="41"/>
      <c r="R208" s="41"/>
      <c r="S208" s="41"/>
      <c r="T208" s="41"/>
    </row>
    <row r="209" spans="1:20" ht="15.75" customHeight="1">
      <c r="A209" s="41"/>
      <c r="B209" s="41"/>
      <c r="C209" s="66"/>
      <c r="D209" s="41"/>
      <c r="E209" s="41"/>
      <c r="F209" s="41"/>
      <c r="G209" s="41"/>
      <c r="H209" s="41"/>
      <c r="I209" s="41"/>
      <c r="J209" s="41"/>
      <c r="K209" s="41"/>
      <c r="L209" s="41"/>
      <c r="M209" s="41"/>
      <c r="N209" s="41"/>
      <c r="O209" s="41"/>
      <c r="P209" s="41"/>
      <c r="Q209" s="41"/>
      <c r="R209" s="41"/>
      <c r="S209" s="41"/>
      <c r="T209" s="41"/>
    </row>
    <row r="210" spans="1:20" ht="15.75" customHeight="1">
      <c r="A210" s="41"/>
      <c r="B210" s="41"/>
      <c r="C210" s="66"/>
      <c r="D210" s="41"/>
      <c r="E210" s="41"/>
      <c r="F210" s="41"/>
      <c r="G210" s="41"/>
      <c r="H210" s="41"/>
      <c r="I210" s="41"/>
      <c r="J210" s="41"/>
      <c r="K210" s="41"/>
      <c r="L210" s="41"/>
      <c r="M210" s="41"/>
      <c r="N210" s="41"/>
      <c r="O210" s="41"/>
      <c r="P210" s="41"/>
      <c r="Q210" s="41"/>
      <c r="R210" s="41"/>
      <c r="S210" s="41"/>
      <c r="T210" s="41"/>
    </row>
    <row r="211" spans="1:20" ht="15.75" customHeight="1">
      <c r="A211" s="41"/>
      <c r="B211" s="41"/>
      <c r="C211" s="66"/>
      <c r="D211" s="41"/>
      <c r="E211" s="41"/>
      <c r="F211" s="41"/>
      <c r="G211" s="41"/>
      <c r="H211" s="41"/>
      <c r="I211" s="41"/>
      <c r="J211" s="41"/>
      <c r="K211" s="41"/>
      <c r="L211" s="41"/>
      <c r="M211" s="41"/>
      <c r="N211" s="41"/>
      <c r="O211" s="41"/>
      <c r="P211" s="41"/>
      <c r="Q211" s="41"/>
      <c r="R211" s="41"/>
      <c r="S211" s="41"/>
      <c r="T211" s="41"/>
    </row>
    <row r="212" spans="1:20" ht="15.75" customHeight="1">
      <c r="A212" s="41"/>
      <c r="B212" s="41"/>
      <c r="C212" s="66"/>
      <c r="D212" s="41"/>
      <c r="E212" s="41"/>
      <c r="F212" s="41"/>
      <c r="G212" s="41"/>
      <c r="H212" s="41"/>
      <c r="I212" s="41"/>
      <c r="J212" s="41"/>
      <c r="K212" s="41"/>
      <c r="L212" s="41"/>
      <c r="M212" s="41"/>
      <c r="N212" s="41"/>
      <c r="O212" s="41"/>
      <c r="P212" s="41"/>
      <c r="Q212" s="41"/>
      <c r="R212" s="41"/>
      <c r="S212" s="41"/>
      <c r="T212" s="41"/>
    </row>
    <row r="213" spans="1:20" ht="15.75" customHeight="1">
      <c r="A213" s="41"/>
      <c r="B213" s="41"/>
      <c r="C213" s="66"/>
      <c r="D213" s="41"/>
      <c r="E213" s="41"/>
      <c r="F213" s="41"/>
      <c r="G213" s="41"/>
      <c r="H213" s="41"/>
      <c r="I213" s="41"/>
      <c r="J213" s="41"/>
      <c r="K213" s="41"/>
      <c r="L213" s="41"/>
      <c r="M213" s="41"/>
      <c r="N213" s="41"/>
      <c r="O213" s="41"/>
      <c r="P213" s="41"/>
      <c r="Q213" s="41"/>
      <c r="R213" s="41"/>
      <c r="S213" s="41"/>
      <c r="T213" s="41"/>
    </row>
    <row r="214" spans="1:20" ht="15.75" customHeight="1">
      <c r="A214" s="41"/>
      <c r="B214" s="41"/>
      <c r="C214" s="66"/>
      <c r="D214" s="41"/>
      <c r="E214" s="41"/>
      <c r="F214" s="41"/>
      <c r="G214" s="41"/>
      <c r="H214" s="41"/>
      <c r="I214" s="41"/>
      <c r="J214" s="41"/>
      <c r="K214" s="41"/>
      <c r="L214" s="41"/>
      <c r="M214" s="41"/>
      <c r="N214" s="41"/>
      <c r="O214" s="41"/>
      <c r="P214" s="41"/>
      <c r="Q214" s="41"/>
      <c r="R214" s="41"/>
      <c r="S214" s="41"/>
      <c r="T214" s="41"/>
    </row>
    <row r="215" spans="1:20" ht="15.75" customHeight="1">
      <c r="A215" s="41"/>
      <c r="B215" s="41"/>
      <c r="C215" s="66"/>
      <c r="D215" s="41"/>
      <c r="E215" s="41"/>
      <c r="F215" s="41"/>
      <c r="G215" s="41"/>
      <c r="H215" s="41"/>
      <c r="I215" s="41"/>
      <c r="J215" s="41"/>
      <c r="K215" s="41"/>
      <c r="L215" s="41"/>
      <c r="M215" s="41"/>
      <c r="N215" s="41"/>
      <c r="O215" s="41"/>
      <c r="P215" s="41"/>
      <c r="Q215" s="41"/>
      <c r="R215" s="41"/>
      <c r="S215" s="41"/>
      <c r="T215" s="41"/>
    </row>
    <row r="216" spans="1:20" ht="15.75" customHeight="1">
      <c r="A216" s="41"/>
      <c r="B216" s="41"/>
      <c r="C216" s="66"/>
      <c r="D216" s="41"/>
      <c r="E216" s="41"/>
      <c r="F216" s="41"/>
      <c r="G216" s="41"/>
      <c r="H216" s="41"/>
      <c r="I216" s="41"/>
      <c r="J216" s="41"/>
      <c r="K216" s="41"/>
      <c r="L216" s="41"/>
      <c r="M216" s="41"/>
      <c r="N216" s="41"/>
      <c r="O216" s="41"/>
      <c r="P216" s="41"/>
      <c r="Q216" s="41"/>
      <c r="R216" s="41"/>
      <c r="S216" s="41"/>
      <c r="T216" s="41"/>
    </row>
    <row r="217" spans="1:20" ht="15.75" customHeight="1">
      <c r="A217" s="41"/>
      <c r="B217" s="41"/>
      <c r="C217" s="66"/>
      <c r="D217" s="41"/>
      <c r="E217" s="41"/>
      <c r="F217" s="41"/>
      <c r="G217" s="41"/>
      <c r="H217" s="41"/>
      <c r="I217" s="41"/>
      <c r="J217" s="41"/>
      <c r="K217" s="41"/>
      <c r="L217" s="41"/>
      <c r="M217" s="41"/>
      <c r="N217" s="41"/>
      <c r="O217" s="41"/>
      <c r="P217" s="41"/>
      <c r="Q217" s="41"/>
      <c r="R217" s="41"/>
      <c r="S217" s="41"/>
      <c r="T217" s="41"/>
    </row>
    <row r="218" spans="1:20" ht="15.75" customHeight="1">
      <c r="A218" s="41"/>
      <c r="B218" s="41"/>
      <c r="C218" s="66"/>
      <c r="D218" s="41"/>
      <c r="E218" s="41"/>
      <c r="F218" s="41"/>
      <c r="G218" s="41"/>
      <c r="H218" s="41"/>
      <c r="I218" s="41"/>
      <c r="J218" s="41"/>
      <c r="K218" s="41"/>
      <c r="L218" s="41"/>
      <c r="M218" s="41"/>
      <c r="N218" s="41"/>
      <c r="O218" s="41"/>
      <c r="P218" s="41"/>
      <c r="Q218" s="41"/>
      <c r="R218" s="41"/>
      <c r="S218" s="41"/>
      <c r="T218" s="41"/>
    </row>
    <row r="219" spans="1:20" ht="15.75" customHeight="1">
      <c r="A219" s="41"/>
      <c r="B219" s="41"/>
      <c r="C219" s="66"/>
      <c r="D219" s="41"/>
      <c r="E219" s="41"/>
      <c r="F219" s="41"/>
      <c r="G219" s="41"/>
      <c r="H219" s="41"/>
      <c r="I219" s="41"/>
      <c r="J219" s="41"/>
      <c r="K219" s="41"/>
      <c r="L219" s="41"/>
      <c r="M219" s="41"/>
      <c r="N219" s="41"/>
      <c r="O219" s="41"/>
      <c r="P219" s="41"/>
      <c r="Q219" s="41"/>
      <c r="R219" s="41"/>
      <c r="S219" s="41"/>
      <c r="T219" s="41"/>
    </row>
    <row r="220" spans="1:20" ht="15.75" customHeight="1">
      <c r="A220" s="41"/>
      <c r="B220" s="41"/>
      <c r="C220" s="66"/>
      <c r="D220" s="41"/>
      <c r="E220" s="41"/>
      <c r="F220" s="41"/>
      <c r="G220" s="41"/>
      <c r="H220" s="41"/>
      <c r="I220" s="41"/>
      <c r="J220" s="41"/>
      <c r="K220" s="41"/>
      <c r="L220" s="41"/>
      <c r="M220" s="41"/>
      <c r="N220" s="41"/>
      <c r="O220" s="41"/>
      <c r="P220" s="41"/>
      <c r="Q220" s="41"/>
      <c r="R220" s="41"/>
      <c r="S220" s="41"/>
      <c r="T220" s="41"/>
    </row>
    <row r="221" spans="1:20" ht="15.75" customHeight="1">
      <c r="A221" s="41"/>
      <c r="B221" s="41"/>
      <c r="C221" s="66"/>
      <c r="D221" s="41"/>
      <c r="E221" s="41"/>
      <c r="F221" s="41"/>
      <c r="G221" s="41"/>
      <c r="H221" s="41"/>
      <c r="I221" s="41"/>
      <c r="J221" s="41"/>
      <c r="K221" s="41"/>
      <c r="L221" s="41"/>
      <c r="M221" s="41"/>
      <c r="N221" s="41"/>
      <c r="O221" s="41"/>
      <c r="P221" s="41"/>
      <c r="Q221" s="41"/>
      <c r="R221" s="41"/>
      <c r="S221" s="41"/>
      <c r="T221" s="41"/>
    </row>
    <row r="222" spans="1:20" ht="15.75" customHeight="1"/>
    <row r="223" spans="1:20" ht="15.75" customHeight="1"/>
    <row r="224" spans="1:2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A1:L1"/>
    <mergeCell ref="A3:F3"/>
    <mergeCell ref="G3:L3"/>
    <mergeCell ref="C54:E70"/>
  </mergeCells>
  <pageMargins left="0.7" right="0.7" top="0.75" bottom="0.75" header="0" footer="0"/>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723BB77735A76428944F8B8A0FAB4BD" ma:contentTypeVersion="7" ma:contentTypeDescription="Create a new document." ma:contentTypeScope="" ma:versionID="845416f8ccf8cc7973ec181d1d8adccb">
  <xsd:schema xmlns:xsd="http://www.w3.org/2001/XMLSchema" xmlns:xs="http://www.w3.org/2001/XMLSchema" xmlns:p="http://schemas.microsoft.com/office/2006/metadata/properties" xmlns:ns2="3ee2d006-7ea5-4e34-b2bc-97749c264f4c" targetNamespace="http://schemas.microsoft.com/office/2006/metadata/properties" ma:root="true" ma:fieldsID="9ef63df1816fc36a3d75ab2c2d1a1c29" ns2:_="">
    <xsd:import namespace="3ee2d006-7ea5-4e34-b2bc-97749c264f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e2d006-7ea5-4e34-b2bc-97749c264f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41987722-4331-431C-B114-BB36C231350D}"/>
</file>

<file path=customXml/itemProps2.xml><?xml version="1.0" encoding="utf-8"?>
<ds:datastoreItem xmlns:ds="http://schemas.openxmlformats.org/officeDocument/2006/customXml" ds:itemID="{793D077E-8A80-4C6B-A38D-FFB519A0932F}"/>
</file>

<file path=customXml/itemProps3.xml><?xml version="1.0" encoding="utf-8"?>
<ds:datastoreItem xmlns:ds="http://schemas.openxmlformats.org/officeDocument/2006/customXml" ds:itemID="{4CB9BA08-7E82-41C8-BE6A-782741B03494}"/>
</file>

<file path=customXml/itemProps4.xml><?xml version="1.0" encoding="utf-8"?>
<ds:datastoreItem xmlns:ds="http://schemas.openxmlformats.org/officeDocument/2006/customXml" ds:itemID="{F2D12A2D-4137-42DE-99CB-8DB0EAC8CC2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
  <cp:revision/>
  <dcterms:created xsi:type="dcterms:W3CDTF">2022-08-27T10:59:18Z</dcterms:created>
  <dcterms:modified xsi:type="dcterms:W3CDTF">2026-04-19T15:52:09Z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0x0101006723BB77735A76428944F8B8A0FAB4BD</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MSIP_Label_38b525e5-f3da-4501-8f1e-526b6769fc56_Enabled">
    <vt:lpwstr>true</vt:lpwstr>
  </property>
  <property fmtid="{D5CDD505-2E9C-101B-9397-08002B2CF9AE}" pid="7" name="MSIP_Label_38b525e5-f3da-4501-8f1e-526b6769fc56_SetDate">
    <vt:lpwstr>2023-08-29T12:10:09Z</vt:lpwstr>
  </property>
  <property fmtid="{D5CDD505-2E9C-101B-9397-08002B2CF9AE}" pid="8" name="MSIP_Label_38b525e5-f3da-4501-8f1e-526b6769fc56_Method">
    <vt:lpwstr>Standard</vt:lpwstr>
  </property>
  <property fmtid="{D5CDD505-2E9C-101B-9397-08002B2CF9AE}" pid="9" name="MSIP_Label_38b525e5-f3da-4501-8f1e-526b6769fc56_Name">
    <vt:lpwstr>defa4170-0d19-0005-0004-bc88714345d2</vt:lpwstr>
  </property>
  <property fmtid="{D5CDD505-2E9C-101B-9397-08002B2CF9AE}" pid="10" name="MSIP_Label_38b525e5-f3da-4501-8f1e-526b6769fc56_SiteId">
    <vt:lpwstr>db6e1183-4c65-405c-82ce-7cd53fa6e9dc</vt:lpwstr>
  </property>
  <property fmtid="{D5CDD505-2E9C-101B-9397-08002B2CF9AE}" pid="11" name="MSIP_Label_38b525e5-f3da-4501-8f1e-526b6769fc56_ActionId">
    <vt:lpwstr>f0f91ed4-87f6-4090-a03a-b31fb71a7473</vt:lpwstr>
  </property>
  <property fmtid="{D5CDD505-2E9C-101B-9397-08002B2CF9AE}" pid="12" name="MSIP_Label_38b525e5-f3da-4501-8f1e-526b6769fc56_ContentBits">
    <vt:lpwstr>0</vt:lpwstr>
  </property>
  <property fmtid="{D5CDD505-2E9C-101B-9397-08002B2CF9AE}" pid="13" name="PlanSwiftJobName">
    <vt:lpwstr/>
  </property>
  <property fmtid="{D5CDD505-2E9C-101B-9397-08002B2CF9AE}" pid="14" name="PlanSwiftJobGuid">
    <vt:lpwstr/>
  </property>
  <property fmtid="{D5CDD505-2E9C-101B-9397-08002B2CF9AE}" pid="15" name="LinkedDataId">
    <vt:lpwstr>{3290258D-2DA2-481F-B549-B6FD6A74D34B}</vt:lpwstr>
  </property>
</Properties>
</file>