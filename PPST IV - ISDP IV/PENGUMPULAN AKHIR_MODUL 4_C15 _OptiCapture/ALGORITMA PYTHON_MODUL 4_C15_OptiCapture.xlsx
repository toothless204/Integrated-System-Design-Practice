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zky Miftah Alfiah\Downloads\"/>
    </mc:Choice>
  </mc:AlternateContent>
  <xr:revisionPtr revIDLastSave="0" documentId="8_{8265CCCF-7102-4632-B547-F97DAB13E1A5}" xr6:coauthVersionLast="47" xr6:coauthVersionMax="47" xr10:uidLastSave="{00000000-0000-0000-0000-000000000000}"/>
  <bookViews>
    <workbookView xWindow="-108" yWindow="-108" windowWidth="23256" windowHeight="12456" xr2:uid="{41A86463-E0D3-4259-8362-4D2662337AAF}"/>
  </bookViews>
  <sheets>
    <sheet name="Data" sheetId="1" r:id="rId1"/>
    <sheet name="Result" sheetId="3" r:id="rId2"/>
    <sheet name="Color" sheetId="2" r:id="rId3"/>
  </sheets>
  <definedNames>
    <definedName name="No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B22" i="3"/>
  <c r="B23" i="3"/>
  <c r="B24" i="3"/>
  <c r="E5" i="1"/>
  <c r="F5" i="1" s="1"/>
  <c r="C74" i="3"/>
  <c r="D74" i="3"/>
  <c r="E74" i="3"/>
  <c r="F74" i="3"/>
  <c r="G74" i="3"/>
  <c r="H74" i="3"/>
  <c r="I74" i="3"/>
  <c r="J74" i="3"/>
  <c r="K74" i="3"/>
  <c r="L74" i="3"/>
  <c r="M74" i="3"/>
  <c r="N74" i="3"/>
  <c r="C75" i="3"/>
  <c r="D75" i="3"/>
  <c r="E75" i="3"/>
  <c r="F75" i="3"/>
  <c r="G75" i="3"/>
  <c r="H75" i="3"/>
  <c r="I75" i="3"/>
  <c r="J75" i="3"/>
  <c r="K75" i="3"/>
  <c r="L75" i="3"/>
  <c r="M75" i="3"/>
  <c r="N75" i="3"/>
  <c r="C76" i="3"/>
  <c r="D76" i="3"/>
  <c r="E76" i="3"/>
  <c r="F76" i="3"/>
  <c r="G76" i="3"/>
  <c r="H76" i="3"/>
  <c r="I76" i="3"/>
  <c r="J76" i="3"/>
  <c r="K76" i="3"/>
  <c r="L76" i="3"/>
  <c r="M76" i="3"/>
  <c r="N76" i="3"/>
  <c r="C77" i="3"/>
  <c r="D77" i="3"/>
  <c r="E77" i="3"/>
  <c r="F77" i="3"/>
  <c r="G77" i="3"/>
  <c r="H77" i="3"/>
  <c r="I77" i="3"/>
  <c r="J77" i="3"/>
  <c r="K77" i="3"/>
  <c r="L77" i="3"/>
  <c r="M77" i="3"/>
  <c r="N77" i="3"/>
  <c r="C78" i="3"/>
  <c r="D78" i="3"/>
  <c r="E78" i="3"/>
  <c r="F78" i="3"/>
  <c r="G78" i="3"/>
  <c r="H78" i="3"/>
  <c r="I78" i="3"/>
  <c r="J78" i="3"/>
  <c r="K78" i="3"/>
  <c r="L78" i="3"/>
  <c r="M78" i="3"/>
  <c r="N78" i="3"/>
  <c r="C79" i="3"/>
  <c r="D79" i="3"/>
  <c r="E79" i="3"/>
  <c r="F79" i="3"/>
  <c r="G79" i="3"/>
  <c r="H79" i="3"/>
  <c r="I79" i="3"/>
  <c r="J79" i="3"/>
  <c r="K79" i="3"/>
  <c r="L79" i="3"/>
  <c r="M79" i="3"/>
  <c r="N79" i="3"/>
  <c r="C80" i="3"/>
  <c r="D80" i="3"/>
  <c r="E80" i="3"/>
  <c r="F80" i="3"/>
  <c r="G80" i="3"/>
  <c r="H80" i="3"/>
  <c r="I80" i="3"/>
  <c r="J80" i="3"/>
  <c r="K80" i="3"/>
  <c r="L80" i="3"/>
  <c r="M80" i="3"/>
  <c r="N80" i="3"/>
  <c r="C81" i="3"/>
  <c r="D81" i="3"/>
  <c r="E81" i="3"/>
  <c r="F81" i="3"/>
  <c r="G81" i="3"/>
  <c r="H81" i="3"/>
  <c r="I81" i="3"/>
  <c r="J81" i="3"/>
  <c r="K81" i="3"/>
  <c r="L81" i="3"/>
  <c r="M81" i="3"/>
  <c r="N81" i="3"/>
  <c r="C82" i="3"/>
  <c r="D82" i="3"/>
  <c r="E82" i="3"/>
  <c r="F82" i="3"/>
  <c r="G82" i="3"/>
  <c r="H82" i="3"/>
  <c r="I82" i="3"/>
  <c r="J82" i="3"/>
  <c r="K82" i="3"/>
  <c r="L82" i="3"/>
  <c r="M82" i="3"/>
  <c r="N82" i="3"/>
  <c r="C83" i="3"/>
  <c r="D83" i="3"/>
  <c r="E83" i="3"/>
  <c r="F83" i="3"/>
  <c r="G83" i="3"/>
  <c r="H83" i="3"/>
  <c r="I83" i="3"/>
  <c r="J83" i="3"/>
  <c r="K83" i="3"/>
  <c r="L83" i="3"/>
  <c r="M83" i="3"/>
  <c r="N83" i="3"/>
  <c r="C84" i="3"/>
  <c r="D84" i="3"/>
  <c r="E84" i="3"/>
  <c r="F84" i="3"/>
  <c r="G84" i="3"/>
  <c r="H84" i="3"/>
  <c r="I84" i="3"/>
  <c r="J84" i="3"/>
  <c r="K84" i="3"/>
  <c r="L84" i="3"/>
  <c r="M84" i="3"/>
  <c r="N84" i="3"/>
  <c r="D73" i="3"/>
  <c r="E73" i="3"/>
  <c r="F73" i="3"/>
  <c r="G73" i="3"/>
  <c r="H73" i="3"/>
  <c r="I73" i="3"/>
  <c r="J73" i="3"/>
  <c r="K73" i="3"/>
  <c r="L73" i="3"/>
  <c r="M73" i="3"/>
  <c r="N73" i="3"/>
  <c r="C59" i="3"/>
  <c r="D59" i="3"/>
  <c r="E59" i="3"/>
  <c r="F59" i="3"/>
  <c r="G59" i="3"/>
  <c r="H59" i="3"/>
  <c r="I59" i="3"/>
  <c r="J59" i="3"/>
  <c r="K59" i="3"/>
  <c r="L59" i="3"/>
  <c r="M59" i="3"/>
  <c r="N59" i="3"/>
  <c r="C60" i="3"/>
  <c r="D60" i="3"/>
  <c r="E60" i="3"/>
  <c r="F60" i="3"/>
  <c r="G60" i="3"/>
  <c r="H60" i="3"/>
  <c r="I60" i="3"/>
  <c r="J60" i="3"/>
  <c r="K60" i="3"/>
  <c r="L60" i="3"/>
  <c r="M60" i="3"/>
  <c r="N60" i="3"/>
  <c r="C61" i="3"/>
  <c r="D61" i="3"/>
  <c r="E61" i="3"/>
  <c r="F61" i="3"/>
  <c r="G61" i="3"/>
  <c r="H61" i="3"/>
  <c r="I61" i="3"/>
  <c r="J61" i="3"/>
  <c r="K61" i="3"/>
  <c r="L61" i="3"/>
  <c r="M61" i="3"/>
  <c r="N61" i="3"/>
  <c r="C62" i="3"/>
  <c r="D62" i="3"/>
  <c r="E62" i="3"/>
  <c r="F62" i="3"/>
  <c r="G62" i="3"/>
  <c r="H62" i="3"/>
  <c r="I62" i="3"/>
  <c r="J62" i="3"/>
  <c r="K62" i="3"/>
  <c r="L62" i="3"/>
  <c r="M62" i="3"/>
  <c r="N62" i="3"/>
  <c r="C63" i="3"/>
  <c r="D63" i="3"/>
  <c r="E63" i="3"/>
  <c r="F63" i="3"/>
  <c r="G63" i="3"/>
  <c r="H63" i="3"/>
  <c r="I63" i="3"/>
  <c r="J63" i="3"/>
  <c r="K63" i="3"/>
  <c r="L63" i="3"/>
  <c r="M63" i="3"/>
  <c r="N63" i="3"/>
  <c r="C64" i="3"/>
  <c r="D64" i="3"/>
  <c r="E64" i="3"/>
  <c r="F64" i="3"/>
  <c r="G64" i="3"/>
  <c r="H64" i="3"/>
  <c r="I64" i="3"/>
  <c r="J64" i="3"/>
  <c r="K64" i="3"/>
  <c r="L64" i="3"/>
  <c r="M64" i="3"/>
  <c r="N64" i="3"/>
  <c r="C65" i="3"/>
  <c r="D65" i="3"/>
  <c r="E65" i="3"/>
  <c r="F65" i="3"/>
  <c r="G65" i="3"/>
  <c r="H65" i="3"/>
  <c r="I65" i="3"/>
  <c r="J65" i="3"/>
  <c r="K65" i="3"/>
  <c r="L65" i="3"/>
  <c r="M65" i="3"/>
  <c r="N65" i="3"/>
  <c r="C66" i="3"/>
  <c r="D66" i="3"/>
  <c r="E66" i="3"/>
  <c r="F66" i="3"/>
  <c r="G66" i="3"/>
  <c r="H66" i="3"/>
  <c r="I66" i="3"/>
  <c r="J66" i="3"/>
  <c r="K66" i="3"/>
  <c r="L66" i="3"/>
  <c r="M66" i="3"/>
  <c r="N66" i="3"/>
  <c r="C67" i="3"/>
  <c r="D67" i="3"/>
  <c r="E67" i="3"/>
  <c r="F67" i="3"/>
  <c r="G67" i="3"/>
  <c r="H67" i="3"/>
  <c r="I67" i="3"/>
  <c r="J67" i="3"/>
  <c r="K67" i="3"/>
  <c r="L67" i="3"/>
  <c r="M67" i="3"/>
  <c r="N67" i="3"/>
  <c r="C68" i="3"/>
  <c r="D68" i="3"/>
  <c r="E68" i="3"/>
  <c r="F68" i="3"/>
  <c r="G68" i="3"/>
  <c r="H68" i="3"/>
  <c r="I68" i="3"/>
  <c r="J68" i="3"/>
  <c r="K68" i="3"/>
  <c r="L68" i="3"/>
  <c r="M68" i="3"/>
  <c r="N68" i="3"/>
  <c r="C69" i="3"/>
  <c r="D69" i="3"/>
  <c r="E69" i="3"/>
  <c r="F69" i="3"/>
  <c r="G69" i="3"/>
  <c r="H69" i="3"/>
  <c r="I69" i="3"/>
  <c r="J69" i="3"/>
  <c r="K69" i="3"/>
  <c r="L69" i="3"/>
  <c r="M69" i="3"/>
  <c r="N69" i="3"/>
  <c r="D58" i="3"/>
  <c r="E58" i="3"/>
  <c r="F58" i="3"/>
  <c r="G58" i="3"/>
  <c r="H58" i="3"/>
  <c r="I58" i="3"/>
  <c r="J58" i="3"/>
  <c r="K58" i="3"/>
  <c r="L58" i="3"/>
  <c r="M58" i="3"/>
  <c r="N58" i="3"/>
  <c r="C58" i="3"/>
  <c r="C13" i="3" a="1"/>
  <c r="C13" i="3" s="1"/>
  <c r="B14" i="3"/>
  <c r="B15" i="3"/>
  <c r="B16" i="3"/>
  <c r="B17" i="3"/>
  <c r="B18" i="3"/>
  <c r="B19" i="3"/>
  <c r="B20" i="3"/>
  <c r="B13" i="3"/>
  <c r="C28" i="3" l="1"/>
  <c r="M53" i="3"/>
  <c r="N53" i="3"/>
  <c r="N52" i="3"/>
  <c r="N51" i="3"/>
  <c r="N50" i="3"/>
  <c r="N49" i="3"/>
  <c r="N48" i="3"/>
  <c r="N47" i="3"/>
  <c r="N54" i="3"/>
  <c r="M47" i="3"/>
  <c r="L53" i="3"/>
  <c r="K53" i="3"/>
  <c r="K52" i="3"/>
  <c r="K51" i="3"/>
  <c r="K50" i="3"/>
  <c r="K49" i="3"/>
  <c r="K48" i="3"/>
  <c r="K47" i="3"/>
  <c r="K54" i="3"/>
  <c r="L47" i="3"/>
  <c r="J53" i="3"/>
  <c r="J52" i="3"/>
  <c r="J51" i="3"/>
  <c r="J50" i="3"/>
  <c r="J49" i="3"/>
  <c r="J48" i="3"/>
  <c r="J47" i="3"/>
  <c r="J54" i="3"/>
  <c r="M48" i="3"/>
  <c r="L52" i="3"/>
  <c r="I53" i="3"/>
  <c r="I52" i="3"/>
  <c r="I51" i="3"/>
  <c r="I50" i="3"/>
  <c r="I49" i="3"/>
  <c r="I48" i="3"/>
  <c r="I47" i="3"/>
  <c r="I54" i="3"/>
  <c r="M51" i="3"/>
  <c r="L54" i="3"/>
  <c r="H53" i="3"/>
  <c r="H52" i="3"/>
  <c r="H51" i="3"/>
  <c r="H50" i="3"/>
  <c r="H49" i="3"/>
  <c r="H48" i="3"/>
  <c r="H47" i="3"/>
  <c r="H54" i="3"/>
  <c r="M54" i="3"/>
  <c r="L48" i="3"/>
  <c r="G53" i="3"/>
  <c r="G52" i="3"/>
  <c r="G51" i="3"/>
  <c r="G50" i="3"/>
  <c r="G49" i="3"/>
  <c r="G48" i="3"/>
  <c r="G47" i="3"/>
  <c r="G54" i="3"/>
  <c r="M49" i="3"/>
  <c r="L51" i="3"/>
  <c r="F53" i="3"/>
  <c r="F52" i="3"/>
  <c r="F51" i="3"/>
  <c r="F50" i="3"/>
  <c r="F49" i="3"/>
  <c r="F48" i="3"/>
  <c r="F47" i="3"/>
  <c r="F54" i="3"/>
  <c r="M50" i="3"/>
  <c r="L50" i="3"/>
  <c r="E53" i="3"/>
  <c r="E52" i="3"/>
  <c r="E51" i="3"/>
  <c r="E50" i="3"/>
  <c r="E49" i="3"/>
  <c r="E48" i="3"/>
  <c r="E47" i="3"/>
  <c r="E54" i="3"/>
  <c r="M52" i="3"/>
  <c r="L49" i="3"/>
  <c r="D53" i="3"/>
  <c r="D52" i="3"/>
  <c r="D51" i="3"/>
  <c r="D50" i="3"/>
  <c r="D49" i="3"/>
  <c r="D48" i="3"/>
  <c r="D47" i="3"/>
  <c r="D54" i="3"/>
  <c r="C53" i="3"/>
  <c r="C52" i="3"/>
  <c r="C51" i="3"/>
  <c r="C50" i="3"/>
  <c r="C49" i="3"/>
  <c r="C48" i="3"/>
  <c r="C47" i="3"/>
  <c r="C54" i="3"/>
  <c r="E33" i="3"/>
  <c r="C36" i="3"/>
  <c r="F39" i="3"/>
  <c r="F38" i="3"/>
  <c r="F37" i="3"/>
  <c r="F36" i="3"/>
  <c r="F35" i="3"/>
  <c r="F34" i="3"/>
  <c r="F33" i="3"/>
  <c r="F32" i="3"/>
  <c r="N45" i="3"/>
  <c r="E37" i="3"/>
  <c r="M45" i="3"/>
  <c r="D39" i="3"/>
  <c r="D38" i="3"/>
  <c r="D37" i="3"/>
  <c r="D36" i="3"/>
  <c r="D35" i="3"/>
  <c r="D34" i="3"/>
  <c r="D33" i="3"/>
  <c r="D32" i="3"/>
  <c r="L45" i="3"/>
  <c r="C33" i="3"/>
  <c r="N39" i="3"/>
  <c r="N38" i="3"/>
  <c r="N37" i="3"/>
  <c r="N36" i="3"/>
  <c r="N35" i="3"/>
  <c r="N34" i="3"/>
  <c r="N33" i="3"/>
  <c r="N32" i="3"/>
  <c r="N44" i="3"/>
  <c r="E38" i="3"/>
  <c r="C38" i="3"/>
  <c r="M39" i="3"/>
  <c r="M38" i="3"/>
  <c r="M37" i="3"/>
  <c r="M36" i="3"/>
  <c r="M35" i="3"/>
  <c r="M34" i="3"/>
  <c r="M33" i="3"/>
  <c r="M32" i="3"/>
  <c r="M44" i="3"/>
  <c r="E34" i="3"/>
  <c r="C34" i="3"/>
  <c r="L39" i="3"/>
  <c r="L38" i="3"/>
  <c r="L37" i="3"/>
  <c r="L36" i="3"/>
  <c r="L35" i="3"/>
  <c r="L34" i="3"/>
  <c r="L33" i="3"/>
  <c r="L32" i="3"/>
  <c r="L44" i="3"/>
  <c r="E39" i="3"/>
  <c r="C39" i="3"/>
  <c r="K45" i="3"/>
  <c r="K39" i="3"/>
  <c r="K38" i="3"/>
  <c r="K37" i="3"/>
  <c r="K36" i="3"/>
  <c r="K35" i="3"/>
  <c r="K34" i="3"/>
  <c r="K33" i="3"/>
  <c r="K32" i="3"/>
  <c r="K44" i="3"/>
  <c r="J39" i="3"/>
  <c r="J38" i="3"/>
  <c r="J37" i="3"/>
  <c r="J36" i="3"/>
  <c r="J35" i="3"/>
  <c r="J34" i="3"/>
  <c r="J33" i="3"/>
  <c r="J32" i="3"/>
  <c r="N46" i="3"/>
  <c r="N43" i="3"/>
  <c r="E36" i="3"/>
  <c r="C32" i="3"/>
  <c r="I39" i="3"/>
  <c r="I38" i="3"/>
  <c r="I37" i="3"/>
  <c r="I36" i="3"/>
  <c r="I35" i="3"/>
  <c r="I34" i="3"/>
  <c r="I33" i="3"/>
  <c r="I32" i="3"/>
  <c r="M46" i="3"/>
  <c r="M43" i="3"/>
  <c r="E35" i="3"/>
  <c r="C35" i="3"/>
  <c r="H39" i="3"/>
  <c r="H38" i="3"/>
  <c r="H37" i="3"/>
  <c r="H36" i="3"/>
  <c r="H35" i="3"/>
  <c r="H34" i="3"/>
  <c r="H33" i="3"/>
  <c r="H32" i="3"/>
  <c r="L46" i="3"/>
  <c r="L43" i="3"/>
  <c r="E32" i="3"/>
  <c r="C37" i="3"/>
  <c r="G39" i="3"/>
  <c r="G38" i="3"/>
  <c r="G37" i="3"/>
  <c r="G36" i="3"/>
  <c r="G35" i="3"/>
  <c r="G34" i="3"/>
  <c r="G33" i="3"/>
  <c r="G32" i="3"/>
  <c r="K46" i="3"/>
  <c r="K43" i="3"/>
  <c r="E30" i="3"/>
  <c r="D30" i="3"/>
  <c r="N28" i="3"/>
  <c r="D31" i="3"/>
  <c r="N29" i="3"/>
  <c r="M28" i="3"/>
  <c r="L28" i="3"/>
  <c r="N31" i="3"/>
  <c r="M30" i="3"/>
  <c r="L29" i="3"/>
  <c r="K28" i="3"/>
  <c r="D29" i="3"/>
  <c r="N30" i="3"/>
  <c r="M31" i="3"/>
  <c r="L30" i="3"/>
  <c r="K29" i="3"/>
  <c r="J28" i="3"/>
  <c r="L31" i="3"/>
  <c r="K30" i="3"/>
  <c r="J29" i="3"/>
  <c r="I28" i="3"/>
  <c r="K31" i="3"/>
  <c r="J30" i="3"/>
  <c r="I29" i="3"/>
  <c r="H28" i="3"/>
  <c r="M29" i="3"/>
  <c r="J31" i="3"/>
  <c r="I30" i="3"/>
  <c r="H29" i="3"/>
  <c r="G28" i="3"/>
  <c r="E31" i="3"/>
  <c r="I31" i="3"/>
  <c r="H30" i="3"/>
  <c r="G29" i="3"/>
  <c r="F28" i="3"/>
  <c r="F31" i="3"/>
  <c r="H31" i="3"/>
  <c r="G30" i="3"/>
  <c r="F29" i="3"/>
  <c r="E28" i="3"/>
  <c r="G31" i="3"/>
  <c r="F30" i="3"/>
  <c r="E29" i="3"/>
  <c r="D28" i="3"/>
  <c r="C73" i="3"/>
  <c r="C95" i="3" l="1"/>
  <c r="N91" i="3"/>
  <c r="M94" i="3"/>
  <c r="J92" i="3"/>
  <c r="E95" i="3"/>
  <c r="J93" i="3"/>
  <c r="C97" i="3"/>
  <c r="M93" i="3"/>
  <c r="K97" i="3"/>
  <c r="K98" i="3"/>
  <c r="C92" i="3"/>
  <c r="K95" i="3"/>
  <c r="G99" i="3"/>
  <c r="K91" i="3"/>
  <c r="F96" i="3"/>
  <c r="M91" i="3"/>
  <c r="C93" i="3"/>
  <c r="E99" i="3"/>
  <c r="K96" i="3"/>
  <c r="J94" i="3"/>
  <c r="N99" i="3"/>
  <c r="D94" i="3"/>
  <c r="J98" i="3"/>
  <c r="D95" i="3"/>
  <c r="F99" i="3"/>
  <c r="D96" i="3"/>
  <c r="K89" i="3"/>
  <c r="D97" i="3"/>
  <c r="I92" i="3"/>
  <c r="L91" i="3"/>
  <c r="F92" i="3"/>
  <c r="G98" i="3"/>
  <c r="K99" i="3"/>
  <c r="N97" i="3"/>
  <c r="G96" i="3"/>
  <c r="G97" i="3"/>
  <c r="F93" i="3"/>
  <c r="K92" i="3"/>
  <c r="N98" i="3"/>
  <c r="D98" i="3"/>
  <c r="F94" i="3"/>
  <c r="K93" i="3"/>
  <c r="M98" i="3"/>
  <c r="M95" i="3"/>
  <c r="N95" i="3"/>
  <c r="L88" i="3"/>
  <c r="N96" i="3"/>
  <c r="K88" i="3"/>
  <c r="C99" i="3"/>
  <c r="F95" i="3"/>
  <c r="H99" i="3"/>
  <c r="K94" i="3"/>
  <c r="I93" i="3"/>
  <c r="M99" i="3"/>
  <c r="N89" i="3"/>
  <c r="L94" i="3"/>
  <c r="I97" i="3"/>
  <c r="H92" i="3"/>
  <c r="F97" i="3"/>
  <c r="L97" i="3"/>
  <c r="E92" i="3"/>
  <c r="E93" i="3"/>
  <c r="H95" i="3"/>
  <c r="E94" i="3"/>
  <c r="H97" i="3"/>
  <c r="K90" i="3"/>
  <c r="G92" i="3"/>
  <c r="L92" i="3"/>
  <c r="L93" i="3"/>
  <c r="I96" i="3"/>
  <c r="M97" i="3"/>
  <c r="I98" i="3"/>
  <c r="C94" i="3"/>
  <c r="F98" i="3"/>
  <c r="L96" i="3"/>
  <c r="N90" i="3"/>
  <c r="L98" i="3"/>
  <c r="M92" i="3"/>
  <c r="E96" i="3"/>
  <c r="M88" i="3"/>
  <c r="D99" i="3"/>
  <c r="E97" i="3"/>
  <c r="G93" i="3"/>
  <c r="L99" i="3"/>
  <c r="J95" i="3"/>
  <c r="N92" i="3"/>
  <c r="D92" i="3"/>
  <c r="E98" i="3"/>
  <c r="G94" i="3"/>
  <c r="M96" i="3"/>
  <c r="J96" i="3"/>
  <c r="N93" i="3"/>
  <c r="I94" i="3"/>
  <c r="I95" i="3"/>
  <c r="H93" i="3"/>
  <c r="H94" i="3"/>
  <c r="N88" i="3"/>
  <c r="J99" i="3"/>
  <c r="M89" i="3"/>
  <c r="C96" i="3"/>
  <c r="H96" i="3"/>
  <c r="C98" i="3"/>
  <c r="H98" i="3"/>
  <c r="L89" i="3"/>
  <c r="L90" i="3"/>
  <c r="D93" i="3"/>
  <c r="L95" i="3"/>
  <c r="G95" i="3"/>
  <c r="I99" i="3"/>
  <c r="J97" i="3"/>
  <c r="N94" i="3"/>
  <c r="M90" i="3"/>
  <c r="D43" i="3"/>
  <c r="C30" i="3"/>
  <c r="F43" i="3"/>
  <c r="F45" i="3"/>
  <c r="H45" i="3"/>
  <c r="D45" i="3"/>
  <c r="I44" i="3"/>
  <c r="J46" i="3"/>
  <c r="C45" i="3"/>
  <c r="H44" i="3"/>
  <c r="I46" i="3"/>
  <c r="G44" i="3"/>
  <c r="G89" i="3" s="1"/>
  <c r="H46" i="3"/>
  <c r="F44" i="3"/>
  <c r="G46" i="3"/>
  <c r="E44" i="3"/>
  <c r="J43" i="3"/>
  <c r="F46" i="3"/>
  <c r="D44" i="3"/>
  <c r="I43" i="3"/>
  <c r="E46" i="3"/>
  <c r="J45" i="3"/>
  <c r="C44" i="3"/>
  <c r="H43" i="3"/>
  <c r="D46" i="3"/>
  <c r="I45" i="3"/>
  <c r="G43" i="3"/>
  <c r="G45" i="3"/>
  <c r="E43" i="3"/>
  <c r="E45" i="3"/>
  <c r="J44" i="3"/>
  <c r="C43" i="3"/>
  <c r="C31" i="3"/>
  <c r="C29" i="3"/>
  <c r="C46" i="3"/>
  <c r="C90" i="3" l="1"/>
  <c r="E89" i="3"/>
  <c r="E88" i="3"/>
  <c r="H91" i="3"/>
  <c r="G90" i="3"/>
  <c r="G91" i="3"/>
  <c r="C88" i="3"/>
  <c r="J89" i="3"/>
  <c r="F89" i="3"/>
  <c r="I89" i="3"/>
  <c r="H89" i="3"/>
  <c r="C91" i="3"/>
  <c r="D90" i="3"/>
  <c r="E90" i="3"/>
  <c r="F90" i="3"/>
  <c r="J88" i="3"/>
  <c r="H88" i="3"/>
  <c r="J91" i="3"/>
  <c r="I90" i="3"/>
  <c r="C89" i="3"/>
  <c r="F91" i="3"/>
  <c r="F88" i="3"/>
  <c r="D88" i="3"/>
  <c r="I88" i="3"/>
  <c r="D91" i="3"/>
  <c r="H90" i="3"/>
  <c r="J90" i="3"/>
  <c r="I91" i="3"/>
  <c r="G88" i="3"/>
  <c r="D89" i="3"/>
  <c r="E91" i="3"/>
  <c r="C101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<sst xmlns="http://schemas.openxmlformats.org/spreadsheetml/2006/main" count="113" uniqueCount="83">
  <si>
    <t>PT PPST Manufacturing</t>
  </si>
  <si>
    <t>Facility detail</t>
  </si>
  <si>
    <t>Facility Length</t>
  </si>
  <si>
    <t>Area</t>
  </si>
  <si>
    <t>%Utilized</t>
  </si>
  <si>
    <t>Facility Width</t>
  </si>
  <si>
    <t>Number of Departments</t>
  </si>
  <si>
    <t>Number of Restricted Areas</t>
  </si>
  <si>
    <t>0 = Existing</t>
  </si>
  <si>
    <t>0 = Movable</t>
  </si>
  <si>
    <t>Department detail</t>
  </si>
  <si>
    <t>1 = New</t>
  </si>
  <si>
    <t>1 = Fixed</t>
  </si>
  <si>
    <t>No</t>
  </si>
  <si>
    <t>Department's Name</t>
  </si>
  <si>
    <t>Length</t>
  </si>
  <si>
    <t>Width</t>
  </si>
  <si>
    <t>Load/Unload Point</t>
  </si>
  <si>
    <t>New?</t>
  </si>
  <si>
    <t>Coordinate</t>
  </si>
  <si>
    <t>Fixed?</t>
  </si>
  <si>
    <t>Label</t>
  </si>
  <si>
    <t>Color</t>
  </si>
  <si>
    <t>Sequ-ence</t>
  </si>
  <si>
    <t>x-offset</t>
  </si>
  <si>
    <t>y-offset</t>
  </si>
  <si>
    <t>x-center</t>
  </si>
  <si>
    <t>y-center</t>
  </si>
  <si>
    <t>Receiving</t>
  </si>
  <si>
    <t>R</t>
  </si>
  <si>
    <t>Gudang Bahan Baku Utana</t>
  </si>
  <si>
    <t>GBBU</t>
  </si>
  <si>
    <t>Gudang Bahan Baku Pembantu</t>
  </si>
  <si>
    <t>GBBP</t>
  </si>
  <si>
    <t>Mesin Drilling</t>
  </si>
  <si>
    <t>Mesin Injection Molding</t>
  </si>
  <si>
    <t>Mesin Milling</t>
  </si>
  <si>
    <t>Mesin Turning</t>
  </si>
  <si>
    <t>Kerja Bangku</t>
  </si>
  <si>
    <t xml:space="preserve">Bench Perakitan </t>
  </si>
  <si>
    <t xml:space="preserve">Bench Pengemasan </t>
  </si>
  <si>
    <t>Warehousing</t>
  </si>
  <si>
    <t>Shipping</t>
  </si>
  <si>
    <t>Restricted area detail</t>
  </si>
  <si>
    <t>Restricted Area's Name</t>
  </si>
  <si>
    <t>Flow Matrix</t>
  </si>
  <si>
    <t>To</t>
  </si>
  <si>
    <t>From</t>
  </si>
  <si>
    <t>Cost Matrix</t>
  </si>
  <si>
    <t>decision variable</t>
  </si>
  <si>
    <t>m</t>
  </si>
  <si>
    <t>x</t>
  </si>
  <si>
    <t>y</t>
  </si>
  <si>
    <t>x_in</t>
  </si>
  <si>
    <t>y_in</t>
  </si>
  <si>
    <t>H_bound</t>
  </si>
  <si>
    <t>V_bound</t>
  </si>
  <si>
    <t>dXmn</t>
  </si>
  <si>
    <t>n</t>
  </si>
  <si>
    <t>dYmn</t>
  </si>
  <si>
    <t>MHC</t>
  </si>
  <si>
    <t>TMHC</t>
  </si>
  <si>
    <t>DRL</t>
  </si>
  <si>
    <t>MIL</t>
  </si>
  <si>
    <t>INJ</t>
  </si>
  <si>
    <t>TUR</t>
  </si>
  <si>
    <t>KRJ</t>
  </si>
  <si>
    <t>RKT</t>
  </si>
  <si>
    <t>PGM</t>
  </si>
  <si>
    <t>WRH</t>
  </si>
  <si>
    <t>SHP</t>
  </si>
  <si>
    <t>slategray</t>
  </si>
  <si>
    <t>bisque</t>
  </si>
  <si>
    <t>darkorange</t>
  </si>
  <si>
    <t>forestgreen</t>
  </si>
  <si>
    <t>gold</t>
  </si>
  <si>
    <t>turquoise</t>
  </si>
  <si>
    <t>navy</t>
  </si>
  <si>
    <t>lavender</t>
  </si>
  <si>
    <t>coral</t>
  </si>
  <si>
    <t>mediumvioletred</t>
  </si>
  <si>
    <t>khaki</t>
  </si>
  <si>
    <t>deepskyblue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</si>
</sst>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/>
    </xf>
    <xf numFmtId="9" fontId="0" fillId="0" borderId="1" xfId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0" fillId="2" borderId="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4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3" borderId="17" xfId="0" applyFill="1" applyBorder="1"/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/>
    <xf numFmtId="0" fontId="0" fillId="3" borderId="22" xfId="0" applyFill="1" applyBorder="1"/>
    <xf numFmtId="0" fontId="3" fillId="0" borderId="24" xfId="0" applyFont="1" applyBorder="1"/>
    <xf numFmtId="0" fontId="0" fillId="0" borderId="1" xfId="0" applyBorder="1" applyAlignment="1">
      <alignment horizontal="center" vertical="center" wrapText="1"/>
    </xf>
    <xf numFmtId="2" fontId="0" fillId="3" borderId="0" xfId="0" applyNumberFormat="1" applyFill="1" applyAlignment="1">
      <alignment horizontal="center" vertical="center"/>
    </xf>
    <xf numFmtId="2" fontId="0" fillId="3" borderId="21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0" fontId="7" fillId="0" borderId="27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Normal" xfId="0" builtinId="0"/>
    <cellStyle name="Normal 3" xfId="2" xr:uid="{5035FE7C-0007-4C2D-932D-26987A55F9A6}"/>
    <cellStyle name="Percent" xfId="1" builtinId="5"/>
  </cellStyles>
  <dxfs count="0"/>
  <tableStyles count="0" defaultTableStyle="TableStyleMedium2" defaultPivotStyle="PivotStyleLight16"/>
  <colors>
    <mruColors>
      <color rgb="FFFFFFCC"/>
      <color rgb="FFEBB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124408</xdr:colOff>
      <xdr:row>5</xdr:row>
      <xdr:rowOff>93306</xdr:rowOff>
    </xdr:from>
    <xdr:to>
      <xdr:col>30</xdr:col>
      <xdr:colOff>458127</xdr:colOff>
      <xdr:row>53</xdr:row>
      <xdr:rowOff>66416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373AFB-F374-99D6-ED54-1B7F38BCA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041" y="1026367"/>
          <a:ext cx="9431066" cy="9288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401781</xdr:colOff>
      <xdr:row>1</xdr:row>
      <xdr:rowOff>152400</xdr:rowOff>
    </xdr:from>
    <xdr:to>
      <xdr:col>14</xdr:col>
      <xdr:colOff>173181</xdr:colOff>
      <xdr:row>49</xdr:row>
      <xdr:rowOff>44008</xdr:rowOff>
    </xdr:to>
    <xdr:pic>
      <xdr:nvPicPr>
        <xdr:cNvPr id="3" name="Picture 2" descr="named colors">
          <a:extLst>
            <a:ext uri="{FF2B5EF4-FFF2-40B4-BE49-F238E27FC236}">
              <a16:creationId xmlns:a16="http://schemas.microsoft.com/office/drawing/2014/main" id="{AC1240BC-E5E3-4208-BFC2-CA1AE73F9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781" y="332509"/>
          <a:ext cx="8305800" cy="8536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952AF6-DE55-4781-90EB-103D018FDC7D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972882c-c1a5-47a9-b621-5cb3016e34c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A8BD-C06A-461C-A254-A249B42E0E08}">
  <sheetPr codeName="Sheet1"/>
  <dimension ref="B1:AG57"/>
  <sheetViews>
    <sheetView showGridLines="0" tabSelected="1" zoomScale="67" zoomScaleNormal="174" workbookViewId="0">
      <selection activeCell="D31" sqref="D31"/>
    </sheetView>
  </sheetViews>
  <sheetFormatPr defaultRowHeight="14.4" x14ac:dyDescent="0.3"/>
  <cols>
    <col min="2" max="2" width="5" customWidth="1"/>
    <col min="3" max="3" width="26.5546875" customWidth="1"/>
    <col min="6" max="6" width="14" customWidth="1"/>
    <col min="13" max="13" width="8.6640625" customWidth="1"/>
    <col min="14" max="14" width="14.5546875" bestFit="1" customWidth="1"/>
  </cols>
  <sheetData>
    <row r="1" spans="2:17" x14ac:dyDescent="0.3">
      <c r="B1" s="9" t="s">
        <v>0</v>
      </c>
    </row>
    <row r="3" spans="2:17" x14ac:dyDescent="0.3">
      <c r="B3" s="9" t="s">
        <v>1</v>
      </c>
    </row>
    <row r="4" spans="2:17" x14ac:dyDescent="0.3">
      <c r="B4" s="64" t="s">
        <v>2</v>
      </c>
      <c r="C4" s="64"/>
      <c r="D4" s="3">
        <v>30</v>
      </c>
      <c r="E4" s="10" t="s">
        <v>3</v>
      </c>
      <c r="F4" s="10" t="s">
        <v>4</v>
      </c>
    </row>
    <row r="5" spans="2:17" x14ac:dyDescent="0.3">
      <c r="B5" s="67" t="s">
        <v>5</v>
      </c>
      <c r="C5" s="68"/>
      <c r="D5" s="5">
        <v>35</v>
      </c>
      <c r="E5" s="1">
        <f>D4*D5</f>
        <v>1050</v>
      </c>
      <c r="F5" s="8">
        <f>SUM(M12:M23)/E5</f>
        <v>0.69871466666666671</v>
      </c>
    </row>
    <row r="6" spans="2:17" x14ac:dyDescent="0.3">
      <c r="B6" s="64" t="s">
        <v>6</v>
      </c>
      <c r="C6" s="64"/>
      <c r="D6" s="3">
        <v>12</v>
      </c>
    </row>
    <row r="7" spans="2:17" x14ac:dyDescent="0.3">
      <c r="B7" s="64" t="s">
        <v>7</v>
      </c>
      <c r="C7" s="64"/>
      <c r="D7" s="4">
        <v>0</v>
      </c>
      <c r="I7" s="13"/>
      <c r="J7" s="13"/>
    </row>
    <row r="8" spans="2:17" x14ac:dyDescent="0.3">
      <c r="B8" s="2"/>
      <c r="C8" s="2"/>
      <c r="H8" s="14" t="s">
        <v>8</v>
      </c>
      <c r="K8" s="14" t="s">
        <v>9</v>
      </c>
    </row>
    <row r="9" spans="2:17" x14ac:dyDescent="0.3">
      <c r="B9" s="9" t="s">
        <v>10</v>
      </c>
      <c r="H9" s="14" t="s">
        <v>11</v>
      </c>
      <c r="K9" s="14" t="s">
        <v>12</v>
      </c>
      <c r="N9" s="9"/>
    </row>
    <row r="10" spans="2:17" x14ac:dyDescent="0.3">
      <c r="B10" s="61" t="s">
        <v>13</v>
      </c>
      <c r="C10" s="61" t="s">
        <v>14</v>
      </c>
      <c r="D10" s="61" t="s">
        <v>15</v>
      </c>
      <c r="E10" s="61" t="s">
        <v>16</v>
      </c>
      <c r="F10" s="65" t="s">
        <v>17</v>
      </c>
      <c r="G10" s="66"/>
      <c r="H10" s="60" t="s">
        <v>18</v>
      </c>
      <c r="I10" s="65" t="s">
        <v>19</v>
      </c>
      <c r="J10" s="66"/>
      <c r="K10" s="61" t="s">
        <v>20</v>
      </c>
      <c r="L10" s="62" t="s">
        <v>21</v>
      </c>
      <c r="M10" s="61" t="s">
        <v>3</v>
      </c>
      <c r="N10" s="61" t="s">
        <v>22</v>
      </c>
      <c r="O10" s="60" t="s">
        <v>23</v>
      </c>
      <c r="P10" s="50"/>
      <c r="Q10" s="50"/>
    </row>
    <row r="11" spans="2:17" x14ac:dyDescent="0.3">
      <c r="B11" s="61"/>
      <c r="C11" s="61"/>
      <c r="D11" s="61"/>
      <c r="E11" s="61"/>
      <c r="F11" s="10" t="s">
        <v>24</v>
      </c>
      <c r="G11" s="10" t="s">
        <v>25</v>
      </c>
      <c r="H11" s="60"/>
      <c r="I11" s="10" t="s">
        <v>26</v>
      </c>
      <c r="J11" s="10" t="s">
        <v>27</v>
      </c>
      <c r="K11" s="61"/>
      <c r="L11" s="63"/>
      <c r="M11" s="61"/>
      <c r="N11" s="61"/>
      <c r="O11" s="60"/>
      <c r="P11" s="51"/>
      <c r="Q11" s="51"/>
    </row>
    <row r="12" spans="2:17" x14ac:dyDescent="0.3">
      <c r="B12" s="1">
        <v>1</v>
      </c>
      <c r="C12" s="1" t="s">
        <v>28</v>
      </c>
      <c r="D12" s="1">
        <v>8.24</v>
      </c>
      <c r="E12" s="1">
        <v>8.24</v>
      </c>
      <c r="F12" s="1">
        <v>0</v>
      </c>
      <c r="G12" s="1">
        <v>0</v>
      </c>
      <c r="H12" s="43">
        <v>0</v>
      </c>
      <c r="I12" s="1">
        <v>4.12</v>
      </c>
      <c r="J12" s="1">
        <v>4.12</v>
      </c>
      <c r="K12" s="1">
        <v>1</v>
      </c>
      <c r="L12" s="6" t="s">
        <v>29</v>
      </c>
      <c r="M12" s="1">
        <v>67.897599999999997</v>
      </c>
      <c r="N12" s="1" t="s">
        <v>72</v>
      </c>
      <c r="O12" s="43"/>
      <c r="P12" s="51"/>
      <c r="Q12" s="51"/>
    </row>
    <row r="13" spans="2:17" x14ac:dyDescent="0.3">
      <c r="B13" s="1">
        <v>2</v>
      </c>
      <c r="C13" s="1" t="s">
        <v>30</v>
      </c>
      <c r="D13" s="1">
        <v>7.71</v>
      </c>
      <c r="E13" s="1">
        <v>6.97</v>
      </c>
      <c r="F13" s="1">
        <v>0</v>
      </c>
      <c r="G13" s="1">
        <v>0</v>
      </c>
      <c r="H13" s="43">
        <v>1</v>
      </c>
      <c r="I13" s="1"/>
      <c r="J13" s="1"/>
      <c r="K13" s="1">
        <v>0</v>
      </c>
      <c r="L13" s="6" t="s">
        <v>31</v>
      </c>
      <c r="M13" s="1">
        <v>53.738699999999994</v>
      </c>
      <c r="N13" s="1" t="s">
        <v>73</v>
      </c>
      <c r="O13" s="43">
        <v>1</v>
      </c>
      <c r="P13" s="51"/>
      <c r="Q13" s="51"/>
    </row>
    <row r="14" spans="2:17" x14ac:dyDescent="0.3">
      <c r="B14" s="1">
        <v>3</v>
      </c>
      <c r="C14" s="1" t="s">
        <v>32</v>
      </c>
      <c r="D14" s="1">
        <v>5.89</v>
      </c>
      <c r="E14" s="1">
        <v>10.119999999999999</v>
      </c>
      <c r="F14" s="1">
        <v>0</v>
      </c>
      <c r="G14" s="1">
        <v>0</v>
      </c>
      <c r="H14" s="43">
        <v>1</v>
      </c>
      <c r="I14" s="1"/>
      <c r="J14" s="1"/>
      <c r="K14" s="1">
        <v>0</v>
      </c>
      <c r="L14" s="6" t="s">
        <v>33</v>
      </c>
      <c r="M14" s="1">
        <v>59.606799999999993</v>
      </c>
      <c r="N14" s="1" t="s">
        <v>74</v>
      </c>
      <c r="O14" s="43">
        <v>2</v>
      </c>
      <c r="P14" s="51"/>
      <c r="Q14" s="51"/>
    </row>
    <row r="15" spans="2:17" x14ac:dyDescent="0.3">
      <c r="B15" s="1">
        <v>4</v>
      </c>
      <c r="C15" s="49" t="s">
        <v>34</v>
      </c>
      <c r="D15" s="1">
        <v>6.9119999999999999</v>
      </c>
      <c r="E15" s="1">
        <v>6.22</v>
      </c>
      <c r="F15" s="1">
        <v>0</v>
      </c>
      <c r="G15" s="1">
        <v>0</v>
      </c>
      <c r="H15" s="43">
        <v>1</v>
      </c>
      <c r="I15" s="1"/>
      <c r="J15" s="1"/>
      <c r="K15" s="1">
        <v>0</v>
      </c>
      <c r="L15" s="6" t="s">
        <v>62</v>
      </c>
      <c r="M15" s="1">
        <v>42.992639999999994</v>
      </c>
      <c r="N15" s="1" t="s">
        <v>71</v>
      </c>
      <c r="O15" s="43">
        <v>3</v>
      </c>
      <c r="P15" s="51"/>
      <c r="Q15" s="51"/>
    </row>
    <row r="16" spans="2:17" x14ac:dyDescent="0.3">
      <c r="B16" s="1">
        <v>5</v>
      </c>
      <c r="C16" s="49" t="s">
        <v>35</v>
      </c>
      <c r="D16" s="1">
        <v>6.6870000000000003</v>
      </c>
      <c r="E16" s="1">
        <v>6.24</v>
      </c>
      <c r="F16" s="1">
        <v>0</v>
      </c>
      <c r="G16" s="1">
        <v>0</v>
      </c>
      <c r="H16" s="43">
        <v>1</v>
      </c>
      <c r="I16" s="1"/>
      <c r="J16" s="1"/>
      <c r="K16" s="1">
        <v>0</v>
      </c>
      <c r="L16" s="6" t="s">
        <v>64</v>
      </c>
      <c r="M16" s="1">
        <v>41.726880000000001</v>
      </c>
      <c r="N16" s="1" t="s">
        <v>75</v>
      </c>
      <c r="O16" s="43">
        <v>4</v>
      </c>
      <c r="P16" s="51"/>
      <c r="Q16" s="51"/>
    </row>
    <row r="17" spans="2:33" x14ac:dyDescent="0.3">
      <c r="B17" s="1">
        <v>6</v>
      </c>
      <c r="C17" s="49" t="s">
        <v>36</v>
      </c>
      <c r="D17" s="1">
        <v>29.01</v>
      </c>
      <c r="E17" s="1">
        <v>6.5</v>
      </c>
      <c r="F17" s="1">
        <v>0</v>
      </c>
      <c r="G17" s="1">
        <v>0</v>
      </c>
      <c r="H17" s="43">
        <v>1</v>
      </c>
      <c r="I17" s="1"/>
      <c r="J17" s="1"/>
      <c r="K17" s="1">
        <v>0</v>
      </c>
      <c r="L17" s="6" t="s">
        <v>63</v>
      </c>
      <c r="M17" s="1">
        <v>188.565</v>
      </c>
      <c r="N17" s="1" t="s">
        <v>76</v>
      </c>
      <c r="O17" s="43">
        <v>5</v>
      </c>
      <c r="P17" s="51"/>
      <c r="Q17" s="51"/>
    </row>
    <row r="18" spans="2:33" x14ac:dyDescent="0.3">
      <c r="B18" s="1">
        <v>7</v>
      </c>
      <c r="C18" s="49" t="s">
        <v>37</v>
      </c>
      <c r="D18" s="1">
        <v>7.84</v>
      </c>
      <c r="E18" s="1">
        <v>6.492</v>
      </c>
      <c r="F18" s="1">
        <v>0</v>
      </c>
      <c r="G18" s="1">
        <v>0</v>
      </c>
      <c r="H18" s="43">
        <v>1</v>
      </c>
      <c r="I18" s="1"/>
      <c r="J18" s="1"/>
      <c r="K18" s="1">
        <v>0</v>
      </c>
      <c r="L18" s="1" t="s">
        <v>65</v>
      </c>
      <c r="M18" s="1">
        <v>50.897280000000002</v>
      </c>
      <c r="N18" s="1" t="s">
        <v>77</v>
      </c>
      <c r="O18" s="43">
        <v>6</v>
      </c>
      <c r="P18" s="51"/>
      <c r="Q18" s="51"/>
    </row>
    <row r="19" spans="2:33" x14ac:dyDescent="0.3">
      <c r="B19" s="1">
        <v>8</v>
      </c>
      <c r="C19" s="49" t="s">
        <v>38</v>
      </c>
      <c r="D19" s="1">
        <v>12.85</v>
      </c>
      <c r="E19" s="1">
        <v>6.2</v>
      </c>
      <c r="F19" s="1">
        <v>0</v>
      </c>
      <c r="G19" s="1">
        <v>0</v>
      </c>
      <c r="H19" s="43">
        <v>1</v>
      </c>
      <c r="I19" s="1"/>
      <c r="J19" s="1"/>
      <c r="K19" s="1">
        <v>0</v>
      </c>
      <c r="L19" s="1" t="s">
        <v>66</v>
      </c>
      <c r="M19" s="1">
        <v>79.67</v>
      </c>
      <c r="N19" s="1" t="s">
        <v>78</v>
      </c>
      <c r="O19" s="43">
        <v>7</v>
      </c>
      <c r="P19" s="51"/>
      <c r="Q19" s="51"/>
    </row>
    <row r="20" spans="2:33" x14ac:dyDescent="0.3">
      <c r="B20" s="1">
        <v>9</v>
      </c>
      <c r="C20" s="1" t="s">
        <v>39</v>
      </c>
      <c r="D20" s="1">
        <v>7.15</v>
      </c>
      <c r="E20" s="1">
        <v>6.25</v>
      </c>
      <c r="F20" s="1">
        <v>0</v>
      </c>
      <c r="G20" s="1">
        <v>0</v>
      </c>
      <c r="H20" s="43">
        <v>1</v>
      </c>
      <c r="I20" s="1"/>
      <c r="J20" s="1"/>
      <c r="K20" s="1">
        <v>0</v>
      </c>
      <c r="L20" s="1" t="s">
        <v>67</v>
      </c>
      <c r="M20" s="1">
        <v>44.6875</v>
      </c>
      <c r="N20" s="1" t="s">
        <v>79</v>
      </c>
      <c r="O20" s="43">
        <v>8</v>
      </c>
      <c r="P20" s="51"/>
      <c r="Q20" s="51"/>
    </row>
    <row r="21" spans="2:33" x14ac:dyDescent="0.3">
      <c r="B21" s="1">
        <v>10</v>
      </c>
      <c r="C21" s="3" t="s">
        <v>40</v>
      </c>
      <c r="D21" s="1">
        <v>7.9</v>
      </c>
      <c r="E21" s="1">
        <v>6.17</v>
      </c>
      <c r="F21" s="1">
        <v>0</v>
      </c>
      <c r="G21" s="1">
        <v>0</v>
      </c>
      <c r="H21" s="43">
        <v>1</v>
      </c>
      <c r="I21" s="1"/>
      <c r="J21" s="1"/>
      <c r="K21" s="1">
        <v>0</v>
      </c>
      <c r="L21" s="1" t="s">
        <v>68</v>
      </c>
      <c r="M21" s="1">
        <v>48.743000000000002</v>
      </c>
      <c r="N21" s="1" t="s">
        <v>80</v>
      </c>
      <c r="O21" s="43">
        <v>9</v>
      </c>
      <c r="P21" s="51"/>
      <c r="Q21" s="51"/>
    </row>
    <row r="22" spans="2:33" x14ac:dyDescent="0.3">
      <c r="B22" s="1">
        <v>11</v>
      </c>
      <c r="C22" s="1" t="s">
        <v>41</v>
      </c>
      <c r="D22" s="1">
        <v>5.25</v>
      </c>
      <c r="E22" s="1">
        <v>5.25</v>
      </c>
      <c r="F22" s="1">
        <v>0</v>
      </c>
      <c r="G22" s="1">
        <v>0</v>
      </c>
      <c r="H22" s="43">
        <v>1</v>
      </c>
      <c r="I22" s="1"/>
      <c r="J22" s="1"/>
      <c r="K22" s="1">
        <v>0</v>
      </c>
      <c r="L22" s="1" t="s">
        <v>69</v>
      </c>
      <c r="M22" s="1">
        <v>27.5625</v>
      </c>
      <c r="N22" s="1" t="s">
        <v>81</v>
      </c>
      <c r="O22" s="43">
        <v>10</v>
      </c>
      <c r="P22" s="51"/>
      <c r="Q22" s="51"/>
    </row>
    <row r="23" spans="2:33" x14ac:dyDescent="0.3">
      <c r="B23" s="1">
        <v>12</v>
      </c>
      <c r="C23" s="1" t="s">
        <v>42</v>
      </c>
      <c r="D23" s="1">
        <v>5.25</v>
      </c>
      <c r="E23" s="1">
        <v>5.25</v>
      </c>
      <c r="F23" s="1">
        <v>0</v>
      </c>
      <c r="G23" s="1">
        <v>0</v>
      </c>
      <c r="H23" s="43">
        <v>0</v>
      </c>
      <c r="I23" s="1">
        <v>10.865</v>
      </c>
      <c r="J23" s="1">
        <v>2.625</v>
      </c>
      <c r="K23" s="1">
        <v>1</v>
      </c>
      <c r="L23" s="1" t="s">
        <v>70</v>
      </c>
      <c r="M23" s="1">
        <v>27.5625</v>
      </c>
      <c r="N23" s="1" t="s">
        <v>82</v>
      </c>
      <c r="O23" s="1"/>
    </row>
    <row r="25" spans="2:33" x14ac:dyDescent="0.3">
      <c r="B25" s="9" t="s">
        <v>43</v>
      </c>
    </row>
    <row r="26" spans="2:33" x14ac:dyDescent="0.3">
      <c r="B26" s="61" t="s">
        <v>13</v>
      </c>
      <c r="C26" s="61" t="s">
        <v>44</v>
      </c>
      <c r="D26" s="61" t="s">
        <v>15</v>
      </c>
      <c r="E26" s="61" t="s">
        <v>16</v>
      </c>
      <c r="F26" s="61" t="s">
        <v>19</v>
      </c>
      <c r="G26" s="61"/>
      <c r="H26" s="60" t="s">
        <v>21</v>
      </c>
      <c r="I26" s="60" t="s">
        <v>3</v>
      </c>
      <c r="J26" s="60" t="s">
        <v>22</v>
      </c>
    </row>
    <row r="27" spans="2:33" x14ac:dyDescent="0.3">
      <c r="B27" s="61"/>
      <c r="C27" s="61"/>
      <c r="D27" s="61"/>
      <c r="E27" s="61"/>
      <c r="F27" s="10" t="s">
        <v>26</v>
      </c>
      <c r="G27" s="10" t="s">
        <v>27</v>
      </c>
      <c r="H27" s="60"/>
      <c r="I27" s="60"/>
      <c r="J27" s="60"/>
    </row>
    <row r="29" spans="2:33" x14ac:dyDescent="0.3">
      <c r="B29" s="9" t="s">
        <v>45</v>
      </c>
    </row>
    <row r="30" spans="2:33" x14ac:dyDescent="0.3">
      <c r="B30" s="7"/>
      <c r="C30" s="11" t="s">
        <v>46</v>
      </c>
      <c r="D30" s="1">
        <v>1</v>
      </c>
      <c r="E30" s="1">
        <v>2</v>
      </c>
      <c r="F30" s="1">
        <v>3</v>
      </c>
      <c r="G30" s="1">
        <v>4</v>
      </c>
      <c r="H30" s="1">
        <v>5</v>
      </c>
      <c r="I30" s="1">
        <v>6</v>
      </c>
      <c r="J30" s="1">
        <v>7</v>
      </c>
      <c r="K30" s="1">
        <v>8</v>
      </c>
      <c r="L30" s="1">
        <v>9</v>
      </c>
      <c r="M30" s="1">
        <v>10</v>
      </c>
      <c r="N30" s="1">
        <v>11</v>
      </c>
      <c r="O30" s="1">
        <v>12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</row>
    <row r="31" spans="2:33" x14ac:dyDescent="0.3">
      <c r="B31" s="12" t="s">
        <v>47</v>
      </c>
      <c r="C31" s="6">
        <v>1</v>
      </c>
      <c r="D31" s="52">
        <v>0</v>
      </c>
      <c r="E31" s="52">
        <v>1</v>
      </c>
      <c r="F31" s="52">
        <v>1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</row>
    <row r="32" spans="2:33" x14ac:dyDescent="0.3">
      <c r="B32" s="12"/>
      <c r="C32" s="6">
        <v>2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2</v>
      </c>
      <c r="L32" s="52">
        <v>0</v>
      </c>
      <c r="M32" s="52">
        <v>0</v>
      </c>
      <c r="N32" s="52">
        <v>0</v>
      </c>
      <c r="O32" s="52">
        <v>0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</row>
    <row r="33" spans="2:33" x14ac:dyDescent="0.3">
      <c r="B33" s="12"/>
      <c r="C33" s="6">
        <v>3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5</v>
      </c>
      <c r="L33" s="52">
        <v>0</v>
      </c>
      <c r="M33" s="52">
        <v>0</v>
      </c>
      <c r="N33" s="52">
        <v>0</v>
      </c>
      <c r="O33" s="52">
        <v>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</row>
    <row r="34" spans="2:33" x14ac:dyDescent="0.3">
      <c r="B34" s="12"/>
      <c r="C34" s="6">
        <v>4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1</v>
      </c>
      <c r="L34" s="52">
        <v>0</v>
      </c>
      <c r="M34" s="52">
        <v>0</v>
      </c>
      <c r="N34" s="52">
        <v>0</v>
      </c>
      <c r="O34" s="52">
        <v>0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</row>
    <row r="35" spans="2:33" x14ac:dyDescent="0.3">
      <c r="B35" s="12"/>
      <c r="C35" s="6">
        <v>5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1</v>
      </c>
      <c r="J35" s="52">
        <v>0</v>
      </c>
      <c r="K35" s="52">
        <v>1</v>
      </c>
      <c r="L35" s="52">
        <v>0</v>
      </c>
      <c r="M35" s="52">
        <v>0</v>
      </c>
      <c r="N35" s="52">
        <v>0</v>
      </c>
      <c r="O35" s="52">
        <v>0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</row>
    <row r="36" spans="2:33" x14ac:dyDescent="0.3">
      <c r="B36" s="12"/>
      <c r="C36" s="6">
        <v>6</v>
      </c>
      <c r="D36" s="52">
        <v>0</v>
      </c>
      <c r="E36" s="52">
        <v>0</v>
      </c>
      <c r="F36" s="52">
        <v>0</v>
      </c>
      <c r="G36" s="52">
        <v>0</v>
      </c>
      <c r="H36" s="52">
        <v>1</v>
      </c>
      <c r="I36" s="52">
        <v>0</v>
      </c>
      <c r="J36" s="52">
        <v>0</v>
      </c>
      <c r="K36" s="52">
        <v>2</v>
      </c>
      <c r="L36" s="52">
        <v>0</v>
      </c>
      <c r="M36" s="52">
        <v>0</v>
      </c>
      <c r="N36" s="52">
        <v>0</v>
      </c>
      <c r="O36" s="52">
        <v>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</row>
    <row r="37" spans="2:33" x14ac:dyDescent="0.3">
      <c r="B37" s="12"/>
      <c r="C37" s="6">
        <v>7</v>
      </c>
      <c r="D37" s="52">
        <v>0</v>
      </c>
      <c r="E37" s="52">
        <v>0</v>
      </c>
      <c r="F37" s="52">
        <v>0</v>
      </c>
      <c r="G37" s="52">
        <v>0</v>
      </c>
      <c r="H37" s="52">
        <v>2</v>
      </c>
      <c r="I37" s="52">
        <v>1</v>
      </c>
      <c r="J37" s="52">
        <v>0</v>
      </c>
      <c r="K37" s="52">
        <v>1</v>
      </c>
      <c r="L37" s="52">
        <v>0</v>
      </c>
      <c r="M37" s="52">
        <v>0</v>
      </c>
      <c r="N37" s="52">
        <v>0</v>
      </c>
      <c r="O37" s="52">
        <v>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</row>
    <row r="38" spans="2:33" x14ac:dyDescent="0.3">
      <c r="B38" s="12"/>
      <c r="C38" s="6">
        <v>8</v>
      </c>
      <c r="D38" s="52">
        <v>0</v>
      </c>
      <c r="E38" s="52">
        <v>0</v>
      </c>
      <c r="F38" s="52">
        <v>0</v>
      </c>
      <c r="G38" s="52">
        <v>1</v>
      </c>
      <c r="H38" s="52">
        <v>1</v>
      </c>
      <c r="I38" s="52">
        <v>1</v>
      </c>
      <c r="J38" s="52">
        <v>8</v>
      </c>
      <c r="K38" s="52">
        <v>0</v>
      </c>
      <c r="L38" s="52">
        <v>2</v>
      </c>
      <c r="M38" s="52">
        <v>0</v>
      </c>
      <c r="N38" s="52">
        <v>0</v>
      </c>
      <c r="O38" s="52">
        <v>0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</row>
    <row r="39" spans="2:33" x14ac:dyDescent="0.3">
      <c r="B39" s="12"/>
      <c r="C39" s="6">
        <v>9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3</v>
      </c>
      <c r="N39" s="52">
        <v>0</v>
      </c>
      <c r="O39" s="52">
        <v>0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</row>
    <row r="40" spans="2:33" x14ac:dyDescent="0.3">
      <c r="B40" s="12"/>
      <c r="C40" s="6">
        <v>10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3</v>
      </c>
      <c r="O40" s="52">
        <v>0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</row>
    <row r="41" spans="2:33" x14ac:dyDescent="0.3">
      <c r="B41" s="12"/>
      <c r="C41" s="6">
        <v>11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1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</row>
    <row r="42" spans="2:33" x14ac:dyDescent="0.3">
      <c r="B42" s="12"/>
      <c r="C42" s="6">
        <v>12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</row>
    <row r="43" spans="2:33" x14ac:dyDescent="0.3">
      <c r="B43" s="12"/>
      <c r="C43" s="13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</row>
    <row r="44" spans="2:33" x14ac:dyDescent="0.3">
      <c r="B44" s="9" t="s">
        <v>48</v>
      </c>
    </row>
    <row r="45" spans="2:33" x14ac:dyDescent="0.3">
      <c r="B45" s="7"/>
      <c r="C45" s="11" t="s">
        <v>46</v>
      </c>
      <c r="D45" s="1">
        <v>1</v>
      </c>
      <c r="E45" s="1">
        <v>2</v>
      </c>
      <c r="F45" s="1">
        <v>3</v>
      </c>
      <c r="G45" s="1">
        <v>4</v>
      </c>
      <c r="H45" s="1">
        <v>5</v>
      </c>
      <c r="I45" s="1">
        <v>6</v>
      </c>
      <c r="J45" s="1">
        <v>7</v>
      </c>
      <c r="K45" s="1">
        <v>8</v>
      </c>
      <c r="L45" s="1">
        <v>9</v>
      </c>
      <c r="M45" s="1">
        <v>10</v>
      </c>
      <c r="N45" s="1">
        <v>11</v>
      </c>
      <c r="O45" s="1">
        <v>12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</row>
    <row r="46" spans="2:33" x14ac:dyDescent="0.3">
      <c r="B46" s="12" t="s">
        <v>47</v>
      </c>
      <c r="C46" s="6">
        <v>1</v>
      </c>
      <c r="D46" s="52">
        <v>0</v>
      </c>
      <c r="E46" s="52">
        <v>12.163158770928463</v>
      </c>
      <c r="F46" s="52">
        <v>12.163158770928463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</row>
    <row r="47" spans="2:33" x14ac:dyDescent="0.3">
      <c r="B47" s="12"/>
      <c r="C47" s="6">
        <v>2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1.5066114916286148E-2</v>
      </c>
      <c r="L47" s="52">
        <v>0</v>
      </c>
      <c r="M47" s="52">
        <v>0</v>
      </c>
      <c r="N47" s="52">
        <v>0</v>
      </c>
      <c r="O47" s="52">
        <v>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</row>
    <row r="48" spans="2:33" x14ac:dyDescent="0.3">
      <c r="B48" s="12"/>
      <c r="C48" s="6">
        <v>3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1.5066114916286148E-2</v>
      </c>
      <c r="L48" s="52">
        <v>0</v>
      </c>
      <c r="M48" s="52">
        <v>0</v>
      </c>
      <c r="N48" s="52">
        <v>0</v>
      </c>
      <c r="O48" s="52">
        <v>0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</row>
    <row r="49" spans="2:33" x14ac:dyDescent="0.3">
      <c r="B49" s="12"/>
      <c r="C49" s="6">
        <v>4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1.5066114916286148E-2</v>
      </c>
      <c r="L49" s="52">
        <v>0</v>
      </c>
      <c r="M49" s="52">
        <v>0</v>
      </c>
      <c r="N49" s="52">
        <v>0</v>
      </c>
      <c r="O49" s="52">
        <v>0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</row>
    <row r="50" spans="2:33" x14ac:dyDescent="0.3">
      <c r="B50" s="12"/>
      <c r="C50" s="6">
        <v>5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1.5066114916286148E-2</v>
      </c>
      <c r="J50" s="52">
        <v>0</v>
      </c>
      <c r="K50" s="52">
        <v>1.5066114916286148E-2</v>
      </c>
      <c r="L50" s="52">
        <v>0</v>
      </c>
      <c r="M50" s="52">
        <v>0</v>
      </c>
      <c r="N50" s="52">
        <v>0</v>
      </c>
      <c r="O50" s="52">
        <v>0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</row>
    <row r="51" spans="2:33" x14ac:dyDescent="0.3">
      <c r="B51" s="12"/>
      <c r="C51" s="6">
        <v>6</v>
      </c>
      <c r="D51" s="52">
        <v>0</v>
      </c>
      <c r="E51" s="52">
        <v>0</v>
      </c>
      <c r="F51" s="52">
        <v>0</v>
      </c>
      <c r="G51" s="52">
        <v>0</v>
      </c>
      <c r="H51" s="52">
        <v>1.5066114916286148E-2</v>
      </c>
      <c r="I51" s="52">
        <v>0</v>
      </c>
      <c r="J51" s="52">
        <v>0</v>
      </c>
      <c r="K51" s="52">
        <v>1.5066114916286148E-2</v>
      </c>
      <c r="L51" s="52">
        <v>0</v>
      </c>
      <c r="M51" s="52">
        <v>0</v>
      </c>
      <c r="N51" s="52">
        <v>0</v>
      </c>
      <c r="O51" s="52">
        <v>0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</row>
    <row r="52" spans="2:33" x14ac:dyDescent="0.3">
      <c r="B52" s="12"/>
      <c r="C52" s="6">
        <v>7</v>
      </c>
      <c r="D52" s="52">
        <v>0</v>
      </c>
      <c r="E52" s="52">
        <v>0</v>
      </c>
      <c r="F52" s="52">
        <v>0</v>
      </c>
      <c r="G52" s="52">
        <v>0</v>
      </c>
      <c r="H52" s="52">
        <v>1.5066114916286148E-2</v>
      </c>
      <c r="I52" s="52">
        <v>1.5066114916286148E-2</v>
      </c>
      <c r="J52" s="52">
        <v>0</v>
      </c>
      <c r="K52" s="52">
        <v>1.5066114916286148E-2</v>
      </c>
      <c r="L52" s="52">
        <v>0</v>
      </c>
      <c r="M52" s="52">
        <v>0</v>
      </c>
      <c r="N52" s="52">
        <v>0</v>
      </c>
      <c r="O52" s="52">
        <v>0</v>
      </c>
    </row>
    <row r="53" spans="2:33" x14ac:dyDescent="0.3">
      <c r="B53" s="12"/>
      <c r="C53" s="6">
        <v>8</v>
      </c>
      <c r="D53" s="52">
        <v>0</v>
      </c>
      <c r="E53" s="52">
        <v>0</v>
      </c>
      <c r="F53" s="52">
        <v>0</v>
      </c>
      <c r="G53" s="52">
        <v>1.5066114916286148E-2</v>
      </c>
      <c r="H53" s="52">
        <v>1.5066114916286148E-2</v>
      </c>
      <c r="I53" s="52">
        <v>1.5066114916286148E-2</v>
      </c>
      <c r="J53" s="52">
        <v>1.5066114916286148E-2</v>
      </c>
      <c r="K53" s="52">
        <v>0</v>
      </c>
      <c r="L53" s="52">
        <v>1.5066114916286148E-2</v>
      </c>
      <c r="M53" s="52">
        <v>0</v>
      </c>
      <c r="N53" s="52">
        <v>0</v>
      </c>
      <c r="O53" s="52">
        <v>0</v>
      </c>
    </row>
    <row r="54" spans="2:33" x14ac:dyDescent="0.3">
      <c r="B54" s="12"/>
      <c r="C54" s="6">
        <v>9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1.5066114916286148E-2</v>
      </c>
      <c r="N54" s="52">
        <v>0</v>
      </c>
      <c r="O54" s="52">
        <v>0</v>
      </c>
    </row>
    <row r="55" spans="2:33" x14ac:dyDescent="0.3">
      <c r="B55" s="12"/>
      <c r="C55" s="6">
        <v>10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1.5066114916286148E-2</v>
      </c>
      <c r="O55" s="52">
        <v>0</v>
      </c>
    </row>
    <row r="56" spans="2:33" x14ac:dyDescent="0.3">
      <c r="B56" s="12"/>
      <c r="C56" s="6">
        <v>11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12.163158770928463</v>
      </c>
    </row>
    <row r="57" spans="2:33" x14ac:dyDescent="0.3">
      <c r="B57" s="12"/>
      <c r="C57" s="6">
        <v>12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</row>
  </sheetData>
  <mergeCells count="24">
    <mergeCell ref="B4:C4"/>
    <mergeCell ref="B7:C7"/>
    <mergeCell ref="B5:C5"/>
    <mergeCell ref="H10:H11"/>
    <mergeCell ref="F10:G10"/>
    <mergeCell ref="E10:E11"/>
    <mergeCell ref="D10:D11"/>
    <mergeCell ref="C10:C11"/>
    <mergeCell ref="B10:B11"/>
    <mergeCell ref="H26:H27"/>
    <mergeCell ref="B6:C6"/>
    <mergeCell ref="M10:M11"/>
    <mergeCell ref="B26:B27"/>
    <mergeCell ref="C26:C27"/>
    <mergeCell ref="D26:D27"/>
    <mergeCell ref="E26:E27"/>
    <mergeCell ref="F26:G26"/>
    <mergeCell ref="I10:J10"/>
    <mergeCell ref="I26:I27"/>
    <mergeCell ref="O10:O11"/>
    <mergeCell ref="K10:K11"/>
    <mergeCell ref="L10:L11"/>
    <mergeCell ref="N10:N11"/>
    <mergeCell ref="J26:J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9549-8593-4135-B5C8-05244E05E5CB}">
  <dimension ref="A2:AQ101"/>
  <sheetViews>
    <sheetView topLeftCell="A16" zoomScale="49" zoomScaleNormal="83" workbookViewId="0">
      <selection activeCell="AG30" sqref="AG30"/>
    </sheetView>
  </sheetViews>
  <sheetFormatPr defaultRowHeight="14.4" x14ac:dyDescent="0.3"/>
  <cols>
    <col min="1" max="1" width="9.88671875" customWidth="1"/>
    <col min="2" max="2" width="13.33203125" customWidth="1"/>
    <col min="3" max="3" width="9.44140625" customWidth="1"/>
    <col min="14" max="14" width="10.33203125" customWidth="1"/>
  </cols>
  <sheetData>
    <row r="2" spans="1:43" ht="15" thickBot="1" x14ac:dyDescent="0.35"/>
    <row r="3" spans="1:43" x14ac:dyDescent="0.3">
      <c r="B3" s="37"/>
      <c r="C3" s="38">
        <v>1</v>
      </c>
      <c r="D3" s="38">
        <v>2</v>
      </c>
      <c r="E3" s="38">
        <v>3</v>
      </c>
      <c r="F3" s="38">
        <v>4</v>
      </c>
      <c r="G3" s="38">
        <v>5</v>
      </c>
      <c r="H3" s="38">
        <v>6</v>
      </c>
      <c r="I3" s="38">
        <v>7</v>
      </c>
      <c r="J3" s="38">
        <v>8</v>
      </c>
      <c r="K3" s="38">
        <v>9</v>
      </c>
      <c r="L3" s="38">
        <v>10</v>
      </c>
      <c r="M3" s="38">
        <v>11</v>
      </c>
      <c r="N3" s="39">
        <v>12</v>
      </c>
      <c r="O3" s="13"/>
      <c r="P3" s="13"/>
      <c r="Q3" s="13"/>
      <c r="R3" s="5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43" x14ac:dyDescent="0.3">
      <c r="B4" s="40" t="s">
        <v>51</v>
      </c>
      <c r="C4" s="44">
        <v>4.12</v>
      </c>
      <c r="D4" s="44">
        <v>4.12</v>
      </c>
      <c r="E4" s="44">
        <v>11.184999999999899</v>
      </c>
      <c r="F4" s="44">
        <v>4.1629999999999896</v>
      </c>
      <c r="G4" s="44">
        <v>4.2755000000000001</v>
      </c>
      <c r="H4" s="44">
        <v>17.38</v>
      </c>
      <c r="I4" s="44">
        <v>10.865</v>
      </c>
      <c r="J4" s="44">
        <v>23.729999999999901</v>
      </c>
      <c r="K4" s="44">
        <v>30.779999999999902</v>
      </c>
      <c r="L4" s="44">
        <v>30.779999999999902</v>
      </c>
      <c r="M4" s="44">
        <v>23.254999999999999</v>
      </c>
      <c r="N4" s="45">
        <v>10.865</v>
      </c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</row>
    <row r="5" spans="1:43" x14ac:dyDescent="0.3">
      <c r="B5" s="40" t="s">
        <v>52</v>
      </c>
      <c r="C5" s="44">
        <v>4.12</v>
      </c>
      <c r="D5" s="44">
        <v>11.725</v>
      </c>
      <c r="E5" s="44">
        <v>10.309999999999899</v>
      </c>
      <c r="F5" s="44">
        <v>18.32</v>
      </c>
      <c r="G5" s="44">
        <v>24.549999999999901</v>
      </c>
      <c r="H5" s="44">
        <v>15.494999999999999</v>
      </c>
      <c r="I5" s="44">
        <v>19.2899999999999</v>
      </c>
      <c r="J5" s="44">
        <v>18.32</v>
      </c>
      <c r="K5" s="44">
        <v>9.2949999999999999</v>
      </c>
      <c r="L5" s="44">
        <v>3.085</v>
      </c>
      <c r="M5" s="44">
        <v>2.625</v>
      </c>
      <c r="N5" s="45">
        <v>2.625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</row>
    <row r="6" spans="1:43" x14ac:dyDescent="0.3">
      <c r="B6" s="40" t="s">
        <v>53</v>
      </c>
      <c r="C6" s="48">
        <v>4.12</v>
      </c>
      <c r="D6" s="44">
        <v>4.12</v>
      </c>
      <c r="E6" s="44">
        <v>11.184999999999899</v>
      </c>
      <c r="F6" s="44">
        <v>4.1629999999999896</v>
      </c>
      <c r="G6" s="44">
        <v>4.2755000000000001</v>
      </c>
      <c r="H6" s="44">
        <v>17.38</v>
      </c>
      <c r="I6" s="44">
        <v>10.865</v>
      </c>
      <c r="J6" s="44">
        <v>23.729999999999901</v>
      </c>
      <c r="K6" s="44">
        <v>30.779999999999902</v>
      </c>
      <c r="L6" s="44">
        <v>30.779999999999902</v>
      </c>
      <c r="M6" s="44">
        <v>23.254999999999999</v>
      </c>
      <c r="N6" s="45">
        <v>10.865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</row>
    <row r="7" spans="1:43" x14ac:dyDescent="0.3">
      <c r="B7" s="40" t="s">
        <v>54</v>
      </c>
      <c r="C7" s="44">
        <v>4.12</v>
      </c>
      <c r="D7" s="44">
        <v>11.725</v>
      </c>
      <c r="E7" s="44">
        <v>10.309999999999899</v>
      </c>
      <c r="F7" s="44">
        <v>18.32</v>
      </c>
      <c r="G7" s="44">
        <v>24.549999999999901</v>
      </c>
      <c r="H7" s="44">
        <v>15.494999999999999</v>
      </c>
      <c r="I7" s="44">
        <v>19.2899999999999</v>
      </c>
      <c r="J7" s="44">
        <v>18.32</v>
      </c>
      <c r="K7" s="44">
        <v>9.2949999999999999</v>
      </c>
      <c r="L7" s="44">
        <v>3.085</v>
      </c>
      <c r="M7" s="44">
        <v>2.625</v>
      </c>
      <c r="N7" s="45">
        <v>2.625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1:43" x14ac:dyDescent="0.3">
      <c r="B8" s="40" t="s">
        <v>55</v>
      </c>
      <c r="C8" s="44">
        <v>4.12</v>
      </c>
      <c r="D8" s="44">
        <v>3.855</v>
      </c>
      <c r="E8" s="44">
        <v>2.9449999999999998</v>
      </c>
      <c r="F8" s="44">
        <v>3.456</v>
      </c>
      <c r="G8" s="44">
        <v>3.3435000000000001</v>
      </c>
      <c r="H8" s="44">
        <v>3.25</v>
      </c>
      <c r="I8" s="44">
        <v>3.246</v>
      </c>
      <c r="J8" s="44">
        <v>3.1</v>
      </c>
      <c r="K8" s="44">
        <v>3.5750000000000002</v>
      </c>
      <c r="L8" s="44">
        <v>3.95</v>
      </c>
      <c r="M8" s="44">
        <v>2.625</v>
      </c>
      <c r="N8" s="45">
        <v>2.625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</row>
    <row r="9" spans="1:43" ht="15" thickBot="1" x14ac:dyDescent="0.35">
      <c r="B9" s="41" t="s">
        <v>56</v>
      </c>
      <c r="C9" s="46">
        <v>4.12</v>
      </c>
      <c r="D9" s="46">
        <v>3.4849999999999999</v>
      </c>
      <c r="E9" s="46">
        <v>5.0599999999999996</v>
      </c>
      <c r="F9" s="46">
        <v>3.11</v>
      </c>
      <c r="G9" s="46">
        <v>3.12</v>
      </c>
      <c r="H9" s="46">
        <v>14.505000000000001</v>
      </c>
      <c r="I9" s="46">
        <v>3.92</v>
      </c>
      <c r="J9" s="46">
        <v>6.4249999999999998</v>
      </c>
      <c r="K9" s="46">
        <v>3.125</v>
      </c>
      <c r="L9" s="46">
        <v>3.085</v>
      </c>
      <c r="M9" s="46">
        <v>2.625</v>
      </c>
      <c r="N9" s="47">
        <v>2.625</v>
      </c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</row>
    <row r="10" spans="1:43" x14ac:dyDescent="0.3">
      <c r="C10" s="18"/>
    </row>
    <row r="11" spans="1:43" ht="15" thickBot="1" x14ac:dyDescent="0.35">
      <c r="C11" s="58" t="s">
        <v>49</v>
      </c>
      <c r="D11" s="58"/>
      <c r="E11" s="58"/>
      <c r="F11" s="58"/>
      <c r="G11" s="58"/>
      <c r="H11" s="58"/>
      <c r="I11" s="57"/>
      <c r="J11" s="57"/>
      <c r="K11" s="57"/>
      <c r="L11" s="57"/>
      <c r="M11" s="57"/>
      <c r="N11" s="57"/>
      <c r="O11" s="57"/>
      <c r="P11" s="57"/>
      <c r="Q11" s="57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7"/>
      <c r="AE11" s="57"/>
      <c r="AF11" s="57"/>
      <c r="AG11" s="57"/>
    </row>
    <row r="12" spans="1:43" ht="27" customHeight="1" x14ac:dyDescent="0.3">
      <c r="A12" s="7" t="s">
        <v>50</v>
      </c>
      <c r="B12" s="19" t="s">
        <v>21</v>
      </c>
      <c r="C12" s="20" t="s">
        <v>51</v>
      </c>
      <c r="D12" s="21" t="s">
        <v>52</v>
      </c>
      <c r="E12" s="21" t="s">
        <v>53</v>
      </c>
      <c r="F12" s="21" t="s">
        <v>54</v>
      </c>
      <c r="G12" s="21" t="s">
        <v>55</v>
      </c>
      <c r="H12" s="22" t="s">
        <v>56</v>
      </c>
      <c r="I12" s="15"/>
      <c r="J12" s="15"/>
      <c r="K12" s="15"/>
      <c r="L12" s="15"/>
      <c r="M12" s="36"/>
      <c r="N12" s="36"/>
      <c r="O12" s="36"/>
      <c r="P12" s="36"/>
      <c r="Q12" s="13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43" ht="15.6" x14ac:dyDescent="0.3">
      <c r="A13">
        <v>1</v>
      </c>
      <c r="B13" s="23" t="str">
        <f>Data!L12</f>
        <v>R</v>
      </c>
      <c r="C13" s="24" cm="1">
        <f t="array" ref="C13:H24">TRANSPOSE(C4:N9)</f>
        <v>4.12</v>
      </c>
      <c r="D13" s="25">
        <v>4.12</v>
      </c>
      <c r="E13" s="25">
        <v>4.12</v>
      </c>
      <c r="F13" s="25">
        <v>4.12</v>
      </c>
      <c r="G13" s="25">
        <v>4.12</v>
      </c>
      <c r="H13" s="26">
        <v>4.12</v>
      </c>
      <c r="I13" s="13"/>
      <c r="J13" s="13"/>
      <c r="K13" s="31"/>
      <c r="L13" s="31"/>
      <c r="M13" s="30"/>
      <c r="N13" s="30"/>
      <c r="O13" s="30"/>
      <c r="P13" s="30"/>
      <c r="Q13" s="13"/>
      <c r="R13" s="31"/>
      <c r="S13" s="31"/>
      <c r="T13" s="13"/>
      <c r="U13" s="31"/>
      <c r="V13" s="31"/>
      <c r="Z13" s="31"/>
      <c r="AA13" s="31"/>
      <c r="AD13" s="31"/>
      <c r="AE13" s="31"/>
      <c r="AF13" s="31"/>
      <c r="AG13" s="31"/>
      <c r="AN13" s="13"/>
      <c r="AO13" s="13"/>
    </row>
    <row r="14" spans="1:43" ht="15.6" x14ac:dyDescent="0.3">
      <c r="A14">
        <v>2</v>
      </c>
      <c r="B14" s="23" t="str">
        <f>Data!L13</f>
        <v>GBBU</v>
      </c>
      <c r="C14" s="24">
        <v>4.12</v>
      </c>
      <c r="D14" s="25">
        <v>11.725</v>
      </c>
      <c r="E14" s="25">
        <v>4.12</v>
      </c>
      <c r="F14" s="25">
        <v>11.725</v>
      </c>
      <c r="G14" s="25">
        <v>3.855</v>
      </c>
      <c r="H14" s="26">
        <v>3.4849999999999999</v>
      </c>
      <c r="I14" s="13"/>
      <c r="J14" s="13"/>
      <c r="K14" s="31"/>
      <c r="L14" s="31"/>
      <c r="M14" s="30"/>
      <c r="N14" s="30"/>
      <c r="O14" s="30"/>
      <c r="P14" s="30"/>
      <c r="Q14" s="13"/>
      <c r="R14" s="31"/>
      <c r="S14" s="31"/>
      <c r="T14" s="13"/>
      <c r="U14" s="31"/>
      <c r="V14" s="31"/>
      <c r="Z14" s="31"/>
      <c r="AA14" s="31"/>
      <c r="AD14" s="31"/>
      <c r="AE14" s="31"/>
      <c r="AF14" s="31"/>
      <c r="AG14" s="31"/>
      <c r="AN14" s="13"/>
      <c r="AO14" s="13"/>
    </row>
    <row r="15" spans="1:43" ht="15.6" x14ac:dyDescent="0.3">
      <c r="A15">
        <v>3</v>
      </c>
      <c r="B15" s="23" t="str">
        <f>Data!L14</f>
        <v>GBBP</v>
      </c>
      <c r="C15" s="24">
        <v>11.184999999999899</v>
      </c>
      <c r="D15" s="25">
        <v>10.309999999999899</v>
      </c>
      <c r="E15" s="25">
        <v>11.184999999999899</v>
      </c>
      <c r="F15" s="25">
        <v>10.309999999999899</v>
      </c>
      <c r="G15" s="25">
        <v>2.9449999999999998</v>
      </c>
      <c r="H15" s="26">
        <v>5.0599999999999996</v>
      </c>
      <c r="I15" s="13"/>
      <c r="J15" s="13"/>
      <c r="K15" s="31"/>
      <c r="L15" s="31"/>
      <c r="M15" s="30"/>
      <c r="N15" s="30"/>
      <c r="O15" s="30"/>
      <c r="P15" s="30"/>
      <c r="Q15" s="13"/>
      <c r="R15" s="31"/>
      <c r="S15" s="31"/>
      <c r="T15" s="13"/>
      <c r="U15" s="31"/>
      <c r="V15" s="31"/>
      <c r="Z15" s="31"/>
      <c r="AA15" s="31"/>
      <c r="AD15" s="31"/>
      <c r="AE15" s="31"/>
      <c r="AF15" s="31"/>
      <c r="AG15" s="31"/>
    </row>
    <row r="16" spans="1:43" ht="15.6" x14ac:dyDescent="0.3">
      <c r="A16">
        <v>4</v>
      </c>
      <c r="B16" s="23" t="str">
        <f>Data!L15</f>
        <v>DRL</v>
      </c>
      <c r="C16" s="24">
        <v>4.1629999999999896</v>
      </c>
      <c r="D16" s="25">
        <v>18.32</v>
      </c>
      <c r="E16" s="25">
        <v>4.1629999999999896</v>
      </c>
      <c r="F16" s="25">
        <v>18.32</v>
      </c>
      <c r="G16" s="25">
        <v>3.456</v>
      </c>
      <c r="H16" s="26">
        <v>3.11</v>
      </c>
      <c r="I16" s="13"/>
      <c r="J16" s="13"/>
      <c r="K16" s="31"/>
      <c r="L16" s="31"/>
      <c r="M16" s="30"/>
      <c r="N16" s="30"/>
      <c r="O16" s="30"/>
      <c r="P16" s="30"/>
      <c r="Q16" s="13"/>
      <c r="R16" s="31"/>
      <c r="S16" s="31"/>
      <c r="T16" s="13"/>
      <c r="U16" s="31"/>
      <c r="V16" s="31"/>
      <c r="Z16" s="31"/>
      <c r="AA16" s="31"/>
      <c r="AD16" s="31"/>
      <c r="AE16" s="31"/>
      <c r="AF16" s="31"/>
      <c r="AG16" s="31"/>
    </row>
    <row r="17" spans="1:43" ht="15.6" x14ac:dyDescent="0.3">
      <c r="A17">
        <v>5</v>
      </c>
      <c r="B17" s="23" t="str">
        <f>Data!L16</f>
        <v>INJ</v>
      </c>
      <c r="C17" s="24">
        <v>4.2755000000000001</v>
      </c>
      <c r="D17" s="25">
        <v>24.549999999999901</v>
      </c>
      <c r="E17" s="25">
        <v>4.2755000000000001</v>
      </c>
      <c r="F17" s="25">
        <v>24.549999999999901</v>
      </c>
      <c r="G17" s="25">
        <v>3.3435000000000001</v>
      </c>
      <c r="H17" s="26">
        <v>3.12</v>
      </c>
      <c r="I17" s="13"/>
      <c r="J17" s="13"/>
      <c r="K17" s="31"/>
      <c r="L17" s="31"/>
      <c r="M17" s="30"/>
      <c r="N17" s="30"/>
      <c r="O17" s="30"/>
      <c r="P17" s="30"/>
      <c r="Q17" s="13"/>
      <c r="R17" s="31"/>
      <c r="S17" s="31"/>
      <c r="T17" s="13"/>
      <c r="U17" s="31"/>
      <c r="V17" s="31"/>
      <c r="Z17" s="31"/>
      <c r="AA17" s="31"/>
      <c r="AD17" s="31"/>
      <c r="AE17" s="31"/>
      <c r="AF17" s="31"/>
      <c r="AG17" s="31"/>
    </row>
    <row r="18" spans="1:43" ht="15.6" x14ac:dyDescent="0.3">
      <c r="A18">
        <v>6</v>
      </c>
      <c r="B18" s="23" t="str">
        <f>Data!L17</f>
        <v>MIL</v>
      </c>
      <c r="C18" s="24">
        <v>17.38</v>
      </c>
      <c r="D18" s="25">
        <v>15.494999999999999</v>
      </c>
      <c r="E18" s="25">
        <v>17.38</v>
      </c>
      <c r="F18" s="25">
        <v>15.494999999999999</v>
      </c>
      <c r="G18" s="25">
        <v>3.25</v>
      </c>
      <c r="H18" s="26">
        <v>14.505000000000001</v>
      </c>
      <c r="I18" s="13"/>
      <c r="J18" s="13"/>
      <c r="K18" s="31"/>
      <c r="L18" s="31"/>
      <c r="M18" s="30"/>
      <c r="N18" s="30"/>
      <c r="O18" s="30"/>
      <c r="P18" s="30"/>
      <c r="Q18" s="13"/>
      <c r="R18" s="31"/>
      <c r="S18" s="31"/>
      <c r="T18" s="13"/>
      <c r="U18" s="31"/>
      <c r="V18" s="31"/>
      <c r="Z18" s="31"/>
      <c r="AA18" s="31"/>
      <c r="AD18" s="31"/>
      <c r="AE18" s="31"/>
      <c r="AF18" s="31"/>
      <c r="AG18" s="31"/>
    </row>
    <row r="19" spans="1:43" ht="15.6" x14ac:dyDescent="0.3">
      <c r="A19">
        <v>7</v>
      </c>
      <c r="B19" s="23" t="str">
        <f>Data!L18</f>
        <v>TUR</v>
      </c>
      <c r="C19" s="24">
        <v>10.865</v>
      </c>
      <c r="D19" s="25">
        <v>19.2899999999999</v>
      </c>
      <c r="E19" s="25">
        <v>10.865</v>
      </c>
      <c r="F19" s="25">
        <v>19.2899999999999</v>
      </c>
      <c r="G19" s="25">
        <v>3.246</v>
      </c>
      <c r="H19" s="26">
        <v>3.92</v>
      </c>
      <c r="I19" s="13"/>
      <c r="J19" s="13"/>
      <c r="K19" s="31"/>
      <c r="L19" s="31"/>
      <c r="M19" s="30"/>
      <c r="N19" s="30"/>
      <c r="O19" s="30"/>
      <c r="P19" s="30"/>
      <c r="Q19" s="13"/>
      <c r="R19" s="31"/>
      <c r="S19" s="31"/>
      <c r="T19" s="13"/>
      <c r="U19" s="31"/>
      <c r="V19" s="31"/>
      <c r="Z19" s="31"/>
      <c r="AA19" s="31"/>
      <c r="AD19" s="31"/>
      <c r="AE19" s="31"/>
      <c r="AF19" s="31"/>
      <c r="AG19" s="31"/>
    </row>
    <row r="20" spans="1:43" ht="15.6" x14ac:dyDescent="0.3">
      <c r="A20">
        <v>8</v>
      </c>
      <c r="B20" s="23" t="str">
        <f>Data!L19</f>
        <v>KRJ</v>
      </c>
      <c r="C20" s="24">
        <v>23.729999999999901</v>
      </c>
      <c r="D20" s="25">
        <v>18.32</v>
      </c>
      <c r="E20" s="25">
        <v>23.729999999999901</v>
      </c>
      <c r="F20" s="25">
        <v>18.32</v>
      </c>
      <c r="G20" s="25">
        <v>3.1</v>
      </c>
      <c r="H20" s="26">
        <v>6.4249999999999998</v>
      </c>
      <c r="I20" s="13"/>
      <c r="J20" s="13"/>
      <c r="K20" s="31"/>
      <c r="L20" s="31"/>
      <c r="M20" s="30"/>
      <c r="N20" s="30"/>
      <c r="O20" s="30"/>
      <c r="P20" s="30"/>
      <c r="Q20" s="13"/>
      <c r="R20" s="31"/>
      <c r="S20" s="31"/>
      <c r="T20" s="13"/>
      <c r="U20" s="31"/>
      <c r="V20" s="31"/>
      <c r="Z20" s="31"/>
      <c r="AA20" s="31"/>
      <c r="AD20" s="31"/>
      <c r="AE20" s="31"/>
      <c r="AF20" s="31"/>
      <c r="AG20" s="31"/>
    </row>
    <row r="21" spans="1:43" ht="15.6" x14ac:dyDescent="0.3">
      <c r="A21">
        <v>9</v>
      </c>
      <c r="B21" s="23" t="str">
        <f>Data!L20</f>
        <v>RKT</v>
      </c>
      <c r="C21" s="24">
        <v>30.779999999999902</v>
      </c>
      <c r="D21" s="25">
        <v>9.2949999999999999</v>
      </c>
      <c r="E21" s="25">
        <v>30.779999999999902</v>
      </c>
      <c r="F21" s="25">
        <v>9.2949999999999999</v>
      </c>
      <c r="G21" s="25">
        <v>3.5750000000000002</v>
      </c>
      <c r="H21" s="26">
        <v>3.125</v>
      </c>
      <c r="I21" s="13"/>
      <c r="J21" s="13"/>
      <c r="K21" s="31"/>
      <c r="L21" s="31"/>
      <c r="M21" s="30"/>
      <c r="N21" s="30"/>
      <c r="O21" s="30"/>
      <c r="P21" s="30"/>
      <c r="Q21" s="13"/>
      <c r="R21" s="31"/>
      <c r="S21" s="31"/>
      <c r="T21" s="13"/>
      <c r="U21" s="31"/>
      <c r="V21" s="31"/>
      <c r="Z21" s="31"/>
      <c r="AA21" s="31"/>
      <c r="AD21" s="31"/>
      <c r="AE21" s="31"/>
      <c r="AF21" s="31"/>
      <c r="AG21" s="31"/>
    </row>
    <row r="22" spans="1:43" ht="15.6" x14ac:dyDescent="0.3">
      <c r="A22">
        <v>10</v>
      </c>
      <c r="B22" s="23" t="str">
        <f>Data!L21</f>
        <v>PGM</v>
      </c>
      <c r="C22" s="24">
        <v>30.779999999999902</v>
      </c>
      <c r="D22" s="25">
        <v>3.085</v>
      </c>
      <c r="E22" s="25">
        <v>30.779999999999902</v>
      </c>
      <c r="F22" s="25">
        <v>3.085</v>
      </c>
      <c r="G22" s="25">
        <v>3.95</v>
      </c>
      <c r="H22" s="26">
        <v>3.085</v>
      </c>
      <c r="I22" s="13"/>
      <c r="J22" s="13"/>
      <c r="K22" s="31"/>
      <c r="L22" s="31"/>
      <c r="M22" s="30"/>
      <c r="N22" s="30"/>
      <c r="O22" s="30"/>
      <c r="P22" s="30"/>
      <c r="Q22" s="13"/>
      <c r="R22" s="31"/>
      <c r="S22" s="31"/>
      <c r="T22" s="13"/>
      <c r="U22" s="31"/>
      <c r="V22" s="31"/>
      <c r="Z22" s="31"/>
      <c r="AA22" s="31"/>
      <c r="AD22" s="31"/>
      <c r="AE22" s="31"/>
      <c r="AF22" s="31"/>
      <c r="AG22" s="31"/>
    </row>
    <row r="23" spans="1:43" ht="15.6" x14ac:dyDescent="0.3">
      <c r="A23">
        <v>11</v>
      </c>
      <c r="B23" s="23" t="str">
        <f>Data!L22</f>
        <v>WRH</v>
      </c>
      <c r="C23" s="24">
        <v>23.254999999999999</v>
      </c>
      <c r="D23" s="25">
        <v>2.625</v>
      </c>
      <c r="E23" s="25">
        <v>23.254999999999999</v>
      </c>
      <c r="F23" s="25">
        <v>2.625</v>
      </c>
      <c r="G23" s="25">
        <v>2.625</v>
      </c>
      <c r="H23" s="26">
        <v>2.625</v>
      </c>
      <c r="I23" s="13"/>
      <c r="J23" s="13"/>
      <c r="K23" s="31"/>
      <c r="L23" s="31"/>
      <c r="M23" s="30"/>
      <c r="N23" s="30"/>
      <c r="O23" s="30"/>
      <c r="P23" s="30"/>
      <c r="Q23" s="13"/>
      <c r="R23" s="31"/>
      <c r="S23" s="31"/>
      <c r="T23" s="13"/>
      <c r="U23" s="31"/>
      <c r="V23" s="31"/>
      <c r="Z23" s="31"/>
      <c r="AA23" s="31"/>
      <c r="AD23" s="31"/>
      <c r="AE23" s="31"/>
      <c r="AF23" s="31"/>
      <c r="AG23" s="31"/>
    </row>
    <row r="24" spans="1:43" ht="16.2" thickBot="1" x14ac:dyDescent="0.35">
      <c r="A24">
        <v>12</v>
      </c>
      <c r="B24" s="23" t="str">
        <f>Data!L23</f>
        <v>SHP</v>
      </c>
      <c r="C24" s="27">
        <v>10.865</v>
      </c>
      <c r="D24" s="28">
        <v>2.625</v>
      </c>
      <c r="E24" s="28">
        <v>10.865</v>
      </c>
      <c r="F24" s="28">
        <v>2.625</v>
      </c>
      <c r="G24" s="28">
        <v>2.625</v>
      </c>
      <c r="H24" s="29">
        <v>2.625</v>
      </c>
      <c r="I24" s="13"/>
      <c r="J24" s="13"/>
      <c r="K24" s="31"/>
      <c r="L24" s="31"/>
      <c r="M24" s="30"/>
      <c r="N24" s="30"/>
      <c r="O24" s="30"/>
      <c r="P24" s="30"/>
      <c r="Q24" s="13"/>
      <c r="R24" s="31"/>
      <c r="S24" s="31"/>
      <c r="T24" s="13"/>
      <c r="U24" s="31"/>
      <c r="V24" s="31"/>
      <c r="Z24" s="31"/>
      <c r="AA24" s="31"/>
      <c r="AD24" s="31"/>
      <c r="AE24" s="31"/>
      <c r="AF24" s="31"/>
      <c r="AG24" s="31"/>
    </row>
    <row r="25" spans="1:43" ht="15.6" x14ac:dyDescent="0.3">
      <c r="B25" s="13"/>
      <c r="I25" s="13"/>
      <c r="J25" s="13"/>
      <c r="K25" s="30"/>
      <c r="L25" s="30"/>
      <c r="M25" s="30"/>
      <c r="N25" s="30"/>
      <c r="AC25" s="31"/>
      <c r="AD25" s="31"/>
      <c r="AE25" s="31"/>
      <c r="AF25" s="31"/>
    </row>
    <row r="26" spans="1:43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</row>
    <row r="27" spans="1:43" x14ac:dyDescent="0.3">
      <c r="A27" s="9" t="s">
        <v>57</v>
      </c>
      <c r="B27" s="32" t="s">
        <v>58</v>
      </c>
      <c r="C27" s="33">
        <v>1</v>
      </c>
      <c r="D27" s="1">
        <v>2</v>
      </c>
      <c r="E27" s="1">
        <v>3</v>
      </c>
      <c r="F27" s="1">
        <v>4</v>
      </c>
      <c r="G27" s="1">
        <v>5</v>
      </c>
      <c r="H27" s="1">
        <v>6</v>
      </c>
      <c r="I27" s="1">
        <v>7</v>
      </c>
      <c r="J27" s="1">
        <v>8</v>
      </c>
      <c r="K27" s="33">
        <v>9</v>
      </c>
      <c r="L27" s="1">
        <v>10</v>
      </c>
      <c r="M27" s="1">
        <v>11</v>
      </c>
      <c r="N27" s="1">
        <v>12</v>
      </c>
    </row>
    <row r="28" spans="1:43" x14ac:dyDescent="0.3">
      <c r="A28" s="7" t="s">
        <v>50</v>
      </c>
      <c r="B28" s="6">
        <v>1</v>
      </c>
      <c r="C28" s="1">
        <f>ABS(VLOOKUP($B28,$A$13:$AG$24,5,FALSE)-VLOOKUP(C$27,$A$13:$AG$24,5,FALSE))</f>
        <v>0</v>
      </c>
      <c r="D28" s="1">
        <f t="shared" ref="D28:N39" si="0">ABS(VLOOKUP($B28,$A$13:$AG$24,5,FALSE)-VLOOKUP(D$27,$A$13:$AG$24,5,FALSE))</f>
        <v>0</v>
      </c>
      <c r="E28" s="1">
        <f t="shared" si="0"/>
        <v>7.0649999999998991</v>
      </c>
      <c r="F28" s="1">
        <f t="shared" si="0"/>
        <v>4.2999999999989491E-2</v>
      </c>
      <c r="G28" s="1">
        <f t="shared" si="0"/>
        <v>0.15549999999999997</v>
      </c>
      <c r="H28" s="1">
        <f t="shared" si="0"/>
        <v>13.259999999999998</v>
      </c>
      <c r="I28" s="1">
        <f t="shared" si="0"/>
        <v>6.7450000000000001</v>
      </c>
      <c r="J28" s="1">
        <f t="shared" si="0"/>
        <v>19.6099999999999</v>
      </c>
      <c r="K28" s="1">
        <f t="shared" si="0"/>
        <v>26.659999999999901</v>
      </c>
      <c r="L28" s="1">
        <f t="shared" si="0"/>
        <v>26.659999999999901</v>
      </c>
      <c r="M28" s="1">
        <f t="shared" si="0"/>
        <v>19.134999999999998</v>
      </c>
      <c r="N28" s="1">
        <f t="shared" si="0"/>
        <v>6.7450000000000001</v>
      </c>
    </row>
    <row r="29" spans="1:43" x14ac:dyDescent="0.3">
      <c r="B29" s="1">
        <v>2</v>
      </c>
      <c r="C29" s="1">
        <f>ABS(VLOOKUP($B29,$A$13:$AG$24,5,FALSE)-VLOOKUP(C$27,$A$13:$AG$24,5,FALSE))</f>
        <v>0</v>
      </c>
      <c r="D29" s="1">
        <f t="shared" si="0"/>
        <v>0</v>
      </c>
      <c r="E29" s="1">
        <f t="shared" si="0"/>
        <v>7.0649999999998991</v>
      </c>
      <c r="F29" s="1">
        <f t="shared" si="0"/>
        <v>4.2999999999989491E-2</v>
      </c>
      <c r="G29" s="1">
        <f t="shared" si="0"/>
        <v>0.15549999999999997</v>
      </c>
      <c r="H29" s="1">
        <f t="shared" si="0"/>
        <v>13.259999999999998</v>
      </c>
      <c r="I29" s="1">
        <f t="shared" si="0"/>
        <v>6.7450000000000001</v>
      </c>
      <c r="J29" s="1">
        <f t="shared" si="0"/>
        <v>19.6099999999999</v>
      </c>
      <c r="K29" s="1">
        <f t="shared" si="0"/>
        <v>26.659999999999901</v>
      </c>
      <c r="L29" s="1">
        <f t="shared" si="0"/>
        <v>26.659999999999901</v>
      </c>
      <c r="M29" s="1">
        <f t="shared" si="0"/>
        <v>19.134999999999998</v>
      </c>
      <c r="N29" s="1">
        <f t="shared" si="0"/>
        <v>6.7450000000000001</v>
      </c>
    </row>
    <row r="30" spans="1:43" x14ac:dyDescent="0.3">
      <c r="B30" s="1">
        <v>3</v>
      </c>
      <c r="C30" s="1">
        <f>ABS(VLOOKUP($B30,$A$13:$AG$24,5,FALSE)-VLOOKUP(C$27,$A$13:$AG$24,5,FALSE))</f>
        <v>7.0649999999998991</v>
      </c>
      <c r="D30" s="1">
        <f t="shared" si="0"/>
        <v>7.0649999999998991</v>
      </c>
      <c r="E30" s="1">
        <f t="shared" si="0"/>
        <v>0</v>
      </c>
      <c r="F30" s="1">
        <f t="shared" si="0"/>
        <v>7.0219999999999096</v>
      </c>
      <c r="G30" s="1">
        <f t="shared" si="0"/>
        <v>6.9094999999998992</v>
      </c>
      <c r="H30" s="1">
        <f t="shared" si="0"/>
        <v>6.1950000000000998</v>
      </c>
      <c r="I30" s="1">
        <f t="shared" si="0"/>
        <v>0.31999999999989903</v>
      </c>
      <c r="J30" s="1">
        <f t="shared" si="0"/>
        <v>12.545000000000002</v>
      </c>
      <c r="K30" s="1">
        <f t="shared" si="0"/>
        <v>19.595000000000002</v>
      </c>
      <c r="L30" s="1">
        <f t="shared" si="0"/>
        <v>19.595000000000002</v>
      </c>
      <c r="M30" s="1">
        <f t="shared" si="0"/>
        <v>12.0700000000001</v>
      </c>
      <c r="N30" s="1">
        <f t="shared" si="0"/>
        <v>0.31999999999989903</v>
      </c>
    </row>
    <row r="31" spans="1:43" x14ac:dyDescent="0.3">
      <c r="B31" s="1">
        <v>4</v>
      </c>
      <c r="C31" s="1">
        <f>ABS(VLOOKUP($B31,$A$13:$AG$24,5,FALSE)-VLOOKUP(C$27,$A$13:$AG$24,5,FALSE))</f>
        <v>4.2999999999989491E-2</v>
      </c>
      <c r="D31" s="1">
        <f t="shared" si="0"/>
        <v>4.2999999999989491E-2</v>
      </c>
      <c r="E31" s="1">
        <f t="shared" si="0"/>
        <v>7.0219999999999096</v>
      </c>
      <c r="F31" s="1">
        <f t="shared" si="0"/>
        <v>0</v>
      </c>
      <c r="G31" s="1">
        <f t="shared" si="0"/>
        <v>0.11250000000001048</v>
      </c>
      <c r="H31" s="1">
        <f t="shared" si="0"/>
        <v>13.217000000000009</v>
      </c>
      <c r="I31" s="1">
        <f t="shared" si="0"/>
        <v>6.7020000000000106</v>
      </c>
      <c r="J31" s="1">
        <f t="shared" si="0"/>
        <v>19.566999999999911</v>
      </c>
      <c r="K31" s="1">
        <f t="shared" si="0"/>
        <v>26.616999999999912</v>
      </c>
      <c r="L31" s="1">
        <f t="shared" si="0"/>
        <v>26.616999999999912</v>
      </c>
      <c r="M31" s="1">
        <f t="shared" si="0"/>
        <v>19.092000000000009</v>
      </c>
      <c r="N31" s="1">
        <f t="shared" si="0"/>
        <v>6.7020000000000106</v>
      </c>
    </row>
    <row r="32" spans="1:43" x14ac:dyDescent="0.3">
      <c r="B32" s="1">
        <v>5</v>
      </c>
      <c r="C32" s="1">
        <f t="shared" ref="C32:C39" si="1">ABS(VLOOKUP($B32,$A$13:$AG$24,5,FALSE)-VLOOKUP(C$27,$A$13:$AG$24,5,FALSE))</f>
        <v>0.15549999999999997</v>
      </c>
      <c r="D32" s="1">
        <f t="shared" si="0"/>
        <v>0.15549999999999997</v>
      </c>
      <c r="E32" s="1">
        <f t="shared" si="0"/>
        <v>6.9094999999998992</v>
      </c>
      <c r="F32" s="1">
        <f t="shared" si="0"/>
        <v>0.11250000000001048</v>
      </c>
      <c r="G32" s="1">
        <f t="shared" si="0"/>
        <v>0</v>
      </c>
      <c r="H32" s="1">
        <f t="shared" si="0"/>
        <v>13.104499999999998</v>
      </c>
      <c r="I32" s="1">
        <f t="shared" si="0"/>
        <v>6.5895000000000001</v>
      </c>
      <c r="J32" s="1">
        <f t="shared" si="0"/>
        <v>19.4544999999999</v>
      </c>
      <c r="K32" s="1">
        <f t="shared" si="0"/>
        <v>26.504499999999901</v>
      </c>
      <c r="L32" s="1">
        <f t="shared" si="0"/>
        <v>26.504499999999901</v>
      </c>
      <c r="M32" s="1">
        <f t="shared" si="0"/>
        <v>18.979499999999998</v>
      </c>
      <c r="N32" s="1">
        <f t="shared" si="0"/>
        <v>6.5895000000000001</v>
      </c>
    </row>
    <row r="33" spans="1:43" x14ac:dyDescent="0.3">
      <c r="B33" s="1">
        <v>6</v>
      </c>
      <c r="C33" s="1">
        <f t="shared" si="1"/>
        <v>13.259999999999998</v>
      </c>
      <c r="D33" s="1">
        <f t="shared" si="0"/>
        <v>13.259999999999998</v>
      </c>
      <c r="E33" s="1">
        <f t="shared" si="0"/>
        <v>6.1950000000000998</v>
      </c>
      <c r="F33" s="1">
        <f t="shared" si="0"/>
        <v>13.217000000000009</v>
      </c>
      <c r="G33" s="1">
        <f t="shared" si="0"/>
        <v>13.104499999999998</v>
      </c>
      <c r="H33" s="1">
        <f t="shared" si="0"/>
        <v>0</v>
      </c>
      <c r="I33" s="1">
        <f t="shared" si="0"/>
        <v>6.5149999999999988</v>
      </c>
      <c r="J33" s="1">
        <f t="shared" si="0"/>
        <v>6.3499999999999019</v>
      </c>
      <c r="K33" s="1">
        <f t="shared" si="0"/>
        <v>13.399999999999903</v>
      </c>
      <c r="L33" s="1">
        <f t="shared" si="0"/>
        <v>13.399999999999903</v>
      </c>
      <c r="M33" s="1">
        <f t="shared" si="0"/>
        <v>5.875</v>
      </c>
      <c r="N33" s="1">
        <f t="shared" si="0"/>
        <v>6.5149999999999988</v>
      </c>
    </row>
    <row r="34" spans="1:43" x14ac:dyDescent="0.3">
      <c r="B34" s="1">
        <v>7</v>
      </c>
      <c r="C34" s="1">
        <f t="shared" si="1"/>
        <v>6.7450000000000001</v>
      </c>
      <c r="D34" s="1">
        <f t="shared" si="0"/>
        <v>6.7450000000000001</v>
      </c>
      <c r="E34" s="1">
        <f t="shared" si="0"/>
        <v>0.31999999999989903</v>
      </c>
      <c r="F34" s="1">
        <f t="shared" si="0"/>
        <v>6.7020000000000106</v>
      </c>
      <c r="G34" s="1">
        <f t="shared" si="0"/>
        <v>6.5895000000000001</v>
      </c>
      <c r="H34" s="1">
        <f t="shared" si="0"/>
        <v>6.5149999999999988</v>
      </c>
      <c r="I34" s="1">
        <f t="shared" si="0"/>
        <v>0</v>
      </c>
      <c r="J34" s="1">
        <f t="shared" si="0"/>
        <v>12.864999999999901</v>
      </c>
      <c r="K34" s="1">
        <f t="shared" si="0"/>
        <v>19.9149999999999</v>
      </c>
      <c r="L34" s="1">
        <f t="shared" si="0"/>
        <v>19.9149999999999</v>
      </c>
      <c r="M34" s="1">
        <f t="shared" si="0"/>
        <v>12.389999999999999</v>
      </c>
      <c r="N34" s="1">
        <f t="shared" si="0"/>
        <v>0</v>
      </c>
    </row>
    <row r="35" spans="1:43" x14ac:dyDescent="0.3">
      <c r="B35" s="1">
        <v>8</v>
      </c>
      <c r="C35" s="1">
        <f t="shared" si="1"/>
        <v>19.6099999999999</v>
      </c>
      <c r="D35" s="1">
        <f t="shared" si="0"/>
        <v>19.6099999999999</v>
      </c>
      <c r="E35" s="1">
        <f t="shared" si="0"/>
        <v>12.545000000000002</v>
      </c>
      <c r="F35" s="1">
        <f t="shared" si="0"/>
        <v>19.566999999999911</v>
      </c>
      <c r="G35" s="1">
        <f t="shared" si="0"/>
        <v>19.4544999999999</v>
      </c>
      <c r="H35" s="1">
        <f t="shared" si="0"/>
        <v>6.3499999999999019</v>
      </c>
      <c r="I35" s="1">
        <f t="shared" si="0"/>
        <v>12.864999999999901</v>
      </c>
      <c r="J35" s="1">
        <f t="shared" si="0"/>
        <v>0</v>
      </c>
      <c r="K35" s="1">
        <f t="shared" si="0"/>
        <v>7.0500000000000007</v>
      </c>
      <c r="L35" s="1">
        <f t="shared" si="0"/>
        <v>7.0500000000000007</v>
      </c>
      <c r="M35" s="1">
        <f t="shared" si="0"/>
        <v>0.47499999999990195</v>
      </c>
      <c r="N35" s="1">
        <f t="shared" si="0"/>
        <v>12.864999999999901</v>
      </c>
    </row>
    <row r="36" spans="1:43" x14ac:dyDescent="0.3">
      <c r="B36" s="1">
        <v>9</v>
      </c>
      <c r="C36" s="1">
        <f t="shared" si="1"/>
        <v>26.659999999999901</v>
      </c>
      <c r="D36" s="1">
        <f t="shared" si="0"/>
        <v>26.659999999999901</v>
      </c>
      <c r="E36" s="1">
        <f t="shared" si="0"/>
        <v>19.595000000000002</v>
      </c>
      <c r="F36" s="1">
        <f t="shared" si="0"/>
        <v>26.616999999999912</v>
      </c>
      <c r="G36" s="1">
        <f t="shared" si="0"/>
        <v>26.504499999999901</v>
      </c>
      <c r="H36" s="1">
        <f t="shared" si="0"/>
        <v>13.399999999999903</v>
      </c>
      <c r="I36" s="1">
        <f t="shared" si="0"/>
        <v>19.9149999999999</v>
      </c>
      <c r="J36" s="1">
        <f t="shared" si="0"/>
        <v>7.0500000000000007</v>
      </c>
      <c r="K36" s="1">
        <f t="shared" si="0"/>
        <v>0</v>
      </c>
      <c r="L36" s="1">
        <f t="shared" si="0"/>
        <v>0</v>
      </c>
      <c r="M36" s="1">
        <f t="shared" si="0"/>
        <v>7.5249999999999027</v>
      </c>
      <c r="N36" s="1">
        <f t="shared" si="0"/>
        <v>19.9149999999999</v>
      </c>
    </row>
    <row r="37" spans="1:43" x14ac:dyDescent="0.3">
      <c r="B37" s="1">
        <v>10</v>
      </c>
      <c r="C37" s="1">
        <f t="shared" si="1"/>
        <v>26.659999999999901</v>
      </c>
      <c r="D37" s="1">
        <f t="shared" si="0"/>
        <v>26.659999999999901</v>
      </c>
      <c r="E37" s="1">
        <f t="shared" si="0"/>
        <v>19.595000000000002</v>
      </c>
      <c r="F37" s="1">
        <f t="shared" si="0"/>
        <v>26.616999999999912</v>
      </c>
      <c r="G37" s="1">
        <f t="shared" si="0"/>
        <v>26.504499999999901</v>
      </c>
      <c r="H37" s="1">
        <f t="shared" si="0"/>
        <v>13.399999999999903</v>
      </c>
      <c r="I37" s="1">
        <f t="shared" si="0"/>
        <v>19.9149999999999</v>
      </c>
      <c r="J37" s="1">
        <f t="shared" si="0"/>
        <v>7.0500000000000007</v>
      </c>
      <c r="K37" s="1">
        <f t="shared" si="0"/>
        <v>0</v>
      </c>
      <c r="L37" s="1">
        <f t="shared" si="0"/>
        <v>0</v>
      </c>
      <c r="M37" s="1">
        <f t="shared" si="0"/>
        <v>7.5249999999999027</v>
      </c>
      <c r="N37" s="1">
        <f t="shared" si="0"/>
        <v>19.9149999999999</v>
      </c>
    </row>
    <row r="38" spans="1:43" x14ac:dyDescent="0.3">
      <c r="B38" s="1">
        <v>11</v>
      </c>
      <c r="C38" s="1">
        <f t="shared" si="1"/>
        <v>19.134999999999998</v>
      </c>
      <c r="D38" s="1">
        <f t="shared" si="0"/>
        <v>19.134999999999998</v>
      </c>
      <c r="E38" s="1">
        <f t="shared" si="0"/>
        <v>12.0700000000001</v>
      </c>
      <c r="F38" s="1">
        <f t="shared" si="0"/>
        <v>19.092000000000009</v>
      </c>
      <c r="G38" s="1">
        <f t="shared" si="0"/>
        <v>18.979499999999998</v>
      </c>
      <c r="H38" s="1">
        <f t="shared" si="0"/>
        <v>5.875</v>
      </c>
      <c r="I38" s="1">
        <f t="shared" si="0"/>
        <v>12.389999999999999</v>
      </c>
      <c r="J38" s="1">
        <f t="shared" si="0"/>
        <v>0.47499999999990195</v>
      </c>
      <c r="K38" s="1">
        <f t="shared" si="0"/>
        <v>7.5249999999999027</v>
      </c>
      <c r="L38" s="1">
        <f t="shared" si="0"/>
        <v>7.5249999999999027</v>
      </c>
      <c r="M38" s="1">
        <f t="shared" si="0"/>
        <v>0</v>
      </c>
      <c r="N38" s="1">
        <f t="shared" si="0"/>
        <v>12.389999999999999</v>
      </c>
    </row>
    <row r="39" spans="1:43" x14ac:dyDescent="0.3">
      <c r="B39" s="1">
        <v>12</v>
      </c>
      <c r="C39" s="1">
        <f t="shared" si="1"/>
        <v>6.7450000000000001</v>
      </c>
      <c r="D39" s="1">
        <f t="shared" si="0"/>
        <v>6.7450000000000001</v>
      </c>
      <c r="E39" s="1">
        <f t="shared" si="0"/>
        <v>0.31999999999989903</v>
      </c>
      <c r="F39" s="1">
        <f t="shared" si="0"/>
        <v>6.7020000000000106</v>
      </c>
      <c r="G39" s="1">
        <f t="shared" si="0"/>
        <v>6.5895000000000001</v>
      </c>
      <c r="H39" s="1">
        <f t="shared" si="0"/>
        <v>6.5149999999999988</v>
      </c>
      <c r="I39" s="1">
        <f t="shared" si="0"/>
        <v>0</v>
      </c>
      <c r="J39" s="1">
        <f t="shared" si="0"/>
        <v>12.864999999999901</v>
      </c>
      <c r="K39" s="1">
        <f t="shared" si="0"/>
        <v>19.9149999999999</v>
      </c>
      <c r="L39" s="1">
        <f t="shared" si="0"/>
        <v>19.9149999999999</v>
      </c>
      <c r="M39" s="1">
        <f t="shared" si="0"/>
        <v>12.389999999999999</v>
      </c>
      <c r="N39" s="1">
        <f t="shared" si="0"/>
        <v>0</v>
      </c>
    </row>
    <row r="40" spans="1:43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</row>
    <row r="41" spans="1:43" x14ac:dyDescent="0.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</row>
    <row r="42" spans="1:43" x14ac:dyDescent="0.3">
      <c r="A42" s="9" t="s">
        <v>59</v>
      </c>
      <c r="B42" s="32" t="s">
        <v>58</v>
      </c>
      <c r="C42" s="1">
        <v>1</v>
      </c>
      <c r="D42" s="1">
        <v>2</v>
      </c>
      <c r="E42" s="1">
        <v>3</v>
      </c>
      <c r="F42" s="1">
        <v>4</v>
      </c>
      <c r="G42" s="1">
        <v>5</v>
      </c>
      <c r="H42" s="1">
        <v>6</v>
      </c>
      <c r="I42" s="1">
        <v>7</v>
      </c>
      <c r="J42" s="1">
        <v>8</v>
      </c>
      <c r="K42" s="1">
        <v>9</v>
      </c>
      <c r="L42" s="1">
        <v>10</v>
      </c>
      <c r="M42" s="1">
        <v>11</v>
      </c>
      <c r="N42" s="1">
        <v>12</v>
      </c>
    </row>
    <row r="43" spans="1:43" x14ac:dyDescent="0.3">
      <c r="A43" s="7" t="s">
        <v>50</v>
      </c>
      <c r="B43" s="1">
        <v>1</v>
      </c>
      <c r="C43" s="1">
        <f t="shared" ref="C43:N46" si="2">ABS(VLOOKUP($B43,$A$13:$AG$24,6,FALSE)-VLOOKUP(C$42,$A$13:$AG$24,6,FALSE))</f>
        <v>0</v>
      </c>
      <c r="D43" s="1">
        <f t="shared" si="2"/>
        <v>7.6049999999999995</v>
      </c>
      <c r="E43" s="1">
        <f t="shared" si="2"/>
        <v>6.1899999999998991</v>
      </c>
      <c r="F43" s="1">
        <f t="shared" si="2"/>
        <v>14.2</v>
      </c>
      <c r="G43" s="1">
        <f t="shared" si="2"/>
        <v>20.4299999999999</v>
      </c>
      <c r="H43" s="1">
        <f t="shared" si="2"/>
        <v>11.375</v>
      </c>
      <c r="I43" s="1">
        <f t="shared" si="2"/>
        <v>15.169999999999899</v>
      </c>
      <c r="J43" s="1">
        <f t="shared" si="2"/>
        <v>14.2</v>
      </c>
      <c r="K43" s="1">
        <f t="shared" si="2"/>
        <v>5.1749999999999998</v>
      </c>
      <c r="L43" s="1">
        <f t="shared" si="2"/>
        <v>1.0350000000000001</v>
      </c>
      <c r="M43" s="1">
        <f t="shared" si="2"/>
        <v>1.4950000000000001</v>
      </c>
      <c r="N43" s="1">
        <f t="shared" si="2"/>
        <v>1.4950000000000001</v>
      </c>
    </row>
    <row r="44" spans="1:43" x14ac:dyDescent="0.3">
      <c r="B44" s="1">
        <v>2</v>
      </c>
      <c r="C44" s="1">
        <f t="shared" si="2"/>
        <v>7.6049999999999995</v>
      </c>
      <c r="D44" s="1">
        <f t="shared" si="2"/>
        <v>0</v>
      </c>
      <c r="E44" s="1">
        <f t="shared" si="2"/>
        <v>1.4150000000001004</v>
      </c>
      <c r="F44" s="1">
        <f t="shared" si="2"/>
        <v>6.5950000000000006</v>
      </c>
      <c r="G44" s="1">
        <f t="shared" si="2"/>
        <v>12.824999999999902</v>
      </c>
      <c r="H44" s="1">
        <f t="shared" si="2"/>
        <v>3.7699999999999996</v>
      </c>
      <c r="I44" s="1">
        <f t="shared" si="2"/>
        <v>7.5649999999999</v>
      </c>
      <c r="J44" s="1">
        <f t="shared" si="2"/>
        <v>6.5950000000000006</v>
      </c>
      <c r="K44" s="1">
        <f t="shared" si="2"/>
        <v>2.4299999999999997</v>
      </c>
      <c r="L44" s="1">
        <f t="shared" si="2"/>
        <v>8.64</v>
      </c>
      <c r="M44" s="1">
        <f t="shared" si="2"/>
        <v>9.1</v>
      </c>
      <c r="N44" s="1">
        <f t="shared" si="2"/>
        <v>9.1</v>
      </c>
    </row>
    <row r="45" spans="1:43" x14ac:dyDescent="0.3">
      <c r="B45" s="1">
        <v>3</v>
      </c>
      <c r="C45" s="1">
        <f t="shared" si="2"/>
        <v>6.1899999999998991</v>
      </c>
      <c r="D45" s="1">
        <f t="shared" si="2"/>
        <v>1.4150000000001004</v>
      </c>
      <c r="E45" s="1">
        <f t="shared" si="2"/>
        <v>0</v>
      </c>
      <c r="F45" s="1">
        <f t="shared" si="2"/>
        <v>8.010000000000101</v>
      </c>
      <c r="G45" s="1">
        <f t="shared" si="2"/>
        <v>14.240000000000002</v>
      </c>
      <c r="H45" s="1">
        <f t="shared" si="2"/>
        <v>5.1850000000001</v>
      </c>
      <c r="I45" s="1">
        <f t="shared" si="2"/>
        <v>8.98</v>
      </c>
      <c r="J45" s="1">
        <f t="shared" si="2"/>
        <v>8.010000000000101</v>
      </c>
      <c r="K45" s="1">
        <f t="shared" si="2"/>
        <v>1.0149999999998993</v>
      </c>
      <c r="L45" s="1">
        <f t="shared" si="2"/>
        <v>7.2249999999998993</v>
      </c>
      <c r="M45" s="1">
        <f t="shared" si="2"/>
        <v>7.6849999999998992</v>
      </c>
      <c r="N45" s="1">
        <f t="shared" si="2"/>
        <v>7.6849999999998992</v>
      </c>
    </row>
    <row r="46" spans="1:43" x14ac:dyDescent="0.3">
      <c r="B46" s="1">
        <v>4</v>
      </c>
      <c r="C46" s="1">
        <f t="shared" si="2"/>
        <v>14.2</v>
      </c>
      <c r="D46" s="1">
        <f t="shared" si="2"/>
        <v>6.5950000000000006</v>
      </c>
      <c r="E46" s="1">
        <f t="shared" si="2"/>
        <v>8.010000000000101</v>
      </c>
      <c r="F46" s="1">
        <f t="shared" si="2"/>
        <v>0</v>
      </c>
      <c r="G46" s="1">
        <f t="shared" si="2"/>
        <v>6.229999999999901</v>
      </c>
      <c r="H46" s="1">
        <f t="shared" si="2"/>
        <v>2.8250000000000011</v>
      </c>
      <c r="I46" s="1">
        <f t="shared" si="2"/>
        <v>0.96999999999989939</v>
      </c>
      <c r="J46" s="1">
        <f t="shared" si="2"/>
        <v>0</v>
      </c>
      <c r="K46" s="1">
        <f t="shared" si="2"/>
        <v>9.0250000000000004</v>
      </c>
      <c r="L46" s="1">
        <f t="shared" si="2"/>
        <v>15.234999999999999</v>
      </c>
      <c r="M46" s="1">
        <f t="shared" si="2"/>
        <v>15.695</v>
      </c>
      <c r="N46" s="1">
        <f t="shared" si="2"/>
        <v>15.695</v>
      </c>
    </row>
    <row r="47" spans="1:43" x14ac:dyDescent="0.3">
      <c r="B47" s="1">
        <v>5</v>
      </c>
      <c r="C47" s="1">
        <f t="shared" ref="C47:N53" si="3">ABS(VLOOKUP($B47,$A$13:$AG$24,6,FALSE)-VLOOKUP(C$42,$A$13:$AG$24,6,FALSE))</f>
        <v>20.4299999999999</v>
      </c>
      <c r="D47" s="1">
        <f t="shared" si="3"/>
        <v>12.824999999999902</v>
      </c>
      <c r="E47" s="1">
        <f t="shared" si="3"/>
        <v>14.240000000000002</v>
      </c>
      <c r="F47" s="1">
        <f t="shared" si="3"/>
        <v>6.229999999999901</v>
      </c>
      <c r="G47" s="1">
        <f t="shared" si="3"/>
        <v>0</v>
      </c>
      <c r="H47" s="1">
        <f t="shared" si="3"/>
        <v>9.054999999999902</v>
      </c>
      <c r="I47" s="1">
        <f t="shared" si="3"/>
        <v>5.2600000000000016</v>
      </c>
      <c r="J47" s="1">
        <f t="shared" si="3"/>
        <v>6.229999999999901</v>
      </c>
      <c r="K47" s="1">
        <f t="shared" si="3"/>
        <v>15.254999999999901</v>
      </c>
      <c r="L47" s="1">
        <f t="shared" si="3"/>
        <v>21.4649999999999</v>
      </c>
      <c r="M47" s="1">
        <f t="shared" si="3"/>
        <v>21.924999999999901</v>
      </c>
      <c r="N47" s="1">
        <f t="shared" si="3"/>
        <v>21.924999999999901</v>
      </c>
    </row>
    <row r="48" spans="1:43" x14ac:dyDescent="0.3">
      <c r="B48" s="1">
        <v>6</v>
      </c>
      <c r="C48" s="1">
        <f t="shared" si="3"/>
        <v>11.375</v>
      </c>
      <c r="D48" s="1">
        <f t="shared" si="3"/>
        <v>3.7699999999999996</v>
      </c>
      <c r="E48" s="1">
        <f t="shared" si="3"/>
        <v>5.1850000000001</v>
      </c>
      <c r="F48" s="1">
        <f t="shared" si="3"/>
        <v>2.8250000000000011</v>
      </c>
      <c r="G48" s="1">
        <f t="shared" si="3"/>
        <v>9.054999999999902</v>
      </c>
      <c r="H48" s="1">
        <f t="shared" si="3"/>
        <v>0</v>
      </c>
      <c r="I48" s="1">
        <f t="shared" si="3"/>
        <v>3.7949999999999005</v>
      </c>
      <c r="J48" s="1">
        <f t="shared" si="3"/>
        <v>2.8250000000000011</v>
      </c>
      <c r="K48" s="1">
        <f t="shared" si="3"/>
        <v>6.1999999999999993</v>
      </c>
      <c r="L48" s="1">
        <f t="shared" si="3"/>
        <v>12.41</v>
      </c>
      <c r="M48" s="1">
        <f t="shared" si="3"/>
        <v>12.87</v>
      </c>
      <c r="N48" s="1">
        <f t="shared" si="3"/>
        <v>12.87</v>
      </c>
    </row>
    <row r="49" spans="1:14" x14ac:dyDescent="0.3">
      <c r="B49" s="1">
        <v>7</v>
      </c>
      <c r="C49" s="1">
        <f t="shared" si="3"/>
        <v>15.169999999999899</v>
      </c>
      <c r="D49" s="1">
        <f t="shared" si="3"/>
        <v>7.5649999999999</v>
      </c>
      <c r="E49" s="1">
        <f t="shared" si="3"/>
        <v>8.98</v>
      </c>
      <c r="F49" s="1">
        <f t="shared" si="3"/>
        <v>0.96999999999989939</v>
      </c>
      <c r="G49" s="1">
        <f t="shared" si="3"/>
        <v>5.2600000000000016</v>
      </c>
      <c r="H49" s="1">
        <f t="shared" si="3"/>
        <v>3.7949999999999005</v>
      </c>
      <c r="I49" s="1">
        <f t="shared" si="3"/>
        <v>0</v>
      </c>
      <c r="J49" s="1">
        <f t="shared" si="3"/>
        <v>0.96999999999989939</v>
      </c>
      <c r="K49" s="1">
        <f t="shared" si="3"/>
        <v>9.9949999999998997</v>
      </c>
      <c r="L49" s="1">
        <f t="shared" si="3"/>
        <v>16.204999999999899</v>
      </c>
      <c r="M49" s="1">
        <f t="shared" si="3"/>
        <v>16.6649999999999</v>
      </c>
      <c r="N49" s="1">
        <f t="shared" si="3"/>
        <v>16.6649999999999</v>
      </c>
    </row>
    <row r="50" spans="1:14" x14ac:dyDescent="0.3">
      <c r="B50" s="1">
        <v>8</v>
      </c>
      <c r="C50" s="1">
        <f t="shared" si="3"/>
        <v>14.2</v>
      </c>
      <c r="D50" s="1">
        <f t="shared" si="3"/>
        <v>6.5950000000000006</v>
      </c>
      <c r="E50" s="1">
        <f t="shared" si="3"/>
        <v>8.010000000000101</v>
      </c>
      <c r="F50" s="1">
        <f t="shared" si="3"/>
        <v>0</v>
      </c>
      <c r="G50" s="1">
        <f t="shared" si="3"/>
        <v>6.229999999999901</v>
      </c>
      <c r="H50" s="1">
        <f t="shared" si="3"/>
        <v>2.8250000000000011</v>
      </c>
      <c r="I50" s="1">
        <f t="shared" si="3"/>
        <v>0.96999999999989939</v>
      </c>
      <c r="J50" s="1">
        <f t="shared" si="3"/>
        <v>0</v>
      </c>
      <c r="K50" s="1">
        <f t="shared" si="3"/>
        <v>9.0250000000000004</v>
      </c>
      <c r="L50" s="1">
        <f t="shared" si="3"/>
        <v>15.234999999999999</v>
      </c>
      <c r="M50" s="1">
        <f t="shared" si="3"/>
        <v>15.695</v>
      </c>
      <c r="N50" s="1">
        <f t="shared" si="3"/>
        <v>15.695</v>
      </c>
    </row>
    <row r="51" spans="1:14" x14ac:dyDescent="0.3">
      <c r="B51" s="1">
        <v>9</v>
      </c>
      <c r="C51" s="1">
        <f t="shared" si="3"/>
        <v>5.1749999999999998</v>
      </c>
      <c r="D51" s="1">
        <f t="shared" si="3"/>
        <v>2.4299999999999997</v>
      </c>
      <c r="E51" s="1">
        <f t="shared" si="3"/>
        <v>1.0149999999998993</v>
      </c>
      <c r="F51" s="1">
        <f t="shared" si="3"/>
        <v>9.0250000000000004</v>
      </c>
      <c r="G51" s="1">
        <f t="shared" si="3"/>
        <v>15.254999999999901</v>
      </c>
      <c r="H51" s="1">
        <f t="shared" si="3"/>
        <v>6.1999999999999993</v>
      </c>
      <c r="I51" s="1">
        <f t="shared" si="3"/>
        <v>9.9949999999998997</v>
      </c>
      <c r="J51" s="1">
        <f t="shared" si="3"/>
        <v>9.0250000000000004</v>
      </c>
      <c r="K51" s="1">
        <f t="shared" si="3"/>
        <v>0</v>
      </c>
      <c r="L51" s="1">
        <f t="shared" si="3"/>
        <v>6.21</v>
      </c>
      <c r="M51" s="1">
        <f t="shared" si="3"/>
        <v>6.67</v>
      </c>
      <c r="N51" s="1">
        <f t="shared" si="3"/>
        <v>6.67</v>
      </c>
    </row>
    <row r="52" spans="1:14" x14ac:dyDescent="0.3">
      <c r="B52" s="1">
        <v>10</v>
      </c>
      <c r="C52" s="1">
        <f t="shared" si="3"/>
        <v>1.0350000000000001</v>
      </c>
      <c r="D52" s="1">
        <f t="shared" si="3"/>
        <v>8.64</v>
      </c>
      <c r="E52" s="1">
        <f t="shared" si="3"/>
        <v>7.2249999999998993</v>
      </c>
      <c r="F52" s="1">
        <f t="shared" si="3"/>
        <v>15.234999999999999</v>
      </c>
      <c r="G52" s="1">
        <f t="shared" si="3"/>
        <v>21.4649999999999</v>
      </c>
      <c r="H52" s="1">
        <f t="shared" si="3"/>
        <v>12.41</v>
      </c>
      <c r="I52" s="1">
        <f t="shared" si="3"/>
        <v>16.204999999999899</v>
      </c>
      <c r="J52" s="1">
        <f t="shared" si="3"/>
        <v>15.234999999999999</v>
      </c>
      <c r="K52" s="1">
        <f t="shared" si="3"/>
        <v>6.21</v>
      </c>
      <c r="L52" s="1">
        <f t="shared" si="3"/>
        <v>0</v>
      </c>
      <c r="M52" s="1">
        <f t="shared" si="3"/>
        <v>0.45999999999999996</v>
      </c>
      <c r="N52" s="1">
        <f t="shared" si="3"/>
        <v>0.45999999999999996</v>
      </c>
    </row>
    <row r="53" spans="1:14" x14ac:dyDescent="0.3">
      <c r="B53" s="1">
        <v>11</v>
      </c>
      <c r="C53" s="1">
        <f t="shared" si="3"/>
        <v>1.4950000000000001</v>
      </c>
      <c r="D53" s="1">
        <f t="shared" si="3"/>
        <v>9.1</v>
      </c>
      <c r="E53" s="1">
        <f t="shared" si="3"/>
        <v>7.6849999999998992</v>
      </c>
      <c r="F53" s="1">
        <f t="shared" si="3"/>
        <v>15.695</v>
      </c>
      <c r="G53" s="1">
        <f t="shared" si="3"/>
        <v>21.924999999999901</v>
      </c>
      <c r="H53" s="1">
        <f t="shared" si="3"/>
        <v>12.87</v>
      </c>
      <c r="I53" s="1">
        <f t="shared" si="3"/>
        <v>16.6649999999999</v>
      </c>
      <c r="J53" s="1">
        <f t="shared" si="3"/>
        <v>15.695</v>
      </c>
      <c r="K53" s="1">
        <f t="shared" si="3"/>
        <v>6.67</v>
      </c>
      <c r="L53" s="1">
        <f t="shared" si="3"/>
        <v>0.45999999999999996</v>
      </c>
      <c r="M53" s="1">
        <f t="shared" si="3"/>
        <v>0</v>
      </c>
      <c r="N53" s="1">
        <f t="shared" si="3"/>
        <v>0</v>
      </c>
    </row>
    <row r="54" spans="1:14" x14ac:dyDescent="0.3">
      <c r="B54" s="1">
        <v>12</v>
      </c>
      <c r="C54" s="1">
        <f t="shared" ref="C54:N54" si="4">ABS(VLOOKUP($B54,$A$13:$AG$24,6,FALSE)-VLOOKUP(C$42,$A$13:$AG$24,6,FALSE))</f>
        <v>1.4950000000000001</v>
      </c>
      <c r="D54" s="1">
        <f t="shared" si="4"/>
        <v>9.1</v>
      </c>
      <c r="E54" s="1">
        <f t="shared" si="4"/>
        <v>7.6849999999998992</v>
      </c>
      <c r="F54" s="1">
        <f t="shared" si="4"/>
        <v>15.695</v>
      </c>
      <c r="G54" s="1">
        <f t="shared" si="4"/>
        <v>21.924999999999901</v>
      </c>
      <c r="H54" s="1">
        <f t="shared" si="4"/>
        <v>12.87</v>
      </c>
      <c r="I54" s="1">
        <f t="shared" si="4"/>
        <v>16.6649999999999</v>
      </c>
      <c r="J54" s="1">
        <f t="shared" si="4"/>
        <v>15.695</v>
      </c>
      <c r="K54" s="1">
        <f t="shared" si="4"/>
        <v>6.67</v>
      </c>
      <c r="L54" s="1">
        <f t="shared" si="4"/>
        <v>0.45999999999999996</v>
      </c>
      <c r="M54" s="1">
        <f t="shared" si="4"/>
        <v>0</v>
      </c>
      <c r="N54" s="1">
        <f t="shared" si="4"/>
        <v>0</v>
      </c>
    </row>
    <row r="56" spans="1:14" x14ac:dyDescent="0.3">
      <c r="A56" s="9" t="s">
        <v>45</v>
      </c>
    </row>
    <row r="57" spans="1:14" x14ac:dyDescent="0.3">
      <c r="A57" s="7"/>
      <c r="B57" s="11" t="s">
        <v>46</v>
      </c>
      <c r="C57" s="1">
        <v>1</v>
      </c>
      <c r="D57" s="1">
        <v>2</v>
      </c>
      <c r="E57" s="1">
        <v>3</v>
      </c>
      <c r="F57" s="1">
        <v>4</v>
      </c>
      <c r="G57" s="1">
        <v>5</v>
      </c>
      <c r="H57" s="34">
        <v>6</v>
      </c>
      <c r="I57" s="1">
        <v>7</v>
      </c>
      <c r="J57" s="1">
        <v>8</v>
      </c>
      <c r="K57" s="1">
        <v>9</v>
      </c>
      <c r="L57" s="1">
        <v>10</v>
      </c>
      <c r="M57" s="1">
        <v>11</v>
      </c>
      <c r="N57" s="1">
        <v>12</v>
      </c>
    </row>
    <row r="58" spans="1:14" x14ac:dyDescent="0.3">
      <c r="A58" s="12" t="s">
        <v>47</v>
      </c>
      <c r="B58" s="6">
        <v>1</v>
      </c>
      <c r="C58" s="1">
        <f>Data!D31</f>
        <v>0</v>
      </c>
      <c r="D58" s="1">
        <f>Data!E31</f>
        <v>1</v>
      </c>
      <c r="E58" s="1">
        <f>Data!F31</f>
        <v>1</v>
      </c>
      <c r="F58" s="1">
        <f>Data!G31</f>
        <v>0</v>
      </c>
      <c r="G58" s="1">
        <f>Data!H31</f>
        <v>0</v>
      </c>
      <c r="H58" s="1">
        <f>Data!I31</f>
        <v>0</v>
      </c>
      <c r="I58" s="1">
        <f>Data!J31</f>
        <v>0</v>
      </c>
      <c r="J58" s="1">
        <f>Data!K31</f>
        <v>0</v>
      </c>
      <c r="K58" s="1">
        <f>Data!L31</f>
        <v>0</v>
      </c>
      <c r="L58" s="1">
        <f>Data!M31</f>
        <v>0</v>
      </c>
      <c r="M58" s="1">
        <f>Data!N31</f>
        <v>0</v>
      </c>
      <c r="N58" s="1">
        <f>Data!O31</f>
        <v>0</v>
      </c>
    </row>
    <row r="59" spans="1:14" x14ac:dyDescent="0.3">
      <c r="A59" s="12"/>
      <c r="B59" s="6">
        <v>2</v>
      </c>
      <c r="C59" s="1">
        <f>Data!D32</f>
        <v>0</v>
      </c>
      <c r="D59" s="1">
        <f>Data!E32</f>
        <v>0</v>
      </c>
      <c r="E59" s="1">
        <f>Data!F32</f>
        <v>0</v>
      </c>
      <c r="F59" s="1">
        <f>Data!G32</f>
        <v>0</v>
      </c>
      <c r="G59" s="1">
        <f>Data!H32</f>
        <v>0</v>
      </c>
      <c r="H59" s="1">
        <f>Data!I32</f>
        <v>0</v>
      </c>
      <c r="I59" s="1">
        <f>Data!J32</f>
        <v>0</v>
      </c>
      <c r="J59" s="1">
        <f>Data!K32</f>
        <v>2</v>
      </c>
      <c r="K59" s="1">
        <f>Data!L32</f>
        <v>0</v>
      </c>
      <c r="L59" s="1">
        <f>Data!M32</f>
        <v>0</v>
      </c>
      <c r="M59" s="1">
        <f>Data!N32</f>
        <v>0</v>
      </c>
      <c r="N59" s="1">
        <f>Data!O32</f>
        <v>0</v>
      </c>
    </row>
    <row r="60" spans="1:14" x14ac:dyDescent="0.3">
      <c r="A60" s="12"/>
      <c r="B60" s="6">
        <v>3</v>
      </c>
      <c r="C60" s="1">
        <f>Data!D33</f>
        <v>0</v>
      </c>
      <c r="D60" s="1">
        <f>Data!E33</f>
        <v>0</v>
      </c>
      <c r="E60" s="1">
        <f>Data!F33</f>
        <v>0</v>
      </c>
      <c r="F60" s="1">
        <f>Data!G33</f>
        <v>0</v>
      </c>
      <c r="G60" s="1">
        <f>Data!H33</f>
        <v>0</v>
      </c>
      <c r="H60" s="1">
        <f>Data!I33</f>
        <v>0</v>
      </c>
      <c r="I60" s="1">
        <f>Data!J33</f>
        <v>0</v>
      </c>
      <c r="J60" s="1">
        <f>Data!K33</f>
        <v>5</v>
      </c>
      <c r="K60" s="1">
        <f>Data!L33</f>
        <v>0</v>
      </c>
      <c r="L60" s="1">
        <f>Data!M33</f>
        <v>0</v>
      </c>
      <c r="M60" s="1">
        <f>Data!N33</f>
        <v>0</v>
      </c>
      <c r="N60" s="1">
        <f>Data!O33</f>
        <v>0</v>
      </c>
    </row>
    <row r="61" spans="1:14" x14ac:dyDescent="0.3">
      <c r="A61" s="12"/>
      <c r="B61" s="6">
        <v>4</v>
      </c>
      <c r="C61" s="1">
        <f>Data!D34</f>
        <v>0</v>
      </c>
      <c r="D61" s="1">
        <f>Data!E34</f>
        <v>0</v>
      </c>
      <c r="E61" s="1">
        <f>Data!F34</f>
        <v>0</v>
      </c>
      <c r="F61" s="1">
        <f>Data!G34</f>
        <v>0</v>
      </c>
      <c r="G61" s="1">
        <f>Data!H34</f>
        <v>0</v>
      </c>
      <c r="H61" s="1">
        <f>Data!I34</f>
        <v>0</v>
      </c>
      <c r="I61" s="1">
        <f>Data!J34</f>
        <v>0</v>
      </c>
      <c r="J61" s="1">
        <f>Data!K34</f>
        <v>1</v>
      </c>
      <c r="K61" s="1">
        <f>Data!L34</f>
        <v>0</v>
      </c>
      <c r="L61" s="1">
        <f>Data!M34</f>
        <v>0</v>
      </c>
      <c r="M61" s="1">
        <f>Data!N34</f>
        <v>0</v>
      </c>
      <c r="N61" s="1">
        <f>Data!O34</f>
        <v>0</v>
      </c>
    </row>
    <row r="62" spans="1:14" x14ac:dyDescent="0.3">
      <c r="A62" s="12"/>
      <c r="B62" s="6">
        <v>5</v>
      </c>
      <c r="C62" s="1">
        <f>Data!D35</f>
        <v>0</v>
      </c>
      <c r="D62" s="1">
        <f>Data!E35</f>
        <v>0</v>
      </c>
      <c r="E62" s="1">
        <f>Data!F35</f>
        <v>0</v>
      </c>
      <c r="F62" s="1">
        <f>Data!G35</f>
        <v>0</v>
      </c>
      <c r="G62" s="1">
        <f>Data!H35</f>
        <v>0</v>
      </c>
      <c r="H62" s="1">
        <f>Data!I35</f>
        <v>1</v>
      </c>
      <c r="I62" s="1">
        <f>Data!J35</f>
        <v>0</v>
      </c>
      <c r="J62" s="1">
        <f>Data!K35</f>
        <v>1</v>
      </c>
      <c r="K62" s="1">
        <f>Data!L35</f>
        <v>0</v>
      </c>
      <c r="L62" s="1">
        <f>Data!M35</f>
        <v>0</v>
      </c>
      <c r="M62" s="1">
        <f>Data!N35</f>
        <v>0</v>
      </c>
      <c r="N62" s="1">
        <f>Data!O35</f>
        <v>0</v>
      </c>
    </row>
    <row r="63" spans="1:14" x14ac:dyDescent="0.3">
      <c r="A63" s="12"/>
      <c r="B63" s="6">
        <v>6</v>
      </c>
      <c r="C63" s="1">
        <f>Data!D36</f>
        <v>0</v>
      </c>
      <c r="D63" s="1">
        <f>Data!E36</f>
        <v>0</v>
      </c>
      <c r="E63" s="1">
        <f>Data!F36</f>
        <v>0</v>
      </c>
      <c r="F63" s="1">
        <f>Data!G36</f>
        <v>0</v>
      </c>
      <c r="G63" s="1">
        <f>Data!H36</f>
        <v>1</v>
      </c>
      <c r="H63" s="1">
        <f>Data!I36</f>
        <v>0</v>
      </c>
      <c r="I63" s="1">
        <f>Data!J36</f>
        <v>0</v>
      </c>
      <c r="J63" s="1">
        <f>Data!K36</f>
        <v>2</v>
      </c>
      <c r="K63" s="1">
        <f>Data!L36</f>
        <v>0</v>
      </c>
      <c r="L63" s="1">
        <f>Data!M36</f>
        <v>0</v>
      </c>
      <c r="M63" s="1">
        <f>Data!N36</f>
        <v>0</v>
      </c>
      <c r="N63" s="1">
        <f>Data!O36</f>
        <v>0</v>
      </c>
    </row>
    <row r="64" spans="1:14" x14ac:dyDescent="0.3">
      <c r="A64" s="12"/>
      <c r="B64" s="6">
        <v>7</v>
      </c>
      <c r="C64" s="1">
        <f>Data!D37</f>
        <v>0</v>
      </c>
      <c r="D64" s="1">
        <f>Data!E37</f>
        <v>0</v>
      </c>
      <c r="E64" s="1">
        <f>Data!F37</f>
        <v>0</v>
      </c>
      <c r="F64" s="1">
        <f>Data!G37</f>
        <v>0</v>
      </c>
      <c r="G64" s="1">
        <f>Data!H37</f>
        <v>2</v>
      </c>
      <c r="H64" s="1">
        <f>Data!I37</f>
        <v>1</v>
      </c>
      <c r="I64" s="1">
        <f>Data!J37</f>
        <v>0</v>
      </c>
      <c r="J64" s="1">
        <f>Data!K37</f>
        <v>1</v>
      </c>
      <c r="K64" s="1">
        <f>Data!L37</f>
        <v>0</v>
      </c>
      <c r="L64" s="1">
        <f>Data!M37</f>
        <v>0</v>
      </c>
      <c r="M64" s="1">
        <f>Data!N37</f>
        <v>0</v>
      </c>
      <c r="N64" s="1">
        <f>Data!O37</f>
        <v>0</v>
      </c>
    </row>
    <row r="65" spans="1:14" x14ac:dyDescent="0.3">
      <c r="A65" s="12"/>
      <c r="B65" s="6">
        <v>8</v>
      </c>
      <c r="C65" s="1">
        <f>Data!D38</f>
        <v>0</v>
      </c>
      <c r="D65" s="1">
        <f>Data!E38</f>
        <v>0</v>
      </c>
      <c r="E65" s="1">
        <f>Data!F38</f>
        <v>0</v>
      </c>
      <c r="F65" s="1">
        <f>Data!G38</f>
        <v>1</v>
      </c>
      <c r="G65" s="1">
        <f>Data!H38</f>
        <v>1</v>
      </c>
      <c r="H65" s="1">
        <f>Data!I38</f>
        <v>1</v>
      </c>
      <c r="I65" s="1">
        <f>Data!J38</f>
        <v>8</v>
      </c>
      <c r="J65" s="1">
        <f>Data!K38</f>
        <v>0</v>
      </c>
      <c r="K65" s="1">
        <f>Data!L38</f>
        <v>2</v>
      </c>
      <c r="L65" s="1">
        <f>Data!M38</f>
        <v>0</v>
      </c>
      <c r="M65" s="1">
        <f>Data!N38</f>
        <v>0</v>
      </c>
      <c r="N65" s="1">
        <f>Data!O38</f>
        <v>0</v>
      </c>
    </row>
    <row r="66" spans="1:14" x14ac:dyDescent="0.3">
      <c r="A66" s="12"/>
      <c r="B66" s="6">
        <v>9</v>
      </c>
      <c r="C66" s="1">
        <f>Data!D39</f>
        <v>0</v>
      </c>
      <c r="D66" s="1">
        <f>Data!E39</f>
        <v>0</v>
      </c>
      <c r="E66" s="1">
        <f>Data!F39</f>
        <v>0</v>
      </c>
      <c r="F66" s="1">
        <f>Data!G39</f>
        <v>0</v>
      </c>
      <c r="G66" s="1">
        <f>Data!H39</f>
        <v>0</v>
      </c>
      <c r="H66" s="1">
        <f>Data!I39</f>
        <v>0</v>
      </c>
      <c r="I66" s="1">
        <f>Data!J39</f>
        <v>0</v>
      </c>
      <c r="J66" s="1">
        <f>Data!K39</f>
        <v>0</v>
      </c>
      <c r="K66" s="1">
        <f>Data!L39</f>
        <v>0</v>
      </c>
      <c r="L66" s="1">
        <f>Data!M39</f>
        <v>3</v>
      </c>
      <c r="M66" s="1">
        <f>Data!N39</f>
        <v>0</v>
      </c>
      <c r="N66" s="1">
        <f>Data!O39</f>
        <v>0</v>
      </c>
    </row>
    <row r="67" spans="1:14" x14ac:dyDescent="0.3">
      <c r="A67" s="12"/>
      <c r="B67" s="6">
        <v>10</v>
      </c>
      <c r="C67" s="1">
        <f>Data!D40</f>
        <v>0</v>
      </c>
      <c r="D67" s="1">
        <f>Data!E40</f>
        <v>0</v>
      </c>
      <c r="E67" s="1">
        <f>Data!F40</f>
        <v>0</v>
      </c>
      <c r="F67" s="1">
        <f>Data!G40</f>
        <v>0</v>
      </c>
      <c r="G67" s="1">
        <f>Data!H40</f>
        <v>0</v>
      </c>
      <c r="H67" s="1">
        <f>Data!I40</f>
        <v>0</v>
      </c>
      <c r="I67" s="1">
        <f>Data!J40</f>
        <v>0</v>
      </c>
      <c r="J67" s="1">
        <f>Data!K40</f>
        <v>0</v>
      </c>
      <c r="K67" s="1">
        <f>Data!L40</f>
        <v>0</v>
      </c>
      <c r="L67" s="1">
        <f>Data!M40</f>
        <v>0</v>
      </c>
      <c r="M67" s="1">
        <f>Data!N40</f>
        <v>3</v>
      </c>
      <c r="N67" s="1">
        <f>Data!O40</f>
        <v>0</v>
      </c>
    </row>
    <row r="68" spans="1:14" x14ac:dyDescent="0.3">
      <c r="A68" s="12"/>
      <c r="B68" s="6">
        <v>11</v>
      </c>
      <c r="C68" s="1">
        <f>Data!D41</f>
        <v>0</v>
      </c>
      <c r="D68" s="1">
        <f>Data!E41</f>
        <v>0</v>
      </c>
      <c r="E68" s="1">
        <f>Data!F41</f>
        <v>0</v>
      </c>
      <c r="F68" s="1">
        <f>Data!G41</f>
        <v>0</v>
      </c>
      <c r="G68" s="1">
        <f>Data!H41</f>
        <v>0</v>
      </c>
      <c r="H68" s="1">
        <f>Data!I41</f>
        <v>0</v>
      </c>
      <c r="I68" s="1">
        <f>Data!J41</f>
        <v>0</v>
      </c>
      <c r="J68" s="1">
        <f>Data!K41</f>
        <v>0</v>
      </c>
      <c r="K68" s="1">
        <f>Data!L41</f>
        <v>0</v>
      </c>
      <c r="L68" s="1">
        <f>Data!M41</f>
        <v>0</v>
      </c>
      <c r="M68" s="1">
        <f>Data!N41</f>
        <v>0</v>
      </c>
      <c r="N68" s="1">
        <f>Data!O41</f>
        <v>1</v>
      </c>
    </row>
    <row r="69" spans="1:14" x14ac:dyDescent="0.3">
      <c r="A69" s="12"/>
      <c r="B69" s="6">
        <v>12</v>
      </c>
      <c r="C69" s="1">
        <f>Data!D42</f>
        <v>0</v>
      </c>
      <c r="D69" s="1">
        <f>Data!E42</f>
        <v>0</v>
      </c>
      <c r="E69" s="1">
        <f>Data!F42</f>
        <v>0</v>
      </c>
      <c r="F69" s="1">
        <f>Data!G42</f>
        <v>0</v>
      </c>
      <c r="G69" s="1">
        <f>Data!H42</f>
        <v>0</v>
      </c>
      <c r="H69" s="1">
        <f>Data!I42</f>
        <v>0</v>
      </c>
      <c r="I69" s="1">
        <f>Data!J42</f>
        <v>0</v>
      </c>
      <c r="J69" s="1">
        <f>Data!K42</f>
        <v>0</v>
      </c>
      <c r="K69" s="1">
        <f>Data!L42</f>
        <v>0</v>
      </c>
      <c r="L69" s="1">
        <f>Data!M42</f>
        <v>0</v>
      </c>
      <c r="M69" s="1">
        <f>Data!N42</f>
        <v>0</v>
      </c>
      <c r="N69" s="1">
        <f>Data!O42</f>
        <v>0</v>
      </c>
    </row>
    <row r="71" spans="1:14" x14ac:dyDescent="0.3">
      <c r="A71" s="9" t="s">
        <v>48</v>
      </c>
    </row>
    <row r="72" spans="1:14" x14ac:dyDescent="0.3">
      <c r="A72" s="7"/>
      <c r="B72" s="11" t="s">
        <v>46</v>
      </c>
      <c r="C72" s="1">
        <v>1</v>
      </c>
      <c r="D72" s="1">
        <v>2</v>
      </c>
      <c r="E72" s="1">
        <v>3</v>
      </c>
      <c r="F72" s="1">
        <v>4</v>
      </c>
      <c r="G72" s="1">
        <v>5</v>
      </c>
      <c r="H72" s="34">
        <v>6</v>
      </c>
      <c r="I72" s="1">
        <v>7</v>
      </c>
      <c r="J72" s="1">
        <v>8</v>
      </c>
      <c r="K72" s="1">
        <v>9</v>
      </c>
      <c r="L72" s="1">
        <v>10</v>
      </c>
      <c r="M72" s="1">
        <v>11</v>
      </c>
      <c r="N72" s="1">
        <v>12</v>
      </c>
    </row>
    <row r="73" spans="1:14" x14ac:dyDescent="0.3">
      <c r="A73" s="12" t="s">
        <v>47</v>
      </c>
      <c r="B73" s="6">
        <v>1</v>
      </c>
      <c r="C73" s="1">
        <f>Data!D46</f>
        <v>0</v>
      </c>
      <c r="D73" s="1">
        <f>Data!E46</f>
        <v>12.163158770928463</v>
      </c>
      <c r="E73" s="1">
        <f>Data!F46</f>
        <v>12.163158770928463</v>
      </c>
      <c r="F73" s="1">
        <f>Data!G46</f>
        <v>0</v>
      </c>
      <c r="G73" s="1">
        <f>Data!H46</f>
        <v>0</v>
      </c>
      <c r="H73" s="1">
        <f>Data!I46</f>
        <v>0</v>
      </c>
      <c r="I73" s="1">
        <f>Data!J46</f>
        <v>0</v>
      </c>
      <c r="J73" s="1">
        <f>Data!K46</f>
        <v>0</v>
      </c>
      <c r="K73" s="1">
        <f>Data!L46</f>
        <v>0</v>
      </c>
      <c r="L73" s="1">
        <f>Data!M46</f>
        <v>0</v>
      </c>
      <c r="M73" s="1">
        <f>Data!N46</f>
        <v>0</v>
      </c>
      <c r="N73" s="1">
        <f>Data!O46</f>
        <v>0</v>
      </c>
    </row>
    <row r="74" spans="1:14" x14ac:dyDescent="0.3">
      <c r="A74" s="12"/>
      <c r="B74" s="6">
        <v>2</v>
      </c>
      <c r="C74" s="1">
        <f>Data!D47</f>
        <v>0</v>
      </c>
      <c r="D74" s="1">
        <f>Data!E47</f>
        <v>0</v>
      </c>
      <c r="E74" s="1">
        <f>Data!F47</f>
        <v>0</v>
      </c>
      <c r="F74" s="1">
        <f>Data!G47</f>
        <v>0</v>
      </c>
      <c r="G74" s="1">
        <f>Data!H47</f>
        <v>0</v>
      </c>
      <c r="H74" s="1">
        <f>Data!I47</f>
        <v>0</v>
      </c>
      <c r="I74" s="1">
        <f>Data!J47</f>
        <v>0</v>
      </c>
      <c r="J74" s="1">
        <f>Data!K47</f>
        <v>1.5066114916286148E-2</v>
      </c>
      <c r="K74" s="1">
        <f>Data!L47</f>
        <v>0</v>
      </c>
      <c r="L74" s="1">
        <f>Data!M47</f>
        <v>0</v>
      </c>
      <c r="M74" s="1">
        <f>Data!N47</f>
        <v>0</v>
      </c>
      <c r="N74" s="1">
        <f>Data!O47</f>
        <v>0</v>
      </c>
    </row>
    <row r="75" spans="1:14" x14ac:dyDescent="0.3">
      <c r="A75" s="12"/>
      <c r="B75" s="6">
        <v>3</v>
      </c>
      <c r="C75" s="1">
        <f>Data!D48</f>
        <v>0</v>
      </c>
      <c r="D75" s="1">
        <f>Data!E48</f>
        <v>0</v>
      </c>
      <c r="E75" s="1">
        <f>Data!F48</f>
        <v>0</v>
      </c>
      <c r="F75" s="1">
        <f>Data!G48</f>
        <v>0</v>
      </c>
      <c r="G75" s="1">
        <f>Data!H48</f>
        <v>0</v>
      </c>
      <c r="H75" s="1">
        <f>Data!I48</f>
        <v>0</v>
      </c>
      <c r="I75" s="1">
        <f>Data!J48</f>
        <v>0</v>
      </c>
      <c r="J75" s="1">
        <f>Data!K48</f>
        <v>1.5066114916286148E-2</v>
      </c>
      <c r="K75" s="1">
        <f>Data!L48</f>
        <v>0</v>
      </c>
      <c r="L75" s="1">
        <f>Data!M48</f>
        <v>0</v>
      </c>
      <c r="M75" s="1">
        <f>Data!N48</f>
        <v>0</v>
      </c>
      <c r="N75" s="1">
        <f>Data!O48</f>
        <v>0</v>
      </c>
    </row>
    <row r="76" spans="1:14" x14ac:dyDescent="0.3">
      <c r="A76" s="12"/>
      <c r="B76" s="6">
        <v>4</v>
      </c>
      <c r="C76" s="1">
        <f>Data!D49</f>
        <v>0</v>
      </c>
      <c r="D76" s="1">
        <f>Data!E49</f>
        <v>0</v>
      </c>
      <c r="E76" s="1">
        <f>Data!F49</f>
        <v>0</v>
      </c>
      <c r="F76" s="1">
        <f>Data!G49</f>
        <v>0</v>
      </c>
      <c r="G76" s="1">
        <f>Data!H49</f>
        <v>0</v>
      </c>
      <c r="H76" s="1">
        <f>Data!I49</f>
        <v>0</v>
      </c>
      <c r="I76" s="1">
        <f>Data!J49</f>
        <v>0</v>
      </c>
      <c r="J76" s="1">
        <f>Data!K49</f>
        <v>1.5066114916286148E-2</v>
      </c>
      <c r="K76" s="1">
        <f>Data!L49</f>
        <v>0</v>
      </c>
      <c r="L76" s="1">
        <f>Data!M49</f>
        <v>0</v>
      </c>
      <c r="M76" s="1">
        <f>Data!N49</f>
        <v>0</v>
      </c>
      <c r="N76" s="1">
        <f>Data!O49</f>
        <v>0</v>
      </c>
    </row>
    <row r="77" spans="1:14" x14ac:dyDescent="0.3">
      <c r="A77" s="12"/>
      <c r="B77" s="6">
        <v>5</v>
      </c>
      <c r="C77" s="1">
        <f>Data!D50</f>
        <v>0</v>
      </c>
      <c r="D77" s="1">
        <f>Data!E50</f>
        <v>0</v>
      </c>
      <c r="E77" s="1">
        <f>Data!F50</f>
        <v>0</v>
      </c>
      <c r="F77" s="1">
        <f>Data!G50</f>
        <v>0</v>
      </c>
      <c r="G77" s="1">
        <f>Data!H50</f>
        <v>0</v>
      </c>
      <c r="H77" s="1">
        <f>Data!I50</f>
        <v>1.5066114916286148E-2</v>
      </c>
      <c r="I77" s="1">
        <f>Data!J50</f>
        <v>0</v>
      </c>
      <c r="J77" s="1">
        <f>Data!K50</f>
        <v>1.5066114916286148E-2</v>
      </c>
      <c r="K77" s="1">
        <f>Data!L50</f>
        <v>0</v>
      </c>
      <c r="L77" s="1">
        <f>Data!M50</f>
        <v>0</v>
      </c>
      <c r="M77" s="1">
        <f>Data!N50</f>
        <v>0</v>
      </c>
      <c r="N77" s="1">
        <f>Data!O50</f>
        <v>0</v>
      </c>
    </row>
    <row r="78" spans="1:14" x14ac:dyDescent="0.3">
      <c r="A78" s="12"/>
      <c r="B78" s="6">
        <v>6</v>
      </c>
      <c r="C78" s="1">
        <f>Data!D51</f>
        <v>0</v>
      </c>
      <c r="D78" s="1">
        <f>Data!E51</f>
        <v>0</v>
      </c>
      <c r="E78" s="1">
        <f>Data!F51</f>
        <v>0</v>
      </c>
      <c r="F78" s="1">
        <f>Data!G51</f>
        <v>0</v>
      </c>
      <c r="G78" s="1">
        <f>Data!H51</f>
        <v>1.5066114916286148E-2</v>
      </c>
      <c r="H78" s="1">
        <f>Data!I51</f>
        <v>0</v>
      </c>
      <c r="I78" s="1">
        <f>Data!J51</f>
        <v>0</v>
      </c>
      <c r="J78" s="1">
        <f>Data!K51</f>
        <v>1.5066114916286148E-2</v>
      </c>
      <c r="K78" s="1">
        <f>Data!L51</f>
        <v>0</v>
      </c>
      <c r="L78" s="1">
        <f>Data!M51</f>
        <v>0</v>
      </c>
      <c r="M78" s="1">
        <f>Data!N51</f>
        <v>0</v>
      </c>
      <c r="N78" s="1">
        <f>Data!O51</f>
        <v>0</v>
      </c>
    </row>
    <row r="79" spans="1:14" x14ac:dyDescent="0.3">
      <c r="A79" s="12"/>
      <c r="B79" s="6">
        <v>7</v>
      </c>
      <c r="C79" s="1">
        <f>Data!D52</f>
        <v>0</v>
      </c>
      <c r="D79" s="1">
        <f>Data!E52</f>
        <v>0</v>
      </c>
      <c r="E79" s="1">
        <f>Data!F52</f>
        <v>0</v>
      </c>
      <c r="F79" s="1">
        <f>Data!G52</f>
        <v>0</v>
      </c>
      <c r="G79" s="1">
        <f>Data!H52</f>
        <v>1.5066114916286148E-2</v>
      </c>
      <c r="H79" s="1">
        <f>Data!I52</f>
        <v>1.5066114916286148E-2</v>
      </c>
      <c r="I79" s="1">
        <f>Data!J52</f>
        <v>0</v>
      </c>
      <c r="J79" s="1">
        <f>Data!K52</f>
        <v>1.5066114916286148E-2</v>
      </c>
      <c r="K79" s="1">
        <f>Data!L52</f>
        <v>0</v>
      </c>
      <c r="L79" s="1">
        <f>Data!M52</f>
        <v>0</v>
      </c>
      <c r="M79" s="1">
        <f>Data!N52</f>
        <v>0</v>
      </c>
      <c r="N79" s="1">
        <f>Data!O52</f>
        <v>0</v>
      </c>
    </row>
    <row r="80" spans="1:14" x14ac:dyDescent="0.3">
      <c r="A80" s="12"/>
      <c r="B80" s="6">
        <v>8</v>
      </c>
      <c r="C80" s="1">
        <f>Data!D53</f>
        <v>0</v>
      </c>
      <c r="D80" s="1">
        <f>Data!E53</f>
        <v>0</v>
      </c>
      <c r="E80" s="1">
        <f>Data!F53</f>
        <v>0</v>
      </c>
      <c r="F80" s="1">
        <f>Data!G53</f>
        <v>1.5066114916286148E-2</v>
      </c>
      <c r="G80" s="1">
        <f>Data!H53</f>
        <v>1.5066114916286148E-2</v>
      </c>
      <c r="H80" s="1">
        <f>Data!I53</f>
        <v>1.5066114916286148E-2</v>
      </c>
      <c r="I80" s="1">
        <f>Data!J53</f>
        <v>1.5066114916286148E-2</v>
      </c>
      <c r="J80" s="1">
        <f>Data!K53</f>
        <v>0</v>
      </c>
      <c r="K80" s="1">
        <f>Data!L53</f>
        <v>1.5066114916286148E-2</v>
      </c>
      <c r="L80" s="1">
        <f>Data!M53</f>
        <v>0</v>
      </c>
      <c r="M80" s="1">
        <f>Data!N53</f>
        <v>0</v>
      </c>
      <c r="N80" s="1">
        <f>Data!O53</f>
        <v>0</v>
      </c>
    </row>
    <row r="81" spans="1:14" x14ac:dyDescent="0.3">
      <c r="A81" s="12"/>
      <c r="B81" s="6">
        <v>9</v>
      </c>
      <c r="C81" s="1">
        <f>Data!D54</f>
        <v>0</v>
      </c>
      <c r="D81" s="1">
        <f>Data!E54</f>
        <v>0</v>
      </c>
      <c r="E81" s="1">
        <f>Data!F54</f>
        <v>0</v>
      </c>
      <c r="F81" s="1">
        <f>Data!G54</f>
        <v>0</v>
      </c>
      <c r="G81" s="1">
        <f>Data!H54</f>
        <v>0</v>
      </c>
      <c r="H81" s="1">
        <f>Data!I54</f>
        <v>0</v>
      </c>
      <c r="I81" s="1">
        <f>Data!J54</f>
        <v>0</v>
      </c>
      <c r="J81" s="1">
        <f>Data!K54</f>
        <v>0</v>
      </c>
      <c r="K81" s="1">
        <f>Data!L54</f>
        <v>0</v>
      </c>
      <c r="L81" s="1">
        <f>Data!M54</f>
        <v>1.5066114916286148E-2</v>
      </c>
      <c r="M81" s="1">
        <f>Data!N54</f>
        <v>0</v>
      </c>
      <c r="N81" s="1">
        <f>Data!O54</f>
        <v>0</v>
      </c>
    </row>
    <row r="82" spans="1:14" x14ac:dyDescent="0.3">
      <c r="A82" s="12"/>
      <c r="B82" s="6">
        <v>10</v>
      </c>
      <c r="C82" s="1">
        <f>Data!D55</f>
        <v>0</v>
      </c>
      <c r="D82" s="1">
        <f>Data!E55</f>
        <v>0</v>
      </c>
      <c r="E82" s="1">
        <f>Data!F55</f>
        <v>0</v>
      </c>
      <c r="F82" s="1">
        <f>Data!G55</f>
        <v>0</v>
      </c>
      <c r="G82" s="1">
        <f>Data!H55</f>
        <v>0</v>
      </c>
      <c r="H82" s="1">
        <f>Data!I55</f>
        <v>0</v>
      </c>
      <c r="I82" s="1">
        <f>Data!J55</f>
        <v>0</v>
      </c>
      <c r="J82" s="1">
        <f>Data!K55</f>
        <v>0</v>
      </c>
      <c r="K82" s="1">
        <f>Data!L55</f>
        <v>0</v>
      </c>
      <c r="L82" s="1">
        <f>Data!M55</f>
        <v>0</v>
      </c>
      <c r="M82" s="1">
        <f>Data!N55</f>
        <v>1.5066114916286148E-2</v>
      </c>
      <c r="N82" s="1">
        <f>Data!O55</f>
        <v>0</v>
      </c>
    </row>
    <row r="83" spans="1:14" x14ac:dyDescent="0.3">
      <c r="A83" s="12"/>
      <c r="B83" s="6">
        <v>11</v>
      </c>
      <c r="C83" s="1">
        <f>Data!D56</f>
        <v>0</v>
      </c>
      <c r="D83" s="1">
        <f>Data!E56</f>
        <v>0</v>
      </c>
      <c r="E83" s="1">
        <f>Data!F56</f>
        <v>0</v>
      </c>
      <c r="F83" s="1">
        <f>Data!G56</f>
        <v>0</v>
      </c>
      <c r="G83" s="1">
        <f>Data!H56</f>
        <v>0</v>
      </c>
      <c r="H83" s="1">
        <f>Data!I56</f>
        <v>0</v>
      </c>
      <c r="I83" s="1">
        <f>Data!J56</f>
        <v>0</v>
      </c>
      <c r="J83" s="1">
        <f>Data!K56</f>
        <v>0</v>
      </c>
      <c r="K83" s="1">
        <f>Data!L56</f>
        <v>0</v>
      </c>
      <c r="L83" s="1">
        <f>Data!M56</f>
        <v>0</v>
      </c>
      <c r="M83" s="1">
        <f>Data!N56</f>
        <v>0</v>
      </c>
      <c r="N83" s="1">
        <f>Data!O56</f>
        <v>12.163158770928463</v>
      </c>
    </row>
    <row r="84" spans="1:14" x14ac:dyDescent="0.3">
      <c r="A84" s="12"/>
      <c r="B84" s="6">
        <v>12</v>
      </c>
      <c r="C84" s="1">
        <f>Data!D57</f>
        <v>0</v>
      </c>
      <c r="D84" s="1">
        <f>Data!E57</f>
        <v>0</v>
      </c>
      <c r="E84" s="1">
        <f>Data!F57</f>
        <v>0</v>
      </c>
      <c r="F84" s="1">
        <f>Data!G57</f>
        <v>0</v>
      </c>
      <c r="G84" s="1">
        <f>Data!H57</f>
        <v>0</v>
      </c>
      <c r="H84" s="1">
        <f>Data!I57</f>
        <v>0</v>
      </c>
      <c r="I84" s="1">
        <f>Data!J57</f>
        <v>0</v>
      </c>
      <c r="J84" s="1">
        <f>Data!K57</f>
        <v>0</v>
      </c>
      <c r="K84" s="1">
        <f>Data!L57</f>
        <v>0</v>
      </c>
      <c r="L84" s="1">
        <f>Data!M57</f>
        <v>0</v>
      </c>
      <c r="M84" s="1">
        <f>Data!N57</f>
        <v>0</v>
      </c>
      <c r="N84" s="1">
        <f>Data!O57</f>
        <v>0</v>
      </c>
    </row>
    <row r="86" spans="1:14" x14ac:dyDescent="0.3">
      <c r="A86" s="9" t="s">
        <v>60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4" x14ac:dyDescent="0.3">
      <c r="A87" s="7"/>
      <c r="B87" s="35" t="s">
        <v>46</v>
      </c>
      <c r="C87" s="1">
        <v>1</v>
      </c>
      <c r="D87" s="1">
        <v>2</v>
      </c>
      <c r="E87" s="1">
        <v>3</v>
      </c>
      <c r="F87" s="1">
        <v>4</v>
      </c>
      <c r="G87" s="1">
        <v>5</v>
      </c>
      <c r="H87" s="34">
        <v>6</v>
      </c>
      <c r="I87" s="1">
        <v>7</v>
      </c>
      <c r="J87" s="1">
        <v>8</v>
      </c>
      <c r="K87" s="1">
        <v>9</v>
      </c>
      <c r="L87" s="1">
        <v>10</v>
      </c>
      <c r="M87" s="1">
        <v>11</v>
      </c>
      <c r="N87" s="1">
        <v>12</v>
      </c>
    </row>
    <row r="88" spans="1:14" x14ac:dyDescent="0.3">
      <c r="A88" s="12" t="s">
        <v>47</v>
      </c>
      <c r="B88" s="6">
        <v>1</v>
      </c>
      <c r="C88" s="1">
        <f t="shared" ref="C88:N88" si="5">C73*C58*(C43+C28)</f>
        <v>0</v>
      </c>
      <c r="D88" s="1">
        <f t="shared" si="5"/>
        <v>92.500822452910953</v>
      </c>
      <c r="E88" s="1">
        <f t="shared" si="5"/>
        <v>161.22266950865432</v>
      </c>
      <c r="F88" s="1">
        <f t="shared" si="5"/>
        <v>0</v>
      </c>
      <c r="G88" s="1">
        <f t="shared" si="5"/>
        <v>0</v>
      </c>
      <c r="H88" s="1">
        <f t="shared" si="5"/>
        <v>0</v>
      </c>
      <c r="I88" s="1">
        <f t="shared" si="5"/>
        <v>0</v>
      </c>
      <c r="J88" s="1">
        <f t="shared" si="5"/>
        <v>0</v>
      </c>
      <c r="K88" s="1">
        <f t="shared" si="5"/>
        <v>0</v>
      </c>
      <c r="L88" s="1">
        <f t="shared" si="5"/>
        <v>0</v>
      </c>
      <c r="M88" s="1">
        <f t="shared" si="5"/>
        <v>0</v>
      </c>
      <c r="N88" s="1">
        <f t="shared" si="5"/>
        <v>0</v>
      </c>
    </row>
    <row r="89" spans="1:14" x14ac:dyDescent="0.3">
      <c r="A89" s="12"/>
      <c r="B89" s="6">
        <v>2</v>
      </c>
      <c r="C89" s="1">
        <f t="shared" ref="C89:N89" si="6">C74*C59*(C44+C29)</f>
        <v>0</v>
      </c>
      <c r="D89" s="1">
        <f t="shared" si="6"/>
        <v>0</v>
      </c>
      <c r="E89" s="1">
        <f t="shared" si="6"/>
        <v>0</v>
      </c>
      <c r="F89" s="1">
        <f t="shared" si="6"/>
        <v>0</v>
      </c>
      <c r="G89" s="1">
        <f t="shared" si="6"/>
        <v>0</v>
      </c>
      <c r="H89" s="1">
        <f t="shared" si="6"/>
        <v>0</v>
      </c>
      <c r="I89" s="1">
        <f t="shared" si="6"/>
        <v>0</v>
      </c>
      <c r="J89" s="1">
        <f t="shared" si="6"/>
        <v>0.78961508276255399</v>
      </c>
      <c r="K89" s="1">
        <f t="shared" si="6"/>
        <v>0</v>
      </c>
      <c r="L89" s="1">
        <f t="shared" si="6"/>
        <v>0</v>
      </c>
      <c r="M89" s="1">
        <f t="shared" si="6"/>
        <v>0</v>
      </c>
      <c r="N89" s="1">
        <f t="shared" si="6"/>
        <v>0</v>
      </c>
    </row>
    <row r="90" spans="1:14" x14ac:dyDescent="0.3">
      <c r="A90" s="12"/>
      <c r="B90" s="6">
        <v>3</v>
      </c>
      <c r="C90" s="1">
        <f t="shared" ref="C90:N90" si="7">C75*C60*(C45+C30)</f>
        <v>0</v>
      </c>
      <c r="D90" s="1">
        <f t="shared" si="7"/>
        <v>0</v>
      </c>
      <c r="E90" s="1">
        <f t="shared" si="7"/>
        <v>0</v>
      </c>
      <c r="F90" s="1">
        <f t="shared" si="7"/>
        <v>0</v>
      </c>
      <c r="G90" s="1">
        <f t="shared" si="7"/>
        <v>0</v>
      </c>
      <c r="H90" s="1">
        <f t="shared" si="7"/>
        <v>0</v>
      </c>
      <c r="I90" s="1">
        <f t="shared" si="7"/>
        <v>0</v>
      </c>
      <c r="J90" s="1">
        <f t="shared" si="7"/>
        <v>1.5484199605213165</v>
      </c>
      <c r="K90" s="1">
        <f t="shared" si="7"/>
        <v>0</v>
      </c>
      <c r="L90" s="1">
        <f t="shared" si="7"/>
        <v>0</v>
      </c>
      <c r="M90" s="1">
        <f t="shared" si="7"/>
        <v>0</v>
      </c>
      <c r="N90" s="1">
        <f t="shared" si="7"/>
        <v>0</v>
      </c>
    </row>
    <row r="91" spans="1:14" x14ac:dyDescent="0.3">
      <c r="A91" s="12"/>
      <c r="B91" s="6">
        <v>4</v>
      </c>
      <c r="C91" s="1">
        <f t="shared" ref="C91:N91" si="8">C76*C61*(C46+C31)</f>
        <v>0</v>
      </c>
      <c r="D91" s="1">
        <f t="shared" si="8"/>
        <v>0</v>
      </c>
      <c r="E91" s="1">
        <f t="shared" si="8"/>
        <v>0</v>
      </c>
      <c r="F91" s="1">
        <f t="shared" si="8"/>
        <v>0</v>
      </c>
      <c r="G91" s="1">
        <f t="shared" si="8"/>
        <v>0</v>
      </c>
      <c r="H91" s="1">
        <f t="shared" si="8"/>
        <v>0</v>
      </c>
      <c r="I91" s="1">
        <f t="shared" si="8"/>
        <v>0</v>
      </c>
      <c r="J91" s="1">
        <f t="shared" si="8"/>
        <v>0.29479867056696973</v>
      </c>
      <c r="K91" s="1">
        <f t="shared" si="8"/>
        <v>0</v>
      </c>
      <c r="L91" s="1">
        <f t="shared" si="8"/>
        <v>0</v>
      </c>
      <c r="M91" s="1">
        <f t="shared" si="8"/>
        <v>0</v>
      </c>
      <c r="N91" s="1">
        <f t="shared" si="8"/>
        <v>0</v>
      </c>
    </row>
    <row r="92" spans="1:14" x14ac:dyDescent="0.3">
      <c r="A92" s="12"/>
      <c r="B92" s="6">
        <v>5</v>
      </c>
      <c r="C92" s="1">
        <f t="shared" ref="C92:N92" si="9">C77*C62*(C47+C32)</f>
        <v>0</v>
      </c>
      <c r="D92" s="1">
        <f t="shared" si="9"/>
        <v>0</v>
      </c>
      <c r="E92" s="1">
        <f t="shared" si="9"/>
        <v>0</v>
      </c>
      <c r="F92" s="1">
        <f t="shared" si="9"/>
        <v>0</v>
      </c>
      <c r="G92" s="1">
        <f t="shared" si="9"/>
        <v>0</v>
      </c>
      <c r="H92" s="1">
        <f t="shared" si="9"/>
        <v>0.33385757348744144</v>
      </c>
      <c r="I92" s="1">
        <f t="shared" si="9"/>
        <v>0</v>
      </c>
      <c r="J92" s="1">
        <f t="shared" si="9"/>
        <v>0.38696562856734856</v>
      </c>
      <c r="K92" s="1">
        <f t="shared" si="9"/>
        <v>0</v>
      </c>
      <c r="L92" s="1">
        <f t="shared" si="9"/>
        <v>0</v>
      </c>
      <c r="M92" s="1">
        <f t="shared" si="9"/>
        <v>0</v>
      </c>
      <c r="N92" s="1">
        <f t="shared" si="9"/>
        <v>0</v>
      </c>
    </row>
    <row r="93" spans="1:14" x14ac:dyDescent="0.3">
      <c r="A93" s="12"/>
      <c r="B93" s="6">
        <v>6</v>
      </c>
      <c r="C93" s="1">
        <f t="shared" ref="C93:N93" si="10">C78*C63*(C48+C33)</f>
        <v>0</v>
      </c>
      <c r="D93" s="1">
        <f t="shared" si="10"/>
        <v>0</v>
      </c>
      <c r="E93" s="1">
        <f t="shared" si="10"/>
        <v>0</v>
      </c>
      <c r="F93" s="1">
        <f t="shared" si="10"/>
        <v>0</v>
      </c>
      <c r="G93" s="1">
        <f t="shared" si="10"/>
        <v>0.33385757348744144</v>
      </c>
      <c r="H93" s="1">
        <f t="shared" si="10"/>
        <v>0</v>
      </c>
      <c r="I93" s="1">
        <f t="shared" si="10"/>
        <v>0</v>
      </c>
      <c r="J93" s="1">
        <f t="shared" si="10"/>
        <v>0.27646320871384789</v>
      </c>
      <c r="K93" s="1">
        <f t="shared" si="10"/>
        <v>0</v>
      </c>
      <c r="L93" s="1">
        <f t="shared" si="10"/>
        <v>0</v>
      </c>
      <c r="M93" s="1">
        <f t="shared" si="10"/>
        <v>0</v>
      </c>
      <c r="N93" s="1">
        <f t="shared" si="10"/>
        <v>0</v>
      </c>
    </row>
    <row r="94" spans="1:14" x14ac:dyDescent="0.3">
      <c r="A94" s="12"/>
      <c r="B94" s="6">
        <v>7</v>
      </c>
      <c r="C94" s="1">
        <f t="shared" ref="C94:N94" si="11">C79*C64*(C49+C34)</f>
        <v>0</v>
      </c>
      <c r="D94" s="1">
        <f t="shared" si="11"/>
        <v>0</v>
      </c>
      <c r="E94" s="1">
        <f t="shared" si="11"/>
        <v>0</v>
      </c>
      <c r="F94" s="1">
        <f t="shared" si="11"/>
        <v>0</v>
      </c>
      <c r="G94" s="1">
        <f t="shared" si="11"/>
        <v>0.35705185740106549</v>
      </c>
      <c r="H94" s="1">
        <f t="shared" si="11"/>
        <v>0.15533164478690867</v>
      </c>
      <c r="I94" s="1">
        <f t="shared" si="11"/>
        <v>0</v>
      </c>
      <c r="J94" s="1">
        <f t="shared" si="11"/>
        <v>0.20843969986681585</v>
      </c>
      <c r="K94" s="1">
        <f t="shared" si="11"/>
        <v>0</v>
      </c>
      <c r="L94" s="1">
        <f t="shared" si="11"/>
        <v>0</v>
      </c>
      <c r="M94" s="1">
        <f t="shared" si="11"/>
        <v>0</v>
      </c>
      <c r="N94" s="1">
        <f t="shared" si="11"/>
        <v>0</v>
      </c>
    </row>
    <row r="95" spans="1:14" x14ac:dyDescent="0.3">
      <c r="A95" s="12"/>
      <c r="B95" s="6">
        <v>8</v>
      </c>
      <c r="C95" s="1">
        <f t="shared" ref="C95:N95" si="12">C80*C65*(C50+C35)</f>
        <v>0</v>
      </c>
      <c r="D95" s="1">
        <f t="shared" si="12"/>
        <v>0</v>
      </c>
      <c r="E95" s="1">
        <f t="shared" si="12"/>
        <v>0</v>
      </c>
      <c r="F95" s="1">
        <f t="shared" si="12"/>
        <v>0.29479867056696973</v>
      </c>
      <c r="G95" s="1">
        <f t="shared" si="12"/>
        <v>0.38696562856734856</v>
      </c>
      <c r="H95" s="1">
        <f t="shared" si="12"/>
        <v>0.13823160435692394</v>
      </c>
      <c r="I95" s="1">
        <f t="shared" si="12"/>
        <v>1.6675175989345268</v>
      </c>
      <c r="J95" s="1">
        <f t="shared" si="12"/>
        <v>0</v>
      </c>
      <c r="K95" s="1">
        <f t="shared" si="12"/>
        <v>0.48437559455859974</v>
      </c>
      <c r="L95" s="1">
        <f t="shared" si="12"/>
        <v>0</v>
      </c>
      <c r="M95" s="1">
        <f t="shared" si="12"/>
        <v>0</v>
      </c>
      <c r="N95" s="1">
        <f t="shared" si="12"/>
        <v>0</v>
      </c>
    </row>
    <row r="96" spans="1:14" x14ac:dyDescent="0.3">
      <c r="A96" s="12"/>
      <c r="B96" s="6">
        <v>9</v>
      </c>
      <c r="C96" s="1">
        <f t="shared" ref="C96:N96" si="13">C81*C66*(C51+C36)</f>
        <v>0</v>
      </c>
      <c r="D96" s="1">
        <f t="shared" si="13"/>
        <v>0</v>
      </c>
      <c r="E96" s="1">
        <f t="shared" si="13"/>
        <v>0</v>
      </c>
      <c r="F96" s="1">
        <f t="shared" si="13"/>
        <v>0</v>
      </c>
      <c r="G96" s="1">
        <f t="shared" si="13"/>
        <v>0</v>
      </c>
      <c r="H96" s="1">
        <f t="shared" si="13"/>
        <v>0</v>
      </c>
      <c r="I96" s="1">
        <f t="shared" si="13"/>
        <v>0</v>
      </c>
      <c r="J96" s="1">
        <f t="shared" si="13"/>
        <v>0</v>
      </c>
      <c r="K96" s="1">
        <f t="shared" si="13"/>
        <v>0</v>
      </c>
      <c r="L96" s="1">
        <f t="shared" si="13"/>
        <v>0.28068172089041094</v>
      </c>
      <c r="M96" s="1">
        <f t="shared" si="13"/>
        <v>0</v>
      </c>
      <c r="N96" s="1">
        <f t="shared" si="13"/>
        <v>0</v>
      </c>
    </row>
    <row r="97" spans="1:14" x14ac:dyDescent="0.3">
      <c r="A97" s="12"/>
      <c r="B97" s="6">
        <v>10</v>
      </c>
      <c r="C97" s="1">
        <f t="shared" ref="C97:N97" si="14">C82*C67*(C52+C37)</f>
        <v>0</v>
      </c>
      <c r="D97" s="1">
        <f t="shared" si="14"/>
        <v>0</v>
      </c>
      <c r="E97" s="1">
        <f t="shared" si="14"/>
        <v>0</v>
      </c>
      <c r="F97" s="1">
        <f t="shared" si="14"/>
        <v>0</v>
      </c>
      <c r="G97" s="1">
        <f t="shared" si="14"/>
        <v>0</v>
      </c>
      <c r="H97" s="1">
        <f t="shared" si="14"/>
        <v>0</v>
      </c>
      <c r="I97" s="1">
        <f t="shared" si="14"/>
        <v>0</v>
      </c>
      <c r="J97" s="1">
        <f t="shared" si="14"/>
        <v>0</v>
      </c>
      <c r="K97" s="1">
        <f t="shared" si="14"/>
        <v>0</v>
      </c>
      <c r="L97" s="1">
        <f t="shared" si="14"/>
        <v>0</v>
      </c>
      <c r="M97" s="1">
        <f t="shared" si="14"/>
        <v>0.36090878281963024</v>
      </c>
      <c r="N97" s="1">
        <f t="shared" si="14"/>
        <v>0</v>
      </c>
    </row>
    <row r="98" spans="1:14" x14ac:dyDescent="0.3">
      <c r="A98" s="12"/>
      <c r="B98" s="6">
        <v>11</v>
      </c>
      <c r="C98" s="1">
        <f t="shared" ref="C98:N98" si="15">C83*C68*(C53+C38)</f>
        <v>0</v>
      </c>
      <c r="D98" s="1">
        <f t="shared" si="15"/>
        <v>0</v>
      </c>
      <c r="E98" s="1">
        <f t="shared" si="15"/>
        <v>0</v>
      </c>
      <c r="F98" s="1">
        <f t="shared" si="15"/>
        <v>0</v>
      </c>
      <c r="G98" s="1">
        <f t="shared" si="15"/>
        <v>0</v>
      </c>
      <c r="H98" s="1">
        <f t="shared" si="15"/>
        <v>0</v>
      </c>
      <c r="I98" s="1">
        <f t="shared" si="15"/>
        <v>0</v>
      </c>
      <c r="J98" s="1">
        <f t="shared" si="15"/>
        <v>0</v>
      </c>
      <c r="K98" s="1">
        <f t="shared" si="15"/>
        <v>0</v>
      </c>
      <c r="L98" s="1">
        <f t="shared" si="15"/>
        <v>0</v>
      </c>
      <c r="M98" s="1">
        <f t="shared" si="15"/>
        <v>0</v>
      </c>
      <c r="N98" s="1">
        <f t="shared" si="15"/>
        <v>150.70153717180364</v>
      </c>
    </row>
    <row r="99" spans="1:14" x14ac:dyDescent="0.3">
      <c r="A99" s="12"/>
      <c r="B99" s="6">
        <v>12</v>
      </c>
      <c r="C99" s="1">
        <f t="shared" ref="C99:N99" si="16">C84*C69*(C54+C39)</f>
        <v>0</v>
      </c>
      <c r="D99" s="1">
        <f t="shared" si="16"/>
        <v>0</v>
      </c>
      <c r="E99" s="1">
        <f t="shared" si="16"/>
        <v>0</v>
      </c>
      <c r="F99" s="1">
        <f t="shared" si="16"/>
        <v>0</v>
      </c>
      <c r="G99" s="1">
        <f t="shared" si="16"/>
        <v>0</v>
      </c>
      <c r="H99" s="1">
        <f t="shared" si="16"/>
        <v>0</v>
      </c>
      <c r="I99" s="1">
        <f t="shared" si="16"/>
        <v>0</v>
      </c>
      <c r="J99" s="1">
        <f t="shared" si="16"/>
        <v>0</v>
      </c>
      <c r="K99" s="1">
        <f t="shared" si="16"/>
        <v>0</v>
      </c>
      <c r="L99" s="1">
        <f t="shared" si="16"/>
        <v>0</v>
      </c>
      <c r="M99" s="1">
        <f t="shared" si="16"/>
        <v>0</v>
      </c>
      <c r="N99" s="1">
        <f t="shared" si="16"/>
        <v>0</v>
      </c>
    </row>
    <row r="100" spans="1:14" ht="15" thickBot="1" x14ac:dyDescent="0.35"/>
    <row r="101" spans="1:14" ht="15" thickBot="1" x14ac:dyDescent="0.35">
      <c r="B101" s="42" t="s">
        <v>61</v>
      </c>
      <c r="C101" s="55">
        <f>SUM(C88:N99)</f>
        <v>412.72330963422502</v>
      </c>
      <c r="D101" s="56"/>
    </row>
  </sheetData>
  <mergeCells count="8">
    <mergeCell ref="C101:D101"/>
    <mergeCell ref="AD11:AG11"/>
    <mergeCell ref="C11:H11"/>
    <mergeCell ref="I11:L11"/>
    <mergeCell ref="M11:Q11"/>
    <mergeCell ref="R11:T11"/>
    <mergeCell ref="U11:W11"/>
    <mergeCell ref="X11:AC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2FBD-2044-4DAE-9785-2B250452B626}">
  <dimension ref="A1"/>
  <sheetViews>
    <sheetView showGridLines="0" zoomScale="61" zoomScaleNormal="55" workbookViewId="0">
      <selection activeCell="T20" sqref="T2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41E69BB075894ABA9B055248BEA1BA" ma:contentTypeVersion="7" ma:contentTypeDescription="Create a new document." ma:contentTypeScope="" ma:versionID="a55a13ed6e09911903ff6c3c03660513">
  <xsd:schema xmlns:xsd="http://www.w3.org/2001/XMLSchema" xmlns:xs="http://www.w3.org/2001/XMLSchema" xmlns:p="http://schemas.microsoft.com/office/2006/metadata/properties" xmlns:ns2="3841c484-9d87-4084-9c96-fcc17a8eb4ad" targetNamespace="http://schemas.microsoft.com/office/2006/metadata/properties" ma:root="true" ma:fieldsID="6d50f4f81d3ac6b86b541b7266d634a0" ns2:_="">
    <xsd:import namespace="3841c484-9d87-4084-9c96-fcc17a8eb4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1c484-9d87-4084-9c96-fcc17a8eb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5E64119-C5A6-4C64-9339-86A1145C45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1c484-9d87-4084-9c96-fcc17a8eb4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517266-F031-4635-B440-E155523B4C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0344D-5C6E-4275-B7B2-94C5E4C7F34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Result</vt:lpstr>
      <vt:lpstr>Color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Achmad Ghazi Ichsan</dc:creator>
  <cp:keywords/>
  <dc:description/>
  <cp:lastModifiedBy>Rizky Miftah Alfiah</cp:lastModifiedBy>
  <cp:revision/>
  <dcterms:created xsi:type="dcterms:W3CDTF">2024-05-16T14:12:03Z</dcterms:created>
  <dcterms:modified xsi:type="dcterms:W3CDTF">2026-05-05T16:35:43Z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2024-05-16T14:12:10Z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53f16dca-30d9-4eca-8e69-fbe0f415543b</vt:lpwstr>
  </property>
  <property fmtid="{D5CDD505-2E9C-101B-9397-08002B2CF9AE}" pid="8" name="MSIP_Label_38b525e5-f3da-4501-8f1e-526b6769fc56_ContentBits">
    <vt:lpwstr>0</vt:lpwstr>
  </property>
  <property fmtid="{D5CDD505-2E9C-101B-9397-08002B2CF9AE}" pid="9" name="ContentTypeId">
    <vt:lpwstr>0x010100C441E69BB075894ABA9B055248BEA1BA</vt:lpwstr>
  </property>
  <property fmtid="{D5CDD505-2E9C-101B-9397-08002B2CF9AE}" pid="10" name="MediaServiceImageTags">
    <vt:lpwstr/>
  </property>
  <property fmtid="{D5CDD505-2E9C-101B-9397-08002B2CF9AE}" pid="11" name="MSIP_Label_38b525e5-f3da-4501-8f1e-526b6769fc56_Tag">
    <vt:lpwstr>10, 3, 0, 2</vt:lpwstr>
  </property>
</Properties>
</file>